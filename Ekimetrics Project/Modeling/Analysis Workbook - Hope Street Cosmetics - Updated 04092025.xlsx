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6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inhphan/Downloads/Ekimetrics Project/Modeling/"/>
    </mc:Choice>
  </mc:AlternateContent>
  <xr:revisionPtr revIDLastSave="0" documentId="13_ncr:1_{A2020734-A477-CD42-9FB1-13DC4B765710}" xr6:coauthVersionLast="47" xr6:coauthVersionMax="47" xr10:uidLastSave="{00000000-0000-0000-0000-000000000000}"/>
  <bookViews>
    <workbookView xWindow="0" yWindow="0" windowWidth="33600" windowHeight="21000" tabRatio="730" activeTab="6" xr2:uid="{4BA69AF7-1480-44E0-B9C1-149C24528B04}"/>
  </bookViews>
  <sheets>
    <sheet name="Setup" sheetId="45" r:id="rId1"/>
    <sheet name="Spend Data" sheetId="52" state="hidden" r:id="rId2"/>
    <sheet name="Dictionary" sheetId="46" r:id="rId3"/>
    <sheet name="InputSheet" sheetId="60" r:id="rId4"/>
    <sheet name="IS" sheetId="33" state="hidden" r:id="rId5"/>
    <sheet name="Model" sheetId="48" r:id="rId6"/>
    <sheet name="Actual vs Predicted" sheetId="56" r:id="rId7"/>
    <sheet name="Layer Chart" sheetId="59" r:id="rId8"/>
    <sheet name="Volume Data" sheetId="50" state="hidden" r:id="rId9"/>
    <sheet name="Summary Data" sheetId="51" r:id="rId10"/>
    <sheet name="Graphs and Tables" sheetId="62" r:id="rId11"/>
  </sheets>
  <definedNames>
    <definedName name="_xlnm._FilterDatabase" localSheetId="2" hidden="1">Dictionary!$C$4:$F$35</definedName>
    <definedName name="_xlnm._FilterDatabase" localSheetId="3" hidden="1">InputSheet!$D$7:$L$10192</definedName>
    <definedName name="_xlnm._FilterDatabase" localSheetId="4" hidden="1">IS!$A$5:$J$109</definedName>
    <definedName name="_xlnm._FilterDatabase" localSheetId="1" hidden="1">'Spend Data'!$A$12:$D$2431</definedName>
    <definedName name="_xlnm._FilterDatabase" localSheetId="8" hidden="1">'Volume Data'!$B$5:$B$90</definedName>
    <definedName name="_xlchart.v1.0" hidden="1">'Graphs and Tables'!$B$8:$B$14</definedName>
    <definedName name="_xlchart.v1.1" hidden="1">'Graphs and Tables'!$C$8:$C$14</definedName>
    <definedName name="ExternalData_1" localSheetId="3" hidden="1">InputSheet!#REF!</definedName>
    <definedName name="ExternalData_1" localSheetId="4" hidden="1">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46" l="1"/>
  <c r="E67" i="46"/>
  <c r="H6" i="59" l="1" a="1"/>
  <c r="H6" i="59" s="1"/>
  <c r="E66" i="46"/>
  <c r="F66" i="46"/>
  <c r="E61" i="46" l="1"/>
  <c r="E62" i="46"/>
  <c r="E63" i="46"/>
  <c r="E64" i="46"/>
  <c r="E65" i="46"/>
  <c r="F61" i="46"/>
  <c r="F62" i="46"/>
  <c r="F63" i="46"/>
  <c r="F64" i="46"/>
  <c r="F65" i="46"/>
  <c r="H11" i="45"/>
  <c r="I11" i="45"/>
  <c r="J11" i="45"/>
  <c r="H12" i="45"/>
  <c r="I12" i="45"/>
  <c r="J12" i="45"/>
  <c r="E52" i="46" l="1"/>
  <c r="F52" i="46"/>
  <c r="E53" i="46"/>
  <c r="F53" i="46"/>
  <c r="E54" i="46"/>
  <c r="F54" i="46"/>
  <c r="E55" i="46"/>
  <c r="F55" i="46"/>
  <c r="E56" i="46"/>
  <c r="F56" i="46"/>
  <c r="E57" i="46"/>
  <c r="F57" i="46"/>
  <c r="E58" i="46"/>
  <c r="F58" i="46"/>
  <c r="E59" i="46"/>
  <c r="F59" i="46"/>
  <c r="E60" i="46"/>
  <c r="F60" i="46"/>
  <c r="H3" i="59" a="1"/>
  <c r="H3" i="59" l="1"/>
  <c r="H14" i="52"/>
  <c r="H15" i="52"/>
  <c r="H16" i="52"/>
  <c r="H17" i="52"/>
  <c r="H18" i="52"/>
  <c r="H19" i="52"/>
  <c r="H20" i="52"/>
  <c r="H21" i="52"/>
  <c r="H22" i="52"/>
  <c r="H23" i="52"/>
  <c r="H24" i="52"/>
  <c r="H25" i="52"/>
  <c r="H26" i="52"/>
  <c r="H27" i="52"/>
  <c r="H28" i="52"/>
  <c r="H29" i="52"/>
  <c r="H30" i="52"/>
  <c r="H31" i="52"/>
  <c r="H32" i="52"/>
  <c r="H33" i="52"/>
  <c r="H34" i="52"/>
  <c r="H35" i="52"/>
  <c r="H36" i="52"/>
  <c r="H37" i="52"/>
  <c r="H38" i="52"/>
  <c r="H39" i="52"/>
  <c r="H40" i="52"/>
  <c r="H41" i="52"/>
  <c r="H42" i="52"/>
  <c r="H43" i="52"/>
  <c r="H44" i="52"/>
  <c r="H45" i="52"/>
  <c r="H46" i="52"/>
  <c r="H47" i="52"/>
  <c r="H48" i="52"/>
  <c r="H49" i="52"/>
  <c r="H50" i="52"/>
  <c r="H51" i="52"/>
  <c r="H52" i="52"/>
  <c r="H53" i="52"/>
  <c r="H54" i="52"/>
  <c r="H55" i="52"/>
  <c r="H56" i="52"/>
  <c r="H57" i="52"/>
  <c r="H58" i="52"/>
  <c r="H59" i="52"/>
  <c r="H60" i="52"/>
  <c r="H61" i="52"/>
  <c r="H62" i="52"/>
  <c r="H63" i="52"/>
  <c r="H64" i="52"/>
  <c r="H65" i="52"/>
  <c r="H66" i="52"/>
  <c r="H67" i="52"/>
  <c r="H68" i="52"/>
  <c r="H69" i="52"/>
  <c r="H70" i="52"/>
  <c r="H71" i="52"/>
  <c r="H72" i="52"/>
  <c r="H73" i="52"/>
  <c r="H74" i="52"/>
  <c r="H75" i="52"/>
  <c r="H76" i="52"/>
  <c r="H77" i="52"/>
  <c r="H78" i="52"/>
  <c r="H79" i="52"/>
  <c r="H80" i="52"/>
  <c r="H81" i="52"/>
  <c r="H82" i="52"/>
  <c r="H83" i="52"/>
  <c r="H84" i="52"/>
  <c r="H85" i="52"/>
  <c r="H86" i="52"/>
  <c r="H87" i="52"/>
  <c r="H88" i="52"/>
  <c r="H89" i="52"/>
  <c r="H90" i="52"/>
  <c r="H91" i="52"/>
  <c r="H92" i="52"/>
  <c r="H93" i="52"/>
  <c r="H94" i="52"/>
  <c r="H95" i="52"/>
  <c r="H96" i="52"/>
  <c r="H97" i="52"/>
  <c r="H98" i="52"/>
  <c r="H99" i="52"/>
  <c r="H100" i="52"/>
  <c r="H101" i="52"/>
  <c r="H102" i="52"/>
  <c r="H103" i="52"/>
  <c r="H104" i="52"/>
  <c r="H105" i="52"/>
  <c r="H106" i="52"/>
  <c r="H107" i="52"/>
  <c r="H108" i="52"/>
  <c r="H109" i="52"/>
  <c r="H110" i="52"/>
  <c r="H111" i="52"/>
  <c r="H112" i="52"/>
  <c r="H113" i="52"/>
  <c r="H114" i="52"/>
  <c r="H115" i="52"/>
  <c r="H116" i="52"/>
  <c r="H13" i="52"/>
  <c r="E15" i="51" a="1"/>
  <c r="E15" i="51" s="1"/>
  <c r="D15" i="51" a="1"/>
  <c r="D15" i="51" s="1"/>
  <c r="C15" i="51" a="1"/>
  <c r="C15" i="51" s="1"/>
  <c r="B15" i="51" a="1"/>
  <c r="B15" i="51" s="1"/>
  <c r="E27" i="48"/>
  <c r="E28" i="48"/>
  <c r="F37" i="59"/>
  <c r="E56" i="48" l="1"/>
  <c r="E55" i="48" l="1"/>
  <c r="E25" i="48"/>
  <c r="E26" i="48"/>
  <c r="E45" i="46" l="1"/>
  <c r="E46" i="46"/>
  <c r="E47" i="46"/>
  <c r="E48" i="46"/>
  <c r="E49" i="46"/>
  <c r="E50" i="46"/>
  <c r="E51" i="46"/>
  <c r="F45" i="46"/>
  <c r="F46" i="46"/>
  <c r="F47" i="46"/>
  <c r="F48" i="46"/>
  <c r="F49" i="46"/>
  <c r="F50" i="46"/>
  <c r="F51" i="46"/>
  <c r="B4" i="60"/>
  <c r="F2" i="60" s="1" a="1"/>
  <c r="F2" i="60" s="1"/>
  <c r="D4" i="33" s="1" a="1"/>
  <c r="D4" i="33" s="1"/>
  <c r="B2" i="60"/>
  <c r="B7" i="51" a="1"/>
  <c r="B7" i="51" s="1"/>
  <c r="E43" i="46"/>
  <c r="E44" i="46"/>
  <c r="F43" i="46"/>
  <c r="F44" i="46"/>
  <c r="P5" i="59" a="1"/>
  <c r="P5" i="59" s="1"/>
  <c r="B14" i="51"/>
  <c r="C14" i="51"/>
  <c r="D14" i="51"/>
  <c r="E14" i="51"/>
  <c r="I3" i="59" l="1"/>
  <c r="E2" i="33"/>
  <c r="G15" i="51" a="1"/>
  <c r="G15" i="51" s="1"/>
  <c r="K15" i="51" s="1" a="1"/>
  <c r="K15" i="51" s="1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39" i="46"/>
  <c r="F40" i="46"/>
  <c r="F41" i="46"/>
  <c r="F42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3" i="46" l="1"/>
  <c r="C1" i="48"/>
  <c r="B5" i="48" s="1" a="1"/>
  <c r="B5" i="48" s="1"/>
  <c r="I3" i="52"/>
  <c r="C3" i="52"/>
  <c r="O5" i="50"/>
  <c r="H10" i="52" l="1"/>
  <c r="H9" i="52" s="1"/>
  <c r="V50" i="56"/>
  <c r="U50" i="56" s="1"/>
  <c r="W50" i="56" a="1"/>
  <c r="I10" i="52" a="1"/>
  <c r="I10" i="52" l="1"/>
  <c r="W50" i="56"/>
  <c r="B6" i="59" l="1" a="1"/>
  <c r="B6" i="59" s="1"/>
  <c r="E5" i="48" l="1"/>
  <c r="E207" i="48"/>
  <c r="E206" i="48"/>
  <c r="E205" i="48"/>
  <c r="E204" i="48"/>
  <c r="E203" i="48"/>
  <c r="E202" i="48"/>
  <c r="E201" i="48"/>
  <c r="E200" i="48"/>
  <c r="E199" i="48"/>
  <c r="E198" i="48"/>
  <c r="E197" i="48"/>
  <c r="E196" i="48"/>
  <c r="E195" i="48"/>
  <c r="E194" i="48"/>
  <c r="E193" i="48"/>
  <c r="E192" i="48"/>
  <c r="E191" i="48"/>
  <c r="E190" i="48"/>
  <c r="E189" i="48"/>
  <c r="E188" i="48"/>
  <c r="E187" i="48"/>
  <c r="E186" i="48"/>
  <c r="E185" i="48"/>
  <c r="E184" i="48"/>
  <c r="E183" i="48"/>
  <c r="E182" i="48"/>
  <c r="E181" i="48"/>
  <c r="E180" i="48"/>
  <c r="E179" i="48"/>
  <c r="E178" i="48"/>
  <c r="E177" i="48"/>
  <c r="E176" i="48"/>
  <c r="E175" i="48"/>
  <c r="E174" i="48"/>
  <c r="E173" i="48"/>
  <c r="E172" i="48"/>
  <c r="E171" i="48"/>
  <c r="E170" i="48"/>
  <c r="E169" i="48"/>
  <c r="E168" i="48"/>
  <c r="E167" i="48"/>
  <c r="E166" i="48"/>
  <c r="E165" i="48"/>
  <c r="E164" i="48"/>
  <c r="E163" i="48"/>
  <c r="E162" i="48"/>
  <c r="E161" i="48"/>
  <c r="E160" i="48"/>
  <c r="E159" i="48"/>
  <c r="E158" i="48"/>
  <c r="E157" i="48"/>
  <c r="E156" i="48"/>
  <c r="E155" i="48"/>
  <c r="E154" i="48"/>
  <c r="E153" i="48"/>
  <c r="E152" i="48"/>
  <c r="E151" i="48"/>
  <c r="E150" i="48"/>
  <c r="E149" i="48"/>
  <c r="E148" i="48"/>
  <c r="E147" i="48"/>
  <c r="E146" i="48"/>
  <c r="E145" i="48"/>
  <c r="E144" i="48"/>
  <c r="E143" i="48"/>
  <c r="E142" i="48"/>
  <c r="E141" i="48"/>
  <c r="E140" i="48"/>
  <c r="E139" i="48"/>
  <c r="E138" i="48"/>
  <c r="E137" i="48"/>
  <c r="E136" i="48"/>
  <c r="E135" i="48"/>
  <c r="E134" i="48"/>
  <c r="E133" i="48"/>
  <c r="E132" i="48"/>
  <c r="E131" i="48"/>
  <c r="E130" i="48"/>
  <c r="E129" i="48"/>
  <c r="E128" i="48"/>
  <c r="E127" i="48"/>
  <c r="E126" i="48"/>
  <c r="E125" i="48"/>
  <c r="E124" i="48"/>
  <c r="E123" i="48"/>
  <c r="E122" i="48"/>
  <c r="E121" i="48"/>
  <c r="E120" i="48"/>
  <c r="E119" i="48"/>
  <c r="E118" i="48"/>
  <c r="E117" i="48"/>
  <c r="E116" i="48"/>
  <c r="E115" i="48"/>
  <c r="E114" i="48"/>
  <c r="E113" i="48"/>
  <c r="E112" i="48"/>
  <c r="E111" i="48"/>
  <c r="E110" i="48"/>
  <c r="E109" i="48"/>
  <c r="E108" i="48"/>
  <c r="E107" i="48"/>
  <c r="E106" i="48"/>
  <c r="E105" i="48"/>
  <c r="E104" i="48"/>
  <c r="E103" i="48"/>
  <c r="E102" i="48"/>
  <c r="E101" i="48"/>
  <c r="E100" i="48"/>
  <c r="E99" i="48"/>
  <c r="E98" i="48"/>
  <c r="E97" i="48"/>
  <c r="E96" i="48"/>
  <c r="E95" i="48"/>
  <c r="E94" i="48"/>
  <c r="E93" i="48"/>
  <c r="E92" i="48"/>
  <c r="E91" i="48"/>
  <c r="E90" i="48"/>
  <c r="E89" i="48"/>
  <c r="E88" i="48"/>
  <c r="E87" i="48"/>
  <c r="E86" i="48"/>
  <c r="E85" i="48"/>
  <c r="E84" i="48"/>
  <c r="E83" i="48"/>
  <c r="E82" i="48"/>
  <c r="E81" i="48"/>
  <c r="E80" i="48"/>
  <c r="E79" i="48"/>
  <c r="E78" i="48"/>
  <c r="E77" i="48"/>
  <c r="E76" i="48"/>
  <c r="E75" i="48"/>
  <c r="E74" i="48"/>
  <c r="E73" i="48"/>
  <c r="E72" i="48"/>
  <c r="E71" i="48"/>
  <c r="E70" i="48"/>
  <c r="E69" i="48"/>
  <c r="E68" i="48"/>
  <c r="E67" i="48"/>
  <c r="E66" i="48"/>
  <c r="E65" i="48"/>
  <c r="E64" i="48"/>
  <c r="E63" i="48"/>
  <c r="E62" i="48"/>
  <c r="E61" i="48"/>
  <c r="E60" i="48"/>
  <c r="E59" i="48"/>
  <c r="E58" i="48"/>
  <c r="E57" i="48"/>
  <c r="E54" i="48"/>
  <c r="E53" i="48"/>
  <c r="E52" i="48"/>
  <c r="E51" i="48"/>
  <c r="E50" i="48"/>
  <c r="E49" i="48"/>
  <c r="E48" i="48"/>
  <c r="E47" i="48"/>
  <c r="E46" i="48"/>
  <c r="E45" i="48"/>
  <c r="E44" i="48"/>
  <c r="E43" i="48"/>
  <c r="E42" i="48"/>
  <c r="E41" i="48"/>
  <c r="E40" i="48"/>
  <c r="E39" i="48"/>
  <c r="E38" i="48"/>
  <c r="E37" i="48"/>
  <c r="E36" i="48"/>
  <c r="E35" i="48"/>
  <c r="E34" i="48"/>
  <c r="E33" i="48"/>
  <c r="E32" i="48"/>
  <c r="E31" i="48"/>
  <c r="E30" i="48"/>
  <c r="E29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D42" i="56"/>
  <c r="D40" i="56"/>
  <c r="J10" i="45"/>
  <c r="I10" i="45"/>
  <c r="H10" i="45"/>
  <c r="J9" i="45"/>
  <c r="I9" i="45"/>
  <c r="H9" i="45"/>
  <c r="E6" i="52" l="1"/>
  <c r="E5" i="52"/>
  <c r="B3" i="52"/>
  <c r="B6" i="45" l="1" a="1"/>
  <c r="B6" i="45" s="1"/>
  <c r="B6" i="60" s="1"/>
  <c r="B8" i="60" s="1" a="1"/>
  <c r="B8" i="60" s="1"/>
  <c r="D5" i="33" s="1" a="1"/>
  <c r="D5" i="33" s="1"/>
  <c r="O5" i="48" a="1"/>
  <c r="O5" i="48" s="1"/>
  <c r="B5" i="33" l="1" a="1"/>
  <c r="B5" i="33" s="1"/>
  <c r="C5" i="33" a="1"/>
  <c r="C5" i="33" s="1"/>
  <c r="D2" i="33" l="1"/>
  <c r="E1" i="48"/>
  <c r="D6" i="52"/>
  <c r="C6" i="52"/>
  <c r="J5" i="50"/>
  <c r="I5" i="50"/>
  <c r="D5" i="52"/>
  <c r="C5" i="52"/>
  <c r="M13" i="51" l="1"/>
  <c r="Y13" i="51" s="1"/>
  <c r="N13" i="51"/>
  <c r="D38" i="56"/>
  <c r="D36" i="56"/>
  <c r="E8" i="45"/>
  <c r="U52" i="56" s="1" a="1"/>
  <c r="U52" i="56" s="1"/>
  <c r="M6" i="59" s="1" a="1"/>
  <c r="M6" i="59" s="1"/>
  <c r="W13" i="51" l="1"/>
  <c r="Z13" i="51"/>
  <c r="Q13" i="51"/>
  <c r="P13" i="51"/>
  <c r="V13" i="51"/>
  <c r="S12" i="51" l="1"/>
  <c r="B1" i="48" l="1"/>
  <c r="N5" i="48" l="1" a="1"/>
  <c r="N5" i="48" s="1"/>
  <c r="W51" i="56" s="1" a="1"/>
  <c r="W51" i="56" s="1"/>
  <c r="W34" i="56" a="1"/>
  <c r="W34" i="56" s="1"/>
  <c r="E21" i="56"/>
  <c r="E20" i="56"/>
  <c r="W32" i="56" s="1" a="1"/>
  <c r="W32" i="56" s="1"/>
  <c r="B52" i="56" l="1" a="1"/>
  <c r="B52" i="56" s="1"/>
  <c r="D6" i="59" a="1"/>
  <c r="D6" i="59" s="1"/>
  <c r="F8" i="59" s="1"/>
  <c r="V5" i="59" s="1" a="1"/>
  <c r="V5" i="59" s="1"/>
  <c r="B7" i="50" a="1"/>
  <c r="B7" i="50" s="1"/>
  <c r="W49" i="56" a="1"/>
  <c r="W49" i="56" s="1"/>
  <c r="W31" i="56" a="1"/>
  <c r="W31" i="56" s="1"/>
  <c r="C5" i="48" a="1"/>
  <c r="O7" i="50" a="1"/>
  <c r="O7" i="50" s="1"/>
  <c r="P7" i="50" s="1" a="1"/>
  <c r="P7" i="50" s="1"/>
  <c r="D30" i="56"/>
  <c r="D28" i="56"/>
  <c r="D32" i="56"/>
  <c r="D34" i="56"/>
  <c r="B6" i="52"/>
  <c r="B5" i="52"/>
  <c r="C5" i="48" l="1"/>
  <c r="D48" i="56"/>
  <c r="D47" i="56"/>
  <c r="W33" i="56" l="1" a="1"/>
  <c r="W33" i="56" s="1"/>
  <c r="L6" i="51" l="1"/>
  <c r="L13" i="51" l="1"/>
  <c r="E3" i="52" l="1"/>
  <c r="W52" i="56" a="1"/>
  <c r="W52" i="56" l="1"/>
  <c r="M52" i="56" a="1"/>
  <c r="S52" i="56" a="1"/>
  <c r="S52" i="56" s="1"/>
  <c r="T52" i="56" a="1"/>
  <c r="T52" i="56" s="1"/>
  <c r="Q52" i="56" a="1"/>
  <c r="Q52" i="56" s="1"/>
  <c r="R52" i="56" a="1"/>
  <c r="R52" i="56" s="1"/>
  <c r="E42" i="56"/>
  <c r="E40" i="56"/>
  <c r="E30" i="56"/>
  <c r="E28" i="56"/>
  <c r="E32" i="56"/>
  <c r="E34" i="56"/>
  <c r="E38" i="56"/>
  <c r="E36" i="56"/>
  <c r="L4" i="50"/>
  <c r="I134" i="56" l="1"/>
  <c r="I135" i="56"/>
  <c r="I136" i="56"/>
  <c r="M52" i="56"/>
  <c r="M44" i="56" s="1" a="1"/>
  <c r="M44" i="56" s="1"/>
  <c r="E41" i="56"/>
  <c r="E33" i="56"/>
  <c r="E29" i="56"/>
  <c r="E37" i="56"/>
  <c r="M45" i="56" l="1" a="1"/>
  <c r="M45" i="56" s="1"/>
  <c r="M46" i="56" a="1"/>
  <c r="M46" i="56" s="1"/>
  <c r="N6" i="59" a="1"/>
  <c r="N6" i="59" s="1"/>
  <c r="M43" i="56" a="1"/>
  <c r="M43" i="56" s="1"/>
  <c r="E6" i="50" s="1"/>
  <c r="M42" i="56"/>
  <c r="D6" i="50" l="1"/>
  <c r="O50" i="56"/>
  <c r="W46" i="56" a="1"/>
  <c r="W46" i="56" s="1"/>
  <c r="W44" i="56" a="1"/>
  <c r="W44" i="56" s="1"/>
  <c r="W36" i="56" s="1" a="1"/>
  <c r="W36" i="56" s="1"/>
  <c r="W45" i="56" a="1"/>
  <c r="W45" i="56" s="1"/>
  <c r="W43" i="56" a="1"/>
  <c r="W43" i="56" s="1"/>
  <c r="W35" i="56" s="1" a="1"/>
  <c r="W35" i="56" s="1"/>
  <c r="W42" i="56" a="1"/>
  <c r="W42" i="56" s="1"/>
  <c r="K52" i="56" a="1"/>
  <c r="K52" i="56" s="1"/>
  <c r="N7" i="51"/>
  <c r="C14" i="62" s="1"/>
  <c r="J52" i="56" a="1"/>
  <c r="J52" i="56" s="1"/>
  <c r="F6" i="50"/>
  <c r="M7" i="51"/>
  <c r="C8" i="62" s="1"/>
  <c r="W37" i="56" l="1" a="1"/>
  <c r="W37" i="56" s="1"/>
  <c r="W38" i="56" a="1"/>
  <c r="W38" i="56" s="1"/>
  <c r="V52" i="56" a="1"/>
  <c r="N52" i="56" a="1"/>
  <c r="N52" i="56" s="1"/>
  <c r="I6" i="59" s="1" a="1"/>
  <c r="I6" i="59" s="1"/>
  <c r="F7" i="50" a="1"/>
  <c r="F7" i="50" s="1"/>
  <c r="E7" i="50" a="1"/>
  <c r="E7" i="50" s="1"/>
  <c r="S7" i="51"/>
  <c r="T7" i="51" s="1"/>
  <c r="L6" i="50"/>
  <c r="M6" i="50"/>
  <c r="L7" i="51"/>
  <c r="V52" i="56" l="1"/>
  <c r="N15" i="51" a="1"/>
  <c r="M15" i="51" a="1"/>
  <c r="L7" i="50" a="1"/>
  <c r="L7" i="50" s="1"/>
  <c r="D109" i="62" l="1"/>
  <c r="D111" i="62"/>
  <c r="D108" i="62"/>
  <c r="D105" i="62"/>
  <c r="D107" i="62"/>
  <c r="D110" i="62"/>
  <c r="D106" i="62"/>
  <c r="G107" i="62"/>
  <c r="G110" i="62"/>
  <c r="G108" i="62"/>
  <c r="G109" i="62"/>
  <c r="G111" i="62"/>
  <c r="G105" i="62"/>
  <c r="G106" i="62"/>
  <c r="C79" i="62"/>
  <c r="D91" i="62"/>
  <c r="D90" i="62"/>
  <c r="D93" i="62"/>
  <c r="D95" i="62"/>
  <c r="D94" i="62"/>
  <c r="D92" i="62"/>
  <c r="D89" i="62"/>
  <c r="E79" i="62"/>
  <c r="C78" i="62"/>
  <c r="C80" i="62"/>
  <c r="E80" i="62"/>
  <c r="E78" i="62"/>
  <c r="D70" i="62"/>
  <c r="D71" i="62"/>
  <c r="G71" i="62"/>
  <c r="G70" i="62"/>
  <c r="D60" i="62"/>
  <c r="D62" i="62"/>
  <c r="D59" i="62"/>
  <c r="D61" i="62"/>
  <c r="G59" i="62"/>
  <c r="G60" i="62"/>
  <c r="G61" i="62"/>
  <c r="G62" i="62"/>
  <c r="G49" i="62"/>
  <c r="G47" i="62"/>
  <c r="G50" i="62"/>
  <c r="G51" i="62"/>
  <c r="G52" i="62"/>
  <c r="G48" i="62"/>
  <c r="G46" i="62"/>
  <c r="D48" i="62"/>
  <c r="D49" i="62"/>
  <c r="D50" i="62"/>
  <c r="D51" i="62"/>
  <c r="D47" i="62"/>
  <c r="D52" i="62"/>
  <c r="D46" i="62"/>
  <c r="E28" i="62"/>
  <c r="E29" i="62"/>
  <c r="C28" i="62"/>
  <c r="C29" i="62"/>
  <c r="N15" i="51"/>
  <c r="M15" i="51"/>
  <c r="F79" i="62" l="1"/>
  <c r="F80" i="62"/>
  <c r="D80" i="62"/>
  <c r="D79" i="62"/>
  <c r="F78" i="62"/>
  <c r="D78" i="62"/>
  <c r="Q15" i="51" a="1"/>
  <c r="Q15" i="51" s="1"/>
  <c r="E27" i="62"/>
  <c r="C27" i="62"/>
  <c r="S15" i="51" a="1"/>
  <c r="P15" i="51" a="1"/>
  <c r="P15" i="51" l="1"/>
  <c r="F28" i="62"/>
  <c r="F29" i="62"/>
  <c r="D29" i="62"/>
  <c r="D28" i="62"/>
  <c r="C11" i="62"/>
  <c r="C13" i="62"/>
  <c r="C12" i="62"/>
  <c r="C10" i="62"/>
  <c r="S15" i="51"/>
  <c r="C9" i="62" s="1"/>
  <c r="D7" i="50" a="1"/>
  <c r="D7" i="50" s="1"/>
  <c r="J7" i="50" a="1"/>
  <c r="J7" i="50" s="1"/>
  <c r="I7" i="50" a="1"/>
  <c r="I7" i="50" s="1"/>
  <c r="F27" i="62" l="1"/>
  <c r="D27" i="62"/>
  <c r="T15" i="51" a="1"/>
  <c r="T15" i="51" s="1"/>
  <c r="L15" i="51" a="1"/>
  <c r="H7" i="50" a="1"/>
  <c r="H7" i="50" s="1"/>
  <c r="M36" i="51"/>
  <c r="N36" i="51"/>
  <c r="L36" i="51"/>
  <c r="L15" i="51" l="1"/>
  <c r="L14" i="51" s="1"/>
  <c r="V42" i="56"/>
  <c r="O43" i="56" a="1"/>
  <c r="O43" i="56" s="1"/>
  <c r="N14" i="51"/>
  <c r="M7" i="50" a="1"/>
  <c r="M7" i="50" s="1"/>
  <c r="O46" i="56" l="1" a="1"/>
  <c r="O46" i="56" s="1"/>
  <c r="O42" i="56" a="1"/>
  <c r="O42" i="56" s="1"/>
  <c r="V45" i="56" a="1"/>
  <c r="V45" i="56" s="1"/>
  <c r="V46" i="56" a="1"/>
  <c r="V46" i="56" s="1"/>
  <c r="V43" i="56" a="1"/>
  <c r="V43" i="56" s="1"/>
  <c r="V44" i="56" a="1"/>
  <c r="V44" i="56" s="1"/>
  <c r="O44" i="56" a="1"/>
  <c r="O44" i="56" s="1"/>
  <c r="O45" i="56" a="1"/>
  <c r="O45" i="56" s="1"/>
  <c r="N45" i="56" a="1"/>
  <c r="N45" i="56" s="1"/>
  <c r="N46" i="56" a="1"/>
  <c r="N46" i="56" s="1"/>
  <c r="N44" i="56" a="1"/>
  <c r="N44" i="56" s="1"/>
  <c r="N8" i="51" s="1"/>
  <c r="N43" i="56" a="1"/>
  <c r="N43" i="56" s="1"/>
  <c r="M8" i="51" s="1"/>
  <c r="D50" i="56"/>
  <c r="O52" i="56" a="1"/>
  <c r="N50" i="56"/>
  <c r="N42" i="56"/>
  <c r="L8" i="51" s="1"/>
  <c r="S14" i="51"/>
  <c r="M14" i="51"/>
  <c r="Q14" i="51"/>
  <c r="S8" i="51" l="1"/>
  <c r="T8" i="51" s="1"/>
  <c r="O52" i="56"/>
  <c r="E52" i="56" a="1"/>
  <c r="E52" i="56" s="1"/>
  <c r="F52" i="56" a="1"/>
  <c r="F52" i="56" s="1"/>
  <c r="C52" i="56" a="1"/>
  <c r="C52" i="56" s="1"/>
  <c r="D52" i="56" a="1"/>
  <c r="D52" i="56" s="1"/>
  <c r="P14" i="51"/>
  <c r="T14" i="51"/>
  <c r="T9" i="51" l="1"/>
  <c r="S9" i="51"/>
  <c r="I4" i="52" l="1" a="1"/>
  <c r="I4" i="52" s="1"/>
  <c r="D3" i="52" l="1"/>
  <c r="A13" i="52" l="1" a="1"/>
  <c r="A13" i="52" s="1"/>
  <c r="D13" i="52" s="1" a="1"/>
  <c r="D13" i="52" s="1"/>
  <c r="B13" i="52" a="1"/>
  <c r="B13" i="52" s="1"/>
  <c r="E13" i="52" a="1"/>
  <c r="E13" i="52" s="1"/>
  <c r="C13" i="52" l="1" a="1"/>
  <c r="C13" i="52" s="1"/>
  <c r="I6" i="52" s="1" a="1"/>
  <c r="D7" i="52"/>
  <c r="D8" i="52" s="1"/>
  <c r="I8" i="52" a="1"/>
  <c r="I8" i="52" s="1"/>
  <c r="G8" i="52" s="1"/>
  <c r="I5" i="52" a="1"/>
  <c r="I7" i="52" a="1"/>
  <c r="I7" i="52" s="1"/>
  <c r="G7" i="52" s="1"/>
  <c r="E7" i="52"/>
  <c r="E8" i="52" s="1"/>
  <c r="B7" i="52"/>
  <c r="B8" i="52" s="1"/>
  <c r="C7" i="52" l="1"/>
  <c r="C8" i="52" s="1"/>
  <c r="I5" i="52"/>
  <c r="G5" i="52" s="1"/>
  <c r="I6" i="52"/>
  <c r="G6" i="52" s="1"/>
  <c r="V15" i="51" l="1" a="1"/>
  <c r="W15" i="51" a="1"/>
  <c r="C105" i="62" l="1"/>
  <c r="E105" i="62" s="1"/>
  <c r="C108" i="62"/>
  <c r="E108" i="62" s="1"/>
  <c r="C110" i="62"/>
  <c r="E110" i="62" s="1"/>
  <c r="C111" i="62"/>
  <c r="E111" i="62" s="1"/>
  <c r="C106" i="62"/>
  <c r="E106" i="62" s="1"/>
  <c r="C109" i="62"/>
  <c r="E109" i="62" s="1"/>
  <c r="C107" i="62"/>
  <c r="E107" i="62" s="1"/>
  <c r="F106" i="62"/>
  <c r="H106" i="62" s="1"/>
  <c r="F108" i="62"/>
  <c r="H108" i="62" s="1"/>
  <c r="F111" i="62"/>
  <c r="H111" i="62" s="1"/>
  <c r="F110" i="62"/>
  <c r="H110" i="62" s="1"/>
  <c r="F105" i="62"/>
  <c r="H105" i="62" s="1"/>
  <c r="F107" i="62"/>
  <c r="H107" i="62" s="1"/>
  <c r="F109" i="62"/>
  <c r="H109" i="62" s="1"/>
  <c r="C89" i="62"/>
  <c r="E89" i="62" s="1"/>
  <c r="C94" i="62"/>
  <c r="E94" i="62" s="1"/>
  <c r="C91" i="62"/>
  <c r="E91" i="62" s="1"/>
  <c r="C92" i="62"/>
  <c r="E92" i="62" s="1"/>
  <c r="C90" i="62"/>
  <c r="E90" i="62" s="1"/>
  <c r="C93" i="62"/>
  <c r="E93" i="62" s="1"/>
  <c r="C95" i="62"/>
  <c r="E95" i="62" s="1"/>
  <c r="F70" i="62"/>
  <c r="H70" i="62" s="1"/>
  <c r="F71" i="62"/>
  <c r="H71" i="62" s="1"/>
  <c r="C71" i="62"/>
  <c r="E71" i="62" s="1"/>
  <c r="C70" i="62"/>
  <c r="E70" i="62" s="1"/>
  <c r="F61" i="62"/>
  <c r="H61" i="62" s="1"/>
  <c r="F62" i="62"/>
  <c r="H62" i="62" s="1"/>
  <c r="F60" i="62"/>
  <c r="H60" i="62" s="1"/>
  <c r="F59" i="62"/>
  <c r="H59" i="62" s="1"/>
  <c r="C59" i="62"/>
  <c r="E59" i="62" s="1"/>
  <c r="C61" i="62"/>
  <c r="E61" i="62" s="1"/>
  <c r="C62" i="62"/>
  <c r="E62" i="62" s="1"/>
  <c r="C60" i="62"/>
  <c r="E60" i="62" s="1"/>
  <c r="F46" i="62"/>
  <c r="H46" i="62" s="1"/>
  <c r="F49" i="62"/>
  <c r="H49" i="62" s="1"/>
  <c r="F50" i="62"/>
  <c r="H50" i="62" s="1"/>
  <c r="F51" i="62"/>
  <c r="H51" i="62" s="1"/>
  <c r="F48" i="62"/>
  <c r="H48" i="62" s="1"/>
  <c r="F52" i="62"/>
  <c r="H52" i="62" s="1"/>
  <c r="F47" i="62"/>
  <c r="H47" i="62" s="1"/>
  <c r="C48" i="62"/>
  <c r="E48" i="62" s="1"/>
  <c r="C50" i="62"/>
  <c r="E50" i="62" s="1"/>
  <c r="C49" i="62"/>
  <c r="E49" i="62" s="1"/>
  <c r="C51" i="62"/>
  <c r="E51" i="62" s="1"/>
  <c r="C47" i="62"/>
  <c r="E47" i="62" s="1"/>
  <c r="C52" i="62"/>
  <c r="E52" i="62" s="1"/>
  <c r="C46" i="62"/>
  <c r="E46" i="62" s="1"/>
  <c r="V15" i="51"/>
  <c r="Y15" i="51" s="1" a="1"/>
  <c r="Y15" i="51" s="1"/>
  <c r="D12" i="62"/>
  <c r="D13" i="62"/>
  <c r="W15" i="51"/>
  <c r="W14" i="51" s="1"/>
  <c r="V14" i="51" l="1"/>
  <c r="Y14" i="51" s="1"/>
  <c r="Z15" i="51" a="1"/>
  <c r="Z15" i="51" s="1"/>
  <c r="Z14" i="51" s="1"/>
  <c r="V6" i="59" a="1"/>
  <c r="V6" i="59" l="1"/>
  <c r="K6" i="59" s="1" a="1"/>
  <c r="K6" i="59" s="1"/>
  <c r="O6" i="59" s="1" a="1"/>
  <c r="O6" i="59" s="1"/>
  <c r="P6" i="59" a="1"/>
  <c r="P6" i="59" l="1"/>
  <c r="J6" i="59" s="1" a="1"/>
  <c r="J6" i="59" s="1"/>
  <c r="T6" i="59" s="1" a="1"/>
  <c r="T6" i="59" s="1"/>
  <c r="U6" i="59" a="1"/>
  <c r="U6" i="5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<sst xmlns="http://schemas.openxmlformats.org/spreadsheetml/2006/main" count="928" uniqueCount="246">
  <si>
    <t>Levels</t>
  </si>
  <si>
    <t>Full Dates</t>
  </si>
  <si>
    <t>Timeframes</t>
  </si>
  <si>
    <t>Start</t>
  </si>
  <si>
    <t>End</t>
  </si>
  <si>
    <t>All</t>
  </si>
  <si>
    <t>OFF</t>
  </si>
  <si>
    <t>Insert cells above to extend</t>
  </si>
  <si>
    <t>col</t>
  </si>
  <si>
    <t>Period 1</t>
  </si>
  <si>
    <t>Period 2</t>
  </si>
  <si>
    <t>Period 3</t>
  </si>
  <si>
    <t>Period 4</t>
  </si>
  <si>
    <t>from Summary Data</t>
  </si>
  <si>
    <t>Group 1</t>
  </si>
  <si>
    <t>Level</t>
  </si>
  <si>
    <t>Date</t>
  </si>
  <si>
    <t>Data Rows</t>
  </si>
  <si>
    <t>Clear table before pasting in!</t>
  </si>
  <si>
    <t>Data Cols</t>
  </si>
  <si>
    <t>Filter</t>
  </si>
  <si>
    <t>Data R x C</t>
  </si>
  <si>
    <t>Source</t>
  </si>
  <si>
    <t>Freeze</t>
  </si>
  <si>
    <t>Feature</t>
  </si>
  <si>
    <t>Lag</t>
  </si>
  <si>
    <t>Adstock</t>
  </si>
  <si>
    <t>Coeff</t>
  </si>
  <si>
    <t>Excel Name</t>
  </si>
  <si>
    <t>Tail Factor</t>
  </si>
  <si>
    <t>Hide Resid</t>
  </si>
  <si>
    <t>vars</t>
  </si>
  <si>
    <t>Dates</t>
  </si>
  <si>
    <t>Summary Ranges</t>
  </si>
  <si>
    <t>Start | End</t>
  </si>
  <si>
    <t>Length</t>
  </si>
  <si>
    <t>Col</t>
  </si>
  <si>
    <t>Src</t>
  </si>
  <si>
    <t>P1 Tails</t>
  </si>
  <si>
    <t>P2 Tails</t>
  </si>
  <si>
    <t>P3 Tails</t>
  </si>
  <si>
    <t>P4 Tails</t>
  </si>
  <si>
    <t>Highlight (category or var name)</t>
  </si>
  <si>
    <t>Actual</t>
  </si>
  <si>
    <t>Predicted</t>
  </si>
  <si>
    <t>MAPE</t>
  </si>
  <si>
    <t>Total</t>
  </si>
  <si>
    <t>P1</t>
  </si>
  <si>
    <t>Sub-level</t>
  </si>
  <si>
    <t>P2</t>
  </si>
  <si>
    <t>P3</t>
  </si>
  <si>
    <t>P4</t>
  </si>
  <si>
    <t>Layer 1 Check</t>
  </si>
  <si>
    <t>Layer 2 Check</t>
  </si>
  <si>
    <t>RSq</t>
  </si>
  <si>
    <t>Intercept</t>
  </si>
  <si>
    <t>Graph Max</t>
  </si>
  <si>
    <t>row</t>
  </si>
  <si>
    <t>P1 Marker</t>
  </si>
  <si>
    <t>P2 Marker</t>
  </si>
  <si>
    <t>P3 Marker</t>
  </si>
  <si>
    <t>P4 Marker</t>
  </si>
  <si>
    <t>Layer 1</t>
  </si>
  <si>
    <t>Layer 2</t>
  </si>
  <si>
    <t>Residual</t>
  </si>
  <si>
    <t>Insert rows above to extend</t>
  </si>
  <si>
    <t>^^^ Model Contents</t>
  </si>
  <si>
    <t>Negative Layers</t>
  </si>
  <si>
    <t>Positive Layers</t>
  </si>
  <si>
    <t>AvP Groups</t>
  </si>
  <si>
    <t>AvP Variables</t>
  </si>
  <si>
    <t>Layer Type ("var" / "group")</t>
  </si>
  <si>
    <t>sum(neg)</t>
  </si>
  <si>
    <t>sum(other)</t>
  </si>
  <si>
    <t>Other - Negative</t>
  </si>
  <si>
    <t>Neg Spacer</t>
  </si>
  <si>
    <t>Other - Positive</t>
  </si>
  <si>
    <t>Positive Layer Contents</t>
  </si>
  <si>
    <t>Negative Layer Contents</t>
  </si>
  <si>
    <t>Timeframe Volume (not tail-adjusted for ROI)</t>
  </si>
  <si>
    <t>% Contribution</t>
  </si>
  <si>
    <t>Gap Volume</t>
  </si>
  <si>
    <t>Performance</t>
  </si>
  <si>
    <t>Summary Check</t>
  </si>
  <si>
    <t>Dependent</t>
  </si>
  <si>
    <t>Spend Location</t>
  </si>
  <si>
    <t>Spend</t>
  </si>
  <si>
    <t>Marketing</t>
  </si>
  <si>
    <t/>
  </si>
  <si>
    <t>Total Performance Change</t>
  </si>
  <si>
    <t>Gap %</t>
  </si>
  <si>
    <t>Explained</t>
  </si>
  <si>
    <t>Out of Model</t>
  </si>
  <si>
    <t>Group 2</t>
  </si>
  <si>
    <t>Group 3</t>
  </si>
  <si>
    <r>
      <t xml:space="preserve">Data Table: </t>
    </r>
    <r>
      <rPr>
        <b/>
        <sz val="11"/>
        <color theme="1"/>
        <rFont val="Calibri"/>
        <family val="2"/>
        <scheme val="minor"/>
      </rPr>
      <t>feat</t>
    </r>
  </si>
  <si>
    <r>
      <t xml:space="preserve">Data Table: </t>
    </r>
    <r>
      <rPr>
        <b/>
        <sz val="11"/>
        <color theme="1"/>
        <rFont val="Calibri"/>
        <family val="2"/>
        <scheme val="minor"/>
      </rPr>
      <t>dict</t>
    </r>
  </si>
  <si>
    <t>Match</t>
  </si>
  <si>
    <t>Prism Code</t>
  </si>
  <si>
    <t>Group 4</t>
  </si>
  <si>
    <t>Group #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</si>
  <si>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</si>
  <si>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</si>
  <si>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</si>
  <si>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</si>
  <si>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</si>
  <si>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</si>
  <si>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</si>
  <si>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</si>
  <si>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sales</t>
  </si>
  <si>
    <t>Sales</t>
  </si>
  <si>
    <t>Macro</t>
  </si>
  <si>
    <t>Product Launch</t>
  </si>
  <si>
    <t>Search - Brand</t>
  </si>
  <si>
    <t>Search - Non-Brand</t>
  </si>
  <si>
    <t>print_pure_spend</t>
  </si>
  <si>
    <t>Print</t>
  </si>
  <si>
    <t>fbig_spend</t>
  </si>
  <si>
    <t>Social</t>
  </si>
  <si>
    <t>fbig_imp</t>
  </si>
  <si>
    <t>Online Video</t>
  </si>
  <si>
    <t>Display</t>
  </si>
  <si>
    <t>tv_coop_spend</t>
  </si>
  <si>
    <t>print_coop_spend</t>
  </si>
  <si>
    <t>covid_holiday_period</t>
  </si>
  <si>
    <t>week_before_xmas</t>
  </si>
  <si>
    <t>week_before_vday</t>
  </si>
  <si>
    <t>friends_and_family_august_promo</t>
  </si>
  <si>
    <t>GWP</t>
  </si>
  <si>
    <t>Samples</t>
  </si>
  <si>
    <t>Search</t>
  </si>
  <si>
    <t>Digital Media</t>
  </si>
  <si>
    <t>Media</t>
  </si>
  <si>
    <t>Traditional Media</t>
  </si>
  <si>
    <t>TV</t>
  </si>
  <si>
    <t>tv_pure_spend</t>
  </si>
  <si>
    <t>tv_pure_imp</t>
  </si>
  <si>
    <t>Note: if N/A's, update InputSheet tab</t>
  </si>
  <si>
    <t>bing_brand_search_clicks</t>
  </si>
  <si>
    <t>bing_brand_search_spend</t>
  </si>
  <si>
    <t>blackfriday_dummy</t>
  </si>
  <si>
    <t>covid_trend</t>
  </si>
  <si>
    <t>google_brand_search_clicks</t>
  </si>
  <si>
    <t>google_brand_search_imp</t>
  </si>
  <si>
    <t>google_brand_search_spend</t>
  </si>
  <si>
    <t>google_display_clicks</t>
  </si>
  <si>
    <t>google_display_imp</t>
  </si>
  <si>
    <t>google_display_spend</t>
  </si>
  <si>
    <t>google_nonbrand_search_clicks</t>
  </si>
  <si>
    <t>google_nonbrand_search_imp</t>
  </si>
  <si>
    <t>google_nonbrand_search_spend</t>
  </si>
  <si>
    <t>google_video_clicks</t>
  </si>
  <si>
    <t>google_video_imp</t>
  </si>
  <si>
    <t>google_video_spend</t>
  </si>
  <si>
    <t>gwp_units_distributed</t>
  </si>
  <si>
    <t>launch_fragrance_trend</t>
  </si>
  <si>
    <t>launch_makeup_trend</t>
  </si>
  <si>
    <t>launch_skincare_trend</t>
  </si>
  <si>
    <t>market_sales</t>
  </si>
  <si>
    <t>mothersday_dummy</t>
  </si>
  <si>
    <t>nongoogle_display_spend</t>
  </si>
  <si>
    <t>nongoogle_video_spend</t>
  </si>
  <si>
    <t>pinterest_awareness_imp</t>
  </si>
  <si>
    <t>pinterest_awareness_spend</t>
  </si>
  <si>
    <t>pinterest_conversion_imp</t>
  </si>
  <si>
    <t>pinterest_conversion_spend</t>
  </si>
  <si>
    <t>samples_quantity_distributed</t>
  </si>
  <si>
    <t>snap_awareness_imp</t>
  </si>
  <si>
    <t>snap_awareness_spend</t>
  </si>
  <si>
    <t>snap_conversion_imp</t>
  </si>
  <si>
    <t>snap_conversion_spend</t>
  </si>
  <si>
    <t>tiktok_awareness_imp</t>
  </si>
  <si>
    <t>tiktok_awareness_spend</t>
  </si>
  <si>
    <t>vday_dummy</t>
  </si>
  <si>
    <t>xmas_dummy</t>
  </si>
  <si>
    <t>youtube_video_spend</t>
  </si>
  <si>
    <t>outdoor_impressions</t>
  </si>
  <si>
    <t>outdoor_spend</t>
  </si>
  <si>
    <t>youtube_video_imp</t>
  </si>
  <si>
    <t>Covid</t>
  </si>
  <si>
    <t>Outdoor</t>
  </si>
  <si>
    <t>Seasonality</t>
  </si>
  <si>
    <t>Market</t>
  </si>
  <si>
    <t>TV - Pure</t>
  </si>
  <si>
    <t>TV - Coop</t>
  </si>
  <si>
    <t>Print - Pure</t>
  </si>
  <si>
    <t>Print - Coop</t>
  </si>
  <si>
    <t>Pinterest</t>
  </si>
  <si>
    <t>Snapchat</t>
  </si>
  <si>
    <t>TikTok</t>
  </si>
  <si>
    <t>Facebook Instagram</t>
  </si>
  <si>
    <t>Promotion</t>
  </si>
  <si>
    <t>Sales Contribution</t>
  </si>
  <si>
    <t>% Share of Sales</t>
  </si>
  <si>
    <t>Change</t>
  </si>
  <si>
    <t>Change %</t>
  </si>
  <si>
    <t>ROI</t>
  </si>
  <si>
    <t>total_product_launch</t>
  </si>
  <si>
    <t>2019 Sales</t>
  </si>
  <si>
    <t>2020 Sales</t>
  </si>
  <si>
    <t>Gap Bar</t>
  </si>
  <si>
    <t>mothersday_2019</t>
  </si>
  <si>
    <t>blackfriday_2019</t>
  </si>
  <si>
    <t>tv_coop_spend_after_2020-04-13</t>
  </si>
  <si>
    <r>
      <t xml:space="preserve">Gap Analysis: Must change cell L3 in Summary Data tab to </t>
    </r>
    <r>
      <rPr>
        <b/>
        <sz val="12"/>
        <color rgb="FFFF0000"/>
        <rFont val="Calibri"/>
        <family val="2"/>
        <scheme val="minor"/>
      </rPr>
      <t>Group 3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</si>
  <si>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t>Change in Contribution</t>
  </si>
  <si>
    <t>Change in Spend</t>
  </si>
  <si>
    <t>-</t>
  </si>
  <si>
    <t>Group</t>
  </si>
  <si>
    <t>Contribution</t>
  </si>
  <si>
    <r>
      <t xml:space="preserve">Annual Sales Decomposition: Must change cell L3 in Summary Data tab to </t>
    </r>
    <r>
      <rPr>
        <b/>
        <sz val="12"/>
        <color rgb="FFFF0000"/>
        <rFont val="Calibri"/>
        <family val="2"/>
        <scheme val="minor"/>
      </rPr>
      <t>Group 4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</si>
  <si>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</si>
  <si>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 (Coop Deepdive): Must change cell L3 in Summary Data tab to </t>
    </r>
    <r>
      <rPr>
        <b/>
        <sz val="12"/>
        <color rgb="FFFF0000"/>
        <rFont val="Calibri"/>
        <family val="2"/>
        <scheme val="minor"/>
      </rPr>
      <t>Group 1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</si>
  <si>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 (Traditional vs Digital Deepdive): Must change cell L3 in Summary Data tab to </t>
    </r>
    <r>
      <rPr>
        <b/>
        <sz val="12"/>
        <color rgb="FFFF0000"/>
        <rFont val="Calibri"/>
        <family val="2"/>
        <scheme val="minor"/>
      </rPr>
      <t>Group 3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</si>
  <si>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t>% Share of Promotions</t>
  </si>
  <si>
    <r>
      <t xml:space="preserve">Promotions Deepdive: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</si>
  <si>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 (Covid):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</si>
  <si>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t>Covid
(3/16/2020 - 7/27/2020)</t>
  </si>
  <si>
    <r>
      <t xml:space="preserve">Must change dropdown in </t>
    </r>
    <r>
      <rPr>
        <b/>
        <sz val="12"/>
        <color rgb="FFFF0000"/>
        <rFont val="Calibri"/>
        <family val="2"/>
        <scheme val="minor"/>
      </rPr>
      <t>Setup tab, cell L8 to 'Covid'</t>
    </r>
  </si>
  <si>
    <t>Pre-Covid</t>
  </si>
  <si>
    <t>Post-Covid</t>
  </si>
  <si>
    <r>
      <t xml:space="preserve">Media Scorecard (Pre and Post Covid):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</si>
  <si>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Must change dropdown in </t>
    </r>
    <r>
      <rPr>
        <b/>
        <sz val="12"/>
        <color rgb="FFFF0000"/>
        <rFont val="Calibri"/>
        <family val="2"/>
        <scheme val="minor"/>
      </rPr>
      <t>Setup tab, cell L8 to 'Pre-Covid'</t>
    </r>
  </si>
  <si>
    <r>
      <t xml:space="preserve">Must change dropdown in </t>
    </r>
    <r>
      <rPr>
        <b/>
        <sz val="12"/>
        <color rgb="FFFF0000"/>
        <rFont val="Calibri"/>
        <family val="2"/>
        <scheme val="minor"/>
      </rPr>
      <t>Setup tab, cell L10 to 'Post-Covid'</t>
    </r>
  </si>
  <si>
    <t>Pre-Covid
(1/7/2019 - 3/9/2020)</t>
  </si>
  <si>
    <t>Post Covid
(8/3/2020 - 12/28/2020)</t>
  </si>
  <si>
    <t>Graph</t>
  </si>
  <si>
    <t>group</t>
  </si>
  <si>
    <t>july_promo</t>
  </si>
  <si>
    <t>covid_xmas</t>
  </si>
  <si>
    <t>print_pure_spend_before_2020-04-13</t>
  </si>
  <si>
    <t>print_pure_spend_after_2020-04-13</t>
  </si>
  <si>
    <t>T-stat</t>
  </si>
  <si>
    <t>flash_sale_promo</t>
  </si>
  <si>
    <t>Notes</t>
  </si>
  <si>
    <r>
      <t xml:space="preserve">Layer Chart: Must change cell L3 in Summary Data tab to </t>
    </r>
    <r>
      <rPr>
        <b/>
        <sz val="12"/>
        <color rgb="FFFF0000"/>
        <rFont val="Calibri"/>
        <family val="2"/>
        <scheme val="minor"/>
      </rPr>
      <t>Group 4</t>
    </r>
    <r>
      <rPr>
        <b/>
        <sz val="12"/>
        <color theme="1"/>
        <rFont val="Calibri"/>
        <family val="2"/>
        <scheme val="minor"/>
      </rPr>
      <t xml:space="preserve"> to populate graph in Layer Chart tab</t>
    </r>
  </si>
  <si>
    <t>type_in_name_of_new_seasonality_variable</t>
  </si>
  <si>
    <t>new_year</t>
  </si>
  <si>
    <t>Paste Here</t>
  </si>
  <si>
    <t>date</t>
  </si>
  <si>
    <t>week_before_laborday</t>
  </si>
  <si>
    <t>lag</t>
  </si>
  <si>
    <t>adstock</t>
  </si>
  <si>
    <t>saturation_K</t>
  </si>
  <si>
    <t>province_cat</t>
  </si>
  <si>
    <t>saturation_S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</si>
</sst>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\+#,##0;\-#,##0;0"/>
    <numFmt numFmtId="166" formatCode="0.0%"/>
    <numFmt numFmtId="167" formatCode="\+0.0%;\-0.0%;\-"/>
    <numFmt numFmtId="168" formatCode="0.00000"/>
    <numFmt numFmtId="169" formatCode="\+#,##0;\-#,##0;\-"/>
    <numFmt numFmtId="170" formatCode="0.0%;\-0.0%;\-"/>
    <numFmt numFmtId="171" formatCode="0.00;\-0.00;0"/>
    <numFmt numFmtId="172" formatCode="yyyy\-mm\-dd;@"/>
    <numFmt numFmtId="173" formatCode="[&gt;=100000]\ \+&quot;$&quot;#0.0,,\ &quot;M&quot;;[&lt;=-100000]\ \ \-&quot;$&quot;#0.0,,\ &quot;M&quot;;\ \+&quot;$&quot;#.0,\ &quot;K&quot;"/>
    <numFmt numFmtId="174" formatCode="[&gt;=100000]\ &quot;$&quot;#0.0,,\ &quot;M&quot;;[&lt;=-100000]\ \ &quot;$&quot;#0.0,,\ &quot;M&quot;;\ &quot;$&quot;#.0,\ &quot;K&quot;"/>
    <numFmt numFmtId="175" formatCode="_(* #,##0_);_(* \(#,##0\);_(* &quot;-&quot;??_);_(@_)"/>
    <numFmt numFmtId="176" formatCode="0.0"/>
    <numFmt numFmtId="177" formatCode="[&gt;=100000]\ &quot;$&quot;#0.0,,\ &quot;M&quot;;[&lt;=-100000]\ \ \-&quot;$&quot;#0.0,,\ &quot;M&quot;;\ &quot;$&quot;#.0,\ &quot;K&quot;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0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i/>
      <sz val="8"/>
      <color rgb="FFC00000"/>
      <name val="Calibri"/>
      <family val="2"/>
      <scheme val="minor"/>
    </font>
    <font>
      <sz val="6"/>
      <color theme="0" tint="-0.3499862666707357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6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color theme="5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9"/>
      <color theme="3"/>
      <name val="Calibri"/>
      <family val="2"/>
      <scheme val="minor"/>
    </font>
    <font>
      <sz val="7"/>
      <color theme="5"/>
      <name val="Calibri"/>
      <family val="2"/>
      <scheme val="minor"/>
    </font>
    <font>
      <sz val="11"/>
      <color rgb="FF000000"/>
      <name val="Calibri"/>
      <family val="2"/>
    </font>
    <font>
      <b/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color theme="1"/>
      <name val="Segoe UI"/>
      <family val="2"/>
    </font>
    <font>
      <sz val="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1499679555650502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8">
    <xf numFmtId="0" fontId="0" fillId="0" borderId="0" xfId="0"/>
    <xf numFmtId="3" fontId="0" fillId="0" borderId="0" xfId="0" applyNumberFormat="1"/>
    <xf numFmtId="0" fontId="0" fillId="2" borderId="1" xfId="0" applyFill="1" applyBorder="1" applyAlignment="1">
      <alignment horizontal="center"/>
    </xf>
    <xf numFmtId="0" fontId="0" fillId="5" borderId="0" xfId="0" applyFill="1"/>
    <xf numFmtId="0" fontId="0" fillId="0" borderId="0" xfId="0" applyAlignment="1">
      <alignment horizontal="center"/>
    </xf>
    <xf numFmtId="0" fontId="6" fillId="6" borderId="14" xfId="0" applyFont="1" applyFill="1" applyBorder="1"/>
    <xf numFmtId="0" fontId="2" fillId="0" borderId="0" xfId="0" applyFont="1" applyAlignment="1">
      <alignment horizontal="center"/>
    </xf>
    <xf numFmtId="0" fontId="0" fillId="6" borderId="18" xfId="0" applyFill="1" applyBorder="1"/>
    <xf numFmtId="0" fontId="0" fillId="6" borderId="4" xfId="0" applyFill="1" applyBorder="1"/>
    <xf numFmtId="0" fontId="0" fillId="8" borderId="0" xfId="0" applyFill="1"/>
    <xf numFmtId="0" fontId="2" fillId="0" borderId="0" xfId="0" applyFont="1"/>
    <xf numFmtId="0" fontId="9" fillId="0" borderId="0" xfId="0" applyFont="1" applyAlignment="1">
      <alignment horizontal="center"/>
    </xf>
    <xf numFmtId="0" fontId="0" fillId="0" borderId="25" xfId="0" applyBorder="1"/>
    <xf numFmtId="0" fontId="0" fillId="0" borderId="26" xfId="0" applyBorder="1"/>
    <xf numFmtId="3" fontId="0" fillId="0" borderId="39" xfId="0" applyNumberFormat="1" applyBorder="1" applyAlignment="1">
      <alignment horizontal="right" indent="1"/>
    </xf>
    <xf numFmtId="3" fontId="0" fillId="0" borderId="40" xfId="0" applyNumberFormat="1" applyBorder="1" applyAlignment="1">
      <alignment horizontal="right" indent="1"/>
    </xf>
    <xf numFmtId="3" fontId="0" fillId="0" borderId="41" xfId="0" applyNumberFormat="1" applyBorder="1" applyAlignment="1">
      <alignment horizontal="right" indent="1"/>
    </xf>
    <xf numFmtId="166" fontId="0" fillId="0" borderId="36" xfId="5" applyNumberFormat="1" applyFont="1" applyBorder="1" applyAlignment="1">
      <alignment horizontal="right" indent="1"/>
    </xf>
    <xf numFmtId="166" fontId="0" fillId="0" borderId="38" xfId="5" applyNumberFormat="1" applyFont="1" applyBorder="1" applyAlignment="1">
      <alignment horizontal="right" indent="1"/>
    </xf>
    <xf numFmtId="166" fontId="0" fillId="0" borderId="39" xfId="5" applyNumberFormat="1" applyFont="1" applyBorder="1" applyAlignment="1">
      <alignment horizontal="right" indent="1"/>
    </xf>
    <xf numFmtId="166" fontId="0" fillId="0" borderId="40" xfId="5" applyNumberFormat="1" applyFont="1" applyBorder="1" applyAlignment="1">
      <alignment horizontal="right" indent="1"/>
    </xf>
    <xf numFmtId="166" fontId="0" fillId="0" borderId="41" xfId="5" applyNumberFormat="1" applyFont="1" applyBorder="1" applyAlignment="1">
      <alignment horizontal="right" indent="1"/>
    </xf>
    <xf numFmtId="167" fontId="0" fillId="0" borderId="38" xfId="0" applyNumberFormat="1" applyBorder="1" applyAlignment="1">
      <alignment horizontal="right" indent="1"/>
    </xf>
    <xf numFmtId="167" fontId="0" fillId="0" borderId="41" xfId="0" applyNumberFormat="1" applyBorder="1" applyAlignment="1">
      <alignment horizontal="right" indent="1"/>
    </xf>
    <xf numFmtId="167" fontId="0" fillId="0" borderId="25" xfId="0" applyNumberFormat="1" applyBorder="1"/>
    <xf numFmtId="167" fontId="0" fillId="9" borderId="26" xfId="0" applyNumberFormat="1" applyFill="1" applyBorder="1"/>
    <xf numFmtId="167" fontId="0" fillId="0" borderId="26" xfId="0" applyNumberFormat="1" applyBorder="1"/>
    <xf numFmtId="3" fontId="9" fillId="0" borderId="0" xfId="0" applyNumberFormat="1" applyFont="1" applyAlignment="1">
      <alignment horizontal="center"/>
    </xf>
    <xf numFmtId="0" fontId="9" fillId="8" borderId="0" xfId="0" applyFont="1" applyFill="1" applyAlignment="1">
      <alignment horizontal="center"/>
    </xf>
    <xf numFmtId="3" fontId="9" fillId="8" borderId="0" xfId="0" applyNumberFormat="1" applyFont="1" applyFill="1" applyAlignment="1">
      <alignment horizontal="center"/>
    </xf>
    <xf numFmtId="0" fontId="10" fillId="0" borderId="0" xfId="0" applyFont="1"/>
    <xf numFmtId="169" fontId="0" fillId="0" borderId="36" xfId="0" applyNumberFormat="1" applyBorder="1" applyAlignment="1">
      <alignment horizontal="right" indent="1"/>
    </xf>
    <xf numFmtId="169" fontId="0" fillId="0" borderId="39" xfId="0" applyNumberFormat="1" applyBorder="1" applyAlignment="1">
      <alignment horizontal="right" indent="1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3" fontId="0" fillId="4" borderId="1" xfId="0" applyNumberForma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2" fillId="10" borderId="0" xfId="0" applyFont="1" applyFill="1"/>
    <xf numFmtId="0" fontId="11" fillId="0" borderId="0" xfId="0" applyFont="1" applyAlignment="1">
      <alignment horizontal="left"/>
    </xf>
    <xf numFmtId="0" fontId="15" fillId="0" borderId="0" xfId="0" applyFont="1"/>
    <xf numFmtId="0" fontId="0" fillId="0" borderId="2" xfId="0" applyBorder="1"/>
    <xf numFmtId="0" fontId="0" fillId="0" borderId="13" xfId="0" applyBorder="1"/>
    <xf numFmtId="0" fontId="0" fillId="0" borderId="3" xfId="0" applyBorder="1"/>
    <xf numFmtId="0" fontId="17" fillId="0" borderId="0" xfId="0" applyFont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4" borderId="13" xfId="0" applyFont="1" applyFill="1" applyBorder="1"/>
    <xf numFmtId="0" fontId="18" fillId="4" borderId="3" xfId="0" applyFont="1" applyFill="1" applyBorder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0" fillId="3" borderId="8" xfId="0" applyFill="1" applyBorder="1"/>
    <xf numFmtId="14" fontId="14" fillId="3" borderId="7" xfId="0" applyNumberFormat="1" applyFont="1" applyFill="1" applyBorder="1"/>
    <xf numFmtId="0" fontId="0" fillId="3" borderId="10" xfId="0" applyFill="1" applyBorder="1"/>
    <xf numFmtId="14" fontId="14" fillId="3" borderId="11" xfId="0" applyNumberFormat="1" applyFont="1" applyFill="1" applyBorder="1"/>
    <xf numFmtId="0" fontId="0" fillId="3" borderId="6" xfId="0" applyFill="1" applyBorder="1"/>
    <xf numFmtId="14" fontId="14" fillId="3" borderId="5" xfId="0" applyNumberFormat="1" applyFont="1" applyFill="1" applyBorder="1"/>
    <xf numFmtId="0" fontId="19" fillId="0" borderId="0" xfId="0" applyFont="1"/>
    <xf numFmtId="0" fontId="19" fillId="0" borderId="0" xfId="0" applyFont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horizontal="right"/>
    </xf>
    <xf numFmtId="0" fontId="2" fillId="12" borderId="42" xfId="0" applyFont="1" applyFill="1" applyBorder="1"/>
    <xf numFmtId="3" fontId="2" fillId="12" borderId="43" xfId="0" applyNumberFormat="1" applyFont="1" applyFill="1" applyBorder="1" applyAlignment="1">
      <alignment horizontal="right" indent="1"/>
    </xf>
    <xf numFmtId="3" fontId="2" fillId="12" borderId="44" xfId="0" applyNumberFormat="1" applyFont="1" applyFill="1" applyBorder="1" applyAlignment="1">
      <alignment horizontal="right" indent="1"/>
    </xf>
    <xf numFmtId="0" fontId="2" fillId="12" borderId="1" xfId="0" applyFont="1" applyFill="1" applyBorder="1"/>
    <xf numFmtId="3" fontId="2" fillId="12" borderId="18" xfId="0" applyNumberFormat="1" applyFont="1" applyFill="1" applyBorder="1" applyAlignment="1">
      <alignment horizontal="right" indent="1"/>
    </xf>
    <xf numFmtId="3" fontId="2" fillId="12" borderId="14" xfId="0" applyNumberFormat="1" applyFont="1" applyFill="1" applyBorder="1" applyAlignment="1">
      <alignment horizontal="right" indent="1"/>
    </xf>
    <xf numFmtId="3" fontId="2" fillId="12" borderId="4" xfId="0" applyNumberFormat="1" applyFont="1" applyFill="1" applyBorder="1" applyAlignment="1">
      <alignment horizontal="right" indent="1"/>
    </xf>
    <xf numFmtId="169" fontId="2" fillId="12" borderId="18" xfId="0" applyNumberFormat="1" applyFont="1" applyFill="1" applyBorder="1" applyAlignment="1">
      <alignment horizontal="right" indent="1"/>
    </xf>
    <xf numFmtId="167" fontId="2" fillId="12" borderId="4" xfId="0" applyNumberFormat="1" applyFont="1" applyFill="1" applyBorder="1" applyAlignment="1">
      <alignment horizontal="right" indent="1"/>
    </xf>
    <xf numFmtId="0" fontId="0" fillId="13" borderId="26" xfId="0" applyFill="1" applyBorder="1"/>
    <xf numFmtId="3" fontId="0" fillId="13" borderId="39" xfId="0" applyNumberFormat="1" applyFill="1" applyBorder="1" applyAlignment="1">
      <alignment horizontal="right" indent="1"/>
    </xf>
    <xf numFmtId="3" fontId="0" fillId="13" borderId="40" xfId="0" applyNumberFormat="1" applyFill="1" applyBorder="1" applyAlignment="1">
      <alignment horizontal="right" indent="1"/>
    </xf>
    <xf numFmtId="3" fontId="0" fillId="13" borderId="41" xfId="0" applyNumberFormat="1" applyFill="1" applyBorder="1" applyAlignment="1">
      <alignment horizontal="right" indent="1"/>
    </xf>
    <xf numFmtId="166" fontId="0" fillId="13" borderId="39" xfId="5" applyNumberFormat="1" applyFont="1" applyFill="1" applyBorder="1" applyAlignment="1">
      <alignment horizontal="right" indent="1"/>
    </xf>
    <xf numFmtId="166" fontId="0" fillId="13" borderId="40" xfId="5" applyNumberFormat="1" applyFont="1" applyFill="1" applyBorder="1" applyAlignment="1">
      <alignment horizontal="right" indent="1"/>
    </xf>
    <xf numFmtId="166" fontId="0" fillId="13" borderId="41" xfId="5" applyNumberFormat="1" applyFont="1" applyFill="1" applyBorder="1" applyAlignment="1">
      <alignment horizontal="right" indent="1"/>
    </xf>
    <xf numFmtId="169" fontId="0" fillId="13" borderId="39" xfId="0" applyNumberFormat="1" applyFill="1" applyBorder="1" applyAlignment="1">
      <alignment horizontal="right" indent="1"/>
    </xf>
    <xf numFmtId="167" fontId="0" fillId="13" borderId="41" xfId="0" applyNumberFormat="1" applyFill="1" applyBorder="1" applyAlignment="1">
      <alignment horizontal="right" indent="1"/>
    </xf>
    <xf numFmtId="14" fontId="0" fillId="3" borderId="13" xfId="0" applyNumberFormat="1" applyFill="1" applyBorder="1"/>
    <xf numFmtId="14" fontId="0" fillId="3" borderId="3" xfId="0" applyNumberFormat="1" applyFill="1" applyBorder="1"/>
    <xf numFmtId="14" fontId="0" fillId="3" borderId="0" xfId="0" applyNumberFormat="1" applyFill="1"/>
    <xf numFmtId="14" fontId="0" fillId="3" borderId="11" xfId="0" applyNumberFormat="1" applyFill="1" applyBorder="1"/>
    <xf numFmtId="14" fontId="0" fillId="3" borderId="12" xfId="0" applyNumberFormat="1" applyFill="1" applyBorder="1"/>
    <xf numFmtId="14" fontId="0" fillId="3" borderId="5" xfId="0" applyNumberFormat="1" applyFill="1" applyBorder="1"/>
    <xf numFmtId="3" fontId="0" fillId="0" borderId="16" xfId="0" applyNumberFormat="1" applyBorder="1" applyAlignment="1">
      <alignment vertical="center"/>
    </xf>
    <xf numFmtId="3" fontId="0" fillId="0" borderId="15" xfId="0" applyNumberFormat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/>
    </xf>
    <xf numFmtId="14" fontId="0" fillId="0" borderId="0" xfId="0" applyNumberFormat="1" applyAlignment="1">
      <alignment vertical="center"/>
    </xf>
    <xf numFmtId="14" fontId="2" fillId="0" borderId="13" xfId="0" applyNumberFormat="1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3" fontId="0" fillId="0" borderId="13" xfId="0" applyNumberFormat="1" applyBorder="1" applyAlignment="1">
      <alignment vertical="center"/>
    </xf>
    <xf numFmtId="165" fontId="0" fillId="0" borderId="13" xfId="0" applyNumberFormat="1" applyBorder="1" applyAlignment="1">
      <alignment vertical="center"/>
    </xf>
    <xf numFmtId="3" fontId="0" fillId="0" borderId="24" xfId="0" applyNumberFormat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0" borderId="23" xfId="0" applyNumberFormat="1" applyBorder="1" applyAlignment="1">
      <alignment vertical="center"/>
    </xf>
    <xf numFmtId="0" fontId="16" fillId="2" borderId="8" xfId="0" applyFont="1" applyFill="1" applyBorder="1" applyAlignment="1">
      <alignment horizontal="center"/>
    </xf>
    <xf numFmtId="3" fontId="0" fillId="15" borderId="2" xfId="0" applyNumberFormat="1" applyFill="1" applyBorder="1" applyAlignment="1">
      <alignment vertical="center"/>
    </xf>
    <xf numFmtId="165" fontId="0" fillId="15" borderId="2" xfId="0" applyNumberFormat="1" applyFill="1" applyBorder="1" applyAlignment="1">
      <alignment vertical="center"/>
    </xf>
    <xf numFmtId="0" fontId="0" fillId="16" borderId="7" xfId="0" applyFill="1" applyBorder="1" applyAlignment="1">
      <alignment vertical="center"/>
    </xf>
    <xf numFmtId="0" fontId="0" fillId="16" borderId="6" xfId="0" applyFill="1" applyBorder="1" applyAlignment="1">
      <alignment vertical="center"/>
    </xf>
    <xf numFmtId="0" fontId="0" fillId="16" borderId="5" xfId="0" applyFill="1" applyBorder="1" applyAlignment="1">
      <alignment vertical="center"/>
    </xf>
    <xf numFmtId="0" fontId="0" fillId="15" borderId="2" xfId="0" applyFill="1" applyBorder="1" applyAlignment="1">
      <alignment horizontal="center" vertical="center"/>
    </xf>
    <xf numFmtId="0" fontId="0" fillId="15" borderId="0" xfId="0" applyFill="1"/>
    <xf numFmtId="3" fontId="0" fillId="15" borderId="19" xfId="0" applyNumberFormat="1" applyFill="1" applyBorder="1" applyAlignment="1">
      <alignment vertical="center"/>
    </xf>
    <xf numFmtId="3" fontId="0" fillId="15" borderId="20" xfId="0" applyNumberFormat="1" applyFill="1" applyBorder="1" applyAlignment="1">
      <alignment vertical="center"/>
    </xf>
    <xf numFmtId="3" fontId="0" fillId="15" borderId="22" xfId="0" applyNumberFormat="1" applyFill="1" applyBorder="1" applyAlignment="1">
      <alignment vertical="center"/>
    </xf>
    <xf numFmtId="0" fontId="9" fillId="17" borderId="2" xfId="0" applyFont="1" applyFill="1" applyBorder="1" applyAlignment="1">
      <alignment horizontal="center"/>
    </xf>
    <xf numFmtId="0" fontId="15" fillId="17" borderId="2" xfId="0" applyFont="1" applyFill="1" applyBorder="1"/>
    <xf numFmtId="0" fontId="7" fillId="17" borderId="13" xfId="0" applyFont="1" applyFill="1" applyBorder="1"/>
    <xf numFmtId="0" fontId="24" fillId="17" borderId="8" xfId="0" applyFont="1" applyFill="1" applyBorder="1"/>
    <xf numFmtId="0" fontId="24" fillId="17" borderId="9" xfId="0" applyFont="1" applyFill="1" applyBorder="1"/>
    <xf numFmtId="0" fontId="25" fillId="17" borderId="0" xfId="0" applyFont="1" applyFill="1"/>
    <xf numFmtId="0" fontId="0" fillId="3" borderId="10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5" fillId="0" borderId="13" xfId="0" applyFont="1" applyBorder="1"/>
    <xf numFmtId="0" fontId="9" fillId="0" borderId="3" xfId="0" applyFont="1" applyBorder="1" applyAlignment="1">
      <alignment horizontal="center"/>
    </xf>
    <xf numFmtId="0" fontId="15" fillId="0" borderId="3" xfId="0" applyFont="1" applyBorder="1"/>
    <xf numFmtId="0" fontId="7" fillId="0" borderId="13" xfId="0" applyFont="1" applyBorder="1"/>
    <xf numFmtId="0" fontId="7" fillId="0" borderId="3" xfId="0" applyFont="1" applyBorder="1"/>
    <xf numFmtId="0" fontId="0" fillId="16" borderId="1" xfId="0" applyFill="1" applyBorder="1" applyAlignment="1">
      <alignment horizontal="center" vertical="center"/>
    </xf>
    <xf numFmtId="3" fontId="2" fillId="9" borderId="26" xfId="0" applyNumberFormat="1" applyFont="1" applyFill="1" applyBorder="1" applyAlignment="1">
      <alignment horizontal="right" indent="1"/>
    </xf>
    <xf numFmtId="0" fontId="2" fillId="0" borderId="0" xfId="0" applyFont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18" fillId="4" borderId="2" xfId="0" applyFont="1" applyFill="1" applyBorder="1"/>
    <xf numFmtId="0" fontId="27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169" fontId="2" fillId="12" borderId="45" xfId="5" applyNumberFormat="1" applyFont="1" applyFill="1" applyBorder="1" applyAlignment="1">
      <alignment horizontal="right" indent="1"/>
    </xf>
    <xf numFmtId="167" fontId="2" fillId="12" borderId="46" xfId="5" applyNumberFormat="1" applyFont="1" applyFill="1" applyBorder="1" applyAlignment="1">
      <alignment horizontal="right" indent="1"/>
    </xf>
    <xf numFmtId="3" fontId="8" fillId="0" borderId="0" xfId="0" applyNumberFormat="1" applyFont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169" fontId="2" fillId="13" borderId="42" xfId="5" applyNumberFormat="1" applyFont="1" applyFill="1" applyBorder="1" applyAlignment="1">
      <alignment horizontal="right" indent="1"/>
    </xf>
    <xf numFmtId="167" fontId="2" fillId="13" borderId="44" xfId="5" applyNumberFormat="1" applyFont="1" applyFill="1" applyBorder="1" applyAlignment="1">
      <alignment horizontal="right" indent="1"/>
    </xf>
    <xf numFmtId="0" fontId="30" fillId="0" borderId="0" xfId="0" applyFont="1"/>
    <xf numFmtId="14" fontId="14" fillId="3" borderId="9" xfId="0" applyNumberFormat="1" applyFont="1" applyFill="1" applyBorder="1"/>
    <xf numFmtId="0" fontId="0" fillId="16" borderId="11" xfId="0" applyFill="1" applyBorder="1" applyAlignment="1">
      <alignment vertical="center"/>
    </xf>
    <xf numFmtId="0" fontId="2" fillId="16" borderId="10" xfId="0" applyFont="1" applyFill="1" applyBorder="1" applyAlignment="1">
      <alignment vertical="center"/>
    </xf>
    <xf numFmtId="0" fontId="28" fillId="0" borderId="0" xfId="0" applyFont="1"/>
    <xf numFmtId="0" fontId="27" fillId="0" borderId="0" xfId="0" applyFont="1" applyAlignment="1">
      <alignment horizontal="center"/>
    </xf>
    <xf numFmtId="0" fontId="28" fillId="15" borderId="13" xfId="0" applyFont="1" applyFill="1" applyBorder="1" applyAlignment="1">
      <alignment horizontal="center"/>
    </xf>
    <xf numFmtId="3" fontId="28" fillId="15" borderId="13" xfId="0" applyNumberFormat="1" applyFont="1" applyFill="1" applyBorder="1" applyAlignment="1">
      <alignment horizontal="center"/>
    </xf>
    <xf numFmtId="0" fontId="0" fillId="19" borderId="2" xfId="0" applyFill="1" applyBorder="1"/>
    <xf numFmtId="0" fontId="0" fillId="19" borderId="13" xfId="0" applyFill="1" applyBorder="1"/>
    <xf numFmtId="0" fontId="0" fillId="19" borderId="3" xfId="0" applyFill="1" applyBorder="1"/>
    <xf numFmtId="0" fontId="0" fillId="7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15" borderId="2" xfId="0" applyNumberFormat="1" applyFont="1" applyFill="1" applyBorder="1" applyAlignment="1">
      <alignment horizontal="center"/>
    </xf>
    <xf numFmtId="171" fontId="20" fillId="0" borderId="13" xfId="0" applyNumberFormat="1" applyFont="1" applyBorder="1" applyAlignment="1">
      <alignment horizontal="center"/>
    </xf>
    <xf numFmtId="171" fontId="20" fillId="0" borderId="3" xfId="0" applyNumberFormat="1" applyFont="1" applyBorder="1" applyAlignment="1">
      <alignment horizontal="center"/>
    </xf>
    <xf numFmtId="0" fontId="32" fillId="0" borderId="0" xfId="0" applyFont="1"/>
    <xf numFmtId="0" fontId="7" fillId="0" borderId="0" xfId="0" applyFont="1"/>
    <xf numFmtId="0" fontId="33" fillId="0" borderId="12" xfId="0" applyFont="1" applyBorder="1"/>
    <xf numFmtId="0" fontId="0" fillId="0" borderId="12" xfId="0" applyBorder="1"/>
    <xf numFmtId="0" fontId="0" fillId="0" borderId="0" xfId="0" applyAlignment="1">
      <alignment horizontal="right"/>
    </xf>
    <xf numFmtId="0" fontId="0" fillId="4" borderId="18" xfId="0" applyFill="1" applyBorder="1" applyAlignment="1">
      <alignment horizontal="center"/>
    </xf>
    <xf numFmtId="14" fontId="0" fillId="4" borderId="14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/>
    </xf>
    <xf numFmtId="3" fontId="17" fillId="15" borderId="8" xfId="0" applyNumberFormat="1" applyFont="1" applyFill="1" applyBorder="1" applyAlignment="1">
      <alignment vertical="center"/>
    </xf>
    <xf numFmtId="3" fontId="17" fillId="15" borderId="7" xfId="0" applyNumberFormat="1" applyFont="1" applyFill="1" applyBorder="1" applyAlignment="1">
      <alignment vertical="center"/>
    </xf>
    <xf numFmtId="3" fontId="17" fillId="0" borderId="10" xfId="0" applyNumberFormat="1" applyFont="1" applyBorder="1" applyAlignment="1">
      <alignment vertical="center"/>
    </xf>
    <xf numFmtId="3" fontId="17" fillId="0" borderId="11" xfId="0" applyNumberFormat="1" applyFont="1" applyBorder="1" applyAlignment="1">
      <alignment vertical="center"/>
    </xf>
    <xf numFmtId="3" fontId="17" fillId="7" borderId="1" xfId="0" applyNumberFormat="1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6" fillId="20" borderId="18" xfId="0" applyFont="1" applyFill="1" applyBorder="1" applyAlignment="1">
      <alignment horizontal="left"/>
    </xf>
    <xf numFmtId="14" fontId="6" fillId="20" borderId="14" xfId="0" applyNumberFormat="1" applyFont="1" applyFill="1" applyBorder="1"/>
    <xf numFmtId="14" fontId="6" fillId="20" borderId="4" xfId="0" applyNumberFormat="1" applyFont="1" applyFill="1" applyBorder="1"/>
    <xf numFmtId="3" fontId="0" fillId="15" borderId="47" xfId="0" applyNumberFormat="1" applyFill="1" applyBorder="1" applyAlignment="1">
      <alignment vertical="center"/>
    </xf>
    <xf numFmtId="3" fontId="0" fillId="0" borderId="34" xfId="0" applyNumberFormat="1" applyBorder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15" borderId="9" xfId="0" applyNumberFormat="1" applyFont="1" applyFill="1" applyBorder="1" applyAlignment="1">
      <alignment vertical="center"/>
    </xf>
    <xf numFmtId="166" fontId="0" fillId="0" borderId="37" xfId="5" applyNumberFormat="1" applyFont="1" applyBorder="1" applyAlignment="1">
      <alignment horizontal="right" indent="1"/>
    </xf>
    <xf numFmtId="0" fontId="0" fillId="21" borderId="14" xfId="0" applyFill="1" applyBorder="1"/>
    <xf numFmtId="0" fontId="34" fillId="2" borderId="9" xfId="0" applyFont="1" applyFill="1" applyBorder="1" applyAlignment="1">
      <alignment horizontal="left"/>
    </xf>
    <xf numFmtId="0" fontId="17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7" fillId="15" borderId="25" xfId="0" applyFont="1" applyFill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3" xfId="0" applyBorder="1" applyAlignment="1">
      <alignment vertical="center"/>
    </xf>
    <xf numFmtId="3" fontId="0" fillId="0" borderId="49" xfId="0" applyNumberForma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7" borderId="1" xfId="0" applyFont="1" applyFill="1" applyBorder="1" applyAlignment="1">
      <alignment horizontal="center"/>
    </xf>
    <xf numFmtId="0" fontId="2" fillId="16" borderId="8" xfId="0" applyFont="1" applyFill="1" applyBorder="1" applyAlignment="1">
      <alignment vertical="center"/>
    </xf>
    <xf numFmtId="0" fontId="0" fillId="5" borderId="2" xfId="0" applyFill="1" applyBorder="1"/>
    <xf numFmtId="0" fontId="0" fillId="5" borderId="13" xfId="0" applyFill="1" applyBorder="1"/>
    <xf numFmtId="0" fontId="23" fillId="0" borderId="0" xfId="0" applyFont="1"/>
    <xf numFmtId="0" fontId="23" fillId="22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7" borderId="1" xfId="0" applyFont="1" applyFill="1" applyBorder="1"/>
    <xf numFmtId="14" fontId="23" fillId="4" borderId="2" xfId="0" applyNumberFormat="1" applyFont="1" applyFill="1" applyBorder="1"/>
    <xf numFmtId="14" fontId="23" fillId="4" borderId="3" xfId="0" applyNumberFormat="1" applyFont="1" applyFill="1" applyBorder="1"/>
    <xf numFmtId="0" fontId="23" fillId="4" borderId="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3" fontId="23" fillId="14" borderId="2" xfId="0" applyNumberFormat="1" applyFont="1" applyFill="1" applyBorder="1" applyAlignment="1">
      <alignment horizontal="center"/>
    </xf>
    <xf numFmtId="3" fontId="23" fillId="0" borderId="13" xfId="0" applyNumberFormat="1" applyFont="1" applyBorder="1" applyAlignment="1">
      <alignment horizontal="center"/>
    </xf>
    <xf numFmtId="0" fontId="28" fillId="19" borderId="18" xfId="0" applyFont="1" applyFill="1" applyBorder="1"/>
    <xf numFmtId="0" fontId="28" fillId="19" borderId="14" xfId="0" applyFont="1" applyFill="1" applyBorder="1"/>
    <xf numFmtId="3" fontId="28" fillId="14" borderId="0" xfId="0" applyNumberFormat="1" applyFont="1" applyFill="1"/>
    <xf numFmtId="0" fontId="28" fillId="14" borderId="0" xfId="0" applyFont="1" applyFill="1"/>
    <xf numFmtId="3" fontId="28" fillId="14" borderId="12" xfId="0" applyNumberFormat="1" applyFont="1" applyFill="1" applyBorder="1"/>
    <xf numFmtId="0" fontId="28" fillId="14" borderId="12" xfId="0" applyFont="1" applyFill="1" applyBorder="1"/>
    <xf numFmtId="3" fontId="28" fillId="0" borderId="0" xfId="0" applyNumberFormat="1" applyFont="1"/>
    <xf numFmtId="0" fontId="8" fillId="14" borderId="50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0" fontId="8" fillId="14" borderId="52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3" xfId="0" applyFont="1" applyBorder="1" applyAlignment="1">
      <alignment vertical="center"/>
    </xf>
    <xf numFmtId="171" fontId="8" fillId="14" borderId="52" xfId="0" applyNumberFormat="1" applyFont="1" applyFill="1" applyBorder="1" applyAlignment="1">
      <alignment horizontal="center" vertical="center"/>
    </xf>
    <xf numFmtId="171" fontId="8" fillId="0" borderId="53" xfId="0" applyNumberFormat="1" applyFont="1" applyBorder="1" applyAlignment="1">
      <alignment horizontal="center" vertical="center"/>
    </xf>
    <xf numFmtId="3" fontId="8" fillId="14" borderId="52" xfId="0" applyNumberFormat="1" applyFont="1" applyFill="1" applyBorder="1" applyAlignment="1">
      <alignment horizontal="center" vertical="center"/>
    </xf>
    <xf numFmtId="3" fontId="8" fillId="0" borderId="53" xfId="0" applyNumberFormat="1" applyFont="1" applyBorder="1" applyAlignment="1">
      <alignment horizontal="center" vertical="center"/>
    </xf>
    <xf numFmtId="3" fontId="8" fillId="14" borderId="54" xfId="0" applyNumberFormat="1" applyFont="1" applyFill="1" applyBorder="1" applyAlignment="1">
      <alignment horizontal="center" vertical="center"/>
    </xf>
    <xf numFmtId="3" fontId="8" fillId="0" borderId="55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vertical="center"/>
    </xf>
    <xf numFmtId="0" fontId="23" fillId="15" borderId="7" xfId="0" applyFont="1" applyFill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1" xfId="0" applyFont="1" applyBorder="1"/>
    <xf numFmtId="0" fontId="23" fillId="0" borderId="13" xfId="0" applyFont="1" applyBorder="1"/>
    <xf numFmtId="3" fontId="28" fillId="14" borderId="9" xfId="0" applyNumberFormat="1" applyFont="1" applyFill="1" applyBorder="1"/>
    <xf numFmtId="3" fontId="28" fillId="4" borderId="2" xfId="0" applyNumberFormat="1" applyFont="1" applyFill="1" applyBorder="1" applyAlignment="1">
      <alignment horizontal="center"/>
    </xf>
    <xf numFmtId="3" fontId="28" fillId="4" borderId="13" xfId="0" applyNumberFormat="1" applyFont="1" applyFill="1" applyBorder="1" applyAlignment="1">
      <alignment horizontal="center"/>
    </xf>
    <xf numFmtId="3" fontId="28" fillId="4" borderId="3" xfId="0" applyNumberFormat="1" applyFont="1" applyFill="1" applyBorder="1" applyAlignment="1">
      <alignment horizontal="center"/>
    </xf>
    <xf numFmtId="0" fontId="9" fillId="6" borderId="2" xfId="0" applyFont="1" applyFill="1" applyBorder="1"/>
    <xf numFmtId="0" fontId="6" fillId="6" borderId="13" xfId="0" applyFont="1" applyFill="1" applyBorder="1"/>
    <xf numFmtId="0" fontId="9" fillId="6" borderId="13" xfId="0" applyFont="1" applyFill="1" applyBorder="1"/>
    <xf numFmtId="0" fontId="0" fillId="6" borderId="13" xfId="0" applyFill="1" applyBorder="1"/>
    <xf numFmtId="0" fontId="2" fillId="6" borderId="13" xfId="0" applyFont="1" applyFill="1" applyBorder="1"/>
    <xf numFmtId="0" fontId="0" fillId="7" borderId="1" xfId="0" applyFill="1" applyBorder="1"/>
    <xf numFmtId="0" fontId="0" fillId="3" borderId="1" xfId="0" applyFill="1" applyBorder="1"/>
    <xf numFmtId="0" fontId="0" fillId="0" borderId="9" xfId="0" applyBorder="1"/>
    <xf numFmtId="0" fontId="0" fillId="0" borderId="11" xfId="0" applyBorder="1"/>
    <xf numFmtId="0" fontId="28" fillId="19" borderId="0" xfId="0" applyFont="1" applyFill="1"/>
    <xf numFmtId="0" fontId="28" fillId="0" borderId="12" xfId="0" applyFont="1" applyBorder="1"/>
    <xf numFmtId="0" fontId="0" fillId="14" borderId="9" xfId="0" applyFill="1" applyBorder="1"/>
    <xf numFmtId="0" fontId="0" fillId="7" borderId="2" xfId="0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/>
    </xf>
    <xf numFmtId="0" fontId="28" fillId="0" borderId="9" xfId="0" applyFont="1" applyBorder="1"/>
    <xf numFmtId="0" fontId="35" fillId="0" borderId="12" xfId="0" applyFont="1" applyBorder="1" applyAlignment="1">
      <alignment horizontal="center"/>
    </xf>
    <xf numFmtId="3" fontId="27" fillId="14" borderId="14" xfId="0" applyNumberFormat="1" applyFont="1" applyFill="1" applyBorder="1"/>
    <xf numFmtId="0" fontId="27" fillId="14" borderId="14" xfId="0" applyFont="1" applyFill="1" applyBorder="1"/>
    <xf numFmtId="0" fontId="28" fillId="14" borderId="14" xfId="0" applyFont="1" applyFill="1" applyBorder="1"/>
    <xf numFmtId="0" fontId="0" fillId="6" borderId="14" xfId="0" applyFill="1" applyBorder="1"/>
    <xf numFmtId="0" fontId="36" fillId="14" borderId="33" xfId="0" applyFont="1" applyFill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34" xfId="0" applyFont="1" applyBorder="1" applyAlignment="1">
      <alignment horizontal="left"/>
    </xf>
    <xf numFmtId="0" fontId="0" fillId="6" borderId="10" xfId="0" applyFill="1" applyBorder="1"/>
    <xf numFmtId="0" fontId="36" fillId="0" borderId="35" xfId="0" applyFont="1" applyBorder="1" applyAlignment="1">
      <alignment horizontal="left"/>
    </xf>
    <xf numFmtId="0" fontId="2" fillId="22" borderId="1" xfId="0" applyFont="1" applyFill="1" applyBorder="1" applyAlignment="1">
      <alignment horizontal="center"/>
    </xf>
    <xf numFmtId="0" fontId="37" fillId="0" borderId="0" xfId="0" applyFont="1"/>
    <xf numFmtId="0" fontId="20" fillId="0" borderId="0" xfId="0" applyFont="1"/>
    <xf numFmtId="0" fontId="0" fillId="15" borderId="41" xfId="0" applyFill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0" fontId="3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6" fillId="16" borderId="1" xfId="0" applyFont="1" applyFill="1" applyBorder="1" applyAlignment="1">
      <alignment vertical="top" wrapText="1"/>
    </xf>
    <xf numFmtId="3" fontId="2" fillId="0" borderId="0" xfId="0" applyNumberFormat="1" applyFont="1" applyAlignment="1">
      <alignment horizontal="left"/>
    </xf>
    <xf numFmtId="0" fontId="26" fillId="0" borderId="0" xfId="0" applyFont="1"/>
    <xf numFmtId="167" fontId="30" fillId="15" borderId="0" xfId="0" applyNumberFormat="1" applyFont="1" applyFill="1"/>
    <xf numFmtId="167" fontId="30" fillId="0" borderId="0" xfId="0" applyNumberFormat="1" applyFont="1"/>
    <xf numFmtId="0" fontId="38" fillId="0" borderId="0" xfId="0" applyFont="1" applyAlignment="1">
      <alignment horizontal="center"/>
    </xf>
    <xf numFmtId="0" fontId="0" fillId="14" borderId="2" xfId="0" applyFill="1" applyBorder="1"/>
    <xf numFmtId="0" fontId="0" fillId="14" borderId="13" xfId="0" applyFill="1" applyBorder="1"/>
    <xf numFmtId="3" fontId="0" fillId="14" borderId="11" xfId="0" applyNumberFormat="1" applyFill="1" applyBorder="1"/>
    <xf numFmtId="0" fontId="2" fillId="0" borderId="12" xfId="0" applyFont="1" applyBorder="1" applyAlignment="1">
      <alignment horizontal="center" vertical="center"/>
    </xf>
    <xf numFmtId="3" fontId="0" fillId="14" borderId="8" xfId="0" applyNumberFormat="1" applyFill="1" applyBorder="1"/>
    <xf numFmtId="3" fontId="0" fillId="14" borderId="9" xfId="0" applyNumberFormat="1" applyFill="1" applyBorder="1"/>
    <xf numFmtId="3" fontId="0" fillId="14" borderId="7" xfId="0" applyNumberFormat="1" applyFill="1" applyBorder="1"/>
    <xf numFmtId="3" fontId="0" fillId="14" borderId="10" xfId="0" applyNumberFormat="1" applyFill="1" applyBorder="1"/>
    <xf numFmtId="3" fontId="0" fillId="14" borderId="0" xfId="0" applyNumberFormat="1" applyFill="1"/>
    <xf numFmtId="3" fontId="0" fillId="23" borderId="13" xfId="0" applyNumberFormat="1" applyFill="1" applyBorder="1"/>
    <xf numFmtId="3" fontId="2" fillId="0" borderId="0" xfId="0" applyNumberFormat="1" applyFont="1"/>
    <xf numFmtId="3" fontId="2" fillId="14" borderId="18" xfId="0" applyNumberFormat="1" applyFont="1" applyFill="1" applyBorder="1"/>
    <xf numFmtId="3" fontId="2" fillId="14" borderId="14" xfId="0" applyNumberFormat="1" applyFont="1" applyFill="1" applyBorder="1"/>
    <xf numFmtId="3" fontId="2" fillId="14" borderId="4" xfId="0" applyNumberFormat="1" applyFont="1" applyFill="1" applyBorder="1"/>
    <xf numFmtId="3" fontId="0" fillId="21" borderId="14" xfId="0" applyNumberFormat="1" applyFill="1" applyBorder="1"/>
    <xf numFmtId="3" fontId="2" fillId="4" borderId="1" xfId="0" applyNumberFormat="1" applyFont="1" applyFill="1" applyBorder="1" applyAlignment="1">
      <alignment horizontal="right" vertical="center" indent="1"/>
    </xf>
    <xf numFmtId="166" fontId="2" fillId="4" borderId="1" xfId="5" applyNumberFormat="1" applyFont="1" applyFill="1" applyBorder="1" applyAlignment="1">
      <alignment horizontal="right" vertical="center" indent="1"/>
    </xf>
    <xf numFmtId="0" fontId="2" fillId="16" borderId="7" xfId="0" applyFont="1" applyFill="1" applyBorder="1" applyAlignment="1">
      <alignment horizontal="right" vertical="center" indent="1"/>
    </xf>
    <xf numFmtId="0" fontId="2" fillId="16" borderId="11" xfId="0" applyFont="1" applyFill="1" applyBorder="1" applyAlignment="1">
      <alignment horizontal="right" vertical="center" indent="1"/>
    </xf>
    <xf numFmtId="0" fontId="2" fillId="16" borderId="5" xfId="0" applyFont="1" applyFill="1" applyBorder="1" applyAlignment="1">
      <alignment horizontal="right" vertical="center" indent="1"/>
    </xf>
    <xf numFmtId="0" fontId="0" fillId="16" borderId="56" xfId="0" applyFill="1" applyBorder="1" applyAlignment="1">
      <alignment vertical="center"/>
    </xf>
    <xf numFmtId="0" fontId="0" fillId="16" borderId="57" xfId="0" applyFill="1" applyBorder="1" applyAlignment="1">
      <alignment vertical="center"/>
    </xf>
    <xf numFmtId="0" fontId="0" fillId="16" borderId="58" xfId="0" applyFill="1" applyBorder="1" applyAlignment="1">
      <alignment vertical="center"/>
    </xf>
    <xf numFmtId="0" fontId="2" fillId="9" borderId="4" xfId="0" applyFont="1" applyFill="1" applyBorder="1" applyAlignment="1">
      <alignment horizontal="right" vertical="center" indent="1"/>
    </xf>
    <xf numFmtId="0" fontId="0" fillId="9" borderId="18" xfId="0" applyFill="1" applyBorder="1"/>
    <xf numFmtId="0" fontId="0" fillId="9" borderId="14" xfId="0" applyFill="1" applyBorder="1"/>
    <xf numFmtId="3" fontId="28" fillId="0" borderId="13" xfId="0" applyNumberFormat="1" applyFont="1" applyBorder="1" applyAlignment="1">
      <alignment horizontal="right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4" fontId="2" fillId="15" borderId="13" xfId="0" applyNumberFormat="1" applyFont="1" applyFill="1" applyBorder="1" applyAlignment="1">
      <alignment vertical="center"/>
    </xf>
    <xf numFmtId="3" fontId="28" fillId="15" borderId="13" xfId="0" applyNumberFormat="1" applyFont="1" applyFill="1" applyBorder="1" applyAlignment="1">
      <alignment horizontal="right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0" fillId="15" borderId="27" xfId="0" applyFill="1" applyBorder="1"/>
    <xf numFmtId="0" fontId="0" fillId="0" borderId="27" xfId="0" applyBorder="1"/>
    <xf numFmtId="3" fontId="23" fillId="23" borderId="0" xfId="0" applyNumberFormat="1" applyFont="1" applyFill="1"/>
    <xf numFmtId="3" fontId="23" fillId="0" borderId="0" xfId="0" applyNumberFormat="1" applyFont="1"/>
    <xf numFmtId="0" fontId="23" fillId="0" borderId="0" xfId="0" applyFont="1" applyAlignment="1">
      <alignment horizontal="center"/>
    </xf>
    <xf numFmtId="0" fontId="23" fillId="23" borderId="48" xfId="0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28" fillId="23" borderId="2" xfId="0" applyNumberFormat="1" applyFont="1" applyFill="1" applyBorder="1"/>
    <xf numFmtId="3" fontId="28" fillId="23" borderId="13" xfId="0" applyNumberFormat="1" applyFont="1" applyFill="1" applyBorder="1"/>
    <xf numFmtId="3" fontId="28" fillId="23" borderId="9" xfId="0" applyNumberFormat="1" applyFont="1" applyFill="1" applyBorder="1"/>
    <xf numFmtId="3" fontId="28" fillId="23" borderId="0" xfId="0" applyNumberFormat="1" applyFont="1" applyFill="1"/>
    <xf numFmtId="3" fontId="28" fillId="21" borderId="14" xfId="0" applyNumberFormat="1" applyFont="1" applyFill="1" applyBorder="1"/>
    <xf numFmtId="0" fontId="29" fillId="21" borderId="14" xfId="0" applyFont="1" applyFill="1" applyBorder="1"/>
    <xf numFmtId="0" fontId="28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31" xfId="0" applyFont="1" applyFill="1" applyBorder="1"/>
    <xf numFmtId="0" fontId="28" fillId="2" borderId="0" xfId="0" applyFont="1" applyFill="1"/>
    <xf numFmtId="0" fontId="27" fillId="2" borderId="10" xfId="0" applyFont="1" applyFill="1" applyBorder="1" applyAlignment="1">
      <alignment horizontal="center"/>
    </xf>
    <xf numFmtId="0" fontId="28" fillId="2" borderId="32" xfId="0" applyFont="1" applyFill="1" applyBorder="1"/>
    <xf numFmtId="14" fontId="28" fillId="2" borderId="28" xfId="0" applyNumberFormat="1" applyFont="1" applyFill="1" applyBorder="1" applyAlignment="1">
      <alignment horizontal="right"/>
    </xf>
    <xf numFmtId="14" fontId="28" fillId="2" borderId="29" xfId="0" applyNumberFormat="1" applyFont="1" applyFill="1" applyBorder="1" applyAlignment="1">
      <alignment horizontal="right"/>
    </xf>
    <xf numFmtId="14" fontId="28" fillId="2" borderId="30" xfId="0" applyNumberFormat="1" applyFont="1" applyFill="1" applyBorder="1" applyAlignment="1">
      <alignment horizontal="right"/>
    </xf>
    <xf numFmtId="14" fontId="0" fillId="0" borderId="0" xfId="0" applyNumberFormat="1" applyAlignment="1">
      <alignment horizontal="right"/>
    </xf>
    <xf numFmtId="1" fontId="28" fillId="2" borderId="10" xfId="0" applyNumberFormat="1" applyFont="1" applyFill="1" applyBorder="1" applyAlignment="1">
      <alignment horizontal="center"/>
    </xf>
    <xf numFmtId="14" fontId="28" fillId="2" borderId="0" xfId="0" applyNumberFormat="1" applyFont="1" applyFill="1" applyAlignment="1">
      <alignment horizontal="right"/>
    </xf>
    <xf numFmtId="3" fontId="28" fillId="2" borderId="0" xfId="0" applyNumberFormat="1" applyFont="1" applyFill="1"/>
    <xf numFmtId="14" fontId="27" fillId="2" borderId="9" xfId="0" applyNumberFormat="1" applyFont="1" applyFill="1" applyBorder="1" applyAlignment="1">
      <alignment horizontal="center"/>
    </xf>
    <xf numFmtId="14" fontId="28" fillId="0" borderId="0" xfId="0" applyNumberFormat="1" applyFont="1" applyAlignment="1">
      <alignment horizontal="center"/>
    </xf>
    <xf numFmtId="14" fontId="27" fillId="0" borderId="0" xfId="0" applyNumberFormat="1" applyFont="1" applyAlignment="1">
      <alignment horizontal="center"/>
    </xf>
    <xf numFmtId="1" fontId="28" fillId="0" borderId="10" xfId="0" applyNumberFormat="1" applyFont="1" applyBorder="1"/>
    <xf numFmtId="0" fontId="28" fillId="0" borderId="10" xfId="0" applyFont="1" applyBorder="1"/>
    <xf numFmtId="1" fontId="28" fillId="15" borderId="1" xfId="0" applyNumberFormat="1" applyFont="1" applyFill="1" applyBorder="1"/>
    <xf numFmtId="14" fontId="28" fillId="15" borderId="1" xfId="0" applyNumberFormat="1" applyFont="1" applyFill="1" applyBorder="1" applyAlignment="1">
      <alignment horizontal="center"/>
    </xf>
    <xf numFmtId="3" fontId="28" fillId="15" borderId="1" xfId="0" applyNumberFormat="1" applyFont="1" applyFill="1" applyBorder="1"/>
    <xf numFmtId="0" fontId="24" fillId="17" borderId="18" xfId="0" applyFont="1" applyFill="1" applyBorder="1"/>
    <xf numFmtId="3" fontId="28" fillId="0" borderId="10" xfId="0" applyNumberFormat="1" applyFont="1" applyBorder="1"/>
    <xf numFmtId="3" fontId="28" fillId="4" borderId="1" xfId="0" applyNumberFormat="1" applyFont="1" applyFill="1" applyBorder="1" applyAlignment="1">
      <alignment vertical="center"/>
    </xf>
    <xf numFmtId="3" fontId="28" fillId="4" borderId="2" xfId="0" applyNumberFormat="1" applyFont="1" applyFill="1" applyBorder="1" applyAlignment="1">
      <alignment vertical="center"/>
    </xf>
    <xf numFmtId="3" fontId="28" fillId="4" borderId="13" xfId="0" applyNumberFormat="1" applyFont="1" applyFill="1" applyBorder="1" applyAlignment="1">
      <alignment vertical="center"/>
    </xf>
    <xf numFmtId="3" fontId="28" fillId="4" borderId="3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center"/>
    </xf>
    <xf numFmtId="0" fontId="0" fillId="15" borderId="61" xfId="0" applyFill="1" applyBorder="1" applyAlignment="1">
      <alignment horizontal="center" vertical="center"/>
    </xf>
    <xf numFmtId="0" fontId="0" fillId="15" borderId="62" xfId="0" applyFill="1" applyBorder="1" applyAlignment="1">
      <alignment horizontal="center" vertical="center"/>
    </xf>
    <xf numFmtId="0" fontId="0" fillId="15" borderId="63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22" borderId="1" xfId="0" applyFill="1" applyBorder="1"/>
    <xf numFmtId="3" fontId="18" fillId="7" borderId="1" xfId="0" applyNumberFormat="1" applyFont="1" applyFill="1" applyBorder="1"/>
    <xf numFmtId="0" fontId="29" fillId="6" borderId="14" xfId="0" applyFont="1" applyFill="1" applyBorder="1"/>
    <xf numFmtId="0" fontId="0" fillId="12" borderId="18" xfId="0" applyFill="1" applyBorder="1"/>
    <xf numFmtId="0" fontId="2" fillId="12" borderId="14" xfId="0" applyFont="1" applyFill="1" applyBorder="1"/>
    <xf numFmtId="0" fontId="2" fillId="12" borderId="4" xfId="0" applyFont="1" applyFill="1" applyBorder="1"/>
    <xf numFmtId="0" fontId="23" fillId="23" borderId="0" xfId="0" applyFont="1" applyFill="1" applyAlignment="1">
      <alignment horizontal="center"/>
    </xf>
    <xf numFmtId="3" fontId="0" fillId="23" borderId="0" xfId="0" applyNumberFormat="1" applyFill="1"/>
    <xf numFmtId="0" fontId="29" fillId="21" borderId="0" xfId="0" applyFont="1" applyFill="1" applyAlignment="1">
      <alignment vertical="center"/>
    </xf>
    <xf numFmtId="0" fontId="29" fillId="21" borderId="0" xfId="0" applyFont="1" applyFill="1"/>
    <xf numFmtId="11" fontId="28" fillId="2" borderId="0" xfId="0" applyNumberFormat="1" applyFont="1" applyFill="1"/>
    <xf numFmtId="172" fontId="0" fillId="14" borderId="13" xfId="0" applyNumberFormat="1" applyFill="1" applyBorder="1"/>
    <xf numFmtId="172" fontId="0" fillId="14" borderId="0" xfId="0" applyNumberFormat="1" applyFill="1"/>
    <xf numFmtId="172" fontId="0" fillId="21" borderId="14" xfId="0" applyNumberFormat="1" applyFill="1" applyBorder="1"/>
    <xf numFmtId="172" fontId="0" fillId="0" borderId="0" xfId="0" applyNumberFormat="1"/>
    <xf numFmtId="0" fontId="0" fillId="10" borderId="0" xfId="0" applyFill="1"/>
    <xf numFmtId="0" fontId="6" fillId="11" borderId="2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6" fillId="10" borderId="0" xfId="0" applyFont="1" applyFill="1" applyAlignment="1">
      <alignment horizontal="center"/>
    </xf>
    <xf numFmtId="0" fontId="31" fillId="10" borderId="0" xfId="0" applyFont="1" applyFill="1"/>
    <xf numFmtId="14" fontId="0" fillId="3" borderId="2" xfId="0" applyNumberFormat="1" applyFill="1" applyBorder="1"/>
    <xf numFmtId="0" fontId="0" fillId="4" borderId="2" xfId="0" applyFill="1" applyBorder="1" applyAlignment="1">
      <alignment horizontal="center"/>
    </xf>
    <xf numFmtId="0" fontId="0" fillId="10" borderId="0" xfId="0" applyFill="1" applyAlignment="1">
      <alignment vertical="center"/>
    </xf>
    <xf numFmtId="0" fontId="0" fillId="10" borderId="13" xfId="0" applyFill="1" applyBorder="1" applyAlignment="1">
      <alignment horizontal="center" vertical="center"/>
    </xf>
    <xf numFmtId="3" fontId="17" fillId="10" borderId="10" xfId="0" applyNumberFormat="1" applyFont="1" applyFill="1" applyBorder="1" applyAlignment="1">
      <alignment vertical="center"/>
    </xf>
    <xf numFmtId="3" fontId="17" fillId="10" borderId="0" xfId="0" applyNumberFormat="1" applyFont="1" applyFill="1" applyAlignment="1">
      <alignment vertical="center"/>
    </xf>
    <xf numFmtId="3" fontId="17" fillId="10" borderId="11" xfId="0" applyNumberFormat="1" applyFont="1" applyFill="1" applyBorder="1" applyAlignment="1">
      <alignment vertical="center"/>
    </xf>
    <xf numFmtId="3" fontId="0" fillId="10" borderId="0" xfId="0" applyNumberFormat="1" applyFill="1" applyAlignment="1">
      <alignment vertical="center"/>
    </xf>
    <xf numFmtId="3" fontId="0" fillId="10" borderId="13" xfId="0" applyNumberFormat="1" applyFill="1" applyBorder="1" applyAlignment="1">
      <alignment vertical="center"/>
    </xf>
    <xf numFmtId="165" fontId="0" fillId="10" borderId="13" xfId="0" applyNumberFormat="1" applyFill="1" applyBorder="1" applyAlignment="1">
      <alignment vertical="center"/>
    </xf>
    <xf numFmtId="0" fontId="0" fillId="10" borderId="64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10" borderId="60" xfId="0" applyFill="1" applyBorder="1" applyAlignment="1">
      <alignment horizontal="center" vertical="center"/>
    </xf>
    <xf numFmtId="14" fontId="2" fillId="10" borderId="13" xfId="0" applyNumberFormat="1" applyFont="1" applyFill="1" applyBorder="1" applyAlignment="1">
      <alignment vertical="center"/>
    </xf>
    <xf numFmtId="3" fontId="28" fillId="10" borderId="13" xfId="0" applyNumberFormat="1" applyFont="1" applyFill="1" applyBorder="1" applyAlignment="1">
      <alignment horizontal="right" vertical="center"/>
    </xf>
    <xf numFmtId="3" fontId="0" fillId="10" borderId="16" xfId="0" applyNumberFormat="1" applyFill="1" applyBorder="1" applyAlignment="1">
      <alignment vertical="center"/>
    </xf>
    <xf numFmtId="3" fontId="0" fillId="10" borderId="15" xfId="0" applyNumberFormat="1" applyFill="1" applyBorder="1" applyAlignment="1">
      <alignment vertical="center"/>
    </xf>
    <xf numFmtId="0" fontId="0" fillId="10" borderId="15" xfId="0" applyFill="1" applyBorder="1" applyAlignment="1">
      <alignment vertical="center"/>
    </xf>
    <xf numFmtId="0" fontId="0" fillId="10" borderId="0" xfId="0" applyFill="1" applyAlignment="1">
      <alignment horizontal="right" vertical="center"/>
    </xf>
    <xf numFmtId="0" fontId="22" fillId="10" borderId="0" xfId="0" applyFont="1" applyFill="1"/>
    <xf numFmtId="0" fontId="0" fillId="0" borderId="65" xfId="0" applyBorder="1"/>
    <xf numFmtId="0" fontId="0" fillId="0" borderId="66" xfId="0" applyBorder="1"/>
    <xf numFmtId="0" fontId="0" fillId="5" borderId="10" xfId="0" applyFill="1" applyBorder="1"/>
    <xf numFmtId="0" fontId="0" fillId="5" borderId="7" xfId="0" applyFill="1" applyBorder="1"/>
    <xf numFmtId="0" fontId="0" fillId="5" borderId="11" xfId="0" applyFill="1" applyBorder="1"/>
    <xf numFmtId="0" fontId="0" fillId="5" borderId="3" xfId="0" applyFill="1" applyBorder="1"/>
    <xf numFmtId="0" fontId="0" fillId="5" borderId="8" xfId="0" applyFill="1" applyBorder="1"/>
    <xf numFmtId="0" fontId="0" fillId="5" borderId="6" xfId="0" applyFill="1" applyBorder="1"/>
    <xf numFmtId="0" fontId="2" fillId="12" borderId="67" xfId="0" applyFont="1" applyFill="1" applyBorder="1"/>
    <xf numFmtId="3" fontId="2" fillId="12" borderId="67" xfId="0" applyNumberFormat="1" applyFont="1" applyFill="1" applyBorder="1" applyAlignment="1">
      <alignment horizontal="right" indent="1"/>
    </xf>
    <xf numFmtId="3" fontId="0" fillId="0" borderId="26" xfId="0" applyNumberFormat="1" applyBorder="1" applyAlignment="1">
      <alignment horizontal="right" indent="1"/>
    </xf>
    <xf numFmtId="3" fontId="0" fillId="13" borderId="26" xfId="0" applyNumberFormat="1" applyFill="1" applyBorder="1" applyAlignment="1">
      <alignment horizontal="right" indent="1"/>
    </xf>
    <xf numFmtId="166" fontId="2" fillId="12" borderId="67" xfId="5" applyNumberFormat="1" applyFont="1" applyFill="1" applyBorder="1" applyAlignment="1">
      <alignment horizontal="right" indent="1"/>
    </xf>
    <xf numFmtId="170" fontId="0" fillId="0" borderId="26" xfId="5" applyNumberFormat="1" applyFont="1" applyBorder="1" applyAlignment="1">
      <alignment horizontal="right" indent="1"/>
    </xf>
    <xf numFmtId="170" fontId="0" fillId="13" borderId="26" xfId="5" applyNumberFormat="1" applyFont="1" applyFill="1" applyBorder="1" applyAlignment="1">
      <alignment horizontal="right" indent="1"/>
    </xf>
    <xf numFmtId="169" fontId="2" fillId="12" borderId="67" xfId="5" applyNumberFormat="1" applyFont="1" applyFill="1" applyBorder="1" applyAlignment="1">
      <alignment horizontal="right" indent="1"/>
    </xf>
    <xf numFmtId="167" fontId="2" fillId="12" borderId="67" xfId="5" applyNumberFormat="1" applyFont="1" applyFill="1" applyBorder="1" applyAlignment="1">
      <alignment horizontal="right" indent="1"/>
    </xf>
    <xf numFmtId="169" fontId="0" fillId="0" borderId="26" xfId="5" applyNumberFormat="1" applyFont="1" applyBorder="1" applyAlignment="1">
      <alignment horizontal="right" indent="1"/>
    </xf>
    <xf numFmtId="167" fontId="0" fillId="0" borderId="26" xfId="5" applyNumberFormat="1" applyFont="1" applyBorder="1" applyAlignment="1">
      <alignment horizontal="right" indent="1"/>
    </xf>
    <xf numFmtId="169" fontId="0" fillId="13" borderId="26" xfId="5" applyNumberFormat="1" applyFont="1" applyFill="1" applyBorder="1" applyAlignment="1">
      <alignment horizontal="right" indent="1"/>
    </xf>
    <xf numFmtId="167" fontId="0" fillId="13" borderId="26" xfId="5" applyNumberFormat="1" applyFont="1" applyFill="1" applyBorder="1" applyAlignment="1">
      <alignment horizontal="right" indent="1"/>
    </xf>
    <xf numFmtId="37" fontId="2" fillId="12" borderId="67" xfId="5" applyNumberFormat="1" applyFont="1" applyFill="1" applyBorder="1" applyAlignment="1">
      <alignment horizontal="right" indent="1"/>
    </xf>
    <xf numFmtId="3" fontId="0" fillId="0" borderId="26" xfId="5" applyNumberFormat="1" applyFont="1" applyBorder="1" applyAlignment="1">
      <alignment horizontal="right" indent="1"/>
    </xf>
    <xf numFmtId="3" fontId="0" fillId="13" borderId="26" xfId="5" applyNumberFormat="1" applyFont="1" applyFill="1" applyBorder="1" applyAlignment="1">
      <alignment horizontal="right" indent="1"/>
    </xf>
    <xf numFmtId="4" fontId="2" fillId="12" borderId="67" xfId="5" applyNumberFormat="1" applyFont="1" applyFill="1" applyBorder="1" applyAlignment="1">
      <alignment horizontal="right" indent="1"/>
    </xf>
    <xf numFmtId="4" fontId="0" fillId="0" borderId="26" xfId="5" applyNumberFormat="1" applyFont="1" applyBorder="1" applyAlignment="1">
      <alignment horizontal="right" indent="1"/>
    </xf>
    <xf numFmtId="4" fontId="0" fillId="13" borderId="26" xfId="5" applyNumberFormat="1" applyFont="1" applyFill="1" applyBorder="1" applyAlignment="1">
      <alignment horizontal="right" indent="1"/>
    </xf>
    <xf numFmtId="14" fontId="39" fillId="3" borderId="11" xfId="0" applyNumberFormat="1" applyFont="1" applyFill="1" applyBorder="1"/>
    <xf numFmtId="14" fontId="39" fillId="3" borderId="0" xfId="0" applyNumberFormat="1" applyFont="1" applyFill="1"/>
    <xf numFmtId="2" fontId="0" fillId="15" borderId="16" xfId="0" applyNumberFormat="1" applyFill="1" applyBorder="1" applyAlignment="1">
      <alignment vertical="center"/>
    </xf>
    <xf numFmtId="43" fontId="0" fillId="0" borderId="0" xfId="8" applyFont="1"/>
    <xf numFmtId="3" fontId="40" fillId="14" borderId="18" xfId="0" applyNumberFormat="1" applyFont="1" applyFill="1" applyBorder="1"/>
    <xf numFmtId="3" fontId="40" fillId="14" borderId="14" xfId="0" applyNumberFormat="1" applyFont="1" applyFill="1" applyBorder="1"/>
    <xf numFmtId="0" fontId="41" fillId="24" borderId="0" xfId="0" applyFont="1" applyFill="1"/>
    <xf numFmtId="174" fontId="0" fillId="0" borderId="11" xfId="0" applyNumberFormat="1" applyBorder="1"/>
    <xf numFmtId="173" fontId="0" fillId="0" borderId="11" xfId="8" applyNumberFormat="1" applyFont="1" applyBorder="1"/>
    <xf numFmtId="174" fontId="0" fillId="0" borderId="5" xfId="0" applyNumberFormat="1" applyBorder="1"/>
    <xf numFmtId="0" fontId="2" fillId="9" borderId="1" xfId="0" applyFont="1" applyFill="1" applyBorder="1"/>
    <xf numFmtId="0" fontId="2" fillId="9" borderId="4" xfId="0" applyFont="1" applyFill="1" applyBorder="1" applyAlignment="1">
      <alignment horizontal="right"/>
    </xf>
    <xf numFmtId="175" fontId="0" fillId="0" borderId="49" xfId="8" applyNumberFormat="1" applyFont="1" applyBorder="1" applyAlignment="1">
      <alignment vertical="center"/>
    </xf>
    <xf numFmtId="175" fontId="0" fillId="0" borderId="15" xfId="8" applyNumberFormat="1" applyFont="1" applyBorder="1" applyAlignment="1">
      <alignment vertical="center"/>
    </xf>
    <xf numFmtId="175" fontId="0" fillId="10" borderId="15" xfId="8" applyNumberFormat="1" applyFont="1" applyFill="1" applyBorder="1" applyAlignment="1">
      <alignment vertical="center"/>
    </xf>
    <xf numFmtId="0" fontId="2" fillId="9" borderId="5" xfId="0" applyFont="1" applyFill="1" applyBorder="1" applyAlignment="1">
      <alignment horizontal="right"/>
    </xf>
    <xf numFmtId="9" fontId="0" fillId="0" borderId="11" xfId="5" applyFont="1" applyBorder="1"/>
    <xf numFmtId="9" fontId="0" fillId="0" borderId="5" xfId="5" applyFont="1" applyBorder="1"/>
    <xf numFmtId="0" fontId="2" fillId="9" borderId="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23" borderId="70" xfId="0" applyFont="1" applyFill="1" applyBorder="1" applyAlignment="1">
      <alignment horizontal="centerContinuous"/>
    </xf>
    <xf numFmtId="0" fontId="0" fillId="23" borderId="71" xfId="0" applyFill="1" applyBorder="1" applyAlignment="1">
      <alignment horizontal="centerContinuous"/>
    </xf>
    <xf numFmtId="0" fontId="2" fillId="23" borderId="72" xfId="0" applyFont="1" applyFill="1" applyBorder="1" applyAlignment="1">
      <alignment horizontal="centerContinuous"/>
    </xf>
    <xf numFmtId="0" fontId="2" fillId="25" borderId="70" xfId="0" applyFont="1" applyFill="1" applyBorder="1" applyAlignment="1">
      <alignment horizontal="centerContinuous"/>
    </xf>
    <xf numFmtId="0" fontId="0" fillId="25" borderId="71" xfId="0" applyFill="1" applyBorder="1" applyAlignment="1">
      <alignment horizontal="centerContinuous"/>
    </xf>
    <xf numFmtId="0" fontId="2" fillId="25" borderId="72" xfId="0" applyFont="1" applyFill="1" applyBorder="1" applyAlignment="1">
      <alignment horizontal="centerContinuous"/>
    </xf>
    <xf numFmtId="176" fontId="0" fillId="0" borderId="13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7" fontId="0" fillId="0" borderId="2" xfId="8" applyNumberFormat="1" applyFont="1" applyBorder="1" applyAlignment="1">
      <alignment horizontal="center"/>
    </xf>
    <xf numFmtId="177" fontId="0" fillId="0" borderId="11" xfId="8" applyNumberFormat="1" applyFont="1" applyBorder="1" applyAlignment="1">
      <alignment horizontal="center"/>
    </xf>
    <xf numFmtId="177" fontId="0" fillId="0" borderId="13" xfId="8" applyNumberFormat="1" applyFont="1" applyBorder="1" applyAlignment="1">
      <alignment horizontal="center"/>
    </xf>
    <xf numFmtId="177" fontId="0" fillId="0" borderId="5" xfId="0" applyNumberFormat="1" applyBorder="1" applyAlignment="1">
      <alignment horizontal="center"/>
    </xf>
    <xf numFmtId="177" fontId="0" fillId="0" borderId="3" xfId="8" applyNumberFormat="1" applyFont="1" applyBorder="1" applyAlignment="1">
      <alignment horizontal="center"/>
    </xf>
    <xf numFmtId="177" fontId="0" fillId="0" borderId="11" xfId="8" applyNumberFormat="1" applyFont="1" applyBorder="1"/>
    <xf numFmtId="177" fontId="0" fillId="0" borderId="5" xfId="0" applyNumberFormat="1" applyBorder="1"/>
    <xf numFmtId="0" fontId="2" fillId="9" borderId="2" xfId="0" applyFont="1" applyFill="1" applyBorder="1"/>
    <xf numFmtId="0" fontId="2" fillId="9" borderId="2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177" fontId="0" fillId="0" borderId="74" xfId="8" applyNumberFormat="1" applyFont="1" applyBorder="1" applyAlignment="1">
      <alignment horizontal="center"/>
    </xf>
    <xf numFmtId="177" fontId="0" fillId="0" borderId="75" xfId="8" applyNumberFormat="1" applyFont="1" applyBorder="1" applyAlignment="1">
      <alignment horizontal="center"/>
    </xf>
    <xf numFmtId="176" fontId="0" fillId="0" borderId="75" xfId="0" applyNumberFormat="1" applyBorder="1" applyAlignment="1">
      <alignment horizontal="center"/>
    </xf>
    <xf numFmtId="176" fontId="0" fillId="0" borderId="76" xfId="0" applyNumberFormat="1" applyBorder="1" applyAlignment="1">
      <alignment horizontal="center"/>
    </xf>
    <xf numFmtId="177" fontId="0" fillId="0" borderId="78" xfId="8" applyNumberFormat="1" applyFont="1" applyBorder="1" applyAlignment="1">
      <alignment horizontal="center"/>
    </xf>
    <xf numFmtId="177" fontId="0" fillId="0" borderId="79" xfId="8" applyNumberFormat="1" applyFont="1" applyBorder="1" applyAlignment="1">
      <alignment horizontal="center"/>
    </xf>
    <xf numFmtId="176" fontId="0" fillId="0" borderId="79" xfId="0" applyNumberFormat="1" applyBorder="1" applyAlignment="1">
      <alignment horizontal="center"/>
    </xf>
    <xf numFmtId="176" fontId="0" fillId="0" borderId="80" xfId="0" applyNumberFormat="1" applyBorder="1" applyAlignment="1">
      <alignment horizontal="center"/>
    </xf>
    <xf numFmtId="177" fontId="0" fillId="0" borderId="78" xfId="0" applyNumberFormat="1" applyBorder="1" applyAlignment="1">
      <alignment horizontal="center"/>
    </xf>
    <xf numFmtId="177" fontId="0" fillId="0" borderId="7" xfId="8" applyNumberFormat="1" applyFont="1" applyBorder="1" applyAlignment="1">
      <alignment horizontal="center"/>
    </xf>
    <xf numFmtId="177" fontId="0" fillId="0" borderId="5" xfId="8" applyNumberFormat="1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73" xfId="0" applyFont="1" applyBorder="1"/>
    <xf numFmtId="0" fontId="2" fillId="0" borderId="77" xfId="0" applyFont="1" applyBorder="1"/>
    <xf numFmtId="0" fontId="2" fillId="0" borderId="2" xfId="0" applyFont="1" applyBorder="1"/>
    <xf numFmtId="0" fontId="0" fillId="0" borderId="0" xfId="0" applyAlignment="1">
      <alignment wrapText="1"/>
    </xf>
    <xf numFmtId="0" fontId="2" fillId="9" borderId="2" xfId="0" applyFont="1" applyFill="1" applyBorder="1" applyAlignment="1">
      <alignment wrapText="1"/>
    </xf>
    <xf numFmtId="0" fontId="0" fillId="25" borderId="72" xfId="0" applyFill="1" applyBorder="1" applyAlignment="1">
      <alignment horizontal="centerContinuous"/>
    </xf>
    <xf numFmtId="0" fontId="2" fillId="9" borderId="1" xfId="0" applyFont="1" applyFill="1" applyBorder="1" applyAlignment="1">
      <alignment horizontal="center" wrapText="1"/>
    </xf>
    <xf numFmtId="9" fontId="0" fillId="0" borderId="2" xfId="5" applyFont="1" applyBorder="1" applyAlignment="1">
      <alignment horizontal="center"/>
    </xf>
    <xf numFmtId="9" fontId="0" fillId="0" borderId="13" xfId="5" applyFont="1" applyBorder="1" applyAlignment="1">
      <alignment horizontal="center"/>
    </xf>
    <xf numFmtId="9" fontId="0" fillId="0" borderId="3" xfId="5" applyFont="1" applyBorder="1" applyAlignment="1">
      <alignment horizontal="center"/>
    </xf>
    <xf numFmtId="0" fontId="2" fillId="23" borderId="70" xfId="0" applyFont="1" applyFill="1" applyBorder="1" applyAlignment="1">
      <alignment horizontal="centerContinuous" wrapText="1"/>
    </xf>
    <xf numFmtId="0" fontId="2" fillId="4" borderId="70" xfId="0" applyFont="1" applyFill="1" applyBorder="1" applyAlignment="1">
      <alignment horizontal="centerContinuous" wrapText="1"/>
    </xf>
    <xf numFmtId="0" fontId="0" fillId="4" borderId="71" xfId="0" applyFill="1" applyBorder="1" applyAlignment="1">
      <alignment horizontal="centerContinuous"/>
    </xf>
    <xf numFmtId="0" fontId="2" fillId="4" borderId="72" xfId="0" applyFont="1" applyFill="1" applyBorder="1" applyAlignment="1">
      <alignment horizontal="centerContinuous"/>
    </xf>
    <xf numFmtId="0" fontId="0" fillId="24" borderId="0" xfId="0" applyFill="1"/>
    <xf numFmtId="0" fontId="2" fillId="24" borderId="0" xfId="0" applyFont="1" applyFill="1"/>
    <xf numFmtId="0" fontId="2" fillId="25" borderId="70" xfId="0" applyFont="1" applyFill="1" applyBorder="1" applyAlignment="1">
      <alignment horizontal="centerContinuous" wrapText="1"/>
    </xf>
    <xf numFmtId="0" fontId="0" fillId="0" borderId="10" xfId="0" applyBorder="1"/>
    <xf numFmtId="0" fontId="41" fillId="23" borderId="10" xfId="0" applyFont="1" applyFill="1" applyBorder="1"/>
    <xf numFmtId="0" fontId="41" fillId="23" borderId="0" xfId="0" applyFont="1" applyFill="1"/>
    <xf numFmtId="0" fontId="41" fillId="0" borderId="10" xfId="0" applyFont="1" applyBorder="1"/>
    <xf numFmtId="0" fontId="41" fillId="0" borderId="0" xfId="0" applyFont="1"/>
    <xf numFmtId="0" fontId="0" fillId="0" borderId="10" xfId="0" applyBorder="1" applyAlignment="1">
      <alignment wrapText="1"/>
    </xf>
    <xf numFmtId="11" fontId="43" fillId="26" borderId="0" xfId="0" applyNumberFormat="1" applyFont="1" applyFill="1" applyAlignment="1">
      <alignment horizontal="right" vertical="center" wrapText="1"/>
    </xf>
    <xf numFmtId="11" fontId="0" fillId="0" borderId="0" xfId="0" applyNumberFormat="1"/>
    <xf numFmtId="168" fontId="0" fillId="0" borderId="0" xfId="0" applyNumberFormat="1"/>
    <xf numFmtId="0" fontId="18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44" fillId="0" borderId="13" xfId="0" applyFont="1" applyBorder="1" applyAlignment="1">
      <alignment horizontal="center"/>
    </xf>
    <xf numFmtId="0" fontId="0" fillId="9" borderId="0" xfId="0" applyFill="1"/>
    <xf numFmtId="168" fontId="0" fillId="9" borderId="0" xfId="0" applyNumberFormat="1" applyFill="1"/>
    <xf numFmtId="2" fontId="0" fillId="0" borderId="11" xfId="0" applyNumberFormat="1" applyBorder="1"/>
    <xf numFmtId="168" fontId="0" fillId="0" borderId="12" xfId="0" applyNumberFormat="1" applyBorder="1"/>
    <xf numFmtId="2" fontId="0" fillId="0" borderId="5" xfId="0" applyNumberFormat="1" applyBorder="1"/>
    <xf numFmtId="0" fontId="44" fillId="0" borderId="10" xfId="0" applyFont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168" fontId="0" fillId="9" borderId="9" xfId="0" applyNumberFormat="1" applyFill="1" applyBorder="1"/>
    <xf numFmtId="2" fontId="0" fillId="9" borderId="7" xfId="0" applyNumberFormat="1" applyFill="1" applyBorder="1"/>
    <xf numFmtId="0" fontId="0" fillId="9" borderId="10" xfId="0" applyFill="1" applyBorder="1"/>
    <xf numFmtId="2" fontId="0" fillId="9" borderId="11" xfId="0" applyNumberFormat="1" applyFill="1" applyBorder="1"/>
    <xf numFmtId="0" fontId="2" fillId="23" borderId="68" xfId="0" applyFont="1" applyFill="1" applyBorder="1" applyAlignment="1">
      <alignment horizontal="center"/>
    </xf>
    <xf numFmtId="0" fontId="2" fillId="23" borderId="69" xfId="0" applyFont="1" applyFill="1" applyBorder="1" applyAlignment="1">
      <alignment horizontal="center"/>
    </xf>
    <xf numFmtId="0" fontId="2" fillId="25" borderId="68" xfId="0" applyFont="1" applyFill="1" applyBorder="1" applyAlignment="1">
      <alignment horizontal="center"/>
    </xf>
    <xf numFmtId="0" fontId="2" fillId="25" borderId="69" xfId="0" applyFont="1" applyFill="1" applyBorder="1" applyAlignment="1">
      <alignment horizontal="center"/>
    </xf>
  </cellXfs>
  <cellStyles count="9">
    <cellStyle name="Comma" xfId="8" builtinId="3"/>
    <cellStyle name="Comma 2" xfId="1" xr:uid="{8B30DCBF-ED3E-4D69-97E7-F420FE1917E8}"/>
    <cellStyle name="Comma 3" xfId="7" xr:uid="{7DCEA5DA-4721-4E16-BF9B-5F4B095B3E4D}"/>
    <cellStyle name="Normal" xfId="0" builtinId="0"/>
    <cellStyle name="Normal 2" xfId="2" xr:uid="{95B93CDA-E47F-463B-99EA-E7698E51D831}"/>
    <cellStyle name="Normal 3" xfId="3" xr:uid="{AD7C7B5B-82A8-4DEE-B071-EFDED4162E7E}"/>
    <cellStyle name="Normal 4" xfId="6" xr:uid="{65A4FBDE-913E-48AB-8FC2-E2A30E4DC80C}"/>
    <cellStyle name="Normal 5" xfId="4" xr:uid="{D35330A4-9CE9-4071-8F88-73001A912353}"/>
    <cellStyle name="Percent" xfId="5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404040"/>
      <color rgb="FFB2DCBD"/>
      <color rgb="FFFF99CC"/>
      <color rgb="FFFF66CC"/>
      <color rgb="FFCC0099"/>
      <color rgb="FFFFFF00"/>
      <color rgb="FF0546FF"/>
      <color rgb="FF0023A0"/>
      <color rgb="FF002386"/>
      <color rgb="FF002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Actual</a:t>
            </a:r>
            <a:r>
              <a:rPr lang="en-US" sz="1800" b="1" baseline="0"/>
              <a:t> vs. Predicted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6"/>
          <c:tx>
            <c:strRef>
              <c:f>'Actual vs Predicted'!$N$51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rgbClr val="99FF99"/>
            </a:solidFill>
            <a:ln w="25400">
              <a:solidFill>
                <a:sysClr val="windowText" lastClr="000000"/>
              </a:solidFill>
            </a:ln>
            <a:effectLst/>
          </c:spPr>
          <c:cat>
            <c:numRef>
              <c:f>'Actual vs Predicted'!$U$52:$U$155</c:f>
              <c:numCache>
                <c:formatCode>m/d/yy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Predicted'!$N$52:$N$155</c:f>
              <c:numCache>
                <c:formatCode>#,##0</c:formatCode>
                <c:ptCount val="104"/>
                <c:pt idx="0">
                  <c:v>6561842.8596051121</c:v>
                </c:pt>
                <c:pt idx="1">
                  <c:v>6853079.861029298</c:v>
                </c:pt>
                <c:pt idx="2">
                  <c:v>6585670.1593386289</c:v>
                </c:pt>
                <c:pt idx="3">
                  <c:v>6498984.2108471934</c:v>
                </c:pt>
                <c:pt idx="4">
                  <c:v>18162465.660204906</c:v>
                </c:pt>
                <c:pt idx="5">
                  <c:v>12386321.084644195</c:v>
                </c:pt>
                <c:pt idx="6">
                  <c:v>10182404.848940557</c:v>
                </c:pt>
                <c:pt idx="7">
                  <c:v>8225917.183384886</c:v>
                </c:pt>
                <c:pt idx="8">
                  <c:v>10918332.832351711</c:v>
                </c:pt>
                <c:pt idx="9">
                  <c:v>9317723.8841522522</c:v>
                </c:pt>
                <c:pt idx="10">
                  <c:v>12273697.455023894</c:v>
                </c:pt>
                <c:pt idx="11">
                  <c:v>9730017.0453157797</c:v>
                </c:pt>
                <c:pt idx="12">
                  <c:v>8105263.5159569094</c:v>
                </c:pt>
                <c:pt idx="13">
                  <c:v>8249649.2140894812</c:v>
                </c:pt>
                <c:pt idx="14">
                  <c:v>10839163.573249122</c:v>
                </c:pt>
                <c:pt idx="15">
                  <c:v>8737689.7177103981</c:v>
                </c:pt>
                <c:pt idx="16">
                  <c:v>10106190.725575844</c:v>
                </c:pt>
                <c:pt idx="17">
                  <c:v>24820218.880741764</c:v>
                </c:pt>
                <c:pt idx="18">
                  <c:v>8806138.8074397799</c:v>
                </c:pt>
                <c:pt idx="19">
                  <c:v>8314114.5264927819</c:v>
                </c:pt>
                <c:pt idx="20">
                  <c:v>7657457.2995677656</c:v>
                </c:pt>
                <c:pt idx="21">
                  <c:v>7733081.3710952485</c:v>
                </c:pt>
                <c:pt idx="22">
                  <c:v>8871545.2190345842</c:v>
                </c:pt>
                <c:pt idx="23">
                  <c:v>7576127.669281764</c:v>
                </c:pt>
                <c:pt idx="24">
                  <c:v>7245142.545848378</c:v>
                </c:pt>
                <c:pt idx="25">
                  <c:v>6447376.7501151245</c:v>
                </c:pt>
                <c:pt idx="26">
                  <c:v>9817670.6281187385</c:v>
                </c:pt>
                <c:pt idx="27">
                  <c:v>7493206.5892001959</c:v>
                </c:pt>
                <c:pt idx="28">
                  <c:v>7271449.863601598</c:v>
                </c:pt>
                <c:pt idx="29">
                  <c:v>7952909.6802862072</c:v>
                </c:pt>
                <c:pt idx="30">
                  <c:v>15375528.324779663</c:v>
                </c:pt>
                <c:pt idx="31">
                  <c:v>8958124.3014601171</c:v>
                </c:pt>
                <c:pt idx="32">
                  <c:v>10843317.17014616</c:v>
                </c:pt>
                <c:pt idx="33">
                  <c:v>10841299.967122471</c:v>
                </c:pt>
                <c:pt idx="34">
                  <c:v>8917034.6319649406</c:v>
                </c:pt>
                <c:pt idx="35">
                  <c:v>9725309.0656938311</c:v>
                </c:pt>
                <c:pt idx="36">
                  <c:v>10033215.261337308</c:v>
                </c:pt>
                <c:pt idx="37">
                  <c:v>9814554.0243380964</c:v>
                </c:pt>
                <c:pt idx="38">
                  <c:v>9014035.2893809862</c:v>
                </c:pt>
                <c:pt idx="39">
                  <c:v>9922121.0614886303</c:v>
                </c:pt>
                <c:pt idx="40">
                  <c:v>9277789.3424933348</c:v>
                </c:pt>
                <c:pt idx="41">
                  <c:v>9206309.0898901336</c:v>
                </c:pt>
                <c:pt idx="42">
                  <c:v>8591645.9094600156</c:v>
                </c:pt>
                <c:pt idx="43">
                  <c:v>13192072.287721796</c:v>
                </c:pt>
                <c:pt idx="44">
                  <c:v>12846228.701920027</c:v>
                </c:pt>
                <c:pt idx="45">
                  <c:v>12274558.085785698</c:v>
                </c:pt>
                <c:pt idx="46">
                  <c:v>17292069.751167182</c:v>
                </c:pt>
                <c:pt idx="47">
                  <c:v>14506778.472090825</c:v>
                </c:pt>
                <c:pt idx="48">
                  <c:v>16502775.734518608</c:v>
                </c:pt>
                <c:pt idx="49">
                  <c:v>21102609.175834499</c:v>
                </c:pt>
                <c:pt idx="50">
                  <c:v>15369713.676746801</c:v>
                </c:pt>
                <c:pt idx="51">
                  <c:v>8164681.1130869566</c:v>
                </c:pt>
                <c:pt idx="52">
                  <c:v>6228343.3034927109</c:v>
                </c:pt>
                <c:pt idx="53">
                  <c:v>6987917.9832904525</c:v>
                </c:pt>
                <c:pt idx="54">
                  <c:v>7088942.6724703964</c:v>
                </c:pt>
                <c:pt idx="55">
                  <c:v>7160850.4034846481</c:v>
                </c:pt>
                <c:pt idx="56">
                  <c:v>17682072.344801068</c:v>
                </c:pt>
                <c:pt idx="57">
                  <c:v>13286656.08679674</c:v>
                </c:pt>
                <c:pt idx="58">
                  <c:v>9109861.2732915115</c:v>
                </c:pt>
                <c:pt idx="59">
                  <c:v>8073495.2823691806</c:v>
                </c:pt>
                <c:pt idx="60">
                  <c:v>9009442.5206748452</c:v>
                </c:pt>
                <c:pt idx="61">
                  <c:v>8050522.0300483946</c:v>
                </c:pt>
                <c:pt idx="62">
                  <c:v>4101304.6292157341</c:v>
                </c:pt>
                <c:pt idx="63">
                  <c:v>2714578.7029835195</c:v>
                </c:pt>
                <c:pt idx="64">
                  <c:v>1411374.3837309116</c:v>
                </c:pt>
                <c:pt idx="65">
                  <c:v>1007222.4757466217</c:v>
                </c:pt>
                <c:pt idx="66">
                  <c:v>1522474.7160117754</c:v>
                </c:pt>
                <c:pt idx="67">
                  <c:v>2522396.4691558317</c:v>
                </c:pt>
                <c:pt idx="68">
                  <c:v>3477627.8116820576</c:v>
                </c:pt>
                <c:pt idx="69">
                  <c:v>4531592.3100206945</c:v>
                </c:pt>
                <c:pt idx="70">
                  <c:v>3454360.3550937544</c:v>
                </c:pt>
                <c:pt idx="71">
                  <c:v>3488174.3061666801</c:v>
                </c:pt>
                <c:pt idx="72">
                  <c:v>3191244.9951110841</c:v>
                </c:pt>
                <c:pt idx="73">
                  <c:v>3773925.600801487</c:v>
                </c:pt>
                <c:pt idx="74">
                  <c:v>6723914.1877151271</c:v>
                </c:pt>
                <c:pt idx="75">
                  <c:v>5649810.8847017959</c:v>
                </c:pt>
                <c:pt idx="76">
                  <c:v>4818292.1851520818</c:v>
                </c:pt>
                <c:pt idx="77">
                  <c:v>4255200.4321604697</c:v>
                </c:pt>
                <c:pt idx="78">
                  <c:v>6829225.6861091116</c:v>
                </c:pt>
                <c:pt idx="79">
                  <c:v>4223990.0228554988</c:v>
                </c:pt>
                <c:pt idx="80">
                  <c:v>4976977.4308808586</c:v>
                </c:pt>
                <c:pt idx="81">
                  <c:v>6217132.5832293304</c:v>
                </c:pt>
                <c:pt idx="82">
                  <c:v>10935270.88386783</c:v>
                </c:pt>
                <c:pt idx="83">
                  <c:v>6528702.0812265528</c:v>
                </c:pt>
                <c:pt idx="84">
                  <c:v>7943241.8660616027</c:v>
                </c:pt>
                <c:pt idx="85">
                  <c:v>8558263.0145086031</c:v>
                </c:pt>
                <c:pt idx="86">
                  <c:v>6714004.6786351893</c:v>
                </c:pt>
                <c:pt idx="87">
                  <c:v>6614515.6246858379</c:v>
                </c:pt>
                <c:pt idx="88">
                  <c:v>6628375.9929427123</c:v>
                </c:pt>
                <c:pt idx="89">
                  <c:v>7004035.6071968097</c:v>
                </c:pt>
                <c:pt idx="90">
                  <c:v>6437217.2475569462</c:v>
                </c:pt>
                <c:pt idx="91">
                  <c:v>6847310.7707425198</c:v>
                </c:pt>
                <c:pt idx="92">
                  <c:v>6487454.4122910984</c:v>
                </c:pt>
                <c:pt idx="93">
                  <c:v>6160723.7968787989</c:v>
                </c:pt>
                <c:pt idx="94">
                  <c:v>7314951.0989504503</c:v>
                </c:pt>
                <c:pt idx="95">
                  <c:v>7884628.9040706037</c:v>
                </c:pt>
                <c:pt idx="96">
                  <c:v>9893323.206721846</c:v>
                </c:pt>
                <c:pt idx="97">
                  <c:v>10027474.206315799</c:v>
                </c:pt>
                <c:pt idx="98">
                  <c:v>12462285.992871461</c:v>
                </c:pt>
                <c:pt idx="99">
                  <c:v>12114792.030415427</c:v>
                </c:pt>
                <c:pt idx="100">
                  <c:v>13287745.955758167</c:v>
                </c:pt>
                <c:pt idx="101">
                  <c:v>13764851.832397426</c:v>
                </c:pt>
                <c:pt idx="102">
                  <c:v>13007074.379694374</c:v>
                </c:pt>
                <c:pt idx="103">
                  <c:v>7072379.225291363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B-4CCF-BB00-9D7C3A5A66B2}"/>
            </c:ext>
          </c:extLst>
        </c:ser>
        <c:ser>
          <c:idx val="3"/>
          <c:order val="7"/>
          <c:tx>
            <c:strRef>
              <c:f>'Actual vs Predicted'!$J$51</c:f>
              <c:strCache>
                <c:ptCount val="1"/>
                <c:pt idx="0">
                  <c:v>Layer 1</c:v>
                </c:pt>
              </c:strCache>
            </c:strRef>
          </c:tx>
          <c:spPr>
            <a:solidFill>
              <a:srgbClr val="00B0F0"/>
            </a:solidFill>
            <a:ln w="19050">
              <a:solidFill>
                <a:schemeClr val="bg1"/>
              </a:solidFill>
            </a:ln>
            <a:effectLst/>
          </c:spPr>
          <c:cat>
            <c:numRef>
              <c:f>'Actual vs Predicted'!$U$52:$U$155</c:f>
              <c:numCache>
                <c:formatCode>m/d/yy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Predicted'!$J$52:$J$155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B-4CCF-BB00-9D7C3A5A66B2}"/>
            </c:ext>
          </c:extLst>
        </c:ser>
        <c:ser>
          <c:idx val="4"/>
          <c:order val="8"/>
          <c:tx>
            <c:strRef>
              <c:f>'Actual vs Predicted'!$K$51</c:f>
              <c:strCache>
                <c:ptCount val="1"/>
                <c:pt idx="0">
                  <c:v>Layer 2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bg1"/>
              </a:solidFill>
            </a:ln>
            <a:effectLst/>
          </c:spPr>
          <c:cat>
            <c:numRef>
              <c:f>'Actual vs Predicted'!$U$52:$U$155</c:f>
              <c:numCache>
                <c:formatCode>m/d/yy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Predicted'!$K$52:$K$155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B-4CCF-BB00-9D7C3A5A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22320"/>
        <c:axId val="428422648"/>
      </c:areaChart>
      <c:barChart>
        <c:barDir val="col"/>
        <c:grouping val="clustered"/>
        <c:varyColors val="0"/>
        <c:ser>
          <c:idx val="6"/>
          <c:order val="0"/>
          <c:tx>
            <c:v>P1</c:v>
          </c:tx>
          <c:spPr>
            <a:solidFill>
              <a:schemeClr val="bg1">
                <a:lumMod val="50000"/>
                <a:alpha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Predicted'!$C$52:$C$155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26474131.344599999</c:v>
                </c:pt>
                <c:pt idx="53">
                  <c:v>26474131.344599999</c:v>
                </c:pt>
                <c:pt idx="54">
                  <c:v>26474131.344599999</c:v>
                </c:pt>
                <c:pt idx="55">
                  <c:v>26474131.344599999</c:v>
                </c:pt>
                <c:pt idx="56">
                  <c:v>26474131.344599999</c:v>
                </c:pt>
                <c:pt idx="57">
                  <c:v>26474131.344599999</c:v>
                </c:pt>
                <c:pt idx="58">
                  <c:v>26474131.344599999</c:v>
                </c:pt>
                <c:pt idx="59">
                  <c:v>26474131.344599999</c:v>
                </c:pt>
                <c:pt idx="60">
                  <c:v>26474131.344599999</c:v>
                </c:pt>
                <c:pt idx="61">
                  <c:v>26474131.344599999</c:v>
                </c:pt>
                <c:pt idx="62">
                  <c:v>26474131.344599999</c:v>
                </c:pt>
                <c:pt idx="63">
                  <c:v>26474131.344599999</c:v>
                </c:pt>
                <c:pt idx="64">
                  <c:v>26474131.344599999</c:v>
                </c:pt>
                <c:pt idx="65">
                  <c:v>26474131.344599999</c:v>
                </c:pt>
                <c:pt idx="66">
                  <c:v>26474131.344599999</c:v>
                </c:pt>
                <c:pt idx="67">
                  <c:v>26474131.344599999</c:v>
                </c:pt>
                <c:pt idx="68">
                  <c:v>26474131.344599999</c:v>
                </c:pt>
                <c:pt idx="69">
                  <c:v>26474131.344599999</c:v>
                </c:pt>
                <c:pt idx="70">
                  <c:v>26474131.344599999</c:v>
                </c:pt>
                <c:pt idx="71">
                  <c:v>26474131.344599999</c:v>
                </c:pt>
                <c:pt idx="72">
                  <c:v>26474131.344599999</c:v>
                </c:pt>
                <c:pt idx="73">
                  <c:v>26474131.344599999</c:v>
                </c:pt>
                <c:pt idx="74">
                  <c:v>26474131.344599999</c:v>
                </c:pt>
                <c:pt idx="75">
                  <c:v>26474131.344599999</c:v>
                </c:pt>
                <c:pt idx="76">
                  <c:v>26474131.344599999</c:v>
                </c:pt>
                <c:pt idx="77">
                  <c:v>26474131.344599999</c:v>
                </c:pt>
                <c:pt idx="78">
                  <c:v>26474131.344599999</c:v>
                </c:pt>
                <c:pt idx="79">
                  <c:v>26474131.344599999</c:v>
                </c:pt>
                <c:pt idx="80">
                  <c:v>26474131.344599999</c:v>
                </c:pt>
                <c:pt idx="81">
                  <c:v>26474131.344599999</c:v>
                </c:pt>
                <c:pt idx="82">
                  <c:v>26474131.344599999</c:v>
                </c:pt>
                <c:pt idx="83">
                  <c:v>26474131.344599999</c:v>
                </c:pt>
                <c:pt idx="84">
                  <c:v>26474131.344599999</c:v>
                </c:pt>
                <c:pt idx="85">
                  <c:v>26474131.344599999</c:v>
                </c:pt>
                <c:pt idx="86">
                  <c:v>26474131.344599999</c:v>
                </c:pt>
                <c:pt idx="87">
                  <c:v>26474131.344599999</c:v>
                </c:pt>
                <c:pt idx="88">
                  <c:v>26474131.344599999</c:v>
                </c:pt>
                <c:pt idx="89">
                  <c:v>26474131.344599999</c:v>
                </c:pt>
                <c:pt idx="90">
                  <c:v>26474131.344599999</c:v>
                </c:pt>
                <c:pt idx="91">
                  <c:v>26474131.344599999</c:v>
                </c:pt>
                <c:pt idx="92">
                  <c:v>26474131.344599999</c:v>
                </c:pt>
                <c:pt idx="93">
                  <c:v>26474131.344599999</c:v>
                </c:pt>
                <c:pt idx="94">
                  <c:v>26474131.344599999</c:v>
                </c:pt>
                <c:pt idx="95">
                  <c:v>26474131.344599999</c:v>
                </c:pt>
                <c:pt idx="96">
                  <c:v>26474131.344599999</c:v>
                </c:pt>
                <c:pt idx="97">
                  <c:v>26474131.344599999</c:v>
                </c:pt>
                <c:pt idx="98">
                  <c:v>26474131.344599999</c:v>
                </c:pt>
                <c:pt idx="99">
                  <c:v>26474131.344599999</c:v>
                </c:pt>
                <c:pt idx="100">
                  <c:v>26474131.344599999</c:v>
                </c:pt>
                <c:pt idx="101">
                  <c:v>26474131.344599999</c:v>
                </c:pt>
                <c:pt idx="102">
                  <c:v>26474131.344599999</c:v>
                </c:pt>
                <c:pt idx="103">
                  <c:v>26474131.344599999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5-4E41-BA09-AAA3948659F0}"/>
            </c:ext>
          </c:extLst>
        </c:ser>
        <c:ser>
          <c:idx val="7"/>
          <c:order val="1"/>
          <c:tx>
            <c:v>P2</c:v>
          </c:tx>
          <c:spPr>
            <a:solidFill>
              <a:schemeClr val="bg1">
                <a:lumMod val="50000"/>
                <a:alpha val="17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Predicted'!$D$52:$D$155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26474131.344599999</c:v>
                </c:pt>
                <c:pt idx="83">
                  <c:v>26474131.344599999</c:v>
                </c:pt>
                <c:pt idx="84">
                  <c:v>26474131.344599999</c:v>
                </c:pt>
                <c:pt idx="85">
                  <c:v>26474131.344599999</c:v>
                </c:pt>
                <c:pt idx="86">
                  <c:v>26474131.344599999</c:v>
                </c:pt>
                <c:pt idx="87">
                  <c:v>26474131.344599999</c:v>
                </c:pt>
                <c:pt idx="88">
                  <c:v>26474131.344599999</c:v>
                </c:pt>
                <c:pt idx="89">
                  <c:v>26474131.344599999</c:v>
                </c:pt>
                <c:pt idx="90">
                  <c:v>26474131.344599999</c:v>
                </c:pt>
                <c:pt idx="91">
                  <c:v>26474131.344599999</c:v>
                </c:pt>
                <c:pt idx="92">
                  <c:v>26474131.344599999</c:v>
                </c:pt>
                <c:pt idx="93">
                  <c:v>26474131.344599999</c:v>
                </c:pt>
                <c:pt idx="94">
                  <c:v>26474131.344599999</c:v>
                </c:pt>
                <c:pt idx="95">
                  <c:v>26474131.344599999</c:v>
                </c:pt>
                <c:pt idx="96">
                  <c:v>26474131.344599999</c:v>
                </c:pt>
                <c:pt idx="97">
                  <c:v>26474131.344599999</c:v>
                </c:pt>
                <c:pt idx="98">
                  <c:v>26474131.344599999</c:v>
                </c:pt>
                <c:pt idx="99">
                  <c:v>26474131.344599999</c:v>
                </c:pt>
                <c:pt idx="100">
                  <c:v>26474131.344599999</c:v>
                </c:pt>
                <c:pt idx="101">
                  <c:v>26474131.344599999</c:v>
                </c:pt>
                <c:pt idx="102">
                  <c:v>26474131.344599999</c:v>
                </c:pt>
                <c:pt idx="103">
                  <c:v>26474131.344599999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5-4E41-BA09-AAA3948659F0}"/>
            </c:ext>
          </c:extLst>
        </c:ser>
        <c:ser>
          <c:idx val="5"/>
          <c:order val="2"/>
          <c:tx>
            <c:v>P3</c:v>
          </c:tx>
          <c:spPr>
            <a:solidFill>
              <a:schemeClr val="bg1">
                <a:lumMod val="50000"/>
                <a:alpha val="23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Predicted'!$E$52:$E$155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B-452A-8D6A-239C2BDCC935}"/>
            </c:ext>
          </c:extLst>
        </c:ser>
        <c:ser>
          <c:idx val="8"/>
          <c:order val="3"/>
          <c:tx>
            <c:v>P4</c:v>
          </c:tx>
          <c:spPr>
            <a:solidFill>
              <a:schemeClr val="bg1">
                <a:lumMod val="50000"/>
                <a:alpha val="29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Predicted'!$F$52:$F$155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7-4179-969D-E8E7C5CC104F}"/>
            </c:ext>
          </c:extLst>
        </c:ser>
        <c:ser>
          <c:idx val="2"/>
          <c:order val="4"/>
          <c:tx>
            <c:strRef>
              <c:f>'Actual vs Predicted'!$O$51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chemeClr val="tx1"/>
            </a:solidFill>
            <a:ln w="38100">
              <a:solidFill>
                <a:schemeClr val="bg1"/>
              </a:solidFill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Predicted'!$O$52:$O$155</c:f>
              <c:numCache>
                <c:formatCode>\+#,##0;\-#,##0;0</c:formatCode>
                <c:ptCount val="104"/>
                <c:pt idx="0">
                  <c:v>465080.3526051119</c:v>
                </c:pt>
                <c:pt idx="1">
                  <c:v>763869.6290292982</c:v>
                </c:pt>
                <c:pt idx="2">
                  <c:v>77163.338338628411</c:v>
                </c:pt>
                <c:pt idx="3">
                  <c:v>-523952.84815280698</c:v>
                </c:pt>
                <c:pt idx="4">
                  <c:v>-1470716.9997950941</c:v>
                </c:pt>
                <c:pt idx="5">
                  <c:v>242846.81464419514</c:v>
                </c:pt>
                <c:pt idx="6">
                  <c:v>490623.30494055711</c:v>
                </c:pt>
                <c:pt idx="7">
                  <c:v>536757.62038488593</c:v>
                </c:pt>
                <c:pt idx="8">
                  <c:v>683811.27235171013</c:v>
                </c:pt>
                <c:pt idx="9">
                  <c:v>8694.7141522523016</c:v>
                </c:pt>
                <c:pt idx="10">
                  <c:v>170974.65502389334</c:v>
                </c:pt>
                <c:pt idx="11">
                  <c:v>446056.22331577912</c:v>
                </c:pt>
                <c:pt idx="12">
                  <c:v>74450.350956909359</c:v>
                </c:pt>
                <c:pt idx="13">
                  <c:v>406446.28708948102</c:v>
                </c:pt>
                <c:pt idx="14">
                  <c:v>-142373.9167508781</c:v>
                </c:pt>
                <c:pt idx="15">
                  <c:v>-60945.340289602056</c:v>
                </c:pt>
                <c:pt idx="16">
                  <c:v>1018157.6565758437</c:v>
                </c:pt>
                <c:pt idx="17">
                  <c:v>-1134811.8492582366</c:v>
                </c:pt>
                <c:pt idx="18">
                  <c:v>-987090.93756021932</c:v>
                </c:pt>
                <c:pt idx="19">
                  <c:v>-1639880.7615072187</c:v>
                </c:pt>
                <c:pt idx="20">
                  <c:v>-122213.45943223406</c:v>
                </c:pt>
                <c:pt idx="21">
                  <c:v>-1556801.3219047515</c:v>
                </c:pt>
                <c:pt idx="22">
                  <c:v>993928.61803458445</c:v>
                </c:pt>
                <c:pt idx="23">
                  <c:v>796589.77828176413</c:v>
                </c:pt>
                <c:pt idx="24">
                  <c:v>-907068.11615162157</c:v>
                </c:pt>
                <c:pt idx="25">
                  <c:v>-112172.73088487517</c:v>
                </c:pt>
                <c:pt idx="26">
                  <c:v>8234.5901187378913</c:v>
                </c:pt>
                <c:pt idx="27">
                  <c:v>-1154077.9457998043</c:v>
                </c:pt>
                <c:pt idx="28">
                  <c:v>-399394.0313984016</c:v>
                </c:pt>
                <c:pt idx="29">
                  <c:v>783769.76728620753</c:v>
                </c:pt>
                <c:pt idx="30">
                  <c:v>-910510.81522033736</c:v>
                </c:pt>
                <c:pt idx="31">
                  <c:v>-302145.20053988323</c:v>
                </c:pt>
                <c:pt idx="32">
                  <c:v>1853488.6281461604</c:v>
                </c:pt>
                <c:pt idx="33">
                  <c:v>-617112.87287752889</c:v>
                </c:pt>
                <c:pt idx="34">
                  <c:v>-71023.306035058573</c:v>
                </c:pt>
                <c:pt idx="35">
                  <c:v>59735.874693831429</c:v>
                </c:pt>
                <c:pt idx="36">
                  <c:v>816988.9323373083</c:v>
                </c:pt>
                <c:pt idx="37">
                  <c:v>2517845.0603380967</c:v>
                </c:pt>
                <c:pt idx="38">
                  <c:v>-1747909.8706190139</c:v>
                </c:pt>
                <c:pt idx="39">
                  <c:v>-206699.36851136945</c:v>
                </c:pt>
                <c:pt idx="40">
                  <c:v>-1302022.7275066655</c:v>
                </c:pt>
                <c:pt idx="41">
                  <c:v>-334460.95710986666</c:v>
                </c:pt>
                <c:pt idx="42">
                  <c:v>944364.0724600153</c:v>
                </c:pt>
                <c:pt idx="43">
                  <c:v>-1608379.0622782037</c:v>
                </c:pt>
                <c:pt idx="44">
                  <c:v>1061068.3619200271</c:v>
                </c:pt>
                <c:pt idx="45">
                  <c:v>1646606.3457856979</c:v>
                </c:pt>
                <c:pt idx="46">
                  <c:v>100159.81116718054</c:v>
                </c:pt>
                <c:pt idx="47">
                  <c:v>-3136110.7179091759</c:v>
                </c:pt>
                <c:pt idx="48">
                  <c:v>-1284550.135481393</c:v>
                </c:pt>
                <c:pt idx="49">
                  <c:v>421189.66583449766</c:v>
                </c:pt>
                <c:pt idx="50">
                  <c:v>381339.78674679995</c:v>
                </c:pt>
                <c:pt idx="51">
                  <c:v>769921.70108695701</c:v>
                </c:pt>
                <c:pt idx="52">
                  <c:v>100159.82049271092</c:v>
                </c:pt>
                <c:pt idx="53">
                  <c:v>910456.69129045215</c:v>
                </c:pt>
                <c:pt idx="54">
                  <c:v>4009.0124703962356</c:v>
                </c:pt>
                <c:pt idx="55">
                  <c:v>349784.6794846477</c:v>
                </c:pt>
                <c:pt idx="56">
                  <c:v>-790733.31519893184</c:v>
                </c:pt>
                <c:pt idx="57">
                  <c:v>1015499.6967967395</c:v>
                </c:pt>
                <c:pt idx="58">
                  <c:v>-1321613.5767084882</c:v>
                </c:pt>
                <c:pt idx="59">
                  <c:v>-735342.49563082028</c:v>
                </c:pt>
                <c:pt idx="60">
                  <c:v>-1488212.0793251544</c:v>
                </c:pt>
                <c:pt idx="61">
                  <c:v>1524907.3460483942</c:v>
                </c:pt>
                <c:pt idx="62">
                  <c:v>-131154.71678426582</c:v>
                </c:pt>
                <c:pt idx="63">
                  <c:v>730396.89198351954</c:v>
                </c:pt>
                <c:pt idx="64">
                  <c:v>76473.378730911762</c:v>
                </c:pt>
                <c:pt idx="65">
                  <c:v>-725472.72925337835</c:v>
                </c:pt>
                <c:pt idx="66">
                  <c:v>299506.49901177548</c:v>
                </c:pt>
                <c:pt idx="67">
                  <c:v>261732.83615583181</c:v>
                </c:pt>
                <c:pt idx="68">
                  <c:v>96350.622682057787</c:v>
                </c:pt>
                <c:pt idx="69">
                  <c:v>261090.40602069441</c:v>
                </c:pt>
                <c:pt idx="70">
                  <c:v>229468.81809375435</c:v>
                </c:pt>
                <c:pt idx="71">
                  <c:v>-975666.64683331968</c:v>
                </c:pt>
                <c:pt idx="72">
                  <c:v>-1241380.5918889162</c:v>
                </c:pt>
                <c:pt idx="73">
                  <c:v>-1081290.6941985129</c:v>
                </c:pt>
                <c:pt idx="74">
                  <c:v>271878.72671512701</c:v>
                </c:pt>
                <c:pt idx="75">
                  <c:v>-535965.63829820417</c:v>
                </c:pt>
                <c:pt idx="76">
                  <c:v>259789.75115208142</c:v>
                </c:pt>
                <c:pt idx="77">
                  <c:v>78841.413160469849</c:v>
                </c:pt>
                <c:pt idx="78">
                  <c:v>192085.04910911154</c:v>
                </c:pt>
                <c:pt idx="79">
                  <c:v>-884502.53214450087</c:v>
                </c:pt>
                <c:pt idx="80">
                  <c:v>362114.33588085882</c:v>
                </c:pt>
                <c:pt idx="81">
                  <c:v>2030276.6882293303</c:v>
                </c:pt>
                <c:pt idx="82">
                  <c:v>-951894.14613216929</c:v>
                </c:pt>
                <c:pt idx="83">
                  <c:v>-395802.15277344733</c:v>
                </c:pt>
                <c:pt idx="84">
                  <c:v>1890303.3440616028</c:v>
                </c:pt>
                <c:pt idx="85">
                  <c:v>-308342.55449139699</c:v>
                </c:pt>
                <c:pt idx="86">
                  <c:v>-490534.31236481108</c:v>
                </c:pt>
                <c:pt idx="87">
                  <c:v>1749314.5076858383</c:v>
                </c:pt>
                <c:pt idx="88">
                  <c:v>671913.4249427123</c:v>
                </c:pt>
                <c:pt idx="89">
                  <c:v>293261.11319680978</c:v>
                </c:pt>
                <c:pt idx="90">
                  <c:v>-1396273.6654430535</c:v>
                </c:pt>
                <c:pt idx="91">
                  <c:v>631703.84574251994</c:v>
                </c:pt>
                <c:pt idx="92">
                  <c:v>-160138.22970890161</c:v>
                </c:pt>
                <c:pt idx="93">
                  <c:v>151741.6688787993</c:v>
                </c:pt>
                <c:pt idx="94">
                  <c:v>-1554631.9590495499</c:v>
                </c:pt>
                <c:pt idx="95">
                  <c:v>1053742.2910706038</c:v>
                </c:pt>
                <c:pt idx="96">
                  <c:v>365001.81672184542</c:v>
                </c:pt>
                <c:pt idx="97">
                  <c:v>1005577.9063157979</c:v>
                </c:pt>
                <c:pt idx="98">
                  <c:v>542085.67287146114</c:v>
                </c:pt>
                <c:pt idx="99">
                  <c:v>-2507329.7995845731</c:v>
                </c:pt>
                <c:pt idx="100">
                  <c:v>814834.27575816773</c:v>
                </c:pt>
                <c:pt idx="101">
                  <c:v>1234706.5123974252</c:v>
                </c:pt>
                <c:pt idx="102">
                  <c:v>-181020.18030562624</c:v>
                </c:pt>
                <c:pt idx="103">
                  <c:v>1590555.0522913625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B-4CCF-BB00-9D7C3A5A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8422320"/>
        <c:axId val="428422648"/>
      </c:barChart>
      <c:lineChart>
        <c:grouping val="standard"/>
        <c:varyColors val="0"/>
        <c:ser>
          <c:idx val="0"/>
          <c:order val="5"/>
          <c:tx>
            <c:strRef>
              <c:f>'Actual vs Predicted'!$M$51</c:f>
              <c:strCache>
                <c:ptCount val="1"/>
                <c:pt idx="0">
                  <c:v>Actual</c:v>
                </c:pt>
              </c:strCache>
            </c:strRef>
          </c:tx>
          <c:spPr>
            <a:ln w="41275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Predicted'!$M$52:$M$155</c:f>
              <c:numCache>
                <c:formatCode>#,##0</c:formatCode>
                <c:ptCount val="104"/>
                <c:pt idx="0">
                  <c:v>6096762.5070000002</c:v>
                </c:pt>
                <c:pt idx="1">
                  <c:v>6089210.2319999998</c:v>
                </c:pt>
                <c:pt idx="2">
                  <c:v>6508506.8210000005</c:v>
                </c:pt>
                <c:pt idx="3">
                  <c:v>7022937.0590000004</c:v>
                </c:pt>
                <c:pt idx="4">
                  <c:v>19633182.66</c:v>
                </c:pt>
                <c:pt idx="5">
                  <c:v>12143474.27</c:v>
                </c:pt>
                <c:pt idx="6">
                  <c:v>9691781.5439999998</c:v>
                </c:pt>
                <c:pt idx="7">
                  <c:v>7689159.5630000001</c:v>
                </c:pt>
                <c:pt idx="8">
                  <c:v>10234521.560000001</c:v>
                </c:pt>
                <c:pt idx="9">
                  <c:v>9309029.1699999999</c:v>
                </c:pt>
                <c:pt idx="10">
                  <c:v>12102722.800000001</c:v>
                </c:pt>
                <c:pt idx="11">
                  <c:v>9283960.8220000006</c:v>
                </c:pt>
                <c:pt idx="12">
                  <c:v>8030813.165</c:v>
                </c:pt>
                <c:pt idx="13">
                  <c:v>7843202.9270000001</c:v>
                </c:pt>
                <c:pt idx="14">
                  <c:v>10981537.49</c:v>
                </c:pt>
                <c:pt idx="15">
                  <c:v>8798635.0580000002</c:v>
                </c:pt>
                <c:pt idx="16">
                  <c:v>9088033.0690000001</c:v>
                </c:pt>
                <c:pt idx="17">
                  <c:v>25955030.73</c:v>
                </c:pt>
                <c:pt idx="18">
                  <c:v>9793229.7449999992</c:v>
                </c:pt>
                <c:pt idx="19">
                  <c:v>9953995.2880000006</c:v>
                </c:pt>
                <c:pt idx="20">
                  <c:v>7779670.7589999996</c:v>
                </c:pt>
                <c:pt idx="21">
                  <c:v>9289882.693</c:v>
                </c:pt>
                <c:pt idx="22">
                  <c:v>7877616.6009999998</c:v>
                </c:pt>
                <c:pt idx="23">
                  <c:v>6779537.8909999998</c:v>
                </c:pt>
                <c:pt idx="24">
                  <c:v>8152210.6619999995</c:v>
                </c:pt>
                <c:pt idx="25">
                  <c:v>6559549.4809999997</c:v>
                </c:pt>
                <c:pt idx="26">
                  <c:v>9809436.0380000006</c:v>
                </c:pt>
                <c:pt idx="27">
                  <c:v>8647284.5350000001</c:v>
                </c:pt>
                <c:pt idx="28">
                  <c:v>7670843.8949999996</c:v>
                </c:pt>
                <c:pt idx="29">
                  <c:v>7169139.9129999997</c:v>
                </c:pt>
                <c:pt idx="30">
                  <c:v>16286039.140000001</c:v>
                </c:pt>
                <c:pt idx="31">
                  <c:v>9260269.5020000003</c:v>
                </c:pt>
                <c:pt idx="32">
                  <c:v>8989828.5419999994</c:v>
                </c:pt>
                <c:pt idx="33">
                  <c:v>11458412.84</c:v>
                </c:pt>
                <c:pt idx="34">
                  <c:v>8988057.9379999992</c:v>
                </c:pt>
                <c:pt idx="35">
                  <c:v>9665573.1909999996</c:v>
                </c:pt>
                <c:pt idx="36">
                  <c:v>9216226.3289999999</c:v>
                </c:pt>
                <c:pt idx="37">
                  <c:v>7296708.9639999997</c:v>
                </c:pt>
                <c:pt idx="38">
                  <c:v>10761945.16</c:v>
                </c:pt>
                <c:pt idx="39">
                  <c:v>10128820.43</c:v>
                </c:pt>
                <c:pt idx="40">
                  <c:v>10579812.07</c:v>
                </c:pt>
                <c:pt idx="41">
                  <c:v>9540770.0470000003</c:v>
                </c:pt>
                <c:pt idx="42">
                  <c:v>7647281.8370000003</c:v>
                </c:pt>
                <c:pt idx="43">
                  <c:v>14800451.35</c:v>
                </c:pt>
                <c:pt idx="44">
                  <c:v>11785160.34</c:v>
                </c:pt>
                <c:pt idx="45">
                  <c:v>10627951.74</c:v>
                </c:pt>
                <c:pt idx="46">
                  <c:v>17191909.940000001</c:v>
                </c:pt>
                <c:pt idx="47">
                  <c:v>17642889.190000001</c:v>
                </c:pt>
                <c:pt idx="48">
                  <c:v>17787325.870000001</c:v>
                </c:pt>
                <c:pt idx="49">
                  <c:v>20681419.510000002</c:v>
                </c:pt>
                <c:pt idx="50">
                  <c:v>14988373.890000001</c:v>
                </c:pt>
                <c:pt idx="51">
                  <c:v>7394759.4119999995</c:v>
                </c:pt>
                <c:pt idx="52">
                  <c:v>6128183.483</c:v>
                </c:pt>
                <c:pt idx="53">
                  <c:v>6077461.2920000004</c:v>
                </c:pt>
                <c:pt idx="54">
                  <c:v>7084933.6600000001</c:v>
                </c:pt>
                <c:pt idx="55">
                  <c:v>6811065.7240000004</c:v>
                </c:pt>
                <c:pt idx="56">
                  <c:v>18472805.66</c:v>
                </c:pt>
                <c:pt idx="57">
                  <c:v>12271156.390000001</c:v>
                </c:pt>
                <c:pt idx="58">
                  <c:v>10431474.85</c:v>
                </c:pt>
                <c:pt idx="59">
                  <c:v>8808837.7780000009</c:v>
                </c:pt>
                <c:pt idx="60">
                  <c:v>10497654.6</c:v>
                </c:pt>
                <c:pt idx="61">
                  <c:v>6525614.6840000004</c:v>
                </c:pt>
                <c:pt idx="62">
                  <c:v>4232459.3459999999</c:v>
                </c:pt>
                <c:pt idx="63">
                  <c:v>1984181.811</c:v>
                </c:pt>
                <c:pt idx="64">
                  <c:v>1334901.0049999999</c:v>
                </c:pt>
                <c:pt idx="65">
                  <c:v>1732695.2050000001</c:v>
                </c:pt>
                <c:pt idx="66">
                  <c:v>1222968.2169999999</c:v>
                </c:pt>
                <c:pt idx="67">
                  <c:v>2260663.6329999999</c:v>
                </c:pt>
                <c:pt idx="68">
                  <c:v>3381277.1889999998</c:v>
                </c:pt>
                <c:pt idx="69">
                  <c:v>4270501.9040000001</c:v>
                </c:pt>
                <c:pt idx="70">
                  <c:v>3224891.537</c:v>
                </c:pt>
                <c:pt idx="71">
                  <c:v>4463840.9529999997</c:v>
                </c:pt>
                <c:pt idx="72">
                  <c:v>4432625.5870000003</c:v>
                </c:pt>
                <c:pt idx="73">
                  <c:v>4855216.2949999999</c:v>
                </c:pt>
                <c:pt idx="74">
                  <c:v>6452035.4610000001</c:v>
                </c:pt>
                <c:pt idx="75">
                  <c:v>6185776.523</c:v>
                </c:pt>
                <c:pt idx="76">
                  <c:v>4558502.4340000004</c:v>
                </c:pt>
                <c:pt idx="77">
                  <c:v>4176359.0189999999</c:v>
                </c:pt>
                <c:pt idx="78">
                  <c:v>6637140.6370000001</c:v>
                </c:pt>
                <c:pt idx="79">
                  <c:v>5108492.5549999997</c:v>
                </c:pt>
                <c:pt idx="80">
                  <c:v>4614863.0949999997</c:v>
                </c:pt>
                <c:pt idx="81">
                  <c:v>4186855.895</c:v>
                </c:pt>
                <c:pt idx="82">
                  <c:v>11887165.029999999</c:v>
                </c:pt>
                <c:pt idx="83">
                  <c:v>6924504.2340000002</c:v>
                </c:pt>
                <c:pt idx="84">
                  <c:v>6052938.5219999999</c:v>
                </c:pt>
                <c:pt idx="85">
                  <c:v>8866605.5690000001</c:v>
                </c:pt>
                <c:pt idx="86">
                  <c:v>7204538.9910000004</c:v>
                </c:pt>
                <c:pt idx="87">
                  <c:v>4865201.1169999996</c:v>
                </c:pt>
                <c:pt idx="88">
                  <c:v>5956462.568</c:v>
                </c:pt>
                <c:pt idx="89">
                  <c:v>6710774.4939999999</c:v>
                </c:pt>
                <c:pt idx="90">
                  <c:v>7833490.9129999997</c:v>
                </c:pt>
                <c:pt idx="91">
                  <c:v>6215606.9249999998</c:v>
                </c:pt>
                <c:pt idx="92">
                  <c:v>6647592.642</c:v>
                </c:pt>
                <c:pt idx="93">
                  <c:v>6008982.1279999996</c:v>
                </c:pt>
                <c:pt idx="94">
                  <c:v>8869583.0580000002</c:v>
                </c:pt>
                <c:pt idx="95">
                  <c:v>6830886.6129999999</c:v>
                </c:pt>
                <c:pt idx="96">
                  <c:v>9528321.3900000006</c:v>
                </c:pt>
                <c:pt idx="97">
                  <c:v>9021896.3000000007</c:v>
                </c:pt>
                <c:pt idx="98">
                  <c:v>11920200.32</c:v>
                </c:pt>
                <c:pt idx="99">
                  <c:v>14622121.83</c:v>
                </c:pt>
                <c:pt idx="100">
                  <c:v>12472911.68</c:v>
                </c:pt>
                <c:pt idx="101">
                  <c:v>12530145.32</c:v>
                </c:pt>
                <c:pt idx="102">
                  <c:v>13188094.560000001</c:v>
                </c:pt>
                <c:pt idx="103">
                  <c:v>5481824.1730000004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CB-4CCF-BB00-9D7C3A5A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422320"/>
        <c:axId val="428422648"/>
      </c:lineChart>
      <c:catAx>
        <c:axId val="42842232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22648"/>
        <c:crosses val="autoZero"/>
        <c:auto val="0"/>
        <c:lblAlgn val="ctr"/>
        <c:lblOffset val="100"/>
        <c:noMultiLvlLbl val="0"/>
      </c:catAx>
      <c:valAx>
        <c:axId val="42842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2232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4.5670611328026161E-4"/>
          <c:y val="2.9622972467600178E-3"/>
          <c:w val="8.5084639271305551E-2"/>
          <c:h val="0.27231927677673645"/>
        </c:manualLayout>
      </c:layout>
      <c:overlay val="1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vs.</a:t>
            </a:r>
            <a:r>
              <a:rPr lang="en-US" baseline="0"/>
              <a:t> Predicted - Layer Decomposition</a:t>
            </a:r>
            <a:endParaRPr lang="en-US"/>
          </a:p>
        </c:rich>
      </c:tx>
      <c:layout>
        <c:manualLayout>
          <c:xMode val="edge"/>
          <c:yMode val="edge"/>
          <c:x val="0.40556352785187699"/>
          <c:y val="1.63634573846608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07604273581251E-2"/>
          <c:y val="5.5020064137493219E-2"/>
          <c:w val="0.94582747803392897"/>
          <c:h val="0.88830658056754763"/>
        </c:manualLayout>
      </c:layout>
      <c:areaChart>
        <c:grouping val="stacked"/>
        <c:varyColors val="0"/>
        <c:ser>
          <c:idx val="1"/>
          <c:order val="1"/>
          <c:tx>
            <c:strRef>
              <c:f>'Layer Chart'!$O$5</c:f>
              <c:strCache>
                <c:ptCount val="1"/>
                <c:pt idx="0">
                  <c:v>Other - Negative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Chart'!$O$6:$O$163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-388470.80163105391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-14586.082492116839</c:v>
                </c:pt>
                <c:pt idx="59">
                  <c:v>0</c:v>
                </c:pt>
                <c:pt idx="60">
                  <c:v>0</c:v>
                </c:pt>
                <c:pt idx="61">
                  <c:v>-3286.9609239483252</c:v>
                </c:pt>
                <c:pt idx="62">
                  <c:v>-1197970.3047381127</c:v>
                </c:pt>
                <c:pt idx="63">
                  <c:v>-1893978.4288169811</c:v>
                </c:pt>
                <c:pt idx="64">
                  <c:v>-2107135.7230719049</c:v>
                </c:pt>
                <c:pt idx="65">
                  <c:v>-2294622.544522963</c:v>
                </c:pt>
                <c:pt idx="66">
                  <c:v>-2078447.5855762057</c:v>
                </c:pt>
                <c:pt idx="67">
                  <c:v>-2020188.6760864141</c:v>
                </c:pt>
                <c:pt idx="68">
                  <c:v>-1886816.4745731605</c:v>
                </c:pt>
                <c:pt idx="69">
                  <c:v>-1727373.3340683747</c:v>
                </c:pt>
                <c:pt idx="70">
                  <c:v>-1617479.6587882102</c:v>
                </c:pt>
                <c:pt idx="71">
                  <c:v>-1538915.6260162662</c:v>
                </c:pt>
                <c:pt idx="72">
                  <c:v>-1603491.4258910441</c:v>
                </c:pt>
                <c:pt idx="73">
                  <c:v>-1268365.8013284844</c:v>
                </c:pt>
                <c:pt idx="74">
                  <c:v>-1213547.634392173</c:v>
                </c:pt>
                <c:pt idx="75">
                  <c:v>-1216492.2220262503</c:v>
                </c:pt>
                <c:pt idx="76">
                  <c:v>-1266102.2431764035</c:v>
                </c:pt>
                <c:pt idx="77">
                  <c:v>-1657667.0127879344</c:v>
                </c:pt>
                <c:pt idx="78">
                  <c:v>-1372819.5338525511</c:v>
                </c:pt>
                <c:pt idx="79">
                  <c:v>-1344088.4587417422</c:v>
                </c:pt>
                <c:pt idx="80">
                  <c:v>-1348010.1503874799</c:v>
                </c:pt>
                <c:pt idx="81">
                  <c:v>-1359699.1979996674</c:v>
                </c:pt>
                <c:pt idx="82">
                  <c:v>-1340164.1844050083</c:v>
                </c:pt>
                <c:pt idx="83">
                  <c:v>-1347074.0923915859</c:v>
                </c:pt>
                <c:pt idx="84">
                  <c:v>-988523.49969032872</c:v>
                </c:pt>
                <c:pt idx="85">
                  <c:v>-960951.93815960176</c:v>
                </c:pt>
                <c:pt idx="86">
                  <c:v>-982475.51276682131</c:v>
                </c:pt>
                <c:pt idx="87">
                  <c:v>-1305447.61878502</c:v>
                </c:pt>
                <c:pt idx="88">
                  <c:v>-1105071.9608892808</c:v>
                </c:pt>
                <c:pt idx="89">
                  <c:v>-1053755.2505682399</c:v>
                </c:pt>
                <c:pt idx="90">
                  <c:v>-1035449.3045529108</c:v>
                </c:pt>
                <c:pt idx="91">
                  <c:v>-1052872.017928509</c:v>
                </c:pt>
                <c:pt idx="92">
                  <c:v>-1093039.2783628963</c:v>
                </c:pt>
                <c:pt idx="93">
                  <c:v>-1016504.9087516125</c:v>
                </c:pt>
                <c:pt idx="94">
                  <c:v>-1034503.8676284244</c:v>
                </c:pt>
                <c:pt idx="95">
                  <c:v>-1009491.6327676801</c:v>
                </c:pt>
                <c:pt idx="96">
                  <c:v>-1119282.1669941247</c:v>
                </c:pt>
                <c:pt idx="97">
                  <c:v>-1066505.6954561658</c:v>
                </c:pt>
                <c:pt idx="98">
                  <c:v>-1989920.3234178517</c:v>
                </c:pt>
                <c:pt idx="99">
                  <c:v>-1074309.6014193948</c:v>
                </c:pt>
                <c:pt idx="100">
                  <c:v>-1062013.8888052404</c:v>
                </c:pt>
                <c:pt idx="101">
                  <c:v>-1102531.414408708</c:v>
                </c:pt>
                <c:pt idx="102">
                  <c:v>-2102707.122637745</c:v>
                </c:pt>
                <c:pt idx="103">
                  <c:v>-2031508.3246460455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D-458D-BA7C-1DEA77648993}"/>
            </c:ext>
          </c:extLst>
        </c:ser>
        <c:ser>
          <c:idx val="2"/>
          <c:order val="2"/>
          <c:tx>
            <c:strRef>
              <c:f>'Layer Chart'!$P$5</c:f>
              <c:strCache>
                <c:ptCount val="1"/>
                <c:pt idx="0">
                  <c:v>Covid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Chart'!$P$6:$P$163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20932.139937485237</c:v>
                </c:pt>
                <c:pt idx="58">
                  <c:v>-114745.90445750466</c:v>
                </c:pt>
                <c:pt idx="59">
                  <c:v>115865.30484466422</c:v>
                </c:pt>
                <c:pt idx="60">
                  <c:v>129161.86695726836</c:v>
                </c:pt>
                <c:pt idx="61">
                  <c:v>-103446.78288934012</c:v>
                </c:pt>
                <c:pt idx="62">
                  <c:v>-1298130.1267035028</c:v>
                </c:pt>
                <c:pt idx="63">
                  <c:v>-1994138.2507823727</c:v>
                </c:pt>
                <c:pt idx="64">
                  <c:v>-2207295.5450372952</c:v>
                </c:pt>
                <c:pt idx="65">
                  <c:v>-2394782.3664883533</c:v>
                </c:pt>
                <c:pt idx="66">
                  <c:v>-2178607.4075415963</c:v>
                </c:pt>
                <c:pt idx="67">
                  <c:v>-2120348.498051805</c:v>
                </c:pt>
                <c:pt idx="68">
                  <c:v>-1986976.296538553</c:v>
                </c:pt>
                <c:pt idx="69">
                  <c:v>-1827533.156033766</c:v>
                </c:pt>
                <c:pt idx="70">
                  <c:v>-1717639.4807536008</c:v>
                </c:pt>
                <c:pt idx="71">
                  <c:v>-1639075.4479816565</c:v>
                </c:pt>
                <c:pt idx="72">
                  <c:v>-1703651.2478564354</c:v>
                </c:pt>
                <c:pt idx="73">
                  <c:v>-1368525.6232938748</c:v>
                </c:pt>
                <c:pt idx="74">
                  <c:v>-1313707.4563575641</c:v>
                </c:pt>
                <c:pt idx="75">
                  <c:v>-1316652.0439916407</c:v>
                </c:pt>
                <c:pt idx="76">
                  <c:v>-1366262.065141794</c:v>
                </c:pt>
                <c:pt idx="77">
                  <c:v>-1757826.8347533257</c:v>
                </c:pt>
                <c:pt idx="78">
                  <c:v>-1472979.3558179429</c:v>
                </c:pt>
                <c:pt idx="79">
                  <c:v>-1444248.2807071337</c:v>
                </c:pt>
                <c:pt idx="80">
                  <c:v>-1448169.9723528696</c:v>
                </c:pt>
                <c:pt idx="81">
                  <c:v>-1459859.0199650577</c:v>
                </c:pt>
                <c:pt idx="82">
                  <c:v>-1440324.006370398</c:v>
                </c:pt>
                <c:pt idx="83">
                  <c:v>-1447233.9143569763</c:v>
                </c:pt>
                <c:pt idx="84">
                  <c:v>-1088683.3216557188</c:v>
                </c:pt>
                <c:pt idx="85">
                  <c:v>-1061111.7601249933</c:v>
                </c:pt>
                <c:pt idx="86">
                  <c:v>-1082635.3347322121</c:v>
                </c:pt>
                <c:pt idx="87">
                  <c:v>-1405607.4407504112</c:v>
                </c:pt>
                <c:pt idx="88">
                  <c:v>-1205231.782854673</c:v>
                </c:pt>
                <c:pt idx="89">
                  <c:v>-1153915.0725336303</c:v>
                </c:pt>
                <c:pt idx="90">
                  <c:v>-1135609.1265183014</c:v>
                </c:pt>
                <c:pt idx="91">
                  <c:v>-1153031.8398939001</c:v>
                </c:pt>
                <c:pt idx="92">
                  <c:v>-1193199.1003282862</c:v>
                </c:pt>
                <c:pt idx="93">
                  <c:v>-1116664.7307170024</c:v>
                </c:pt>
                <c:pt idx="94">
                  <c:v>-1134663.689593815</c:v>
                </c:pt>
                <c:pt idx="95">
                  <c:v>-1109651.45473307</c:v>
                </c:pt>
                <c:pt idx="96">
                  <c:v>-1219441.9889595166</c:v>
                </c:pt>
                <c:pt idx="97">
                  <c:v>-1166665.5174215585</c:v>
                </c:pt>
                <c:pt idx="98">
                  <c:v>-2090080.1453832411</c:v>
                </c:pt>
                <c:pt idx="99">
                  <c:v>-1174469.4233847866</c:v>
                </c:pt>
                <c:pt idx="100">
                  <c:v>-1162173.7107706331</c:v>
                </c:pt>
                <c:pt idx="101">
                  <c:v>-1202691.2363740986</c:v>
                </c:pt>
                <c:pt idx="102">
                  <c:v>-2202866.944603133</c:v>
                </c:pt>
                <c:pt idx="103">
                  <c:v>-2131668.1466114377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D-458D-BA7C-1DEA77648993}"/>
            </c:ext>
          </c:extLst>
        </c:ser>
        <c:ser>
          <c:idx val="3"/>
          <c:order val="3"/>
          <c:tx>
            <c:strRef>
              <c:f>'Layer Chart'!$Q$5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Chart'!$Q$6:$Q$163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3-566D-458D-BA7C-1DEA77648993}"/>
            </c:ext>
          </c:extLst>
        </c:ser>
        <c:ser>
          <c:idx val="4"/>
          <c:order val="4"/>
          <c:tx>
            <c:strRef>
              <c:f>'Layer Chart'!$R$5</c:f>
              <c:strCache>
                <c:ptCount val="1"/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Chart'!$R$6:$R$163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4-566D-458D-BA7C-1DEA77648993}"/>
            </c:ext>
          </c:extLst>
        </c:ser>
        <c:ser>
          <c:idx val="5"/>
          <c:order val="5"/>
          <c:tx>
            <c:strRef>
              <c:f>'Layer Chart'!$S$5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Chart'!$S$6:$S$163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5-566D-458D-BA7C-1DEA77648993}"/>
            </c:ext>
          </c:extLst>
        </c:ser>
        <c:ser>
          <c:idx val="6"/>
          <c:order val="6"/>
          <c:tx>
            <c:strRef>
              <c:f>'Layer Chart'!$T$5</c:f>
              <c:strCache>
                <c:ptCount val="1"/>
                <c:pt idx="0">
                  <c:v>Neg Spacer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Chart'!$T$6:$T$163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388470.80163105391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-20932.139937485237</c:v>
                </c:pt>
                <c:pt idx="58">
                  <c:v>129331.9869496215</c:v>
                </c:pt>
                <c:pt idx="59">
                  <c:v>-115865.30484466422</c:v>
                </c:pt>
                <c:pt idx="60">
                  <c:v>-129161.86695726836</c:v>
                </c:pt>
                <c:pt idx="61">
                  <c:v>106733.74381328844</c:v>
                </c:pt>
                <c:pt idx="62">
                  <c:v>2496100.4314416153</c:v>
                </c:pt>
                <c:pt idx="63">
                  <c:v>3888116.679599354</c:v>
                </c:pt>
                <c:pt idx="64">
                  <c:v>4314431.2681092005</c:v>
                </c:pt>
                <c:pt idx="65">
                  <c:v>4689404.9110113159</c:v>
                </c:pt>
                <c:pt idx="66">
                  <c:v>4257054.9931178018</c:v>
                </c:pt>
                <c:pt idx="67">
                  <c:v>4140537.1741382191</c:v>
                </c:pt>
                <c:pt idx="68">
                  <c:v>3873792.7711117137</c:v>
                </c:pt>
                <c:pt idx="69">
                  <c:v>3554906.4901021407</c:v>
                </c:pt>
                <c:pt idx="70">
                  <c:v>3335119.1395418113</c:v>
                </c:pt>
                <c:pt idx="71">
                  <c:v>3177991.0739979227</c:v>
                </c:pt>
                <c:pt idx="72">
                  <c:v>3307142.6737474794</c:v>
                </c:pt>
                <c:pt idx="73">
                  <c:v>2636891.4246223592</c:v>
                </c:pt>
                <c:pt idx="74">
                  <c:v>2527255.0907497369</c:v>
                </c:pt>
                <c:pt idx="75">
                  <c:v>2533144.266017891</c:v>
                </c:pt>
                <c:pt idx="76">
                  <c:v>2632364.3083181977</c:v>
                </c:pt>
                <c:pt idx="77">
                  <c:v>3415493.8475412601</c:v>
                </c:pt>
                <c:pt idx="78">
                  <c:v>2845798.889670494</c:v>
                </c:pt>
                <c:pt idx="79">
                  <c:v>2788336.7394488761</c:v>
                </c:pt>
                <c:pt idx="80">
                  <c:v>2796180.1227403497</c:v>
                </c:pt>
                <c:pt idx="81">
                  <c:v>2819558.2179647251</c:v>
                </c:pt>
                <c:pt idx="82">
                  <c:v>2780488.1907754065</c:v>
                </c:pt>
                <c:pt idx="83">
                  <c:v>2794308.0067485622</c:v>
                </c:pt>
                <c:pt idx="84">
                  <c:v>2077206.8213460476</c:v>
                </c:pt>
                <c:pt idx="85">
                  <c:v>2022063.698284595</c:v>
                </c:pt>
                <c:pt idx="86">
                  <c:v>2065110.8474990334</c:v>
                </c:pt>
                <c:pt idx="87">
                  <c:v>2711055.0595354312</c:v>
                </c:pt>
                <c:pt idx="88">
                  <c:v>2310303.7437439538</c:v>
                </c:pt>
                <c:pt idx="89">
                  <c:v>2207670.3231018702</c:v>
                </c:pt>
                <c:pt idx="90">
                  <c:v>2171058.4310712125</c:v>
                </c:pt>
                <c:pt idx="91">
                  <c:v>2205903.8578224089</c:v>
                </c:pt>
                <c:pt idx="92">
                  <c:v>2286238.3786911825</c:v>
                </c:pt>
                <c:pt idx="93">
                  <c:v>2133169.6394686149</c:v>
                </c:pt>
                <c:pt idx="94">
                  <c:v>2169167.5572222397</c:v>
                </c:pt>
                <c:pt idx="95">
                  <c:v>2119143.0875007501</c:v>
                </c:pt>
                <c:pt idx="96">
                  <c:v>2338724.155953641</c:v>
                </c:pt>
                <c:pt idx="97">
                  <c:v>2233171.2128777243</c:v>
                </c:pt>
                <c:pt idx="98">
                  <c:v>4080000.4688010928</c:v>
                </c:pt>
                <c:pt idx="99">
                  <c:v>2248779.0248041814</c:v>
                </c:pt>
                <c:pt idx="100">
                  <c:v>2224187.5995758735</c:v>
                </c:pt>
                <c:pt idx="101">
                  <c:v>2305222.6507828068</c:v>
                </c:pt>
                <c:pt idx="102">
                  <c:v>4305574.067240878</c:v>
                </c:pt>
                <c:pt idx="103">
                  <c:v>4163176.4712574831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6D-458D-BA7C-1DEA77648993}"/>
            </c:ext>
          </c:extLst>
        </c:ser>
        <c:ser>
          <c:idx val="7"/>
          <c:order val="7"/>
          <c:tx>
            <c:strRef>
              <c:f>'Layer Chart'!$U$5</c:f>
              <c:strCache>
                <c:ptCount val="1"/>
                <c:pt idx="0">
                  <c:v>Other - Positive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Chart'!$U$6:$U$163</c:f>
              <c:numCache>
                <c:formatCode>#,##0</c:formatCode>
                <c:ptCount val="158"/>
                <c:pt idx="0">
                  <c:v>100159.82196539175</c:v>
                </c:pt>
                <c:pt idx="1">
                  <c:v>100159.82196538989</c:v>
                </c:pt>
                <c:pt idx="2">
                  <c:v>100159.82196539082</c:v>
                </c:pt>
                <c:pt idx="3">
                  <c:v>100159.82196538989</c:v>
                </c:pt>
                <c:pt idx="4">
                  <c:v>100159.82196538523</c:v>
                </c:pt>
                <c:pt idx="5">
                  <c:v>100159.82196539268</c:v>
                </c:pt>
                <c:pt idx="6">
                  <c:v>100159.82196539082</c:v>
                </c:pt>
                <c:pt idx="7">
                  <c:v>100159.82196539082</c:v>
                </c:pt>
                <c:pt idx="8">
                  <c:v>100159.82196539082</c:v>
                </c:pt>
                <c:pt idx="9">
                  <c:v>100159.82196539454</c:v>
                </c:pt>
                <c:pt idx="10">
                  <c:v>100159.82196539268</c:v>
                </c:pt>
                <c:pt idx="11">
                  <c:v>100159.82196539268</c:v>
                </c:pt>
                <c:pt idx="12">
                  <c:v>100159.82196539082</c:v>
                </c:pt>
                <c:pt idx="13">
                  <c:v>100159.82196538989</c:v>
                </c:pt>
                <c:pt idx="14">
                  <c:v>100159.82196538709</c:v>
                </c:pt>
                <c:pt idx="15">
                  <c:v>100159.82196539082</c:v>
                </c:pt>
                <c:pt idx="16">
                  <c:v>100159.82196539082</c:v>
                </c:pt>
                <c:pt idx="17">
                  <c:v>100159.82196539268</c:v>
                </c:pt>
                <c:pt idx="18">
                  <c:v>100159.82196539082</c:v>
                </c:pt>
                <c:pt idx="19">
                  <c:v>100159.82196538989</c:v>
                </c:pt>
                <c:pt idx="20">
                  <c:v>100159.82196539175</c:v>
                </c:pt>
                <c:pt idx="21">
                  <c:v>100159.82196539175</c:v>
                </c:pt>
                <c:pt idx="22">
                  <c:v>100159.82196539268</c:v>
                </c:pt>
                <c:pt idx="23">
                  <c:v>100159.82196538989</c:v>
                </c:pt>
                <c:pt idx="24">
                  <c:v>100159.82196538989</c:v>
                </c:pt>
                <c:pt idx="25">
                  <c:v>100159.82196539082</c:v>
                </c:pt>
                <c:pt idx="26">
                  <c:v>100159.82196539454</c:v>
                </c:pt>
                <c:pt idx="27">
                  <c:v>100159.82196539082</c:v>
                </c:pt>
                <c:pt idx="28">
                  <c:v>100159.82196538989</c:v>
                </c:pt>
                <c:pt idx="29">
                  <c:v>100159.82196538989</c:v>
                </c:pt>
                <c:pt idx="30">
                  <c:v>100159.82196539454</c:v>
                </c:pt>
                <c:pt idx="31">
                  <c:v>100159.82196539082</c:v>
                </c:pt>
                <c:pt idx="32">
                  <c:v>100159.82196539082</c:v>
                </c:pt>
                <c:pt idx="33">
                  <c:v>100159.82196539454</c:v>
                </c:pt>
                <c:pt idx="34">
                  <c:v>100159.82196539082</c:v>
                </c:pt>
                <c:pt idx="35">
                  <c:v>100159.82196539082</c:v>
                </c:pt>
                <c:pt idx="36">
                  <c:v>100159.82196539268</c:v>
                </c:pt>
                <c:pt idx="37">
                  <c:v>100159.82196539082</c:v>
                </c:pt>
                <c:pt idx="38">
                  <c:v>100159.82196539268</c:v>
                </c:pt>
                <c:pt idx="39">
                  <c:v>100159.82196539268</c:v>
                </c:pt>
                <c:pt idx="40">
                  <c:v>100159.82196539082</c:v>
                </c:pt>
                <c:pt idx="41">
                  <c:v>100159.82196539082</c:v>
                </c:pt>
                <c:pt idx="42">
                  <c:v>100159.82196539082</c:v>
                </c:pt>
                <c:pt idx="43">
                  <c:v>100159.82196539268</c:v>
                </c:pt>
                <c:pt idx="44">
                  <c:v>100159.82196539454</c:v>
                </c:pt>
                <c:pt idx="45">
                  <c:v>100159.82196539268</c:v>
                </c:pt>
                <c:pt idx="46">
                  <c:v>100159.82196538895</c:v>
                </c:pt>
                <c:pt idx="47">
                  <c:v>100159.82196539268</c:v>
                </c:pt>
                <c:pt idx="48">
                  <c:v>100159.82196539082</c:v>
                </c:pt>
                <c:pt idx="49">
                  <c:v>100159.82196539268</c:v>
                </c:pt>
                <c:pt idx="50">
                  <c:v>100159.82196538895</c:v>
                </c:pt>
                <c:pt idx="51">
                  <c:v>100159.82196538989</c:v>
                </c:pt>
                <c:pt idx="52">
                  <c:v>0</c:v>
                </c:pt>
                <c:pt idx="53">
                  <c:v>100159.82196539175</c:v>
                </c:pt>
                <c:pt idx="54">
                  <c:v>100159.82196539082</c:v>
                </c:pt>
                <c:pt idx="55">
                  <c:v>100159.82196539175</c:v>
                </c:pt>
                <c:pt idx="56">
                  <c:v>100159.82196538895</c:v>
                </c:pt>
                <c:pt idx="57">
                  <c:v>121091.96190287359</c:v>
                </c:pt>
                <c:pt idx="58">
                  <c:v>0</c:v>
                </c:pt>
                <c:pt idx="59">
                  <c:v>216025.12681005429</c:v>
                </c:pt>
                <c:pt idx="60">
                  <c:v>229321.6889226567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6D-458D-BA7C-1DEA77648993}"/>
            </c:ext>
          </c:extLst>
        </c:ser>
        <c:ser>
          <c:idx val="8"/>
          <c:order val="8"/>
          <c:tx>
            <c:strRef>
              <c:f>'Layer Chart'!$V$5</c:f>
              <c:strCache>
                <c:ptCount val="1"/>
                <c:pt idx="0">
                  <c:v>Macro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Chart'!$V$6:$V$163</c:f>
              <c:numCache>
                <c:formatCode>#,##0</c:formatCode>
                <c:ptCount val="158"/>
                <c:pt idx="0">
                  <c:v>5381542.551</c:v>
                </c:pt>
                <c:pt idx="1">
                  <c:v>5557037.8511999995</c:v>
                </c:pt>
                <c:pt idx="2">
                  <c:v>5622796.5309999995</c:v>
                </c:pt>
                <c:pt idx="3">
                  <c:v>5448730.5466</c:v>
                </c:pt>
                <c:pt idx="4">
                  <c:v>15645046.9932</c:v>
                </c:pt>
                <c:pt idx="5">
                  <c:v>10280827.669799998</c:v>
                </c:pt>
                <c:pt idx="6">
                  <c:v>7313364.9647999993</c:v>
                </c:pt>
                <c:pt idx="7">
                  <c:v>6654373.0009999983</c:v>
                </c:pt>
                <c:pt idx="8">
                  <c:v>7291484.1692000004</c:v>
                </c:pt>
                <c:pt idx="9">
                  <c:v>6886546.8826000001</c:v>
                </c:pt>
                <c:pt idx="10">
                  <c:v>8320821.9093999993</c:v>
                </c:pt>
                <c:pt idx="11">
                  <c:v>7827736.6397999991</c:v>
                </c:pt>
                <c:pt idx="12">
                  <c:v>6716757.4363999991</c:v>
                </c:pt>
                <c:pt idx="13">
                  <c:v>6468326.1587999994</c:v>
                </c:pt>
                <c:pt idx="14">
                  <c:v>6793924.9773999993</c:v>
                </c:pt>
                <c:pt idx="15">
                  <c:v>6906256.4582000002</c:v>
                </c:pt>
                <c:pt idx="16">
                  <c:v>8811287.900799999</c:v>
                </c:pt>
                <c:pt idx="17">
                  <c:v>22169625.829</c:v>
                </c:pt>
                <c:pt idx="18">
                  <c:v>6500088.735799999</c:v>
                </c:pt>
                <c:pt idx="19">
                  <c:v>6358660.1187999994</c:v>
                </c:pt>
                <c:pt idx="20">
                  <c:v>5874930.699</c:v>
                </c:pt>
                <c:pt idx="21">
                  <c:v>6723154.9307999993</c:v>
                </c:pt>
                <c:pt idx="22">
                  <c:v>7277097.627799999</c:v>
                </c:pt>
                <c:pt idx="23">
                  <c:v>6154522.0307999989</c:v>
                </c:pt>
                <c:pt idx="24">
                  <c:v>6097746.534</c:v>
                </c:pt>
                <c:pt idx="25">
                  <c:v>5503570.6549999993</c:v>
                </c:pt>
                <c:pt idx="26">
                  <c:v>8563758.3020911291</c:v>
                </c:pt>
                <c:pt idx="27">
                  <c:v>6366056.6551999999</c:v>
                </c:pt>
                <c:pt idx="28">
                  <c:v>6176321.8175999997</c:v>
                </c:pt>
                <c:pt idx="29">
                  <c:v>6396540.3149999995</c:v>
                </c:pt>
                <c:pt idx="30">
                  <c:v>6535250.7747999988</c:v>
                </c:pt>
                <c:pt idx="31">
                  <c:v>5968985.2926000003</c:v>
                </c:pt>
                <c:pt idx="32">
                  <c:v>7745044.0099999998</c:v>
                </c:pt>
                <c:pt idx="33">
                  <c:v>7905234.2511999998</c:v>
                </c:pt>
                <c:pt idx="34">
                  <c:v>6084629.4432000006</c:v>
                </c:pt>
                <c:pt idx="35">
                  <c:v>6611878.1563999997</c:v>
                </c:pt>
                <c:pt idx="36">
                  <c:v>6945501.7675999999</c:v>
                </c:pt>
                <c:pt idx="37">
                  <c:v>6981180.7801999999</c:v>
                </c:pt>
                <c:pt idx="38">
                  <c:v>6330240.3669999996</c:v>
                </c:pt>
                <c:pt idx="39">
                  <c:v>6356535.6206</c:v>
                </c:pt>
                <c:pt idx="40">
                  <c:v>6648607.0772000002</c:v>
                </c:pt>
                <c:pt idx="41">
                  <c:v>6963961.3912000004</c:v>
                </c:pt>
                <c:pt idx="42">
                  <c:v>6897047.4056000002</c:v>
                </c:pt>
                <c:pt idx="43">
                  <c:v>9502697.7517999988</c:v>
                </c:pt>
                <c:pt idx="44">
                  <c:v>8949752.7481999993</c:v>
                </c:pt>
                <c:pt idx="45">
                  <c:v>7075328.5855999999</c:v>
                </c:pt>
                <c:pt idx="46">
                  <c:v>15080867.064574318</c:v>
                </c:pt>
                <c:pt idx="47">
                  <c:v>12057692.3082</c:v>
                </c:pt>
                <c:pt idx="48">
                  <c:v>13538461.538799999</c:v>
                </c:pt>
                <c:pt idx="49">
                  <c:v>17980769.230599999</c:v>
                </c:pt>
                <c:pt idx="50">
                  <c:v>13301258.61878757</c:v>
                </c:pt>
                <c:pt idx="51">
                  <c:v>6846411.9151999997</c:v>
                </c:pt>
                <c:pt idx="52">
                  <c:v>5406639.8870000001</c:v>
                </c:pt>
                <c:pt idx="53">
                  <c:v>5524999.4469999997</c:v>
                </c:pt>
                <c:pt idx="54">
                  <c:v>5925954.379399999</c:v>
                </c:pt>
                <c:pt idx="55">
                  <c:v>5787817.1339999996</c:v>
                </c:pt>
                <c:pt idx="56">
                  <c:v>15596312.2038</c:v>
                </c:pt>
                <c:pt idx="57">
                  <c:v>10652227.283</c:v>
                </c:pt>
                <c:pt idx="58">
                  <c:v>7435610.5366000002</c:v>
                </c:pt>
                <c:pt idx="59">
                  <c:v>6739125.8251999989</c:v>
                </c:pt>
                <c:pt idx="60">
                  <c:v>6480627.6457999991</c:v>
                </c:pt>
                <c:pt idx="61">
                  <c:v>6070286.409</c:v>
                </c:pt>
                <c:pt idx="62">
                  <c:v>3755808.4057999998</c:v>
                </c:pt>
                <c:pt idx="63">
                  <c:v>2939304.6957999999</c:v>
                </c:pt>
                <c:pt idx="64">
                  <c:v>2845948.5934000001</c:v>
                </c:pt>
                <c:pt idx="65">
                  <c:v>2633538.281</c:v>
                </c:pt>
                <c:pt idx="66">
                  <c:v>2664963.0875999997</c:v>
                </c:pt>
                <c:pt idx="67">
                  <c:v>3442677.2291999995</c:v>
                </c:pt>
                <c:pt idx="68">
                  <c:v>3714192.9593999996</c:v>
                </c:pt>
                <c:pt idx="69">
                  <c:v>4610018.7033999991</c:v>
                </c:pt>
                <c:pt idx="70">
                  <c:v>3840096.0268000001</c:v>
                </c:pt>
                <c:pt idx="71">
                  <c:v>4336842.4330000002</c:v>
                </c:pt>
                <c:pt idx="72">
                  <c:v>3873136.7135999999</c:v>
                </c:pt>
                <c:pt idx="73">
                  <c:v>4249700.4153999994</c:v>
                </c:pt>
                <c:pt idx="74">
                  <c:v>4745424.9611999998</c:v>
                </c:pt>
                <c:pt idx="75">
                  <c:v>5892788.8271999992</c:v>
                </c:pt>
                <c:pt idx="76">
                  <c:v>4919696.7093999991</c:v>
                </c:pt>
                <c:pt idx="77">
                  <c:v>4834358.6896000002</c:v>
                </c:pt>
                <c:pt idx="78">
                  <c:v>7139045.2848911295</c:v>
                </c:pt>
                <c:pt idx="79">
                  <c:v>4870293.5137999998</c:v>
                </c:pt>
                <c:pt idx="80">
                  <c:v>4788101.2035999997</c:v>
                </c:pt>
                <c:pt idx="81">
                  <c:v>4881828.3777999999</c:v>
                </c:pt>
                <c:pt idx="82">
                  <c:v>5570129.8377999999</c:v>
                </c:pt>
                <c:pt idx="83">
                  <c:v>5434480.8165999996</c:v>
                </c:pt>
                <c:pt idx="84">
                  <c:v>5744805.6401999993</c:v>
                </c:pt>
                <c:pt idx="85">
                  <c:v>5629434.5800000001</c:v>
                </c:pt>
                <c:pt idx="86">
                  <c:v>5521200.3329999996</c:v>
                </c:pt>
                <c:pt idx="87">
                  <c:v>5622365.2957999995</c:v>
                </c:pt>
                <c:pt idx="88">
                  <c:v>5708311.6266000001</c:v>
                </c:pt>
                <c:pt idx="89">
                  <c:v>5871138.1475999998</c:v>
                </c:pt>
                <c:pt idx="90">
                  <c:v>5842583.4389999993</c:v>
                </c:pt>
                <c:pt idx="91">
                  <c:v>5989321.0057999995</c:v>
                </c:pt>
                <c:pt idx="92">
                  <c:v>5735638.8363999994</c:v>
                </c:pt>
                <c:pt idx="93">
                  <c:v>5539033.1348000001</c:v>
                </c:pt>
                <c:pt idx="94">
                  <c:v>5952041.0356000001</c:v>
                </c:pt>
                <c:pt idx="95">
                  <c:v>6006265.9309999999</c:v>
                </c:pt>
                <c:pt idx="96">
                  <c:v>6713862.6141999997</c:v>
                </c:pt>
                <c:pt idx="97">
                  <c:v>6085484.2966</c:v>
                </c:pt>
                <c:pt idx="98">
                  <c:v>8239832.1449999996</c:v>
                </c:pt>
                <c:pt idx="99">
                  <c:v>9382766.9181999993</c:v>
                </c:pt>
                <c:pt idx="100">
                  <c:v>11119911.769400001</c:v>
                </c:pt>
                <c:pt idx="101">
                  <c:v>10868385</c:v>
                </c:pt>
                <c:pt idx="102">
                  <c:v>10631182.079987571</c:v>
                </c:pt>
                <c:pt idx="103">
                  <c:v>6321390.977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6D-458D-BA7C-1DEA77648993}"/>
            </c:ext>
          </c:extLst>
        </c:ser>
        <c:ser>
          <c:idx val="9"/>
          <c:order val="9"/>
          <c:tx>
            <c:strRef>
              <c:f>'Layer Chart'!$W$5</c:f>
              <c:strCache>
                <c:ptCount val="1"/>
                <c:pt idx="0">
                  <c:v>Promotion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Chart'!$W$6:$W$163</c:f>
              <c:numCache>
                <c:formatCode>#,##0</c:formatCode>
                <c:ptCount val="158"/>
                <c:pt idx="0">
                  <c:v>618749.97096438694</c:v>
                </c:pt>
                <c:pt idx="1">
                  <c:v>705773.83489399136</c:v>
                </c:pt>
                <c:pt idx="2">
                  <c:v>436641.12617757951</c:v>
                </c:pt>
                <c:pt idx="3">
                  <c:v>534228.90699801082</c:v>
                </c:pt>
                <c:pt idx="4">
                  <c:v>674191.9489295719</c:v>
                </c:pt>
                <c:pt idx="5">
                  <c:v>299833.95830129454</c:v>
                </c:pt>
                <c:pt idx="6">
                  <c:v>1193210.3269766388</c:v>
                </c:pt>
                <c:pt idx="7">
                  <c:v>1026359.9840759669</c:v>
                </c:pt>
                <c:pt idx="8">
                  <c:v>2786318.7937218081</c:v>
                </c:pt>
                <c:pt idx="9">
                  <c:v>1374925.8613416357</c:v>
                </c:pt>
                <c:pt idx="10">
                  <c:v>3284132.0053933724</c:v>
                </c:pt>
                <c:pt idx="11">
                  <c:v>945706.00438813551</c:v>
                </c:pt>
                <c:pt idx="12">
                  <c:v>598720.70691554691</c:v>
                </c:pt>
                <c:pt idx="13">
                  <c:v>841232.90669791994</c:v>
                </c:pt>
                <c:pt idx="14">
                  <c:v>2969057.6894983645</c:v>
                </c:pt>
                <c:pt idx="15">
                  <c:v>433692.10402436025</c:v>
                </c:pt>
                <c:pt idx="16">
                  <c:v>450047.90874276601</c:v>
                </c:pt>
                <c:pt idx="17">
                  <c:v>1273185.762737745</c:v>
                </c:pt>
                <c:pt idx="18">
                  <c:v>781440.37402003095</c:v>
                </c:pt>
                <c:pt idx="19">
                  <c:v>670168.46787300217</c:v>
                </c:pt>
                <c:pt idx="20">
                  <c:v>1261723.1811400466</c:v>
                </c:pt>
                <c:pt idx="21">
                  <c:v>396977.25857337157</c:v>
                </c:pt>
                <c:pt idx="22">
                  <c:v>931212.17547852942</c:v>
                </c:pt>
                <c:pt idx="23">
                  <c:v>831039.79461074865</c:v>
                </c:pt>
                <c:pt idx="24">
                  <c:v>729966.85475989664</c:v>
                </c:pt>
                <c:pt idx="25">
                  <c:v>437569.62786811276</c:v>
                </c:pt>
                <c:pt idx="26">
                  <c:v>775159.00697091583</c:v>
                </c:pt>
                <c:pt idx="27">
                  <c:v>461428.25660221768</c:v>
                </c:pt>
                <c:pt idx="28">
                  <c:v>445407.99875798333</c:v>
                </c:pt>
                <c:pt idx="29">
                  <c:v>447383.86447214277</c:v>
                </c:pt>
                <c:pt idx="30">
                  <c:v>6544022.3136286307</c:v>
                </c:pt>
                <c:pt idx="31">
                  <c:v>822729.73522291577</c:v>
                </c:pt>
                <c:pt idx="32">
                  <c:v>561771.45435398666</c:v>
                </c:pt>
                <c:pt idx="33">
                  <c:v>1217231.4546782319</c:v>
                </c:pt>
                <c:pt idx="34">
                  <c:v>428164.84101600072</c:v>
                </c:pt>
                <c:pt idx="35">
                  <c:v>395770.84533951327</c:v>
                </c:pt>
                <c:pt idx="36">
                  <c:v>634123.05503340159</c:v>
                </c:pt>
                <c:pt idx="37">
                  <c:v>554443.98694209079</c:v>
                </c:pt>
                <c:pt idx="38">
                  <c:v>947400.38223676488</c:v>
                </c:pt>
                <c:pt idx="39">
                  <c:v>1345260.4908627726</c:v>
                </c:pt>
                <c:pt idx="40">
                  <c:v>785068.11156890704</c:v>
                </c:pt>
                <c:pt idx="41">
                  <c:v>393144.03600006818</c:v>
                </c:pt>
                <c:pt idx="42">
                  <c:v>197750.72344536474</c:v>
                </c:pt>
                <c:pt idx="43">
                  <c:v>224248.28004109269</c:v>
                </c:pt>
                <c:pt idx="44">
                  <c:v>270089.11883716367</c:v>
                </c:pt>
                <c:pt idx="45">
                  <c:v>1356407.6887989789</c:v>
                </c:pt>
                <c:pt idx="46">
                  <c:v>325000.93421212363</c:v>
                </c:pt>
                <c:pt idx="47">
                  <c:v>218592.91274870382</c:v>
                </c:pt>
                <c:pt idx="48">
                  <c:v>414002.16001990018</c:v>
                </c:pt>
                <c:pt idx="49">
                  <c:v>836844.87819336692</c:v>
                </c:pt>
                <c:pt idx="50">
                  <c:v>370930.56459759746</c:v>
                </c:pt>
                <c:pt idx="51">
                  <c:v>114415.76411730269</c:v>
                </c:pt>
                <c:pt idx="52">
                  <c:v>295955.52983560081</c:v>
                </c:pt>
                <c:pt idx="53">
                  <c:v>283995.79660032998</c:v>
                </c:pt>
                <c:pt idx="54">
                  <c:v>154648.38833473698</c:v>
                </c:pt>
                <c:pt idx="55">
                  <c:v>183894.632539413</c:v>
                </c:pt>
                <c:pt idx="56">
                  <c:v>88604.942445707886</c:v>
                </c:pt>
                <c:pt idx="57">
                  <c:v>313175.78007389756</c:v>
                </c:pt>
                <c:pt idx="58">
                  <c:v>337083.95546495914</c:v>
                </c:pt>
                <c:pt idx="59">
                  <c:v>139429.748643019</c:v>
                </c:pt>
                <c:pt idx="60">
                  <c:v>1480481.9166173576</c:v>
                </c:pt>
                <c:pt idx="61">
                  <c:v>1035230.9722784886</c:v>
                </c:pt>
                <c:pt idx="62">
                  <c:v>517010.78324283846</c:v>
                </c:pt>
                <c:pt idx="63">
                  <c:v>613813.91964014922</c:v>
                </c:pt>
                <c:pt idx="64">
                  <c:v>102700.71611296211</c:v>
                </c:pt>
                <c:pt idx="65">
                  <c:v>80272.996369325439</c:v>
                </c:pt>
                <c:pt idx="66">
                  <c:v>59382.476876800887</c:v>
                </c:pt>
                <c:pt idx="67">
                  <c:v>202370.51092782625</c:v>
                </c:pt>
                <c:pt idx="68">
                  <c:v>253672.65930666286</c:v>
                </c:pt>
                <c:pt idx="69">
                  <c:v>356406.84710285813</c:v>
                </c:pt>
                <c:pt idx="70">
                  <c:v>55639.390648347631</c:v>
                </c:pt>
                <c:pt idx="71">
                  <c:v>67353.78661633248</c:v>
                </c:pt>
                <c:pt idx="72">
                  <c:v>226893.68658077109</c:v>
                </c:pt>
                <c:pt idx="73">
                  <c:v>344665.61365652987</c:v>
                </c:pt>
                <c:pt idx="74">
                  <c:v>2697456.9231304098</c:v>
                </c:pt>
                <c:pt idx="75">
                  <c:v>162911.07965603637</c:v>
                </c:pt>
                <c:pt idx="76">
                  <c:v>88136.583525950206</c:v>
                </c:pt>
                <c:pt idx="77">
                  <c:v>291575.27339753916</c:v>
                </c:pt>
                <c:pt idx="78">
                  <c:v>537871.47071799554</c:v>
                </c:pt>
                <c:pt idx="79">
                  <c:v>260339.40675335223</c:v>
                </c:pt>
                <c:pt idx="80">
                  <c:v>997057.96896546031</c:v>
                </c:pt>
                <c:pt idx="81">
                  <c:v>1866510.8013760522</c:v>
                </c:pt>
                <c:pt idx="82">
                  <c:v>4344482.60343464</c:v>
                </c:pt>
                <c:pt idx="83">
                  <c:v>263834.45852500288</c:v>
                </c:pt>
                <c:pt idx="84">
                  <c:v>677357.59443634003</c:v>
                </c:pt>
                <c:pt idx="85">
                  <c:v>276512.11240001005</c:v>
                </c:pt>
                <c:pt idx="86">
                  <c:v>425440.31006421923</c:v>
                </c:pt>
                <c:pt idx="87">
                  <c:v>384263.24589263031</c:v>
                </c:pt>
                <c:pt idx="88">
                  <c:v>646816.56296294089</c:v>
                </c:pt>
                <c:pt idx="89">
                  <c:v>696332.67737539648</c:v>
                </c:pt>
                <c:pt idx="90">
                  <c:v>373835.44370551489</c:v>
                </c:pt>
                <c:pt idx="91">
                  <c:v>688953.6361353026</c:v>
                </c:pt>
                <c:pt idx="92">
                  <c:v>480155.46434188425</c:v>
                </c:pt>
                <c:pt idx="93">
                  <c:v>402423.80828076677</c:v>
                </c:pt>
                <c:pt idx="94">
                  <c:v>792071.26868742961</c:v>
                </c:pt>
                <c:pt idx="95">
                  <c:v>674682.31619959313</c:v>
                </c:pt>
                <c:pt idx="96">
                  <c:v>624938.87071938999</c:v>
                </c:pt>
                <c:pt idx="97">
                  <c:v>257808.71087807431</c:v>
                </c:pt>
                <c:pt idx="98">
                  <c:v>343046.75031950447</c:v>
                </c:pt>
                <c:pt idx="99">
                  <c:v>223734.31001997821</c:v>
                </c:pt>
                <c:pt idx="100">
                  <c:v>180435.45929721498</c:v>
                </c:pt>
                <c:pt idx="101">
                  <c:v>188142.26251599489</c:v>
                </c:pt>
                <c:pt idx="102">
                  <c:v>613622.46248412097</c:v>
                </c:pt>
                <c:pt idx="103">
                  <c:v>819642.3091292266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6D-458D-BA7C-1DEA77648993}"/>
            </c:ext>
          </c:extLst>
        </c:ser>
        <c:ser>
          <c:idx val="10"/>
          <c:order val="10"/>
          <c:tx>
            <c:strRef>
              <c:f>'Layer Chart'!$X$5</c:f>
              <c:strCache>
                <c:ptCount val="1"/>
                <c:pt idx="0">
                  <c:v>Traditional Media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Chart'!$X$6:$X$163</c:f>
              <c:numCache>
                <c:formatCode>#,##0</c:formatCode>
                <c:ptCount val="158"/>
                <c:pt idx="0">
                  <c:v>91831.938875333872</c:v>
                </c:pt>
                <c:pt idx="1">
                  <c:v>169030.48998728109</c:v>
                </c:pt>
                <c:pt idx="2">
                  <c:v>183059.03867819256</c:v>
                </c:pt>
                <c:pt idx="3">
                  <c:v>119766.70997316293</c:v>
                </c:pt>
                <c:pt idx="4">
                  <c:v>1272803.4108045918</c:v>
                </c:pt>
                <c:pt idx="5">
                  <c:v>1126991.296977574</c:v>
                </c:pt>
                <c:pt idx="6">
                  <c:v>1196236.6474504832</c:v>
                </c:pt>
                <c:pt idx="7">
                  <c:v>114621.50191736799</c:v>
                </c:pt>
                <c:pt idx="8">
                  <c:v>401496.70497488446</c:v>
                </c:pt>
                <c:pt idx="9">
                  <c:v>565514.92858936265</c:v>
                </c:pt>
                <c:pt idx="10">
                  <c:v>141541.79225808778</c:v>
                </c:pt>
                <c:pt idx="11">
                  <c:v>454853.99307402346</c:v>
                </c:pt>
                <c:pt idx="12">
                  <c:v>372772.74143560539</c:v>
                </c:pt>
                <c:pt idx="13">
                  <c:v>537056.03705407877</c:v>
                </c:pt>
                <c:pt idx="14">
                  <c:v>525507.76767935744</c:v>
                </c:pt>
                <c:pt idx="15">
                  <c:v>662439.94841516577</c:v>
                </c:pt>
                <c:pt idx="16">
                  <c:v>236544.42377361111</c:v>
                </c:pt>
                <c:pt idx="17">
                  <c:v>994243.31172172027</c:v>
                </c:pt>
                <c:pt idx="18">
                  <c:v>1156864.0113666393</c:v>
                </c:pt>
                <c:pt idx="19">
                  <c:v>936966.18272772327</c:v>
                </c:pt>
                <c:pt idx="20">
                  <c:v>142089.65646338378</c:v>
                </c:pt>
                <c:pt idx="21">
                  <c:v>230409.97157014051</c:v>
                </c:pt>
                <c:pt idx="22">
                  <c:v>230409.68049129174</c:v>
                </c:pt>
                <c:pt idx="23">
                  <c:v>165299.90614716627</c:v>
                </c:pt>
                <c:pt idx="24">
                  <c:v>2524.7427204262235</c:v>
                </c:pt>
                <c:pt idx="25">
                  <c:v>115440.75959745432</c:v>
                </c:pt>
                <c:pt idx="26">
                  <c:v>66571.499882154705</c:v>
                </c:pt>
                <c:pt idx="27">
                  <c:v>2524.7490881547119</c:v>
                </c:pt>
                <c:pt idx="28">
                  <c:v>30039.774691154715</c:v>
                </c:pt>
                <c:pt idx="29">
                  <c:v>131442.4805892772</c:v>
                </c:pt>
                <c:pt idx="30">
                  <c:v>1113619.2171864016</c:v>
                </c:pt>
                <c:pt idx="31">
                  <c:v>845437.18886887492</c:v>
                </c:pt>
                <c:pt idx="32">
                  <c:v>1089526.2895499424</c:v>
                </c:pt>
                <c:pt idx="33">
                  <c:v>211210.74549575982</c:v>
                </c:pt>
                <c:pt idx="34">
                  <c:v>759086.06287033006</c:v>
                </c:pt>
                <c:pt idx="35">
                  <c:v>878719.94423850521</c:v>
                </c:pt>
                <c:pt idx="36">
                  <c:v>660197.95347693993</c:v>
                </c:pt>
                <c:pt idx="37">
                  <c:v>582369.27878284885</c:v>
                </c:pt>
                <c:pt idx="38">
                  <c:v>340515.52403207944</c:v>
                </c:pt>
                <c:pt idx="39">
                  <c:v>953303.33615655941</c:v>
                </c:pt>
                <c:pt idx="40">
                  <c:v>655802.08868449251</c:v>
                </c:pt>
                <c:pt idx="41">
                  <c:v>396119.66360960423</c:v>
                </c:pt>
                <c:pt idx="42">
                  <c:v>56262.118078062398</c:v>
                </c:pt>
                <c:pt idx="43">
                  <c:v>2010032.7349093964</c:v>
                </c:pt>
                <c:pt idx="44">
                  <c:v>2055818.1056418491</c:v>
                </c:pt>
                <c:pt idx="45">
                  <c:v>2185003.1205550102</c:v>
                </c:pt>
                <c:pt idx="46">
                  <c:v>196507.66373919017</c:v>
                </c:pt>
                <c:pt idx="47">
                  <c:v>702348.36396529526</c:v>
                </c:pt>
                <c:pt idx="48">
                  <c:v>947895.9468070229</c:v>
                </c:pt>
                <c:pt idx="49">
                  <c:v>769959.7456700044</c:v>
                </c:pt>
                <c:pt idx="50">
                  <c:v>148686.22780144395</c:v>
                </c:pt>
                <c:pt idx="51">
                  <c:v>60059.820279309446</c:v>
                </c:pt>
                <c:pt idx="52">
                  <c:v>8949.1923831715831</c:v>
                </c:pt>
                <c:pt idx="53">
                  <c:v>158069.16393525776</c:v>
                </c:pt>
                <c:pt idx="54">
                  <c:v>69914.61252404924</c:v>
                </c:pt>
                <c:pt idx="55">
                  <c:v>312425.03345165035</c:v>
                </c:pt>
                <c:pt idx="56">
                  <c:v>1001983.4426020461</c:v>
                </c:pt>
                <c:pt idx="57">
                  <c:v>1241508.9748226416</c:v>
                </c:pt>
                <c:pt idx="58">
                  <c:v>298500.55763291364</c:v>
                </c:pt>
                <c:pt idx="59">
                  <c:v>190825.46208232857</c:v>
                </c:pt>
                <c:pt idx="60">
                  <c:v>8680.7453260033235</c:v>
                </c:pt>
                <c:pt idx="61">
                  <c:v>8680.7224845795372</c:v>
                </c:pt>
                <c:pt idx="62">
                  <c:v>8680.6961550565502</c:v>
                </c:pt>
                <c:pt idx="63">
                  <c:v>339784.74419197976</c:v>
                </c:pt>
                <c:pt idx="64">
                  <c:v>111559.42015335236</c:v>
                </c:pt>
                <c:pt idx="65">
                  <c:v>8680.6842193523444</c:v>
                </c:pt>
                <c:pt idx="66">
                  <c:v>8680.6842193523444</c:v>
                </c:pt>
                <c:pt idx="67">
                  <c:v>48446.831596724951</c:v>
                </c:pt>
                <c:pt idx="68">
                  <c:v>602825.88734773302</c:v>
                </c:pt>
                <c:pt idx="69">
                  <c:v>496265.39107804681</c:v>
                </c:pt>
                <c:pt idx="70">
                  <c:v>442072.7631180468</c:v>
                </c:pt>
                <c:pt idx="71">
                  <c:v>1382.857608618257</c:v>
                </c:pt>
                <c:pt idx="72">
                  <c:v>216370.30470085924</c:v>
                </c:pt>
                <c:pt idx="73">
                  <c:v>1382.8530792824984</c:v>
                </c:pt>
                <c:pt idx="74">
                  <c:v>395.1004473251038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98534.568899999998</c:v>
                </c:pt>
                <c:pt idx="82">
                  <c:v>693475.4666895296</c:v>
                </c:pt>
                <c:pt idx="83">
                  <c:v>832170.56002743554</c:v>
                </c:pt>
                <c:pt idx="84">
                  <c:v>859909.5786950168</c:v>
                </c:pt>
                <c:pt idx="85">
                  <c:v>1418270.6590285329</c:v>
                </c:pt>
                <c:pt idx="86">
                  <c:v>171981.91573900334</c:v>
                </c:pt>
                <c:pt idx="87">
                  <c:v>131821.39130109741</c:v>
                </c:pt>
                <c:pt idx="88">
                  <c:v>5547.8037335162371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209219.24979999999</c:v>
                </c:pt>
                <c:pt idx="93">
                  <c:v>0</c:v>
                </c:pt>
                <c:pt idx="94">
                  <c:v>0</c:v>
                </c:pt>
                <c:pt idx="95">
                  <c:v>169187.79972000001</c:v>
                </c:pt>
                <c:pt idx="96">
                  <c:v>1168467.2616000003</c:v>
                </c:pt>
                <c:pt idx="97">
                  <c:v>1168467.2616000003</c:v>
                </c:pt>
                <c:pt idx="98">
                  <c:v>0</c:v>
                </c:pt>
                <c:pt idx="99">
                  <c:v>48528.034731114436</c:v>
                </c:pt>
                <c:pt idx="100">
                  <c:v>291168.20843861857</c:v>
                </c:pt>
                <c:pt idx="101">
                  <c:v>788502.80366000009</c:v>
                </c:pt>
                <c:pt idx="102">
                  <c:v>707934.94101000007</c:v>
                </c:pt>
                <c:pt idx="103">
                  <c:v>70853.811459999997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6D-458D-BA7C-1DEA77648993}"/>
            </c:ext>
          </c:extLst>
        </c:ser>
        <c:ser>
          <c:idx val="11"/>
          <c:order val="11"/>
          <c:tx>
            <c:strRef>
              <c:f>'Layer Chart'!$Y$5</c:f>
              <c:strCache>
                <c:ptCount val="1"/>
                <c:pt idx="0">
                  <c:v>Digital Media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Chart'!$Y$6:$Y$163</c:f>
              <c:numCache>
                <c:formatCode>#,##0</c:formatCode>
                <c:ptCount val="158"/>
                <c:pt idx="0">
                  <c:v>369558.57679999986</c:v>
                </c:pt>
                <c:pt idx="1">
                  <c:v>321077.86298263585</c:v>
                </c:pt>
                <c:pt idx="2">
                  <c:v>243013.64151746687</c:v>
                </c:pt>
                <c:pt idx="3">
                  <c:v>296098.225310629</c:v>
                </c:pt>
                <c:pt idx="4">
                  <c:v>470263.48530535673</c:v>
                </c:pt>
                <c:pt idx="5">
                  <c:v>578508.33759993454</c:v>
                </c:pt>
                <c:pt idx="6">
                  <c:v>379433.08774804487</c:v>
                </c:pt>
                <c:pt idx="7">
                  <c:v>330402.87442616187</c:v>
                </c:pt>
                <c:pt idx="8">
                  <c:v>338873.34248962614</c:v>
                </c:pt>
                <c:pt idx="9">
                  <c:v>390576.38965586101</c:v>
                </c:pt>
                <c:pt idx="10">
                  <c:v>427041.92600704153</c:v>
                </c:pt>
                <c:pt idx="11">
                  <c:v>401560.58608822885</c:v>
                </c:pt>
                <c:pt idx="12">
                  <c:v>316852.80924036697</c:v>
                </c:pt>
                <c:pt idx="13">
                  <c:v>302874.2895720934</c:v>
                </c:pt>
                <c:pt idx="14">
                  <c:v>450513.31670601293</c:v>
                </c:pt>
                <c:pt idx="15">
                  <c:v>635141.38510548219</c:v>
                </c:pt>
                <c:pt idx="16">
                  <c:v>508150.67029407679</c:v>
                </c:pt>
                <c:pt idx="17">
                  <c:v>283004.15531690838</c:v>
                </c:pt>
                <c:pt idx="18">
                  <c:v>267585.86428771878</c:v>
                </c:pt>
                <c:pt idx="19">
                  <c:v>248159.93512666668</c:v>
                </c:pt>
                <c:pt idx="20">
                  <c:v>278553.94099894335</c:v>
                </c:pt>
                <c:pt idx="21">
                  <c:v>282379.38818634453</c:v>
                </c:pt>
                <c:pt idx="22">
                  <c:v>332665.91329937329</c:v>
                </c:pt>
                <c:pt idx="23">
                  <c:v>325106.1157584599</c:v>
                </c:pt>
                <c:pt idx="24">
                  <c:v>314744.59240266588</c:v>
                </c:pt>
                <c:pt idx="25">
                  <c:v>290635.8856841668</c:v>
                </c:pt>
                <c:pt idx="26">
                  <c:v>312021.9972091447</c:v>
                </c:pt>
                <c:pt idx="27">
                  <c:v>563037.10634443245</c:v>
                </c:pt>
                <c:pt idx="28">
                  <c:v>519520.45058706927</c:v>
                </c:pt>
                <c:pt idx="29">
                  <c:v>877383.19825939822</c:v>
                </c:pt>
                <c:pt idx="30">
                  <c:v>1082476.197199238</c:v>
                </c:pt>
                <c:pt idx="31">
                  <c:v>1220812.2628029359</c:v>
                </c:pt>
                <c:pt idx="32">
                  <c:v>1346815.5942768401</c:v>
                </c:pt>
                <c:pt idx="33">
                  <c:v>1407463.6937830865</c:v>
                </c:pt>
                <c:pt idx="34">
                  <c:v>1544994.4629132187</c:v>
                </c:pt>
                <c:pt idx="35">
                  <c:v>1738780.2977504218</c:v>
                </c:pt>
                <c:pt idx="36">
                  <c:v>1693232.6632615738</c:v>
                </c:pt>
                <c:pt idx="37">
                  <c:v>1596400.156447765</c:v>
                </c:pt>
                <c:pt idx="38">
                  <c:v>1295719.1941467505</c:v>
                </c:pt>
                <c:pt idx="39">
                  <c:v>1166861.7919039063</c:v>
                </c:pt>
                <c:pt idx="40">
                  <c:v>1088152.2430745445</c:v>
                </c:pt>
                <c:pt idx="41">
                  <c:v>1352924.1771150697</c:v>
                </c:pt>
                <c:pt idx="42">
                  <c:v>1340425.8403711976</c:v>
                </c:pt>
                <c:pt idx="43">
                  <c:v>1354933.6990059142</c:v>
                </c:pt>
                <c:pt idx="44">
                  <c:v>1470408.9072756206</c:v>
                </c:pt>
                <c:pt idx="45">
                  <c:v>1557658.8688663174</c:v>
                </c:pt>
                <c:pt idx="46">
                  <c:v>1589534.2666761624</c:v>
                </c:pt>
                <c:pt idx="47">
                  <c:v>1427985.0652114346</c:v>
                </c:pt>
                <c:pt idx="48">
                  <c:v>1502256.2669262937</c:v>
                </c:pt>
                <c:pt idx="49">
                  <c:v>1414875.4994057356</c:v>
                </c:pt>
                <c:pt idx="50">
                  <c:v>1448678.4435947994</c:v>
                </c:pt>
                <c:pt idx="51">
                  <c:v>1043633.7915249547</c:v>
                </c:pt>
                <c:pt idx="52">
                  <c:v>905269.4959049921</c:v>
                </c:pt>
                <c:pt idx="53">
                  <c:v>920693.75378947298</c:v>
                </c:pt>
                <c:pt idx="54">
                  <c:v>838265.47024622047</c:v>
                </c:pt>
                <c:pt idx="55">
                  <c:v>776553.78152819385</c:v>
                </c:pt>
                <c:pt idx="56">
                  <c:v>895011.93398792495</c:v>
                </c:pt>
                <c:pt idx="57">
                  <c:v>958652.0869973267</c:v>
                </c:pt>
                <c:pt idx="58">
                  <c:v>1053252.3060857544</c:v>
                </c:pt>
                <c:pt idx="59">
                  <c:v>788089.11963377963</c:v>
                </c:pt>
                <c:pt idx="60">
                  <c:v>810330.52400882833</c:v>
                </c:pt>
                <c:pt idx="61">
                  <c:v>939610.88720927516</c:v>
                </c:pt>
                <c:pt idx="62">
                  <c:v>1017775.0487559523</c:v>
                </c:pt>
                <c:pt idx="63">
                  <c:v>715653.77216837194</c:v>
                </c:pt>
                <c:pt idx="64">
                  <c:v>458301.37713650195</c:v>
                </c:pt>
                <c:pt idx="65">
                  <c:v>579353.05868090666</c:v>
                </c:pt>
                <c:pt idx="66">
                  <c:v>867896.05289182812</c:v>
                </c:pt>
                <c:pt idx="67">
                  <c:v>849090.57351769519</c:v>
                </c:pt>
                <c:pt idx="68">
                  <c:v>793752.78020082356</c:v>
                </c:pt>
                <c:pt idx="69">
                  <c:v>796274.70250816515</c:v>
                </c:pt>
                <c:pt idx="70">
                  <c:v>734031.83331556944</c:v>
                </c:pt>
                <c:pt idx="71">
                  <c:v>621510.85495799535</c:v>
                </c:pt>
                <c:pt idx="72">
                  <c:v>478335.7161204986</c:v>
                </c:pt>
                <c:pt idx="73">
                  <c:v>446542.5199941594</c:v>
                </c:pt>
                <c:pt idx="74">
                  <c:v>494184.83732956578</c:v>
                </c:pt>
                <c:pt idx="75">
                  <c:v>810603.19987201004</c:v>
                </c:pt>
                <c:pt idx="76">
                  <c:v>1076561.135402536</c:v>
                </c:pt>
                <c:pt idx="77">
                  <c:v>786933.48195086478</c:v>
                </c:pt>
                <c:pt idx="78">
                  <c:v>525128.46435253811</c:v>
                </c:pt>
                <c:pt idx="79">
                  <c:v>437445.56104388967</c:v>
                </c:pt>
                <c:pt idx="80">
                  <c:v>539828.4087028784</c:v>
                </c:pt>
                <c:pt idx="81">
                  <c:v>729958.03315294534</c:v>
                </c:pt>
                <c:pt idx="82">
                  <c:v>1667347.1603486687</c:v>
                </c:pt>
                <c:pt idx="83">
                  <c:v>1345290.3384657006</c:v>
                </c:pt>
                <c:pt idx="84">
                  <c:v>1649692.5524205745</c:v>
                </c:pt>
                <c:pt idx="85">
                  <c:v>2194997.6012396612</c:v>
                </c:pt>
                <c:pt idx="86">
                  <c:v>1577857.632598788</c:v>
                </c:pt>
                <c:pt idx="87">
                  <c:v>1781513.310477131</c:v>
                </c:pt>
                <c:pt idx="88">
                  <c:v>1372771.9605355354</c:v>
                </c:pt>
                <c:pt idx="89">
                  <c:v>1490320.0327896532</c:v>
                </c:pt>
                <c:pt idx="90">
                  <c:v>1256247.6694043428</c:v>
                </c:pt>
                <c:pt idx="91">
                  <c:v>1221908.1467357271</c:v>
                </c:pt>
                <c:pt idx="92">
                  <c:v>1155480.1401121099</c:v>
                </c:pt>
                <c:pt idx="93">
                  <c:v>1235771.7625496446</c:v>
                </c:pt>
                <c:pt idx="94">
                  <c:v>1605342.6622914444</c:v>
                </c:pt>
                <c:pt idx="95">
                  <c:v>2043984.4899186902</c:v>
                </c:pt>
                <c:pt idx="96">
                  <c:v>2505336.6271965802</c:v>
                </c:pt>
                <c:pt idx="97">
                  <c:v>3582219.63269389</c:v>
                </c:pt>
                <c:pt idx="98">
                  <c:v>5869327.4209698094</c:v>
                </c:pt>
                <c:pt idx="99">
                  <c:v>3534072.3688837308</c:v>
                </c:pt>
                <c:pt idx="100">
                  <c:v>2758244.407427574</c:v>
                </c:pt>
                <c:pt idx="101">
                  <c:v>3022353.1806301386</c:v>
                </c:pt>
                <c:pt idx="102">
                  <c:v>3157042.0188504267</c:v>
                </c:pt>
                <c:pt idx="103">
                  <c:v>1892000.4523481817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6D-458D-BA7C-1DEA77648993}"/>
            </c:ext>
          </c:extLst>
        </c:ser>
        <c:ser>
          <c:idx val="12"/>
          <c:order val="12"/>
          <c:tx>
            <c:strRef>
              <c:f>'Layer Chart'!$Z$5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Chart'!$Z$6:$Z$163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C-566D-458D-BA7C-1DEA77648993}"/>
            </c:ext>
          </c:extLst>
        </c:ser>
        <c:ser>
          <c:idx val="13"/>
          <c:order val="13"/>
          <c:tx>
            <c:strRef>
              <c:f>'Layer Chart'!$AA$5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Chart'!$AA$6:$AA$163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D-566D-458D-BA7C-1DEA77648993}"/>
            </c:ext>
          </c:extLst>
        </c:ser>
        <c:ser>
          <c:idx val="14"/>
          <c:order val="14"/>
          <c:tx>
            <c:strRef>
              <c:f>'Layer Chart'!$AB$5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Chart'!$AB$6:$AB$163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E-566D-458D-BA7C-1DEA77648993}"/>
            </c:ext>
          </c:extLst>
        </c:ser>
        <c:ser>
          <c:idx val="15"/>
          <c:order val="15"/>
          <c:tx>
            <c:strRef>
              <c:f>'Layer Chart'!$AC$5</c:f>
              <c:strCache>
                <c:ptCount val="1"/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Chart'!$AC$6:$AC$163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F-566D-458D-BA7C-1DEA77648993}"/>
            </c:ext>
          </c:extLst>
        </c:ser>
        <c:ser>
          <c:idx val="16"/>
          <c:order val="16"/>
          <c:tx>
            <c:strRef>
              <c:f>'Layer Chart'!$AD$5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Chart'!$AD$6:$AD$163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0-566D-458D-BA7C-1DEA77648993}"/>
            </c:ext>
          </c:extLst>
        </c:ser>
        <c:ser>
          <c:idx val="17"/>
          <c:order val="17"/>
          <c:tx>
            <c:strRef>
              <c:f>'Layer Chart'!$AE$5</c:f>
              <c:strCache>
                <c:ptCount val="1"/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Chart'!$AE$6:$AE$163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1-566D-458D-BA7C-1DEA77648993}"/>
            </c:ext>
          </c:extLst>
        </c:ser>
        <c:ser>
          <c:idx val="18"/>
          <c:order val="18"/>
          <c:tx>
            <c:strRef>
              <c:f>'Layer Chart'!$AF$5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Chart'!$AF$6:$AF$163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2-566D-458D-BA7C-1DEA77648993}"/>
            </c:ext>
          </c:extLst>
        </c:ser>
        <c:ser>
          <c:idx val="19"/>
          <c:order val="19"/>
          <c:tx>
            <c:strRef>
              <c:f>'Layer Chart'!$AG$5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Chart'!$AG$6:$AG$163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3-566D-458D-BA7C-1DEA77648993}"/>
            </c:ext>
          </c:extLst>
        </c:ser>
        <c:ser>
          <c:idx val="20"/>
          <c:order val="20"/>
          <c:tx>
            <c:strRef>
              <c:f>'Layer Chart'!$AH$5</c:f>
              <c:strCache>
                <c:ptCount val="1"/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Chart'!$AH$6:$AH$163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4-566D-458D-BA7C-1DEA77648993}"/>
            </c:ext>
          </c:extLst>
        </c:ser>
        <c:ser>
          <c:idx val="21"/>
          <c:order val="21"/>
          <c:tx>
            <c:strRef>
              <c:f>'Layer Chart'!$AI$5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Chart'!$AI$6:$AI$163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5-566D-458D-BA7C-1DEA77648993}"/>
            </c:ext>
          </c:extLst>
        </c:ser>
        <c:ser>
          <c:idx val="22"/>
          <c:order val="22"/>
          <c:tx>
            <c:strRef>
              <c:f>'Layer Chart'!$AJ$5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Chart'!$AJ$6:$AJ$163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6-566D-458D-BA7C-1DEA77648993}"/>
            </c:ext>
          </c:extLst>
        </c:ser>
        <c:ser>
          <c:idx val="23"/>
          <c:order val="23"/>
          <c:tx>
            <c:strRef>
              <c:f>'Layer Chart'!$AK$5</c:f>
              <c:strCache>
                <c:ptCount val="1"/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Chart'!$AK$6:$AK$163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7-566D-458D-BA7C-1DEA77648993}"/>
            </c:ext>
          </c:extLst>
        </c:ser>
        <c:ser>
          <c:idx val="24"/>
          <c:order val="24"/>
          <c:tx>
            <c:strRef>
              <c:f>'Layer Chart'!$AL$5</c:f>
              <c:strCache>
                <c:ptCount val="1"/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Chart'!$AL$6:$AL$163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8-566D-458D-BA7C-1DEA77648993}"/>
            </c:ext>
          </c:extLst>
        </c:ser>
        <c:ser>
          <c:idx val="25"/>
          <c:order val="25"/>
          <c:tx>
            <c:strRef>
              <c:f>'Layer Chart'!$AM$5</c:f>
              <c:strCache>
                <c:ptCount val="1"/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Chart'!$AM$6:$AM$163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9-566D-458D-BA7C-1DEA77648993}"/>
            </c:ext>
          </c:extLst>
        </c:ser>
        <c:ser>
          <c:idx val="26"/>
          <c:order val="26"/>
          <c:tx>
            <c:strRef>
              <c:f>'Layer Chart'!$AN$5</c:f>
              <c:strCache>
                <c:ptCount val="1"/>
              </c:strCache>
            </c:strRef>
          </c:tx>
          <c:spPr>
            <a:solidFill>
              <a:srgbClr val="CC0099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Chart'!$AN$6:$AN$163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A-566D-458D-BA7C-1DEA77648993}"/>
            </c:ext>
          </c:extLst>
        </c:ser>
        <c:ser>
          <c:idx val="27"/>
          <c:order val="27"/>
          <c:tx>
            <c:strRef>
              <c:f>'Layer Chart'!$AO$5</c:f>
              <c:strCache>
                <c:ptCount val="1"/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Chart'!$AO$6:$AO$163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B-566D-458D-BA7C-1DEA77648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94480"/>
        <c:axId val="1093088656"/>
      </c:areaChart>
      <c:lineChart>
        <c:grouping val="standard"/>
        <c:varyColors val="0"/>
        <c:ser>
          <c:idx val="0"/>
          <c:order val="0"/>
          <c:tx>
            <c:strRef>
              <c:f>'Layer Chart'!$N$5</c:f>
              <c:strCache>
                <c:ptCount val="1"/>
                <c:pt idx="0">
                  <c:v>Actual</c:v>
                </c:pt>
              </c:strCache>
            </c:strRef>
          </c:tx>
          <c:spPr>
            <a:ln w="5715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Chart'!$N$6:$N$163</c:f>
              <c:numCache>
                <c:formatCode>#,##0</c:formatCode>
                <c:ptCount val="158"/>
                <c:pt idx="0">
                  <c:v>6096762.5070000002</c:v>
                </c:pt>
                <c:pt idx="1">
                  <c:v>6089210.2319999998</c:v>
                </c:pt>
                <c:pt idx="2">
                  <c:v>6508506.8210000005</c:v>
                </c:pt>
                <c:pt idx="3">
                  <c:v>7022937.0590000004</c:v>
                </c:pt>
                <c:pt idx="4">
                  <c:v>19633182.66</c:v>
                </c:pt>
                <c:pt idx="5">
                  <c:v>12143474.27</c:v>
                </c:pt>
                <c:pt idx="6">
                  <c:v>9691781.5439999998</c:v>
                </c:pt>
                <c:pt idx="7">
                  <c:v>7689159.5630000001</c:v>
                </c:pt>
                <c:pt idx="8">
                  <c:v>10234521.560000001</c:v>
                </c:pt>
                <c:pt idx="9">
                  <c:v>9309029.1699999999</c:v>
                </c:pt>
                <c:pt idx="10">
                  <c:v>12102722.800000001</c:v>
                </c:pt>
                <c:pt idx="11">
                  <c:v>9283960.8220000006</c:v>
                </c:pt>
                <c:pt idx="12">
                  <c:v>8030813.165</c:v>
                </c:pt>
                <c:pt idx="13">
                  <c:v>7843202.9270000001</c:v>
                </c:pt>
                <c:pt idx="14">
                  <c:v>10981537.49</c:v>
                </c:pt>
                <c:pt idx="15">
                  <c:v>8798635.0580000002</c:v>
                </c:pt>
                <c:pt idx="16">
                  <c:v>9088033.0690000001</c:v>
                </c:pt>
                <c:pt idx="17">
                  <c:v>25955030.73</c:v>
                </c:pt>
                <c:pt idx="18">
                  <c:v>9793229.7449999992</c:v>
                </c:pt>
                <c:pt idx="19">
                  <c:v>9953995.2880000006</c:v>
                </c:pt>
                <c:pt idx="20">
                  <c:v>7779670.7589999996</c:v>
                </c:pt>
                <c:pt idx="21">
                  <c:v>9289882.693</c:v>
                </c:pt>
                <c:pt idx="22">
                  <c:v>7877616.6009999998</c:v>
                </c:pt>
                <c:pt idx="23">
                  <c:v>6779537.8909999998</c:v>
                </c:pt>
                <c:pt idx="24">
                  <c:v>8152210.6619999995</c:v>
                </c:pt>
                <c:pt idx="25">
                  <c:v>6559549.4809999997</c:v>
                </c:pt>
                <c:pt idx="26">
                  <c:v>9809436.0380000006</c:v>
                </c:pt>
                <c:pt idx="27">
                  <c:v>8647284.5350000001</c:v>
                </c:pt>
                <c:pt idx="28">
                  <c:v>7670843.8949999996</c:v>
                </c:pt>
                <c:pt idx="29">
                  <c:v>7169139.9129999997</c:v>
                </c:pt>
                <c:pt idx="30">
                  <c:v>16286039.140000001</c:v>
                </c:pt>
                <c:pt idx="31">
                  <c:v>9260269.5020000003</c:v>
                </c:pt>
                <c:pt idx="32">
                  <c:v>8989828.5419999994</c:v>
                </c:pt>
                <c:pt idx="33">
                  <c:v>11458412.84</c:v>
                </c:pt>
                <c:pt idx="34">
                  <c:v>8988057.9379999992</c:v>
                </c:pt>
                <c:pt idx="35">
                  <c:v>9665573.1909999996</c:v>
                </c:pt>
                <c:pt idx="36">
                  <c:v>9216226.3289999999</c:v>
                </c:pt>
                <c:pt idx="37">
                  <c:v>7296708.9639999997</c:v>
                </c:pt>
                <c:pt idx="38">
                  <c:v>10761945.16</c:v>
                </c:pt>
                <c:pt idx="39">
                  <c:v>10128820.43</c:v>
                </c:pt>
                <c:pt idx="40">
                  <c:v>10579812.07</c:v>
                </c:pt>
                <c:pt idx="41">
                  <c:v>9540770.0470000003</c:v>
                </c:pt>
                <c:pt idx="42">
                  <c:v>7647281.8370000003</c:v>
                </c:pt>
                <c:pt idx="43">
                  <c:v>14800451.35</c:v>
                </c:pt>
                <c:pt idx="44">
                  <c:v>11785160.34</c:v>
                </c:pt>
                <c:pt idx="45">
                  <c:v>10627951.74</c:v>
                </c:pt>
                <c:pt idx="46">
                  <c:v>17191909.940000001</c:v>
                </c:pt>
                <c:pt idx="47">
                  <c:v>17642889.190000001</c:v>
                </c:pt>
                <c:pt idx="48">
                  <c:v>17787325.870000001</c:v>
                </c:pt>
                <c:pt idx="49">
                  <c:v>20681419.510000002</c:v>
                </c:pt>
                <c:pt idx="50">
                  <c:v>14988373.890000001</c:v>
                </c:pt>
                <c:pt idx="51">
                  <c:v>7394759.4119999995</c:v>
                </c:pt>
                <c:pt idx="52">
                  <c:v>6128183.483</c:v>
                </c:pt>
                <c:pt idx="53">
                  <c:v>6077461.2920000004</c:v>
                </c:pt>
                <c:pt idx="54">
                  <c:v>7084933.6600000001</c:v>
                </c:pt>
                <c:pt idx="55">
                  <c:v>6811065.7240000004</c:v>
                </c:pt>
                <c:pt idx="56">
                  <c:v>18472805.66</c:v>
                </c:pt>
                <c:pt idx="57">
                  <c:v>12271156.390000001</c:v>
                </c:pt>
                <c:pt idx="58">
                  <c:v>10431474.85</c:v>
                </c:pt>
                <c:pt idx="59">
                  <c:v>8808837.7780000009</c:v>
                </c:pt>
                <c:pt idx="60">
                  <c:v>10497654.6</c:v>
                </c:pt>
                <c:pt idx="61">
                  <c:v>6525614.6840000004</c:v>
                </c:pt>
                <c:pt idx="62">
                  <c:v>4232459.3459999999</c:v>
                </c:pt>
                <c:pt idx="63">
                  <c:v>1984181.811</c:v>
                </c:pt>
                <c:pt idx="64">
                  <c:v>1334901.0049999999</c:v>
                </c:pt>
                <c:pt idx="65">
                  <c:v>1732695.2050000001</c:v>
                </c:pt>
                <c:pt idx="66">
                  <c:v>1222968.2169999999</c:v>
                </c:pt>
                <c:pt idx="67">
                  <c:v>2260663.6329999999</c:v>
                </c:pt>
                <c:pt idx="68">
                  <c:v>3381277.1889999998</c:v>
                </c:pt>
                <c:pt idx="69">
                  <c:v>4270501.9040000001</c:v>
                </c:pt>
                <c:pt idx="70">
                  <c:v>3224891.537</c:v>
                </c:pt>
                <c:pt idx="71">
                  <c:v>4463840.9529999997</c:v>
                </c:pt>
                <c:pt idx="72">
                  <c:v>4432625.5870000003</c:v>
                </c:pt>
                <c:pt idx="73">
                  <c:v>4855216.2949999999</c:v>
                </c:pt>
                <c:pt idx="74">
                  <c:v>6452035.4610000001</c:v>
                </c:pt>
                <c:pt idx="75">
                  <c:v>6185776.523</c:v>
                </c:pt>
                <c:pt idx="76">
                  <c:v>4558502.4340000004</c:v>
                </c:pt>
                <c:pt idx="77">
                  <c:v>4176359.0189999999</c:v>
                </c:pt>
                <c:pt idx="78">
                  <c:v>6637140.6370000001</c:v>
                </c:pt>
                <c:pt idx="79">
                  <c:v>5108492.5549999997</c:v>
                </c:pt>
                <c:pt idx="80">
                  <c:v>4614863.0949999997</c:v>
                </c:pt>
                <c:pt idx="81">
                  <c:v>4186855.895</c:v>
                </c:pt>
                <c:pt idx="82">
                  <c:v>11887165.029999999</c:v>
                </c:pt>
                <c:pt idx="83">
                  <c:v>6924504.2340000002</c:v>
                </c:pt>
                <c:pt idx="84">
                  <c:v>6052938.5219999999</c:v>
                </c:pt>
                <c:pt idx="85">
                  <c:v>8866605.5690000001</c:v>
                </c:pt>
                <c:pt idx="86">
                  <c:v>7204538.9910000004</c:v>
                </c:pt>
                <c:pt idx="87">
                  <c:v>4865201.1169999996</c:v>
                </c:pt>
                <c:pt idx="88">
                  <c:v>5956462.568</c:v>
                </c:pt>
                <c:pt idx="89">
                  <c:v>6710774.4939999999</c:v>
                </c:pt>
                <c:pt idx="90">
                  <c:v>7833490.9129999997</c:v>
                </c:pt>
                <c:pt idx="91">
                  <c:v>6215606.9249999998</c:v>
                </c:pt>
                <c:pt idx="92">
                  <c:v>6647592.642</c:v>
                </c:pt>
                <c:pt idx="93">
                  <c:v>6008982.1279999996</c:v>
                </c:pt>
                <c:pt idx="94">
                  <c:v>8869583.0580000002</c:v>
                </c:pt>
                <c:pt idx="95">
                  <c:v>6830886.6129999999</c:v>
                </c:pt>
                <c:pt idx="96">
                  <c:v>9528321.3900000006</c:v>
                </c:pt>
                <c:pt idx="97">
                  <c:v>9021896.3000000007</c:v>
                </c:pt>
                <c:pt idx="98">
                  <c:v>11920200.32</c:v>
                </c:pt>
                <c:pt idx="99">
                  <c:v>14622121.83</c:v>
                </c:pt>
                <c:pt idx="100">
                  <c:v>12472911.68</c:v>
                </c:pt>
                <c:pt idx="101">
                  <c:v>12530145.32</c:v>
                </c:pt>
                <c:pt idx="102">
                  <c:v>13188094.560000001</c:v>
                </c:pt>
                <c:pt idx="103">
                  <c:v>5481824.1730000004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D-458D-BA7C-1DEA77648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094480"/>
        <c:axId val="1093088656"/>
      </c:lineChart>
      <c:dateAx>
        <c:axId val="109309448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88656"/>
        <c:crosses val="autoZero"/>
        <c:auto val="1"/>
        <c:lblOffset val="100"/>
        <c:baseTimeUnit val="days"/>
      </c:dateAx>
      <c:valAx>
        <c:axId val="10930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448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'Graphs and Tables'!$B$27</c:f>
              <c:strCache>
                <c:ptCount val="1"/>
                <c:pt idx="0">
                  <c:v>Macro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A97938A-A883-784B-9D61-8AC7CC4CF1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C2ECAD-F53F-2744-B744-792CAF2B93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Ref>
              <c:f>('Graphs and Tables'!$C$27,'Graphs and Tables'!$E$27)</c:f>
              <c:numCache>
                <c:formatCode>[&gt;=100000]\ "$"#0.0,,\ "M";[&lt;=-100000]\ \ \-"$"#0.0,,\ "M";\ "$"#.0,\ "K"</c:formatCode>
                <c:ptCount val="2"/>
                <c:pt idx="0">
                  <c:v>310126931.32327873</c:v>
                </c:pt>
                <c:pt idx="1">
                  <c:v>149529565.46058756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('Graphs and Tables'!$D$27,'Graphs and Tables'!$F$27)</c15:f>
                <c15:dlblRangeCache>
                  <c:ptCount val="2"/>
                  <c:pt idx="0">
                    <c:v>#N/A</c:v>
                  </c:pt>
                  <c:pt idx="1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5ED-44DE-B0A6-04B9DAD0A1AF}"/>
            </c:ext>
          </c:extLst>
        </c:ser>
        <c:ser>
          <c:idx val="1"/>
          <c:order val="1"/>
          <c:tx>
            <c:strRef>
              <c:f>'Graphs and Tables'!$B$28</c:f>
              <c:strCache>
                <c:ptCount val="1"/>
                <c:pt idx="0">
                  <c:v>Promotion</c:v>
                </c:pt>
              </c:strCache>
            </c:strRef>
          </c:tx>
          <c:spPr>
            <a:solidFill>
              <a:srgbClr val="B2DCB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C053093-9FB9-594F-974D-FAB7EAF027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1B01DD-E81A-6446-B1F2-4B83D37A9D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Ref>
              <c:f>('Graphs and Tables'!$C$28,'Graphs and Tables'!$E$28)</c:f>
              <c:numCache>
                <c:formatCode>[&gt;=100000]\ "$"#0.0,,\ "M";[&lt;=-100000]\ \ \-"$"#0.0,,\ "M";\ "$"#.0,\ "K"</c:formatCode>
                <c:ptCount val="2"/>
                <c:pt idx="0">
                  <c:v>28473077.195242882</c:v>
                </c:pt>
                <c:pt idx="1">
                  <c:v>14378532.637805175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('Graphs and Tables'!$D$28,'Graphs and Tables'!$F$28)</c15:f>
                <c15:dlblRangeCache>
                  <c:ptCount val="2"/>
                  <c:pt idx="0">
                    <c:v>#N/A</c:v>
                  </c:pt>
                  <c:pt idx="1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5ED-44DE-B0A6-04B9DAD0A1AF}"/>
            </c:ext>
          </c:extLst>
        </c:ser>
        <c:ser>
          <c:idx val="2"/>
          <c:order val="2"/>
          <c:tx>
            <c:strRef>
              <c:f>'Graphs and Tables'!$B$29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Ref>
              <c:f>('Graphs and Tables'!$C$29,'Graphs and Tables'!$E$29)</c:f>
              <c:numCache>
                <c:formatCode>[&gt;=100000]\ "$"#0.0,,\ "M";[&lt;=-100000]\ \ \-"$"#0.0,,\ "M";\ "$"#.0,\ "K"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('Graphs and Tables'!$D$29,'Graphs and Tables'!$F$29)</c15:f>
                <c15:dlblRangeCache>
                  <c:ptCount val="2"/>
                  <c:pt idx="0">
                    <c:v>#N/A</c:v>
                  </c:pt>
                  <c:pt idx="1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5ED-44DE-B0A6-04B9DAD0A1AF}"/>
            </c:ext>
          </c:extLst>
        </c:ser>
        <c:ser>
          <c:idx val="3"/>
          <c:order val="3"/>
          <c:tx>
            <c:v>Total Label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A7E237C-8F95-7746-84C4-1466D0A55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9F4E288-E341-6D4D-BDDC-5BE51E2F7B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('Graphs and Tables'!$C$8,'Graphs and Tables'!$C$14)</c15:f>
                <c15:dlblRangeCache>
                  <c:ptCount val="2"/>
                  <c:pt idx="0">
                    <c:v> $362.1 M</c:v>
                  </c:pt>
                  <c:pt idx="1">
                    <c:v> $189.6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85ED-44DE-B0A6-04B9DAD0A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5453488"/>
        <c:axId val="2025447664"/>
      </c:barChart>
      <c:catAx>
        <c:axId val="20254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47664"/>
        <c:crosses val="autoZero"/>
        <c:auto val="1"/>
        <c:lblAlgn val="ctr"/>
        <c:lblOffset val="100"/>
        <c:noMultiLvlLbl val="0"/>
      </c:catAx>
      <c:valAx>
        <c:axId val="2025447664"/>
        <c:scaling>
          <c:orientation val="minMax"/>
        </c:scaling>
        <c:delete val="1"/>
        <c:axPos val="l"/>
        <c:numFmt formatCode="[&gt;=100000]\ &quot;$&quot;#0.0,,\ &quot;M&quot;;[&lt;=-100000]\ \ \-&quot;$&quot;#0.0,,\ &quot;M&quot;;\ &quot;$&quot;#.0,\ &quot;K&quot;" sourceLinked="1"/>
        <c:majorTickMark val="none"/>
        <c:minorTickMark val="none"/>
        <c:tickLblPos val="nextTo"/>
        <c:crossAx val="202545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A5978E52-4A09-4953-839F-3CA90D806F2F}">
          <cx:dataPt idx="0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6">
            <cx:spPr>
              <a:solidFill>
                <a:sysClr val="window" lastClr="FFFFFF">
                  <a:lumMod val="50000"/>
                </a:sysClr>
              </a:solidFill>
            </cx:spPr>
          </cx:dataPt>
          <cx:dataLabels pos="outEnd">
            <cx:numFmt formatCode="[&gt;=100000] +$#0.0,, &quot;M&quot;;[&lt;=-100000]  -$#0.0,, &quot;M&quot;; +$#.0, &quot;K&quot;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0">
              <cx:numFmt formatCode="[&gt;=100000] $#0.0,, &quot;M&quot;;[&lt;=-100000]  $#0.0,, &quot;M&quot;; $#.0, &quot;K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$362.1 M</a:t>
                  </a:r>
                </a:p>
              </cx:txPr>
              <cx:visibility seriesName="0" categoryName="0" value="1"/>
              <cx:separator>, </cx:separator>
            </cx:dataLabel>
            <cx:dataLabel idx="6">
              <cx:numFmt formatCode="[&gt;=100000] $#0.0,, &quot;M&quot;;[&lt;=-100000]  $#0.0,, &quot;M&quot;; $#.0, &quot;K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$189.6 M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15" dropStyle="combo" dx="22" fmlaLink="$B$7" fmlaRange="$C$9:$C$27" noThreeD="1" sel="1" val="0"/>
</file>

<file path=xl/ctrlProps/ctrlProp2.xml><?xml version="1.0" encoding="utf-8"?>
<formControlPr xmlns="http://schemas.microsoft.com/office/spreadsheetml/2009/9/main" objectType="Drop" dropStyle="combo" dx="22" fmlaLink="Setup!$K$9" fmlaRange="Setup!$H$15:$H$29" noThreeD="1" sel="3" val="0"/>
</file>

<file path=xl/ctrlProps/ctrlProp3.xml><?xml version="1.0" encoding="utf-8"?>
<formControlPr xmlns="http://schemas.microsoft.com/office/spreadsheetml/2009/9/main" objectType="Drop" dropStyle="combo" dx="22" fmlaLink="Setup!$K$10" fmlaRange="Setup!$H$15:$H$29" noThreeD="1" sel="6" val="5"/>
</file>

<file path=xl/ctrlProps/ctrlProp4.xml><?xml version="1.0" encoding="utf-8"?>
<formControlPr xmlns="http://schemas.microsoft.com/office/spreadsheetml/2009/9/main" objectType="Drop" dropStyle="combo" dx="22" fmlaLink="Setup!$K$9" fmlaRange="Setup!$H$15:$H$29" noThreeD="1" sel="3" val="5"/>
</file>

<file path=xl/ctrlProps/ctrlProp5.xml><?xml version="1.0" encoding="utf-8"?>
<formControlPr xmlns="http://schemas.microsoft.com/office/spreadsheetml/2009/9/main" objectType="Drop" dropStyle="combo" dx="22" fmlaLink="Setup!$K$10" fmlaRange="Setup!$H$15:$H$29" noThreeD="1" sel="6" val="2"/>
</file>

<file path=xl/ctrlProps/ctrlProp6.xml><?xml version="1.0" encoding="utf-8"?>
<formControlPr xmlns="http://schemas.microsoft.com/office/spreadsheetml/2009/9/main" objectType="Drop" dropLines="15" dropStyle="combo" dx="22" fmlaLink="Setup!$B$7" fmlaRange="Setup!$C$9:$C$27" noThreeD="1" sel="1" val="0"/>
</file>

<file path=xl/ctrlProps/ctrlProp7.xml><?xml version="1.0" encoding="utf-8"?>
<formControlPr xmlns="http://schemas.microsoft.com/office/spreadsheetml/2009/9/main" objectType="Drop" dropStyle="combo" dx="22" fmlaLink="Setup!$K$11" fmlaRange="Setup!$H$15:$H$29" noThreeD="1" sel="1" val="0"/>
</file>

<file path=xl/ctrlProps/ctrlProp8.xml><?xml version="1.0" encoding="utf-8"?>
<formControlPr xmlns="http://schemas.microsoft.com/office/spreadsheetml/2009/9/main" objectType="Drop" dropStyle="combo" dx="22" fmlaLink="Setup!$K$12" fmlaRange="Setup!$H$15:$H$29" noThreeD="1" sel="0" val="7"/>
</file>

<file path=xl/ctrlProps/ctrlProp9.xml><?xml version="1.0" encoding="utf-8"?>
<formControlPr xmlns="http://schemas.microsoft.com/office/spreadsheetml/2009/9/main" objectType="CheckBox" fmlaLink="$E$6" lockText="1" noThreeD="1"/>
</file>

<file path=xl/ctrlProps/ctrlProp10.xml><?xml version="1.0" encoding="utf-8"?>
<formControlPr xmlns="http://schemas.microsoft.com/office/spreadsheetml/2009/9/main" objectType="Drop" dropStyle="combo" dx="22" fmlaLink="Setup!$K$9" fmlaRange="Setup!$H$15:$H$29" noThreeD="1" sel="3" val="3"/>
</file>

<file path=xl/ctrlProps/ctrlProp11.xml><?xml version="1.0" encoding="utf-8"?>
<formControlPr xmlns="http://schemas.microsoft.com/office/spreadsheetml/2009/9/main" objectType="Drop" dropStyle="combo" dx="22" fmlaLink="Setup!$K$10" fmlaRange="Setup!$H$15:$H$29" noThreeD="1" sel="6" val="3"/>
</file>

<file path=xl/ctrlProps/ctrlProp12.xml><?xml version="1.0" encoding="utf-8"?>
<formControlPr xmlns="http://schemas.microsoft.com/office/spreadsheetml/2009/9/main" objectType="Drop" dropLines="15" dropStyle="combo" dx="22" fmlaLink="Setup!$B$7" fmlaRange="Setup!$C$9:$C$27" noThreeD="1" sel="1" val="0"/>
</file>

<file path=xl/ctrlProps/ctrlProp13.xml><?xml version="1.0" encoding="utf-8"?>
<formControlPr xmlns="http://schemas.microsoft.com/office/spreadsheetml/2009/9/main" objectType="Spin" dx="22" fmlaLink="'Summary Data'!$L$3" max="20" min="1" page="10" val="3"/>
</file>

<file path=xl/ctrlProps/ctrlProp14.xml><?xml version="1.0" encoding="utf-8"?>
<formControlPr xmlns="http://schemas.microsoft.com/office/spreadsheetml/2009/9/main" objectType="Drop" dropStyle="combo" dx="22" fmlaLink="Setup!$K$9" fmlaRange="Setup!$H$15:$H$29" noThreeD="1" sel="3" val="0"/>
</file>

<file path=xl/ctrlProps/ctrlProp15.xml><?xml version="1.0" encoding="utf-8"?>
<formControlPr xmlns="http://schemas.microsoft.com/office/spreadsheetml/2009/9/main" objectType="Drop" dropStyle="combo" dx="22" fmlaLink="Setup!$K$10" fmlaRange="Setup!$H$15:$H$29" noThreeD="1" sel="6" val="2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38100</xdr:rowOff>
        </xdr:from>
        <xdr:to>
          <xdr:col>3</xdr:col>
          <xdr:colOff>38100</xdr:colOff>
          <xdr:row>6</xdr:row>
          <xdr:rowOff>139700</xdr:rowOff>
        </xdr:to>
        <xdr:sp macro="" textlink="">
          <xdr:nvSpPr>
            <xdr:cNvPr id="45063" name="Drop Down 7" hidden="1">
              <a:extLst>
                <a:ext uri="{63B3BB69-23CF-44E3-9099-C40C66FF867C}">
                  <a14:compatExt spid="_x0000_s45063"/>
                </a:ext>
                <a:ext uri="{FF2B5EF4-FFF2-40B4-BE49-F238E27FC236}">
                  <a16:creationId xmlns:a16="http://schemas.microsoft.com/office/drawing/2014/main" id="{00000000-0008-0000-0000-000007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101600</xdr:colOff>
          <xdr:row>7</xdr:row>
          <xdr:rowOff>0</xdr:rowOff>
        </xdr:from>
        <xdr:to>
          <xdr:col>12</xdr:col>
          <xdr:colOff>558800</xdr:colOff>
          <xdr:row>8</xdr:row>
          <xdr:rowOff>38100</xdr:rowOff>
        </xdr:to>
        <xdr:sp macro="" textlink="">
          <xdr:nvSpPr>
            <xdr:cNvPr id="45064" name="Drop Down 8" hidden="1">
              <a:extLst>
                <a:ext uri="{63B3BB69-23CF-44E3-9099-C40C66FF867C}">
                  <a14:compatExt spid="_x0000_s45064"/>
                </a:ext>
                <a:ext uri="{FF2B5EF4-FFF2-40B4-BE49-F238E27FC236}">
                  <a16:creationId xmlns:a16="http://schemas.microsoft.com/office/drawing/2014/main" id="{00000000-0008-0000-0000-000008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101600</xdr:colOff>
          <xdr:row>8</xdr:row>
          <xdr:rowOff>114300</xdr:rowOff>
        </xdr:from>
        <xdr:to>
          <xdr:col>12</xdr:col>
          <xdr:colOff>558800</xdr:colOff>
          <xdr:row>10</xdr:row>
          <xdr:rowOff>0</xdr:rowOff>
        </xdr:to>
        <xdr:sp macro="" textlink="">
          <xdr:nvSpPr>
            <xdr:cNvPr id="45065" name="Drop Down 9" hidden="1">
              <a:extLst>
                <a:ext uri="{63B3BB69-23CF-44E3-9099-C40C66FF867C}">
                  <a14:compatExt spid="_x0000_s45065"/>
                </a:ext>
                <a:ext uri="{FF2B5EF4-FFF2-40B4-BE49-F238E27FC236}">
                  <a16:creationId xmlns:a16="http://schemas.microsoft.com/office/drawing/2014/main" id="{00000000-0008-0000-0000-000009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573848</xdr:colOff>
      <xdr:row>1</xdr:row>
      <xdr:rowOff>111219</xdr:rowOff>
    </xdr:from>
    <xdr:to>
      <xdr:col>28</xdr:col>
      <xdr:colOff>740</xdr:colOff>
      <xdr:row>38</xdr:row>
      <xdr:rowOff>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42</xdr:row>
          <xdr:rowOff>63500</xdr:rowOff>
        </xdr:from>
        <xdr:to>
          <xdr:col>20</xdr:col>
          <xdr:colOff>520700</xdr:colOff>
          <xdr:row>42</xdr:row>
          <xdr:rowOff>292100</xdr:rowOff>
        </xdr:to>
        <xdr:sp macro="" textlink="">
          <xdr:nvSpPr>
            <xdr:cNvPr id="40961" name="Drop Down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6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43</xdr:row>
          <xdr:rowOff>63500</xdr:rowOff>
        </xdr:from>
        <xdr:to>
          <xdr:col>20</xdr:col>
          <xdr:colOff>520700</xdr:colOff>
          <xdr:row>43</xdr:row>
          <xdr:rowOff>292100</xdr:rowOff>
        </xdr:to>
        <xdr:sp macro="" textlink="">
          <xdr:nvSpPr>
            <xdr:cNvPr id="40962" name="Drop Down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06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596900</xdr:colOff>
          <xdr:row>44</xdr:row>
          <xdr:rowOff>139700</xdr:rowOff>
        </xdr:from>
        <xdr:to>
          <xdr:col>10</xdr:col>
          <xdr:colOff>1092200</xdr:colOff>
          <xdr:row>45</xdr:row>
          <xdr:rowOff>152400</xdr:rowOff>
        </xdr:to>
        <xdr:sp macro="" textlink="">
          <xdr:nvSpPr>
            <xdr:cNvPr id="40971" name="Drop Down 11" hidden="1">
              <a:extLst>
                <a:ext uri="{63B3BB69-23CF-44E3-9099-C40C66FF867C}">
                  <a14:compatExt spid="_x0000_s40971"/>
                </a:ext>
                <a:ext uri="{FF2B5EF4-FFF2-40B4-BE49-F238E27FC236}">
                  <a16:creationId xmlns:a16="http://schemas.microsoft.com/office/drawing/2014/main" id="{00000000-0008-0000-0600-00000B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63500</xdr:colOff>
          <xdr:row>44</xdr:row>
          <xdr:rowOff>63500</xdr:rowOff>
        </xdr:from>
        <xdr:to>
          <xdr:col>20</xdr:col>
          <xdr:colOff>520700</xdr:colOff>
          <xdr:row>44</xdr:row>
          <xdr:rowOff>292100</xdr:rowOff>
        </xdr:to>
        <xdr:sp macro="" textlink="">
          <xdr:nvSpPr>
            <xdr:cNvPr id="40972" name="Drop Down 12" hidden="1">
              <a:extLst>
                <a:ext uri="{63B3BB69-23CF-44E3-9099-C40C66FF867C}">
                  <a14:compatExt spid="_x0000_s40972"/>
                </a:ext>
                <a:ext uri="{FF2B5EF4-FFF2-40B4-BE49-F238E27FC236}">
                  <a16:creationId xmlns:a16="http://schemas.microsoft.com/office/drawing/2014/main" id="{00000000-0008-0000-0600-00000C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63500</xdr:colOff>
          <xdr:row>45</xdr:row>
          <xdr:rowOff>25400</xdr:rowOff>
        </xdr:from>
        <xdr:to>
          <xdr:col>20</xdr:col>
          <xdr:colOff>520700</xdr:colOff>
          <xdr:row>45</xdr:row>
          <xdr:rowOff>254000</xdr:rowOff>
        </xdr:to>
        <xdr:sp macro="" textlink="">
          <xdr:nvSpPr>
            <xdr:cNvPr id="40973" name="Drop Down 13" hidden="1">
              <a:extLst>
                <a:ext uri="{63B3BB69-23CF-44E3-9099-C40C66FF867C}">
                  <a14:compatExt spid="_x0000_s40973"/>
                </a:ext>
                <a:ext uri="{FF2B5EF4-FFF2-40B4-BE49-F238E27FC236}">
                  <a16:creationId xmlns:a16="http://schemas.microsoft.com/office/drawing/2014/main" id="{00000000-0008-0000-0600-00000D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2</xdr:row>
          <xdr:rowOff>63500</xdr:rowOff>
        </xdr:from>
        <xdr:to>
          <xdr:col>26</xdr:col>
          <xdr:colOff>304800</xdr:colOff>
          <xdr:row>3</xdr:row>
          <xdr:rowOff>152400</xdr:rowOff>
        </xdr:to>
        <xdr:sp macro="" textlink="">
          <xdr:nvSpPr>
            <xdr:cNvPr id="40974" name="Check Box 14" hidden="1">
              <a:extLst>
                <a:ext uri="{63B3BB69-23CF-44E3-9099-C40C66FF867C}">
                  <a14:compatExt spid="_x0000_s40974"/>
                </a:ext>
                <a:ext uri="{FF2B5EF4-FFF2-40B4-BE49-F238E27FC236}">
                  <a16:creationId xmlns:a16="http://schemas.microsoft.com/office/drawing/2014/main" id="{00000000-0008-0000-0600-00000E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26</xdr:col>
      <xdr:colOff>219075</xdr:colOff>
      <xdr:row>1</xdr:row>
      <xdr:rowOff>123825</xdr:rowOff>
    </xdr:from>
    <xdr:to>
      <xdr:col>27</xdr:col>
      <xdr:colOff>820398</xdr:colOff>
      <xdr:row>4</xdr:row>
      <xdr:rowOff>79842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4354175" y="314325"/>
          <a:ext cx="1553823" cy="5275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500" b="1">
              <a:solidFill>
                <a:sysClr val="windowText" lastClr="000000"/>
              </a:solidFill>
            </a:rPr>
            <a:t>Hide Residuals</a:t>
          </a:r>
          <a:br>
            <a:rPr lang="en-US" sz="1100">
              <a:solidFill>
                <a:sysClr val="windowText" lastClr="000000"/>
              </a:solidFill>
            </a:rPr>
          </a:br>
          <a:r>
            <a:rPr lang="en-US" sz="1100">
              <a:solidFill>
                <a:sysClr val="windowText" lastClr="000000"/>
              </a:solidFill>
            </a:rPr>
            <a:t>(for highlights)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549123</xdr:colOff>
      <xdr:row>3</xdr:row>
      <xdr:rowOff>163028</xdr:rowOff>
    </xdr:from>
    <xdr:to>
      <xdr:col>32</xdr:col>
      <xdr:colOff>174027</xdr:colOff>
      <xdr:row>38</xdr:row>
      <xdr:rowOff>54497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63500</xdr:colOff>
          <xdr:row>4</xdr:row>
          <xdr:rowOff>38100</xdr:rowOff>
        </xdr:from>
        <xdr:to>
          <xdr:col>4</xdr:col>
          <xdr:colOff>1054100</xdr:colOff>
          <xdr:row>5</xdr:row>
          <xdr:rowOff>0</xdr:rowOff>
        </xdr:to>
        <xdr:sp macro="" textlink="">
          <xdr:nvSpPr>
            <xdr:cNvPr id="7170" name="Drop Dow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8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63500</xdr:colOff>
          <xdr:row>4</xdr:row>
          <xdr:rowOff>38100</xdr:rowOff>
        </xdr:from>
        <xdr:to>
          <xdr:col>5</xdr:col>
          <xdr:colOff>1054100</xdr:colOff>
          <xdr:row>5</xdr:row>
          <xdr:rowOff>0</xdr:rowOff>
        </xdr:to>
        <xdr:sp macro="" textlink="">
          <xdr:nvSpPr>
            <xdr:cNvPr id="7171" name="Drop Dow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8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2133600</xdr:colOff>
          <xdr:row>3</xdr:row>
          <xdr:rowOff>63500</xdr:rowOff>
        </xdr:from>
        <xdr:to>
          <xdr:col>2</xdr:col>
          <xdr:colOff>25400</xdr:colOff>
          <xdr:row>4</xdr:row>
          <xdr:rowOff>215900</xdr:rowOff>
        </xdr:to>
        <xdr:sp macro="" textlink="">
          <xdr:nvSpPr>
            <xdr:cNvPr id="7173" name="Drop Down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8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863600</xdr:colOff>
          <xdr:row>1</xdr:row>
          <xdr:rowOff>114300</xdr:rowOff>
        </xdr:from>
        <xdr:to>
          <xdr:col>12</xdr:col>
          <xdr:colOff>63500</xdr:colOff>
          <xdr:row>3</xdr:row>
          <xdr:rowOff>76200</xdr:rowOff>
        </xdr:to>
        <xdr:sp macro="" textlink="">
          <xdr:nvSpPr>
            <xdr:cNvPr id="13313" name="Spinner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9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4</xdr:row>
          <xdr:rowOff>139700</xdr:rowOff>
        </xdr:from>
        <xdr:to>
          <xdr:col>12</xdr:col>
          <xdr:colOff>1016000</xdr:colOff>
          <xdr:row>5</xdr:row>
          <xdr:rowOff>152400</xdr:rowOff>
        </xdr:to>
        <xdr:sp macro="" textlink="">
          <xdr:nvSpPr>
            <xdr:cNvPr id="13314" name="Drop Dow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9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4</xdr:row>
          <xdr:rowOff>139700</xdr:rowOff>
        </xdr:from>
        <xdr:to>
          <xdr:col>13</xdr:col>
          <xdr:colOff>1016000</xdr:colOff>
          <xdr:row>5</xdr:row>
          <xdr:rowOff>152400</xdr:rowOff>
        </xdr:to>
        <xdr:sp macro="" textlink="">
          <xdr:nvSpPr>
            <xdr:cNvPr id="13315" name="Drop Down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9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353786</xdr:colOff>
      <xdr:row>4</xdr:row>
      <xdr:rowOff>36286</xdr:rowOff>
    </xdr:from>
    <xdr:to>
      <xdr:col>19</xdr:col>
      <xdr:colOff>282575</xdr:colOff>
      <xdr:row>20</xdr:row>
      <xdr:rowOff>107315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A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1386" y="823686"/>
              <a:ext cx="5351689" cy="3119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222704</xdr:colOff>
      <xdr:row>24</xdr:row>
      <xdr:rowOff>94342</xdr:rowOff>
    </xdr:from>
    <xdr:to>
      <xdr:col>18</xdr:col>
      <xdr:colOff>527504</xdr:colOff>
      <xdr:row>39</xdr:row>
      <xdr:rowOff>66220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D980C-42A6-49F8-8847-6E9009E114E8}" name="dict" displayName="dict" ref="J4:M139" totalsRowShown="0" dataDxfId="10">
  <autoFilter ref="J4:M139" xr:uid="{238D980C-42A6-49F8-8847-6E9009E114E8}"/>
  <tableColumns count="4">
    <tableColumn id="1" xr3:uid="{3C6DF915-65E5-492B-9BDE-91668BCF907C}" name="Group 1" dataDxfId="9"/>
    <tableColumn id="2" xr3:uid="{4345AC7D-E016-4F80-A849-ABA3874B8819}" name="Group 2" dataDxfId="8"/>
    <tableColumn id="3" xr3:uid="{AAA90113-5C58-4F63-909E-731F507EB0E5}" name="Group 3" dataDxfId="7"/>
    <tableColumn id="4" xr3:uid="{862DD46C-D425-4283-AF0E-0B719E4D5838}" name="Group 4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A3FDC-3688-4C5C-BA01-04CE373FE70D}" name="feat" displayName="feat" ref="C4:F68" totalsRowShown="0" headerRowDxfId="5" dataDxfId="4">
  <autoFilter ref="C4:F68" xr:uid="{C8AA3FDC-3688-4C5C-BA01-04CE373FE70D}"/>
  <tableColumns count="4">
    <tableColumn id="1" xr3:uid="{FB3532DF-4FB4-4951-98A0-3F3F47FC0138}" name="Feature" dataDxfId="3"/>
    <tableColumn id="2" xr3:uid="{F9B6A20E-0119-47A9-A1EF-3D623CA13DB4}" name="Group 1" dataDxfId="2"/>
    <tableColumn id="3" xr3:uid="{EE24E545-9BCF-483D-A6BC-0BA434A9482E}" name="Match" dataDxfId="1">
      <calculatedColumnFormula>MATCH(feat[[#This Row],[Group 1]],dict[Group 1],0)</calculatedColumnFormula>
    </tableColumn>
    <tableColumn id="4" xr3:uid="{7A99B361-B3D4-48E8-9B4B-CFC39D204987}" name="Prism Code" dataDxfId="0">
      <calculatedColumnFormula>CONCATENATE("'",feat[[#This Row],[Feature]],"': {},")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23E7-0160-43DA-B75C-0217CB457C0E}">
  <sheetPr>
    <tabColor theme="4"/>
  </sheetPr>
  <dimension ref="B2:K112"/>
  <sheetViews>
    <sheetView showGridLines="0" topLeftCell="A5" zoomScale="97" zoomScaleNormal="84" workbookViewId="0">
      <selection activeCell="C21" sqref="C21"/>
    </sheetView>
  </sheetViews>
  <sheetFormatPr baseColWidth="10" defaultColWidth="9.33203125" defaultRowHeight="15" x14ac:dyDescent="0.2"/>
  <cols>
    <col min="3" max="3" width="27.5" customWidth="1"/>
    <col min="6" max="6" width="18.33203125" customWidth="1"/>
    <col min="8" max="10" width="17.33203125" customWidth="1"/>
    <col min="12" max="25" width="8.6640625"/>
  </cols>
  <sheetData>
    <row r="2" spans="2:11" x14ac:dyDescent="0.2">
      <c r="C2" s="137"/>
      <c r="F2" s="137"/>
      <c r="I2" s="137"/>
    </row>
    <row r="3" spans="2:11" x14ac:dyDescent="0.2">
      <c r="B3" s="137"/>
      <c r="F3" s="137"/>
      <c r="I3" s="137"/>
    </row>
    <row r="4" spans="2:11" x14ac:dyDescent="0.2">
      <c r="F4" s="137"/>
      <c r="I4" s="137"/>
    </row>
    <row r="5" spans="2:11" x14ac:dyDescent="0.2">
      <c r="C5" s="10"/>
    </row>
    <row r="6" spans="2:11" x14ac:dyDescent="0.2">
      <c r="B6" s="196" t="str" cm="1">
        <f t="array" ref="B6">INDEX(C9:C27,B7)</f>
        <v>All</v>
      </c>
    </row>
    <row r="7" spans="2:11" x14ac:dyDescent="0.2">
      <c r="B7" s="2">
        <v>1</v>
      </c>
    </row>
    <row r="8" spans="2:11" x14ac:dyDescent="0.2">
      <c r="C8" s="10" t="s">
        <v>0</v>
      </c>
      <c r="E8" s="384">
        <f>COUNT(F:F)</f>
        <v>104</v>
      </c>
      <c r="F8" s="10" t="s">
        <v>1</v>
      </c>
      <c r="H8" s="10" t="s">
        <v>2</v>
      </c>
      <c r="I8" s="4" t="s">
        <v>3</v>
      </c>
      <c r="J8" s="4" t="s">
        <v>4</v>
      </c>
    </row>
    <row r="9" spans="2:11" x14ac:dyDescent="0.2">
      <c r="C9" s="379" t="s">
        <v>5</v>
      </c>
      <c r="E9" s="44" t="s">
        <v>101</v>
      </c>
      <c r="F9" s="383">
        <v>43472</v>
      </c>
      <c r="H9" s="159">
        <f ca="1">OFFSET($H$15,K9-1,0)</f>
        <v>2020</v>
      </c>
      <c r="I9" s="160">
        <f ca="1">OFFSET($I$15,K9-1,0)</f>
        <v>43836</v>
      </c>
      <c r="J9" s="161">
        <f ca="1">OFFSET($J$15,K9-1,0)</f>
        <v>44193</v>
      </c>
      <c r="K9" s="2">
        <v>3</v>
      </c>
    </row>
    <row r="10" spans="2:11" x14ac:dyDescent="0.2">
      <c r="C10" s="380"/>
      <c r="E10" s="45" t="s">
        <v>101</v>
      </c>
      <c r="F10" s="81">
        <v>43479</v>
      </c>
      <c r="H10" s="159" t="str">
        <f ca="1">OFFSET($H$15,K10-1,0)</f>
        <v>Post-Covid</v>
      </c>
      <c r="I10" s="160">
        <f ca="1">OFFSET($I$15,K10-1,0)</f>
        <v>44046</v>
      </c>
      <c r="J10" s="161">
        <f ca="1">OFFSET($J$15,K10-1,0)</f>
        <v>44193</v>
      </c>
      <c r="K10" s="2">
        <v>6</v>
      </c>
    </row>
    <row r="11" spans="2:11" x14ac:dyDescent="0.2">
      <c r="C11" s="380"/>
      <c r="E11" s="45" t="s">
        <v>101</v>
      </c>
      <c r="F11" s="81">
        <v>43486</v>
      </c>
      <c r="H11" s="159" t="str">
        <f ca="1">OFFSET($H$15,K11-1,0)</f>
        <v>OFF</v>
      </c>
      <c r="I11" s="160">
        <f ca="1">OFFSET($I$15,K11-1,0)</f>
        <v>0</v>
      </c>
      <c r="J11" s="161">
        <f ca="1">OFFSET($J$15,K11-1,0)</f>
        <v>0</v>
      </c>
      <c r="K11" s="2">
        <v>1</v>
      </c>
    </row>
    <row r="12" spans="2:11" x14ac:dyDescent="0.2">
      <c r="C12" s="380"/>
      <c r="E12" s="45" t="s">
        <v>101</v>
      </c>
      <c r="F12" s="81">
        <v>43493</v>
      </c>
      <c r="H12" s="159">
        <f ca="1">OFFSET($H$15,K12-1,0)</f>
        <v>0</v>
      </c>
      <c r="I12" s="160">
        <f ca="1">OFFSET($I$15,K12-1,0)</f>
        <v>0</v>
      </c>
      <c r="J12" s="161">
        <f ca="1">OFFSET($J$15,K12-1,0)</f>
        <v>0</v>
      </c>
      <c r="K12" s="2"/>
    </row>
    <row r="13" spans="2:11" x14ac:dyDescent="0.2">
      <c r="C13" s="380"/>
      <c r="E13" s="45" t="s">
        <v>101</v>
      </c>
      <c r="F13" s="81">
        <v>43500</v>
      </c>
    </row>
    <row r="14" spans="2:11" x14ac:dyDescent="0.2">
      <c r="C14" s="380"/>
      <c r="E14" s="45" t="s">
        <v>101</v>
      </c>
      <c r="F14" s="81">
        <v>43507</v>
      </c>
    </row>
    <row r="15" spans="2:11" x14ac:dyDescent="0.2">
      <c r="C15" s="380"/>
      <c r="E15" s="45" t="s">
        <v>101</v>
      </c>
      <c r="F15" s="81">
        <v>43514</v>
      </c>
      <c r="H15" s="172" t="s">
        <v>6</v>
      </c>
      <c r="I15" s="173"/>
      <c r="J15" s="174"/>
    </row>
    <row r="16" spans="2:11" x14ac:dyDescent="0.2">
      <c r="C16" s="380"/>
      <c r="E16" s="45" t="s">
        <v>101</v>
      </c>
      <c r="F16" s="81">
        <v>43521</v>
      </c>
      <c r="H16" s="116">
        <v>2019</v>
      </c>
      <c r="I16" s="83">
        <v>43472</v>
      </c>
      <c r="J16" s="84">
        <v>43829</v>
      </c>
    </row>
    <row r="17" spans="3:10" x14ac:dyDescent="0.2">
      <c r="C17" s="380"/>
      <c r="E17" s="45" t="s">
        <v>101</v>
      </c>
      <c r="F17" s="81">
        <v>43528</v>
      </c>
      <c r="H17" s="116">
        <v>2020</v>
      </c>
      <c r="I17" s="83">
        <v>43836</v>
      </c>
      <c r="J17" s="84">
        <v>44193</v>
      </c>
    </row>
    <row r="18" spans="3:10" x14ac:dyDescent="0.2">
      <c r="C18" s="380"/>
      <c r="E18" s="45" t="s">
        <v>101</v>
      </c>
      <c r="F18" s="81">
        <v>43535</v>
      </c>
      <c r="H18" s="116" t="s">
        <v>179</v>
      </c>
      <c r="I18" s="83">
        <v>43906</v>
      </c>
      <c r="J18" s="84">
        <v>44039</v>
      </c>
    </row>
    <row r="19" spans="3:10" x14ac:dyDescent="0.2">
      <c r="C19" s="380"/>
      <c r="E19" s="45" t="s">
        <v>101</v>
      </c>
      <c r="F19" s="81">
        <v>43542</v>
      </c>
      <c r="H19" s="116" t="s">
        <v>219</v>
      </c>
      <c r="I19" s="83">
        <v>43472</v>
      </c>
      <c r="J19" s="84">
        <v>43899</v>
      </c>
    </row>
    <row r="20" spans="3:10" x14ac:dyDescent="0.2">
      <c r="C20" s="380"/>
      <c r="E20" s="45" t="s">
        <v>101</v>
      </c>
      <c r="F20" s="81">
        <v>43549</v>
      </c>
      <c r="H20" s="116" t="s">
        <v>220</v>
      </c>
      <c r="I20" s="83">
        <v>44046</v>
      </c>
      <c r="J20" s="84">
        <v>44193</v>
      </c>
    </row>
    <row r="21" spans="3:10" x14ac:dyDescent="0.2">
      <c r="C21" s="380"/>
      <c r="E21" s="46" t="s">
        <v>101</v>
      </c>
      <c r="F21" s="82">
        <v>43556</v>
      </c>
      <c r="H21" s="116"/>
      <c r="I21" s="83"/>
      <c r="J21" s="84"/>
    </row>
    <row r="22" spans="3:10" x14ac:dyDescent="0.2">
      <c r="C22" s="380"/>
      <c r="E22" s="44" t="s">
        <v>102</v>
      </c>
      <c r="F22" s="383">
        <v>43563</v>
      </c>
      <c r="H22" s="116"/>
      <c r="I22" s="83"/>
      <c r="J22" s="84"/>
    </row>
    <row r="23" spans="3:10" x14ac:dyDescent="0.2">
      <c r="C23" s="380"/>
      <c r="E23" s="45" t="s">
        <v>102</v>
      </c>
      <c r="F23" s="81">
        <v>43570</v>
      </c>
      <c r="H23" s="116"/>
      <c r="I23" s="83"/>
      <c r="J23" s="84"/>
    </row>
    <row r="24" spans="3:10" x14ac:dyDescent="0.2">
      <c r="C24" s="380"/>
      <c r="E24" s="45" t="s">
        <v>102</v>
      </c>
      <c r="F24" s="81">
        <v>43577</v>
      </c>
      <c r="H24" s="116"/>
      <c r="I24" s="83"/>
      <c r="J24" s="84"/>
    </row>
    <row r="25" spans="3:10" x14ac:dyDescent="0.2">
      <c r="C25" s="380"/>
      <c r="E25" s="45" t="s">
        <v>102</v>
      </c>
      <c r="F25" s="81">
        <v>43584</v>
      </c>
      <c r="H25" s="116"/>
      <c r="I25" s="83"/>
      <c r="J25" s="84"/>
    </row>
    <row r="26" spans="3:10" x14ac:dyDescent="0.2">
      <c r="C26" s="380"/>
      <c r="E26" s="45" t="s">
        <v>102</v>
      </c>
      <c r="F26" s="81">
        <v>43591</v>
      </c>
      <c r="H26" s="116"/>
      <c r="I26" s="83"/>
      <c r="J26" s="84"/>
    </row>
    <row r="27" spans="3:10" x14ac:dyDescent="0.2">
      <c r="C27" s="381"/>
      <c r="E27" s="45" t="s">
        <v>102</v>
      </c>
      <c r="F27" s="81">
        <v>43598</v>
      </c>
      <c r="H27" s="116"/>
      <c r="I27" s="83"/>
      <c r="J27" s="84"/>
    </row>
    <row r="28" spans="3:10" x14ac:dyDescent="0.2">
      <c r="C28" s="382"/>
      <c r="E28" s="45" t="s">
        <v>102</v>
      </c>
      <c r="F28" s="81">
        <v>43605</v>
      </c>
      <c r="H28" s="117"/>
      <c r="I28" s="85"/>
      <c r="J28" s="86"/>
    </row>
    <row r="29" spans="3:10" x14ac:dyDescent="0.2">
      <c r="C29" s="378"/>
      <c r="E29" s="45" t="s">
        <v>102</v>
      </c>
      <c r="F29" s="81">
        <v>43612</v>
      </c>
      <c r="H29" s="7"/>
      <c r="I29" s="365" t="s">
        <v>7</v>
      </c>
      <c r="J29" s="8"/>
    </row>
    <row r="30" spans="3:10" x14ac:dyDescent="0.2">
      <c r="C30" s="378"/>
      <c r="E30" s="45" t="s">
        <v>102</v>
      </c>
      <c r="F30" s="81">
        <v>43619</v>
      </c>
    </row>
    <row r="31" spans="3:10" x14ac:dyDescent="0.2">
      <c r="C31" s="378"/>
      <c r="E31" s="45" t="s">
        <v>102</v>
      </c>
      <c r="F31" s="81">
        <v>43626</v>
      </c>
    </row>
    <row r="32" spans="3:10" x14ac:dyDescent="0.2">
      <c r="E32" s="45" t="s">
        <v>102</v>
      </c>
      <c r="F32" s="81">
        <v>43633</v>
      </c>
    </row>
    <row r="33" spans="5:6" x14ac:dyDescent="0.2">
      <c r="E33" s="45" t="s">
        <v>102</v>
      </c>
      <c r="F33" s="81">
        <v>43640</v>
      </c>
    </row>
    <row r="34" spans="5:6" x14ac:dyDescent="0.2">
      <c r="E34" s="46" t="s">
        <v>102</v>
      </c>
      <c r="F34" s="82">
        <v>43647</v>
      </c>
    </row>
    <row r="35" spans="5:6" x14ac:dyDescent="0.2">
      <c r="E35" s="44" t="s">
        <v>103</v>
      </c>
      <c r="F35" s="383">
        <v>43654</v>
      </c>
    </row>
    <row r="36" spans="5:6" x14ac:dyDescent="0.2">
      <c r="E36" s="45" t="s">
        <v>103</v>
      </c>
      <c r="F36" s="81">
        <v>43661</v>
      </c>
    </row>
    <row r="37" spans="5:6" x14ac:dyDescent="0.2">
      <c r="E37" s="45" t="s">
        <v>103</v>
      </c>
      <c r="F37" s="81">
        <v>43668</v>
      </c>
    </row>
    <row r="38" spans="5:6" x14ac:dyDescent="0.2">
      <c r="E38" s="45" t="s">
        <v>103</v>
      </c>
      <c r="F38" s="81">
        <v>43675</v>
      </c>
    </row>
    <row r="39" spans="5:6" x14ac:dyDescent="0.2">
      <c r="E39" s="45" t="s">
        <v>103</v>
      </c>
      <c r="F39" s="81">
        <v>43682</v>
      </c>
    </row>
    <row r="40" spans="5:6" x14ac:dyDescent="0.2">
      <c r="E40" s="45" t="s">
        <v>103</v>
      </c>
      <c r="F40" s="81">
        <v>43689</v>
      </c>
    </row>
    <row r="41" spans="5:6" x14ac:dyDescent="0.2">
      <c r="E41" s="45" t="s">
        <v>103</v>
      </c>
      <c r="F41" s="81">
        <v>43696</v>
      </c>
    </row>
    <row r="42" spans="5:6" x14ac:dyDescent="0.2">
      <c r="E42" s="45" t="s">
        <v>103</v>
      </c>
      <c r="F42" s="81">
        <v>43703</v>
      </c>
    </row>
    <row r="43" spans="5:6" x14ac:dyDescent="0.2">
      <c r="E43" s="45" t="s">
        <v>103</v>
      </c>
      <c r="F43" s="81">
        <v>43710</v>
      </c>
    </row>
    <row r="44" spans="5:6" x14ac:dyDescent="0.2">
      <c r="E44" s="45" t="s">
        <v>103</v>
      </c>
      <c r="F44" s="81">
        <v>43717</v>
      </c>
    </row>
    <row r="45" spans="5:6" x14ac:dyDescent="0.2">
      <c r="E45" s="45" t="s">
        <v>103</v>
      </c>
      <c r="F45" s="81">
        <v>43724</v>
      </c>
    </row>
    <row r="46" spans="5:6" x14ac:dyDescent="0.2">
      <c r="E46" s="45" t="s">
        <v>103</v>
      </c>
      <c r="F46" s="81">
        <v>43731</v>
      </c>
    </row>
    <row r="47" spans="5:6" x14ac:dyDescent="0.2">
      <c r="E47" s="46" t="s">
        <v>103</v>
      </c>
      <c r="F47" s="82">
        <v>43738</v>
      </c>
    </row>
    <row r="48" spans="5:6" x14ac:dyDescent="0.2">
      <c r="E48" s="44" t="s">
        <v>104</v>
      </c>
      <c r="F48" s="383">
        <v>43745</v>
      </c>
    </row>
    <row r="49" spans="5:6" x14ac:dyDescent="0.2">
      <c r="E49" s="45" t="s">
        <v>104</v>
      </c>
      <c r="F49" s="81">
        <v>43752</v>
      </c>
    </row>
    <row r="50" spans="5:6" x14ac:dyDescent="0.2">
      <c r="E50" s="45" t="s">
        <v>104</v>
      </c>
      <c r="F50" s="81">
        <v>43759</v>
      </c>
    </row>
    <row r="51" spans="5:6" x14ac:dyDescent="0.2">
      <c r="E51" s="45" t="s">
        <v>104</v>
      </c>
      <c r="F51" s="81">
        <v>43766</v>
      </c>
    </row>
    <row r="52" spans="5:6" x14ac:dyDescent="0.2">
      <c r="E52" s="45" t="s">
        <v>104</v>
      </c>
      <c r="F52" s="81">
        <v>43773</v>
      </c>
    </row>
    <row r="53" spans="5:6" x14ac:dyDescent="0.2">
      <c r="E53" s="45" t="s">
        <v>104</v>
      </c>
      <c r="F53" s="81">
        <v>43780</v>
      </c>
    </row>
    <row r="54" spans="5:6" x14ac:dyDescent="0.2">
      <c r="E54" s="45" t="s">
        <v>104</v>
      </c>
      <c r="F54" s="81">
        <v>43787</v>
      </c>
    </row>
    <row r="55" spans="5:6" x14ac:dyDescent="0.2">
      <c r="E55" s="45" t="s">
        <v>104</v>
      </c>
      <c r="F55" s="81">
        <v>43794</v>
      </c>
    </row>
    <row r="56" spans="5:6" x14ac:dyDescent="0.2">
      <c r="E56" s="45" t="s">
        <v>104</v>
      </c>
      <c r="F56" s="81">
        <v>43801</v>
      </c>
    </row>
    <row r="57" spans="5:6" x14ac:dyDescent="0.2">
      <c r="E57" s="45" t="s">
        <v>104</v>
      </c>
      <c r="F57" s="81">
        <v>43808</v>
      </c>
    </row>
    <row r="58" spans="5:6" x14ac:dyDescent="0.2">
      <c r="E58" s="45" t="s">
        <v>104</v>
      </c>
      <c r="F58" s="81">
        <v>43815</v>
      </c>
    </row>
    <row r="59" spans="5:6" x14ac:dyDescent="0.2">
      <c r="E59" s="45" t="s">
        <v>104</v>
      </c>
      <c r="F59" s="81">
        <v>43822</v>
      </c>
    </row>
    <row r="60" spans="5:6" x14ac:dyDescent="0.2">
      <c r="E60" s="46" t="s">
        <v>104</v>
      </c>
      <c r="F60" s="82">
        <v>43829</v>
      </c>
    </row>
    <row r="61" spans="5:6" x14ac:dyDescent="0.2">
      <c r="E61" s="44" t="s">
        <v>105</v>
      </c>
      <c r="F61" s="383">
        <v>43836</v>
      </c>
    </row>
    <row r="62" spans="5:6" x14ac:dyDescent="0.2">
      <c r="E62" s="45" t="s">
        <v>105</v>
      </c>
      <c r="F62" s="81">
        <v>43843</v>
      </c>
    </row>
    <row r="63" spans="5:6" x14ac:dyDescent="0.2">
      <c r="E63" s="45" t="s">
        <v>105</v>
      </c>
      <c r="F63" s="81">
        <v>43850</v>
      </c>
    </row>
    <row r="64" spans="5:6" x14ac:dyDescent="0.2">
      <c r="E64" s="45" t="s">
        <v>105</v>
      </c>
      <c r="F64" s="81">
        <v>43857</v>
      </c>
    </row>
    <row r="65" spans="5:6" x14ac:dyDescent="0.2">
      <c r="E65" s="45" t="s">
        <v>105</v>
      </c>
      <c r="F65" s="81">
        <v>43864</v>
      </c>
    </row>
    <row r="66" spans="5:6" x14ac:dyDescent="0.2">
      <c r="E66" s="45" t="s">
        <v>105</v>
      </c>
      <c r="F66" s="81">
        <v>43871</v>
      </c>
    </row>
    <row r="67" spans="5:6" x14ac:dyDescent="0.2">
      <c r="E67" s="45" t="s">
        <v>105</v>
      </c>
      <c r="F67" s="81">
        <v>43878</v>
      </c>
    </row>
    <row r="68" spans="5:6" x14ac:dyDescent="0.2">
      <c r="E68" s="45" t="s">
        <v>105</v>
      </c>
      <c r="F68" s="81">
        <v>43885</v>
      </c>
    </row>
    <row r="69" spans="5:6" x14ac:dyDescent="0.2">
      <c r="E69" s="45" t="s">
        <v>105</v>
      </c>
      <c r="F69" s="81">
        <v>43892</v>
      </c>
    </row>
    <row r="70" spans="5:6" x14ac:dyDescent="0.2">
      <c r="E70" s="45" t="s">
        <v>105</v>
      </c>
      <c r="F70" s="81">
        <v>43899</v>
      </c>
    </row>
    <row r="71" spans="5:6" x14ac:dyDescent="0.2">
      <c r="E71" s="45" t="s">
        <v>105</v>
      </c>
      <c r="F71" s="81">
        <v>43906</v>
      </c>
    </row>
    <row r="72" spans="5:6" x14ac:dyDescent="0.2">
      <c r="E72" s="45" t="s">
        <v>105</v>
      </c>
      <c r="F72" s="81">
        <v>43913</v>
      </c>
    </row>
    <row r="73" spans="5:6" x14ac:dyDescent="0.2">
      <c r="E73" s="46" t="s">
        <v>105</v>
      </c>
      <c r="F73" s="82">
        <v>43920</v>
      </c>
    </row>
    <row r="74" spans="5:6" x14ac:dyDescent="0.2">
      <c r="E74" s="44" t="s">
        <v>106</v>
      </c>
      <c r="F74" s="383">
        <v>43927</v>
      </c>
    </row>
    <row r="75" spans="5:6" x14ac:dyDescent="0.2">
      <c r="E75" s="45" t="s">
        <v>106</v>
      </c>
      <c r="F75" s="81">
        <v>43934</v>
      </c>
    </row>
    <row r="76" spans="5:6" x14ac:dyDescent="0.2">
      <c r="E76" s="45" t="s">
        <v>106</v>
      </c>
      <c r="F76" s="81">
        <v>43941</v>
      </c>
    </row>
    <row r="77" spans="5:6" x14ac:dyDescent="0.2">
      <c r="E77" s="45" t="s">
        <v>106</v>
      </c>
      <c r="F77" s="81">
        <v>43948</v>
      </c>
    </row>
    <row r="78" spans="5:6" x14ac:dyDescent="0.2">
      <c r="E78" s="45" t="s">
        <v>106</v>
      </c>
      <c r="F78" s="81">
        <v>43955</v>
      </c>
    </row>
    <row r="79" spans="5:6" x14ac:dyDescent="0.2">
      <c r="E79" s="45" t="s">
        <v>106</v>
      </c>
      <c r="F79" s="81">
        <v>43962</v>
      </c>
    </row>
    <row r="80" spans="5:6" x14ac:dyDescent="0.2">
      <c r="E80" s="45" t="s">
        <v>106</v>
      </c>
      <c r="F80" s="81">
        <v>43969</v>
      </c>
    </row>
    <row r="81" spans="5:6" x14ac:dyDescent="0.2">
      <c r="E81" s="45" t="s">
        <v>106</v>
      </c>
      <c r="F81" s="81">
        <v>43976</v>
      </c>
    </row>
    <row r="82" spans="5:6" x14ac:dyDescent="0.2">
      <c r="E82" s="45" t="s">
        <v>106</v>
      </c>
      <c r="F82" s="81">
        <v>43983</v>
      </c>
    </row>
    <row r="83" spans="5:6" x14ac:dyDescent="0.2">
      <c r="E83" s="45" t="s">
        <v>106</v>
      </c>
      <c r="F83" s="81">
        <v>43990</v>
      </c>
    </row>
    <row r="84" spans="5:6" x14ac:dyDescent="0.2">
      <c r="E84" s="45" t="s">
        <v>106</v>
      </c>
      <c r="F84" s="81">
        <v>43997</v>
      </c>
    </row>
    <row r="85" spans="5:6" x14ac:dyDescent="0.2">
      <c r="E85" s="45" t="s">
        <v>106</v>
      </c>
      <c r="F85" s="81">
        <v>44004</v>
      </c>
    </row>
    <row r="86" spans="5:6" x14ac:dyDescent="0.2">
      <c r="E86" s="46" t="s">
        <v>106</v>
      </c>
      <c r="F86" s="82">
        <v>44011</v>
      </c>
    </row>
    <row r="87" spans="5:6" x14ac:dyDescent="0.2">
      <c r="E87" s="44" t="s">
        <v>107</v>
      </c>
      <c r="F87" s="383">
        <v>44018</v>
      </c>
    </row>
    <row r="88" spans="5:6" x14ac:dyDescent="0.2">
      <c r="E88" s="45" t="s">
        <v>107</v>
      </c>
      <c r="F88" s="81">
        <v>44025</v>
      </c>
    </row>
    <row r="89" spans="5:6" x14ac:dyDescent="0.2">
      <c r="E89" s="45" t="s">
        <v>107</v>
      </c>
      <c r="F89" s="81">
        <v>44032</v>
      </c>
    </row>
    <row r="90" spans="5:6" x14ac:dyDescent="0.2">
      <c r="E90" s="45" t="s">
        <v>107</v>
      </c>
      <c r="F90" s="81">
        <v>44039</v>
      </c>
    </row>
    <row r="91" spans="5:6" x14ac:dyDescent="0.2">
      <c r="E91" s="45" t="s">
        <v>107</v>
      </c>
      <c r="F91" s="81">
        <v>44046</v>
      </c>
    </row>
    <row r="92" spans="5:6" x14ac:dyDescent="0.2">
      <c r="E92" s="45" t="s">
        <v>107</v>
      </c>
      <c r="F92" s="81">
        <v>44053</v>
      </c>
    </row>
    <row r="93" spans="5:6" x14ac:dyDescent="0.2">
      <c r="E93" s="45" t="s">
        <v>107</v>
      </c>
      <c r="F93" s="81">
        <v>44060</v>
      </c>
    </row>
    <row r="94" spans="5:6" x14ac:dyDescent="0.2">
      <c r="E94" s="45" t="s">
        <v>107</v>
      </c>
      <c r="F94" s="81">
        <v>44067</v>
      </c>
    </row>
    <row r="95" spans="5:6" x14ac:dyDescent="0.2">
      <c r="E95" s="45" t="s">
        <v>107</v>
      </c>
      <c r="F95" s="81">
        <v>44074</v>
      </c>
    </row>
    <row r="96" spans="5:6" x14ac:dyDescent="0.2">
      <c r="E96" s="45" t="s">
        <v>107</v>
      </c>
      <c r="F96" s="81">
        <v>44081</v>
      </c>
    </row>
    <row r="97" spans="5:6" x14ac:dyDescent="0.2">
      <c r="E97" s="45" t="s">
        <v>107</v>
      </c>
      <c r="F97" s="81">
        <v>44088</v>
      </c>
    </row>
    <row r="98" spans="5:6" x14ac:dyDescent="0.2">
      <c r="E98" s="45" t="s">
        <v>107</v>
      </c>
      <c r="F98" s="81">
        <v>44095</v>
      </c>
    </row>
    <row r="99" spans="5:6" x14ac:dyDescent="0.2">
      <c r="E99" s="46" t="s">
        <v>107</v>
      </c>
      <c r="F99" s="82">
        <v>44102</v>
      </c>
    </row>
    <row r="100" spans="5:6" x14ac:dyDescent="0.2">
      <c r="E100" s="44" t="s">
        <v>108</v>
      </c>
      <c r="F100" s="383">
        <v>44109</v>
      </c>
    </row>
    <row r="101" spans="5:6" x14ac:dyDescent="0.2">
      <c r="E101" s="45" t="s">
        <v>108</v>
      </c>
      <c r="F101" s="81">
        <v>44116</v>
      </c>
    </row>
    <row r="102" spans="5:6" x14ac:dyDescent="0.2">
      <c r="E102" s="45" t="s">
        <v>108</v>
      </c>
      <c r="F102" s="81">
        <v>44123</v>
      </c>
    </row>
    <row r="103" spans="5:6" x14ac:dyDescent="0.2">
      <c r="E103" s="45" t="s">
        <v>108</v>
      </c>
      <c r="F103" s="81">
        <v>44130</v>
      </c>
    </row>
    <row r="104" spans="5:6" x14ac:dyDescent="0.2">
      <c r="E104" s="45" t="s">
        <v>108</v>
      </c>
      <c r="F104" s="81">
        <v>44137</v>
      </c>
    </row>
    <row r="105" spans="5:6" x14ac:dyDescent="0.2">
      <c r="E105" s="45" t="s">
        <v>108</v>
      </c>
      <c r="F105" s="81">
        <v>44144</v>
      </c>
    </row>
    <row r="106" spans="5:6" x14ac:dyDescent="0.2">
      <c r="E106" s="45" t="s">
        <v>108</v>
      </c>
      <c r="F106" s="81">
        <v>44151</v>
      </c>
    </row>
    <row r="107" spans="5:6" x14ac:dyDescent="0.2">
      <c r="E107" s="45" t="s">
        <v>108</v>
      </c>
      <c r="F107" s="81">
        <v>44158</v>
      </c>
    </row>
    <row r="108" spans="5:6" x14ac:dyDescent="0.2">
      <c r="E108" s="45" t="s">
        <v>108</v>
      </c>
      <c r="F108" s="81">
        <v>44165</v>
      </c>
    </row>
    <row r="109" spans="5:6" x14ac:dyDescent="0.2">
      <c r="E109" s="45" t="s">
        <v>108</v>
      </c>
      <c r="F109" s="81">
        <v>44172</v>
      </c>
    </row>
    <row r="110" spans="5:6" x14ac:dyDescent="0.2">
      <c r="E110" s="45" t="s">
        <v>108</v>
      </c>
      <c r="F110" s="81">
        <v>44179</v>
      </c>
    </row>
    <row r="111" spans="5:6" x14ac:dyDescent="0.2">
      <c r="E111" s="45" t="s">
        <v>108</v>
      </c>
      <c r="F111" s="81">
        <v>44186</v>
      </c>
    </row>
    <row r="112" spans="5:6" x14ac:dyDescent="0.2">
      <c r="E112" s="46" t="s">
        <v>108</v>
      </c>
      <c r="F112" s="82">
        <v>44193</v>
      </c>
    </row>
  </sheetData>
  <phoneticPr fontId="5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63" r:id="rId4" name="Drop Down 7">
              <controlPr defaultSize="0" autoLine="0" autoPict="0">
                <anchor moveWithCells="1">
                  <from>
                    <xdr:col>2</xdr:col>
                    <xdr:colOff>38100</xdr:colOff>
                    <xdr:row>5</xdr:row>
                    <xdr:rowOff>38100</xdr:rowOff>
                  </from>
                  <to>
                    <xdr:col>3</xdr:col>
                    <xdr:colOff>38100</xdr:colOff>
                    <xdr:row>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4" r:id="rId5" name="Drop Down 8">
              <controlPr defaultSize="0" autoLine="0" autoPict="0">
                <anchor moveWithCells="1">
                  <from>
                    <xdr:col>11</xdr:col>
                    <xdr:colOff>101600</xdr:colOff>
                    <xdr:row>7</xdr:row>
                    <xdr:rowOff>0</xdr:rowOff>
                  </from>
                  <to>
                    <xdr:col>12</xdr:col>
                    <xdr:colOff>558800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5" r:id="rId6" name="Drop Down 9">
              <controlPr defaultSize="0" autoLine="0" autoPict="0">
                <anchor moveWithCells="1">
                  <from>
                    <xdr:col>11</xdr:col>
                    <xdr:colOff>101600</xdr:colOff>
                    <xdr:row>8</xdr:row>
                    <xdr:rowOff>114300</xdr:rowOff>
                  </from>
                  <to>
                    <xdr:col>12</xdr:col>
                    <xdr:colOff>558800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0F21-18DD-4ABA-80C2-3BD34FE7C38F}">
  <sheetPr>
    <tabColor theme="4"/>
  </sheetPr>
  <dimension ref="A1:AK2436"/>
  <sheetViews>
    <sheetView showGridLines="0" zoomScaleNormal="100" workbookViewId="0">
      <pane xSplit="8" ySplit="12" topLeftCell="X103" activePane="bottomRight" state="frozen"/>
      <selection pane="topRight" activeCell="F1" sqref="F1"/>
      <selection pane="bottomLeft" activeCell="A8" sqref="A8"/>
      <selection pane="bottomRight" activeCell="H111" sqref="H111"/>
    </sheetView>
  </sheetViews>
  <sheetFormatPr baseColWidth="10" defaultColWidth="14.33203125" defaultRowHeight="15" x14ac:dyDescent="0.2"/>
  <cols>
    <col min="1" max="1" width="5.5" style="233" customWidth="1"/>
    <col min="2" max="5" width="5.5" style="234" customWidth="1"/>
    <col min="6" max="6" width="6.5" customWidth="1"/>
    <col min="7" max="8" width="13.6640625" customWidth="1"/>
    <col min="9" max="11" width="19.5" style="141" customWidth="1"/>
    <col min="12" max="16384" width="14.33203125" style="141"/>
  </cols>
  <sheetData>
    <row r="1" spans="1:37" customFormat="1" x14ac:dyDescent="0.2">
      <c r="G1" s="433"/>
    </row>
    <row r="2" spans="1:37" customFormat="1" x14ac:dyDescent="0.2">
      <c r="C2" s="200"/>
      <c r="D2" s="200"/>
      <c r="E2" s="200"/>
      <c r="G2">
        <v>124625.99605609586</v>
      </c>
    </row>
    <row r="3" spans="1:37" customFormat="1" x14ac:dyDescent="0.2">
      <c r="A3" s="200"/>
      <c r="B3" s="201">
        <f>'Summary Data'!L3</f>
        <v>3</v>
      </c>
      <c r="C3" s="202">
        <f>COUNTA(12:12)</f>
        <v>25</v>
      </c>
      <c r="D3" s="202">
        <f>COUNTA(H:H)</f>
        <v>112</v>
      </c>
      <c r="E3" s="203" t="str">
        <f>Setup!B6</f>
        <v>All</v>
      </c>
      <c r="I3" s="251">
        <f>COLUMN()-COLUMN(A12)</f>
        <v>8</v>
      </c>
    </row>
    <row r="4" spans="1:37" s="253" customFormat="1" x14ac:dyDescent="0.2">
      <c r="A4" s="200"/>
      <c r="B4" s="200"/>
      <c r="C4"/>
      <c r="D4" s="200"/>
      <c r="E4"/>
      <c r="F4"/>
      <c r="G4"/>
      <c r="H4" s="158" t="s">
        <v>8</v>
      </c>
      <c r="I4" s="252" cm="1">
        <f t="array" ref="I4:AG4">_xlfn.SEQUENCE(1,C3,I3)</f>
        <v>8</v>
      </c>
      <c r="J4" s="253">
        <v>9</v>
      </c>
      <c r="K4" s="253">
        <v>10</v>
      </c>
      <c r="L4" s="253">
        <v>11</v>
      </c>
      <c r="M4" s="253">
        <v>12</v>
      </c>
      <c r="N4" s="253">
        <v>13</v>
      </c>
      <c r="O4" s="253">
        <v>14</v>
      </c>
      <c r="P4" s="253">
        <v>15</v>
      </c>
      <c r="Q4" s="253">
        <v>16</v>
      </c>
      <c r="R4" s="253">
        <v>17</v>
      </c>
      <c r="S4" s="253">
        <v>18</v>
      </c>
      <c r="T4" s="253">
        <v>19</v>
      </c>
      <c r="U4" s="253">
        <v>20</v>
      </c>
      <c r="V4" s="253">
        <v>21</v>
      </c>
      <c r="W4" s="253">
        <v>22</v>
      </c>
      <c r="X4" s="253">
        <v>23</v>
      </c>
      <c r="Y4" s="253">
        <v>24</v>
      </c>
      <c r="Z4" s="253">
        <v>25</v>
      </c>
      <c r="AA4" s="253">
        <v>26</v>
      </c>
      <c r="AB4" s="253">
        <v>27</v>
      </c>
      <c r="AC4" s="253">
        <v>28</v>
      </c>
      <c r="AD4" s="253">
        <v>29</v>
      </c>
      <c r="AE4" s="253">
        <v>30</v>
      </c>
      <c r="AF4" s="253">
        <v>31</v>
      </c>
      <c r="AG4" s="253">
        <v>32</v>
      </c>
    </row>
    <row r="5" spans="1:37" s="250" customFormat="1" x14ac:dyDescent="0.2">
      <c r="A5" s="200"/>
      <c r="B5" s="204">
        <f ca="1">Setup!I9</f>
        <v>43836</v>
      </c>
      <c r="C5" s="204">
        <f ca="1">Setup!I10</f>
        <v>44046</v>
      </c>
      <c r="D5" s="204">
        <f ca="1">Setup!I11</f>
        <v>0</v>
      </c>
      <c r="E5" s="204">
        <f ca="1">Setup!I12</f>
        <v>0</v>
      </c>
      <c r="F5"/>
      <c r="G5" s="236">
        <f ca="1">SUM(_xlfn.ANCHORARRAY(I5))</f>
        <v>14744559.026581762</v>
      </c>
      <c r="H5" s="158" t="s">
        <v>9</v>
      </c>
      <c r="I5" s="235" cm="1">
        <f t="array" aca="1" ref="I5:AG5" ca="1">SUMIFS(OFFSET(_xlfn.ANCHORARRAY($A$13),0,_xlfn.ANCHORARRAY(I4)),_xlfn.ANCHORARRAY($B$13),"&gt;0")</f>
        <v>832900.21609600005</v>
      </c>
      <c r="J5" s="235">
        <f ca="1"/>
        <v>582657.85770499986</v>
      </c>
      <c r="K5" s="235">
        <f ca="1"/>
        <v>1254086.9309903001</v>
      </c>
      <c r="L5" s="235">
        <f ca="1"/>
        <v>529716.02217550005</v>
      </c>
      <c r="M5" s="235">
        <f ca="1"/>
        <v>168535.15338485001</v>
      </c>
      <c r="N5" s="235">
        <f ca="1"/>
        <v>10593.53011</v>
      </c>
      <c r="O5" s="235">
        <f ca="1"/>
        <v>837914.6500599999</v>
      </c>
      <c r="P5" s="235">
        <f ca="1"/>
        <v>0</v>
      </c>
      <c r="Q5" s="235">
        <f ca="1"/>
        <v>47981.862155300005</v>
      </c>
      <c r="R5" s="235">
        <f ca="1"/>
        <v>169611.57361271998</v>
      </c>
      <c r="S5" s="235">
        <f ca="1"/>
        <v>1901742.8703699997</v>
      </c>
      <c r="T5" s="235">
        <f ca="1"/>
        <v>107343.926316</v>
      </c>
      <c r="U5" s="235">
        <f ca="1"/>
        <v>97146.594109999991</v>
      </c>
      <c r="V5" s="235">
        <f ca="1"/>
        <v>124625.99605609586</v>
      </c>
      <c r="W5" s="235">
        <f ca="1"/>
        <v>1957070.2423999999</v>
      </c>
      <c r="X5" s="235">
        <f ca="1"/>
        <v>1360397.9497</v>
      </c>
      <c r="Y5" s="235">
        <f ca="1"/>
        <v>2883964.3038449995</v>
      </c>
      <c r="Z5" s="235">
        <f ca="1"/>
        <v>1773269.3474949996</v>
      </c>
      <c r="AA5" s="235">
        <f ca="1"/>
        <v>105000</v>
      </c>
      <c r="AB5" s="235">
        <f ca="1"/>
        <v>0</v>
      </c>
      <c r="AC5" s="235">
        <f ca="1"/>
        <v>0</v>
      </c>
      <c r="AD5" s="235">
        <f ca="1"/>
        <v>0</v>
      </c>
      <c r="AE5" s="250">
        <f ca="1"/>
        <v>0</v>
      </c>
      <c r="AF5" s="250">
        <f ca="1"/>
        <v>0</v>
      </c>
      <c r="AG5" s="250">
        <f ca="1"/>
        <v>0</v>
      </c>
    </row>
    <row r="6" spans="1:37" s="214" customFormat="1" x14ac:dyDescent="0.2">
      <c r="A6" s="200"/>
      <c r="B6" s="205">
        <f ca="1">Setup!J9</f>
        <v>44193</v>
      </c>
      <c r="C6" s="205">
        <f ca="1">Setup!J10</f>
        <v>44193</v>
      </c>
      <c r="D6" s="205">
        <f ca="1">Setup!J11</f>
        <v>0</v>
      </c>
      <c r="E6" s="205">
        <f ca="1">Setup!J12</f>
        <v>0</v>
      </c>
      <c r="F6"/>
      <c r="G6" s="237">
        <f ca="1">SUM(_xlfn.ANCHORARRAY(I6))</f>
        <v>10036053.519185945</v>
      </c>
      <c r="H6" s="158" t="s">
        <v>10</v>
      </c>
      <c r="I6" s="213" cm="1">
        <f t="array" aca="1" ref="I6:AG6" ca="1">SUMIFS(OFFSET(_xlfn.ANCHORARRAY(A13),0,_xlfn.ANCHORARRAY(I4)),_xlfn.ANCHORARRAY(C13),"&gt;0")</f>
        <v>663704.45711399999</v>
      </c>
      <c r="J6" s="213">
        <f ca="1"/>
        <v>464296.45433699997</v>
      </c>
      <c r="K6" s="213">
        <f ca="1"/>
        <v>1043922.7912799999</v>
      </c>
      <c r="L6" s="213">
        <f ca="1"/>
        <v>305692.70014300005</v>
      </c>
      <c r="M6" s="213">
        <f ca="1"/>
        <v>103567.83943384998</v>
      </c>
      <c r="N6" s="213">
        <f ca="1"/>
        <v>0</v>
      </c>
      <c r="O6" s="213">
        <f ca="1"/>
        <v>790389.56197999988</v>
      </c>
      <c r="P6" s="213">
        <f ca="1"/>
        <v>0</v>
      </c>
      <c r="Q6" s="213">
        <f ca="1"/>
        <v>29478.213511000002</v>
      </c>
      <c r="R6" s="213">
        <f ca="1"/>
        <v>39247.044933999998</v>
      </c>
      <c r="S6" s="213">
        <f ca="1"/>
        <v>550304.35323999997</v>
      </c>
      <c r="T6" s="213">
        <f ca="1"/>
        <v>107343.926316</v>
      </c>
      <c r="U6" s="213">
        <f ca="1"/>
        <v>91189.770631000007</v>
      </c>
      <c r="V6" s="213">
        <f ca="1"/>
        <v>124625.99605609586</v>
      </c>
      <c r="W6" s="213">
        <f ca="1"/>
        <v>1168467.2616000001</v>
      </c>
      <c r="X6" s="213">
        <f ca="1"/>
        <v>1360397.9497</v>
      </c>
      <c r="Y6" s="213">
        <f ca="1"/>
        <v>2036954.15283</v>
      </c>
      <c r="Z6" s="213">
        <f ca="1"/>
        <v>1051471.04608</v>
      </c>
      <c r="AA6" s="213">
        <f ca="1"/>
        <v>105000</v>
      </c>
      <c r="AB6" s="213">
        <f ca="1"/>
        <v>0</v>
      </c>
      <c r="AC6" s="213">
        <f ca="1"/>
        <v>0</v>
      </c>
      <c r="AD6" s="213">
        <f ca="1"/>
        <v>0</v>
      </c>
      <c r="AE6" s="214">
        <f ca="1"/>
        <v>0</v>
      </c>
      <c r="AF6" s="214">
        <f ca="1"/>
        <v>0</v>
      </c>
      <c r="AG6" s="214">
        <f ca="1"/>
        <v>0</v>
      </c>
    </row>
    <row r="7" spans="1:37" s="214" customFormat="1" x14ac:dyDescent="0.2">
      <c r="A7" s="200"/>
      <c r="B7" s="206">
        <f ca="1">SMALL(OFFSET($B$12,1,0,$D$3,1),1)</f>
        <v>53</v>
      </c>
      <c r="C7" s="206">
        <f ca="1">SMALL(OFFSET($C$12,1,0,$D$3,1),1)</f>
        <v>83</v>
      </c>
      <c r="D7" s="206" t="e">
        <f ca="1">SMALL(OFFSET($D$12,1,0,$D$3,1),1)</f>
        <v>#NUM!</v>
      </c>
      <c r="E7" s="206" t="e">
        <f ca="1">SMALL(OFFSET($E$12,1,0,$D$3,1),1)</f>
        <v>#NUM!</v>
      </c>
      <c r="F7"/>
      <c r="G7" s="237">
        <f ca="1">SUM(_xlfn.ANCHORARRAY(I7))</f>
        <v>0</v>
      </c>
      <c r="H7" s="158" t="s">
        <v>11</v>
      </c>
      <c r="I7" s="213" cm="1">
        <f t="array" aca="1" ref="I7:AG7" ca="1">SUMIFS(OFFSET(_xlfn.ANCHORARRAY(A13),0,_xlfn.ANCHORARRAY(I4)),_xlfn.ANCHORARRAY(D13),"&gt;0")</f>
        <v>0</v>
      </c>
      <c r="J7" s="213">
        <f ca="1"/>
        <v>0</v>
      </c>
      <c r="K7" s="213">
        <f ca="1"/>
        <v>0</v>
      </c>
      <c r="L7" s="213">
        <f ca="1"/>
        <v>0</v>
      </c>
      <c r="M7" s="213">
        <f ca="1"/>
        <v>0</v>
      </c>
      <c r="N7" s="213">
        <f ca="1"/>
        <v>0</v>
      </c>
      <c r="O7" s="213">
        <f ca="1"/>
        <v>0</v>
      </c>
      <c r="P7" s="213">
        <f ca="1"/>
        <v>0</v>
      </c>
      <c r="Q7" s="213">
        <f ca="1"/>
        <v>0</v>
      </c>
      <c r="R7" s="213">
        <f ca="1"/>
        <v>0</v>
      </c>
      <c r="S7" s="213">
        <f ca="1"/>
        <v>0</v>
      </c>
      <c r="T7" s="213">
        <f ca="1"/>
        <v>0</v>
      </c>
      <c r="U7" s="213">
        <f ca="1"/>
        <v>0</v>
      </c>
      <c r="V7" s="213">
        <f ca="1"/>
        <v>0</v>
      </c>
      <c r="W7" s="213">
        <f ca="1"/>
        <v>0</v>
      </c>
      <c r="X7" s="213">
        <f ca="1"/>
        <v>0</v>
      </c>
      <c r="Y7" s="213">
        <f ca="1"/>
        <v>0</v>
      </c>
      <c r="Z7" s="213">
        <f ca="1"/>
        <v>0</v>
      </c>
      <c r="AA7" s="213">
        <f ca="1"/>
        <v>0</v>
      </c>
      <c r="AB7" s="213">
        <f ca="1"/>
        <v>0</v>
      </c>
      <c r="AC7" s="213">
        <f ca="1"/>
        <v>0</v>
      </c>
      <c r="AD7" s="213">
        <f ca="1"/>
        <v>0</v>
      </c>
      <c r="AE7" s="214">
        <f ca="1"/>
        <v>0</v>
      </c>
      <c r="AF7" s="214">
        <f ca="1"/>
        <v>0</v>
      </c>
      <c r="AG7" s="214">
        <f ca="1"/>
        <v>0</v>
      </c>
    </row>
    <row r="8" spans="1:37" s="216" customFormat="1" x14ac:dyDescent="0.2">
      <c r="A8" s="200"/>
      <c r="B8" s="207">
        <f ca="1">LARGE(OFFSET($B$12,1,0,$D$3,1),1)-B7+1</f>
        <v>52</v>
      </c>
      <c r="C8" s="207">
        <f ca="1">LARGE(OFFSET($C$12,1,0,$D$3,1),1)-C7+1</f>
        <v>22</v>
      </c>
      <c r="D8" s="207" t="e">
        <f ca="1">LARGE(OFFSET($D$12,1,0,$D$3,1),1)-D7+1</f>
        <v>#NUM!</v>
      </c>
      <c r="E8" s="207" t="e">
        <f ca="1">LARGE(OFFSET($E$12,1,0,$D$3,1),1)-E7+1</f>
        <v>#NUM!</v>
      </c>
      <c r="F8"/>
      <c r="G8" s="238">
        <f ca="1">SUM(_xlfn.ANCHORARRAY(I8))</f>
        <v>0</v>
      </c>
      <c r="H8" s="158" t="s">
        <v>12</v>
      </c>
      <c r="I8" s="215" cm="1">
        <f t="array" aca="1" ref="I8:AG8" ca="1">SUMIFS(OFFSET(_xlfn.ANCHORARRAY(A13),0,_xlfn.ANCHORARRAY(I4)),_xlfn.ANCHORARRAY(E13),"&gt;0")</f>
        <v>0</v>
      </c>
      <c r="J8" s="215">
        <f ca="1"/>
        <v>0</v>
      </c>
      <c r="K8" s="215">
        <f ca="1"/>
        <v>0</v>
      </c>
      <c r="L8" s="215">
        <f ca="1"/>
        <v>0</v>
      </c>
      <c r="M8" s="215">
        <f ca="1"/>
        <v>0</v>
      </c>
      <c r="N8" s="215">
        <f ca="1"/>
        <v>0</v>
      </c>
      <c r="O8" s="215">
        <f ca="1"/>
        <v>0</v>
      </c>
      <c r="P8" s="215">
        <f ca="1"/>
        <v>0</v>
      </c>
      <c r="Q8" s="215">
        <f ca="1"/>
        <v>0</v>
      </c>
      <c r="R8" s="215">
        <f ca="1"/>
        <v>0</v>
      </c>
      <c r="S8" s="215">
        <f ca="1"/>
        <v>0</v>
      </c>
      <c r="T8" s="215">
        <f ca="1"/>
        <v>0</v>
      </c>
      <c r="U8" s="215">
        <f ca="1"/>
        <v>0</v>
      </c>
      <c r="V8" s="215">
        <f ca="1"/>
        <v>0</v>
      </c>
      <c r="W8" s="215">
        <f ca="1"/>
        <v>0</v>
      </c>
      <c r="X8" s="215">
        <f ca="1"/>
        <v>0</v>
      </c>
      <c r="Y8" s="215">
        <f ca="1"/>
        <v>0</v>
      </c>
      <c r="Z8" s="215">
        <f ca="1"/>
        <v>0</v>
      </c>
      <c r="AA8" s="215">
        <f ca="1"/>
        <v>0</v>
      </c>
      <c r="AB8" s="215">
        <f ca="1"/>
        <v>0</v>
      </c>
      <c r="AC8" s="215">
        <f ca="1"/>
        <v>0</v>
      </c>
      <c r="AD8" s="215">
        <f ca="1"/>
        <v>0</v>
      </c>
      <c r="AE8" s="216">
        <f ca="1"/>
        <v>0</v>
      </c>
      <c r="AF8" s="216">
        <f ca="1"/>
        <v>0</v>
      </c>
      <c r="AG8" s="216">
        <f ca="1"/>
        <v>0</v>
      </c>
    </row>
    <row r="9" spans="1:37" x14ac:dyDescent="0.2">
      <c r="A9"/>
      <c r="B9"/>
      <c r="C9"/>
      <c r="D9"/>
      <c r="E9"/>
      <c r="H9" s="255" t="str">
        <f>"dict["&amp;H10&amp;"]"</f>
        <v>dict[Group 3]</v>
      </c>
      <c r="I9" t="s">
        <v>139</v>
      </c>
      <c r="J9" t="s">
        <v>144</v>
      </c>
      <c r="K9" t="s">
        <v>147</v>
      </c>
      <c r="L9" t="s">
        <v>150</v>
      </c>
      <c r="M9" t="s">
        <v>153</v>
      </c>
      <c r="N9" t="s">
        <v>160</v>
      </c>
      <c r="O9" t="s">
        <v>161</v>
      </c>
      <c r="P9" t="s">
        <v>163</v>
      </c>
      <c r="Q9" t="s">
        <v>165</v>
      </c>
      <c r="R9" t="s">
        <v>123</v>
      </c>
      <c r="S9" t="s">
        <v>115</v>
      </c>
      <c r="T9" t="s">
        <v>168</v>
      </c>
      <c r="U9" t="s">
        <v>170</v>
      </c>
      <c r="V9" t="s">
        <v>172</v>
      </c>
      <c r="W9" t="s">
        <v>122</v>
      </c>
      <c r="X9" t="s">
        <v>135</v>
      </c>
      <c r="Y9" t="s">
        <v>175</v>
      </c>
      <c r="Z9" t="s">
        <v>117</v>
      </c>
      <c r="AA9" t="s">
        <v>177</v>
      </c>
    </row>
    <row r="10" spans="1:37" s="258" customFormat="1" x14ac:dyDescent="0.2">
      <c r="A10" s="200"/>
      <c r="B10" s="200"/>
      <c r="C10" s="200"/>
      <c r="D10" s="200"/>
      <c r="E10"/>
      <c r="F10"/>
      <c r="G10" s="158" t="s">
        <v>13</v>
      </c>
      <c r="H10" s="148" t="str">
        <f>'Summary Data'!B7</f>
        <v>Group 3</v>
      </c>
      <c r="I10" s="434" t="str" cm="1">
        <f t="array" aca="1" ref="I10:AG10" ca="1">INDEX(INDIRECT($H$9),MATCH(OFFSET($I$12,0,0,1,$C$3),dict[Group 1],0))</f>
        <v>Digital Media</v>
      </c>
      <c r="J10" s="435" t="str">
        <f ca="1"/>
        <v>Digital Media</v>
      </c>
      <c r="K10" s="435" t="str">
        <f ca="1"/>
        <v>Digital Media</v>
      </c>
      <c r="L10" s="435" t="str">
        <f ca="1"/>
        <v>Digital Media</v>
      </c>
      <c r="M10" s="435" t="str">
        <f ca="1"/>
        <v>Digital Media</v>
      </c>
      <c r="N10" s="435" t="str">
        <f ca="1"/>
        <v>Digital Media</v>
      </c>
      <c r="O10" s="435" t="str">
        <f ca="1"/>
        <v>Digital Media</v>
      </c>
      <c r="P10" s="435" t="str">
        <f ca="1"/>
        <v>Digital Media</v>
      </c>
      <c r="Q10" s="435" t="str">
        <f ca="1"/>
        <v>Digital Media</v>
      </c>
      <c r="R10" s="435" t="str">
        <f ca="1"/>
        <v>Traditional Media</v>
      </c>
      <c r="S10" s="435" t="str">
        <f ca="1"/>
        <v>Traditional Media</v>
      </c>
      <c r="T10" s="435" t="str">
        <f ca="1"/>
        <v>Digital Media</v>
      </c>
      <c r="U10" s="435" t="str">
        <f ca="1"/>
        <v>Digital Media</v>
      </c>
      <c r="V10" s="435" t="str">
        <f ca="1"/>
        <v>Digital Media</v>
      </c>
      <c r="W10" s="435" t="str">
        <f ca="1"/>
        <v>Traditional Media</v>
      </c>
      <c r="X10" s="435" t="str">
        <f ca="1"/>
        <v>Traditional Media</v>
      </c>
      <c r="Y10" s="435" t="str">
        <f ca="1"/>
        <v>Digital Media</v>
      </c>
      <c r="Z10" s="435" t="str">
        <f ca="1"/>
        <v>Digital Media</v>
      </c>
      <c r="AA10" s="256" t="str">
        <f ca="1"/>
        <v>Traditional Media</v>
      </c>
      <c r="AB10" s="256" t="e">
        <f ca="1"/>
        <v>#N/A</v>
      </c>
      <c r="AC10" s="256" t="e">
        <f ca="1"/>
        <v>#N/A</v>
      </c>
      <c r="AD10" s="256" t="e">
        <f ca="1"/>
        <v>#N/A</v>
      </c>
      <c r="AE10" s="257" t="e">
        <f ca="1"/>
        <v>#N/A</v>
      </c>
      <c r="AF10" s="257" t="e">
        <f ca="1"/>
        <v>#N/A</v>
      </c>
      <c r="AG10" s="257" t="e">
        <f ca="1"/>
        <v>#N/A</v>
      </c>
      <c r="AH10" s="257"/>
      <c r="AI10" s="257"/>
      <c r="AJ10" s="257"/>
    </row>
    <row r="11" spans="1:37" s="249" customFormat="1" x14ac:dyDescent="0.2">
      <c r="A11" s="200"/>
      <c r="B11" s="200"/>
      <c r="C11" s="200"/>
      <c r="D11" s="200"/>
      <c r="E11" s="200"/>
      <c r="F11"/>
      <c r="G11"/>
      <c r="H11" s="254"/>
      <c r="I11" s="10" t="s">
        <v>14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s="248" customFormat="1" x14ac:dyDescent="0.2">
      <c r="A12" s="200"/>
      <c r="B12" s="208" t="s">
        <v>9</v>
      </c>
      <c r="C12" s="208" t="s">
        <v>10</v>
      </c>
      <c r="D12" s="208" t="s">
        <v>11</v>
      </c>
      <c r="E12" s="208" t="s">
        <v>12</v>
      </c>
      <c r="F12" s="6"/>
      <c r="G12" t="s">
        <v>15</v>
      </c>
      <c r="H12" s="157" t="s">
        <v>16</v>
      </c>
      <c r="I12" s="211" t="s">
        <v>113</v>
      </c>
      <c r="J12" s="212" t="s">
        <v>113</v>
      </c>
      <c r="K12" s="212" t="s">
        <v>121</v>
      </c>
      <c r="L12" s="212" t="s">
        <v>114</v>
      </c>
      <c r="M12" s="212" t="s">
        <v>120</v>
      </c>
      <c r="N12" s="212" t="s">
        <v>121</v>
      </c>
      <c r="O12" s="212" t="s">
        <v>120</v>
      </c>
      <c r="P12" s="212" t="s">
        <v>187</v>
      </c>
      <c r="Q12" s="212" t="s">
        <v>187</v>
      </c>
      <c r="R12" s="212" t="s">
        <v>186</v>
      </c>
      <c r="S12" s="212" t="s">
        <v>185</v>
      </c>
      <c r="T12" s="212" t="s">
        <v>188</v>
      </c>
      <c r="U12" s="212" t="s">
        <v>188</v>
      </c>
      <c r="V12" s="212" t="s">
        <v>189</v>
      </c>
      <c r="W12" s="212" t="s">
        <v>184</v>
      </c>
      <c r="X12" s="212" t="s">
        <v>183</v>
      </c>
      <c r="Y12" s="212" t="s">
        <v>120</v>
      </c>
      <c r="Z12" s="212" t="s">
        <v>190</v>
      </c>
      <c r="AA12" s="212" t="s">
        <v>180</v>
      </c>
      <c r="AB12" s="212"/>
      <c r="AC12" s="212"/>
      <c r="AD12" s="212"/>
    </row>
    <row r="13" spans="1:37" x14ac:dyDescent="0.2">
      <c r="A13" s="231" cm="1">
        <f t="array" ref="A13:A124">_xlfn.SEQUENCE(D3)</f>
        <v>1</v>
      </c>
      <c r="B13" s="209" t="str" cm="1">
        <f t="array" aca="1" ref="B13:B124" ca="1">IF((1-ISERROR(SEARCH($E$3,OFFSET($G$12,1,0,$D$3,1))))*(OFFSET($H$12,1,0,$D$3,1)&gt;=B5)*(OFFSET($H$12,1,0,$D$3)&lt;=B6),_xlfn.ANCHORARRAY($A$13),"")</f>
        <v/>
      </c>
      <c r="C13" s="209" t="str" cm="1">
        <f t="array" aca="1" ref="C13:C124" ca="1">IF((1-ISERROR(SEARCH($E$3,OFFSET($G$12,1,0,$D$3,1))))*(OFFSET($H$12,1,0,$D$3,1)&gt;=C5)*(OFFSET($H$12,1,0,$D$3)&lt;=C6),_xlfn.ANCHORARRAY($A$13),"")</f>
        <v/>
      </c>
      <c r="D13" s="209" t="str" cm="1">
        <f t="array" aca="1" ref="D13:D124" ca="1">IF((1-ISERROR(SEARCH($E$3,OFFSET($G$12,1,0,$D$3,1))))*(OFFSET($H$12,1,0,$D$3,1)&gt;=D5)*(OFFSET($H$12,1,0,$D$3)&lt;=D6),_xlfn.ANCHORARRAY($A$13),"")</f>
        <v/>
      </c>
      <c r="E13" s="209" t="str" cm="1">
        <f t="array" aca="1" ref="E13:E124" ca="1">IF((1-ISERROR(SEARCH($E$3,OFFSET($G$12,1,0,$D$3,1))))*(OFFSET($H$12,1,0,$D$3,1)&gt;=E5)*(OFFSET($H$12,1,0,$D$3)&lt;=E6),_xlfn.ANCHORARRAY($A$13),"")</f>
        <v/>
      </c>
      <c r="F13" s="1"/>
      <c r="G13" s="53" t="s">
        <v>5</v>
      </c>
      <c r="H13" s="138">
        <f>Setup!F9</f>
        <v>43472</v>
      </c>
      <c r="I13" s="217">
        <v>8535.2130199999992</v>
      </c>
      <c r="J13" s="217">
        <v>5970.8340040000003</v>
      </c>
      <c r="K13" s="217">
        <v>385.8137691</v>
      </c>
      <c r="L13" s="217">
        <v>19863.905320000002</v>
      </c>
      <c r="M13" s="217">
        <v>1587.0688270000001</v>
      </c>
      <c r="N13" s="217">
        <v>0</v>
      </c>
      <c r="O13" s="217">
        <v>0</v>
      </c>
      <c r="P13" s="217">
        <v>0</v>
      </c>
      <c r="Q13" s="217">
        <v>0</v>
      </c>
      <c r="R13" s="217">
        <v>291.8425987</v>
      </c>
      <c r="S13" s="217">
        <v>68696.88</v>
      </c>
      <c r="T13" s="217">
        <v>0</v>
      </c>
      <c r="U13" s="217">
        <v>0</v>
      </c>
      <c r="V13" s="217">
        <v>0</v>
      </c>
      <c r="W13" s="217">
        <v>0</v>
      </c>
      <c r="X13" s="217">
        <v>0</v>
      </c>
      <c r="Y13" s="217">
        <v>6008.761614</v>
      </c>
      <c r="Z13" s="217">
        <v>0</v>
      </c>
      <c r="AA13" s="217">
        <v>0</v>
      </c>
      <c r="AB13" s="217"/>
      <c r="AC13" s="217"/>
      <c r="AD13" s="217"/>
    </row>
    <row r="14" spans="1:37" x14ac:dyDescent="0.2">
      <c r="A14" s="232">
        <v>2</v>
      </c>
      <c r="B14" s="210" t="str">
        <f ca="1"/>
        <v/>
      </c>
      <c r="C14" s="210" t="str">
        <f ca="1"/>
        <v/>
      </c>
      <c r="D14" s="210" t="str">
        <f ca="1"/>
        <v/>
      </c>
      <c r="E14" s="210" t="str">
        <f ca="1"/>
        <v/>
      </c>
      <c r="G14" s="55" t="s">
        <v>5</v>
      </c>
      <c r="H14" s="431">
        <f>Setup!F10</f>
        <v>43479</v>
      </c>
      <c r="I14" s="217">
        <v>7213.1736760000003</v>
      </c>
      <c r="J14" s="217">
        <v>5045.9973950000003</v>
      </c>
      <c r="K14" s="217">
        <v>193.17630370000001</v>
      </c>
      <c r="L14" s="217">
        <v>17575.176490000002</v>
      </c>
      <c r="M14" s="217">
        <v>1892.7400359999999</v>
      </c>
      <c r="N14" s="217">
        <v>0</v>
      </c>
      <c r="O14" s="217">
        <v>0</v>
      </c>
      <c r="P14" s="217">
        <v>0</v>
      </c>
      <c r="Q14" s="217">
        <v>0</v>
      </c>
      <c r="R14" s="217">
        <v>291.84229160000001</v>
      </c>
      <c r="S14" s="217">
        <v>128080.3829</v>
      </c>
      <c r="T14" s="217">
        <v>0</v>
      </c>
      <c r="U14" s="217">
        <v>0</v>
      </c>
      <c r="V14" s="217">
        <v>0</v>
      </c>
      <c r="W14" s="217">
        <v>0</v>
      </c>
      <c r="X14" s="217">
        <v>0</v>
      </c>
      <c r="Y14" s="217">
        <v>4042.4815880000001</v>
      </c>
      <c r="Z14" s="217">
        <v>0</v>
      </c>
      <c r="AA14" s="217">
        <v>0</v>
      </c>
      <c r="AB14" s="217"/>
      <c r="AC14" s="217"/>
      <c r="AD14" s="217"/>
    </row>
    <row r="15" spans="1:37" x14ac:dyDescent="0.2">
      <c r="A15" s="232">
        <v>3</v>
      </c>
      <c r="B15" s="210" t="str">
        <f ca="1"/>
        <v/>
      </c>
      <c r="C15" s="210" t="str">
        <f ca="1"/>
        <v/>
      </c>
      <c r="D15" s="210" t="str">
        <f ca="1"/>
        <v/>
      </c>
      <c r="E15" s="210" t="str">
        <f ca="1"/>
        <v/>
      </c>
      <c r="G15" s="55" t="s">
        <v>5</v>
      </c>
      <c r="H15" s="431">
        <f>Setup!F11</f>
        <v>43486</v>
      </c>
      <c r="I15" s="217">
        <v>7174.7345400000004</v>
      </c>
      <c r="J15" s="217">
        <v>5019.1071810000003</v>
      </c>
      <c r="K15" s="217">
        <v>459.4632421</v>
      </c>
      <c r="L15" s="217">
        <v>12181.654130000001</v>
      </c>
      <c r="M15" s="217">
        <v>1711.43568</v>
      </c>
      <c r="N15" s="217">
        <v>0</v>
      </c>
      <c r="O15" s="217">
        <v>0</v>
      </c>
      <c r="P15" s="217">
        <v>0</v>
      </c>
      <c r="Q15" s="217">
        <v>0</v>
      </c>
      <c r="R15" s="217">
        <v>291.84167589999998</v>
      </c>
      <c r="S15" s="217">
        <v>138871.57829999999</v>
      </c>
      <c r="T15" s="217">
        <v>0</v>
      </c>
      <c r="U15" s="217">
        <v>0</v>
      </c>
      <c r="V15" s="217">
        <v>0</v>
      </c>
      <c r="W15" s="217">
        <v>0</v>
      </c>
      <c r="X15" s="217">
        <v>0</v>
      </c>
      <c r="Y15" s="217">
        <v>3810.1153770000001</v>
      </c>
      <c r="Z15" s="217">
        <v>0</v>
      </c>
      <c r="AA15" s="217">
        <v>0</v>
      </c>
      <c r="AB15" s="217"/>
      <c r="AC15" s="217"/>
      <c r="AD15" s="217"/>
    </row>
    <row r="16" spans="1:37" x14ac:dyDescent="0.2">
      <c r="A16" s="232">
        <v>4</v>
      </c>
      <c r="B16" s="210" t="str">
        <f ca="1"/>
        <v/>
      </c>
      <c r="C16" s="210" t="str">
        <f ca="1"/>
        <v/>
      </c>
      <c r="D16" s="210" t="str">
        <f ca="1"/>
        <v/>
      </c>
      <c r="E16" s="210" t="str">
        <f ca="1"/>
        <v/>
      </c>
      <c r="G16" s="55" t="s">
        <v>5</v>
      </c>
      <c r="H16" s="431">
        <f>Setup!F12</f>
        <v>43493</v>
      </c>
      <c r="I16" s="217">
        <v>7815.470738</v>
      </c>
      <c r="J16" s="217">
        <v>5467.3361199999999</v>
      </c>
      <c r="K16" s="217">
        <v>552.38056919999997</v>
      </c>
      <c r="L16" s="217">
        <v>12393.20868</v>
      </c>
      <c r="M16" s="217">
        <v>3413.5202650000001</v>
      </c>
      <c r="N16" s="217">
        <v>0</v>
      </c>
      <c r="O16" s="217">
        <v>0</v>
      </c>
      <c r="P16" s="217">
        <v>0</v>
      </c>
      <c r="Q16" s="217">
        <v>0</v>
      </c>
      <c r="R16" s="217">
        <v>13837.331270000001</v>
      </c>
      <c r="S16" s="217">
        <v>0</v>
      </c>
      <c r="T16" s="217">
        <v>0</v>
      </c>
      <c r="U16" s="217">
        <v>0</v>
      </c>
      <c r="V16" s="217">
        <v>0</v>
      </c>
      <c r="W16" s="217">
        <v>0</v>
      </c>
      <c r="X16" s="217">
        <v>0</v>
      </c>
      <c r="Y16" s="217">
        <v>7283.561874</v>
      </c>
      <c r="Z16" s="217">
        <v>0</v>
      </c>
      <c r="AA16" s="217">
        <v>0</v>
      </c>
      <c r="AB16" s="217"/>
      <c r="AC16" s="217"/>
      <c r="AD16" s="217"/>
    </row>
    <row r="17" spans="1:30" x14ac:dyDescent="0.2">
      <c r="A17" s="232">
        <v>5</v>
      </c>
      <c r="B17" s="210" t="str">
        <f ca="1"/>
        <v/>
      </c>
      <c r="C17" s="210" t="str">
        <f ca="1"/>
        <v/>
      </c>
      <c r="D17" s="210" t="str">
        <f ca="1"/>
        <v/>
      </c>
      <c r="E17" s="210" t="str">
        <f ca="1"/>
        <v/>
      </c>
      <c r="G17" s="55" t="s">
        <v>5</v>
      </c>
      <c r="H17" s="431">
        <f>Setup!F13</f>
        <v>43500</v>
      </c>
      <c r="I17" s="217">
        <v>9028.5068659999997</v>
      </c>
      <c r="J17" s="217">
        <v>6315.919202</v>
      </c>
      <c r="K17" s="217">
        <v>6625.4674370000002</v>
      </c>
      <c r="L17" s="217">
        <v>15256.219279999999</v>
      </c>
      <c r="M17" s="217">
        <v>10973.407429999999</v>
      </c>
      <c r="N17" s="217">
        <v>0</v>
      </c>
      <c r="O17" s="217">
        <v>0</v>
      </c>
      <c r="P17" s="217">
        <v>0</v>
      </c>
      <c r="Q17" s="217">
        <v>0</v>
      </c>
      <c r="R17" s="217">
        <v>31897.984359999999</v>
      </c>
      <c r="S17" s="217">
        <v>102556.3703</v>
      </c>
      <c r="T17" s="217">
        <v>0</v>
      </c>
      <c r="U17" s="217">
        <v>0</v>
      </c>
      <c r="V17" s="217">
        <v>0</v>
      </c>
      <c r="W17" s="217">
        <v>191864.9895</v>
      </c>
      <c r="X17" s="217">
        <v>0</v>
      </c>
      <c r="Y17" s="217">
        <v>25594.410919999998</v>
      </c>
      <c r="Z17" s="217">
        <v>0</v>
      </c>
      <c r="AA17" s="217">
        <v>0</v>
      </c>
      <c r="AB17" s="217"/>
      <c r="AC17" s="217"/>
      <c r="AD17" s="217"/>
    </row>
    <row r="18" spans="1:30" x14ac:dyDescent="0.2">
      <c r="A18" s="232">
        <v>6</v>
      </c>
      <c r="B18" s="210" t="str">
        <f ca="1"/>
        <v/>
      </c>
      <c r="C18" s="210" t="str">
        <f ca="1"/>
        <v/>
      </c>
      <c r="D18" s="210" t="str">
        <f ca="1"/>
        <v/>
      </c>
      <c r="E18" s="210" t="str">
        <f ca="1"/>
        <v/>
      </c>
      <c r="G18" s="55" t="s">
        <v>5</v>
      </c>
      <c r="H18" s="431">
        <f>Setup!F14</f>
        <v>43507</v>
      </c>
      <c r="I18" s="217">
        <v>9331.1159079999998</v>
      </c>
      <c r="J18" s="217">
        <v>6527.6102700000001</v>
      </c>
      <c r="K18" s="217">
        <v>17620.743930000001</v>
      </c>
      <c r="L18" s="217">
        <v>15424.668460000001</v>
      </c>
      <c r="M18" s="217">
        <v>17235.529119999999</v>
      </c>
      <c r="N18" s="217">
        <v>0</v>
      </c>
      <c r="O18" s="217">
        <v>0</v>
      </c>
      <c r="P18" s="217">
        <v>0</v>
      </c>
      <c r="Q18" s="217">
        <v>0</v>
      </c>
      <c r="R18" s="217">
        <v>30455.078300000001</v>
      </c>
      <c r="S18" s="217">
        <v>0</v>
      </c>
      <c r="T18" s="217">
        <v>0</v>
      </c>
      <c r="U18" s="217">
        <v>0</v>
      </c>
      <c r="V18" s="217">
        <v>0</v>
      </c>
      <c r="W18" s="217">
        <v>191864.9895</v>
      </c>
      <c r="X18" s="217">
        <v>0</v>
      </c>
      <c r="Y18" s="217">
        <v>28391.390899999999</v>
      </c>
      <c r="Z18" s="217">
        <v>0</v>
      </c>
      <c r="AA18" s="217">
        <v>0</v>
      </c>
      <c r="AB18" s="217"/>
      <c r="AC18" s="217"/>
      <c r="AD18" s="217"/>
    </row>
    <row r="19" spans="1:30" x14ac:dyDescent="0.2">
      <c r="A19" s="232">
        <v>7</v>
      </c>
      <c r="B19" s="210" t="str">
        <f ca="1"/>
        <v/>
      </c>
      <c r="C19" s="210" t="str">
        <f ca="1"/>
        <v/>
      </c>
      <c r="D19" s="210" t="str">
        <f ca="1"/>
        <v/>
      </c>
      <c r="E19" s="210" t="str">
        <f ca="1"/>
        <v/>
      </c>
      <c r="G19" s="55" t="s">
        <v>5</v>
      </c>
      <c r="H19" s="431">
        <f>Setup!F15</f>
        <v>43514</v>
      </c>
      <c r="I19" s="217">
        <v>7430.1602670000002</v>
      </c>
      <c r="J19" s="217">
        <v>5197.7910190000002</v>
      </c>
      <c r="K19" s="217">
        <v>7583.5941220000004</v>
      </c>
      <c r="L19" s="217">
        <v>15136.64019</v>
      </c>
      <c r="M19" s="217">
        <v>10726.01031</v>
      </c>
      <c r="N19" s="217">
        <v>0</v>
      </c>
      <c r="O19" s="217">
        <v>0</v>
      </c>
      <c r="P19" s="217">
        <v>0</v>
      </c>
      <c r="Q19" s="217">
        <v>0</v>
      </c>
      <c r="R19" s="217">
        <v>12580.87052</v>
      </c>
      <c r="S19" s="217">
        <v>172271.2084</v>
      </c>
      <c r="T19" s="217">
        <v>0</v>
      </c>
      <c r="U19" s="217">
        <v>0</v>
      </c>
      <c r="V19" s="217">
        <v>0</v>
      </c>
      <c r="W19" s="217">
        <v>191864.9895</v>
      </c>
      <c r="X19" s="217">
        <v>0</v>
      </c>
      <c r="Y19" s="217">
        <v>12064.529109999999</v>
      </c>
      <c r="Z19" s="217">
        <v>0</v>
      </c>
      <c r="AA19" s="217">
        <v>0</v>
      </c>
      <c r="AB19" s="217"/>
      <c r="AC19" s="217"/>
      <c r="AD19" s="217"/>
    </row>
    <row r="20" spans="1:30" x14ac:dyDescent="0.2">
      <c r="A20" s="232">
        <v>8</v>
      </c>
      <c r="B20" s="210" t="str">
        <f ca="1"/>
        <v/>
      </c>
      <c r="C20" s="210" t="str">
        <f ca="1"/>
        <v/>
      </c>
      <c r="D20" s="210" t="str">
        <f ca="1"/>
        <v/>
      </c>
      <c r="E20" s="210" t="str">
        <f ca="1"/>
        <v/>
      </c>
      <c r="G20" s="55" t="s">
        <v>5</v>
      </c>
      <c r="H20" s="431">
        <f>Setup!F16</f>
        <v>43521</v>
      </c>
      <c r="I20" s="217">
        <v>6198.8047989999995</v>
      </c>
      <c r="J20" s="217">
        <v>4336.3925879999997</v>
      </c>
      <c r="K20" s="217">
        <v>8957.4622729999992</v>
      </c>
      <c r="L20" s="217">
        <v>13790.82157</v>
      </c>
      <c r="M20" s="217">
        <v>6222.998877</v>
      </c>
      <c r="N20" s="217">
        <v>0</v>
      </c>
      <c r="O20" s="217">
        <v>0</v>
      </c>
      <c r="P20" s="217">
        <v>0</v>
      </c>
      <c r="Q20" s="217">
        <v>0</v>
      </c>
      <c r="R20" s="217">
        <v>13242.876029999999</v>
      </c>
      <c r="S20" s="217">
        <v>0</v>
      </c>
      <c r="T20" s="217">
        <v>0</v>
      </c>
      <c r="U20" s="217">
        <v>0</v>
      </c>
      <c r="V20" s="217">
        <v>0</v>
      </c>
      <c r="W20" s="217">
        <v>0</v>
      </c>
      <c r="X20" s="217">
        <v>0</v>
      </c>
      <c r="Y20" s="217">
        <v>9795.5138179999994</v>
      </c>
      <c r="Z20" s="217">
        <v>0</v>
      </c>
      <c r="AA20" s="217">
        <v>0</v>
      </c>
      <c r="AB20" s="217"/>
      <c r="AC20" s="217"/>
      <c r="AD20" s="217"/>
    </row>
    <row r="21" spans="1:30" x14ac:dyDescent="0.2">
      <c r="A21" s="232">
        <v>9</v>
      </c>
      <c r="B21" s="210" t="str">
        <f ca="1"/>
        <v/>
      </c>
      <c r="C21" s="210" t="str">
        <f ca="1"/>
        <v/>
      </c>
      <c r="D21" s="210" t="str">
        <f ca="1"/>
        <v/>
      </c>
      <c r="E21" s="210" t="str">
        <f ca="1"/>
        <v/>
      </c>
      <c r="G21" s="55" t="s">
        <v>5</v>
      </c>
      <c r="H21" s="431">
        <f>Setup!F17</f>
        <v>43528</v>
      </c>
      <c r="I21" s="217">
        <v>7126.8902179999995</v>
      </c>
      <c r="J21" s="217">
        <v>4985.6375420000004</v>
      </c>
      <c r="K21" s="217">
        <v>8559.8125209999998</v>
      </c>
      <c r="L21" s="217">
        <v>13539.398510000001</v>
      </c>
      <c r="M21" s="217">
        <v>9866.5971730000001</v>
      </c>
      <c r="N21" s="217">
        <v>0</v>
      </c>
      <c r="O21" s="217">
        <v>0</v>
      </c>
      <c r="P21" s="217">
        <v>0</v>
      </c>
      <c r="Q21" s="217">
        <v>0</v>
      </c>
      <c r="R21" s="217">
        <v>31621.186740000001</v>
      </c>
      <c r="S21" s="217">
        <v>0</v>
      </c>
      <c r="T21" s="217">
        <v>0</v>
      </c>
      <c r="U21" s="217">
        <v>0</v>
      </c>
      <c r="V21" s="217">
        <v>0</v>
      </c>
      <c r="W21" s="217">
        <v>28401.06753</v>
      </c>
      <c r="X21" s="217">
        <v>0</v>
      </c>
      <c r="Y21" s="217">
        <v>9919.1396440000008</v>
      </c>
      <c r="Z21" s="217">
        <v>0</v>
      </c>
      <c r="AA21" s="217">
        <v>0</v>
      </c>
      <c r="AB21" s="217"/>
      <c r="AC21" s="217"/>
      <c r="AD21" s="217"/>
    </row>
    <row r="22" spans="1:30" x14ac:dyDescent="0.2">
      <c r="A22" s="232">
        <v>10</v>
      </c>
      <c r="B22" s="210" t="str">
        <f ca="1"/>
        <v/>
      </c>
      <c r="C22" s="210" t="str">
        <f ca="1"/>
        <v/>
      </c>
      <c r="D22" s="210" t="str">
        <f ca="1"/>
        <v/>
      </c>
      <c r="E22" s="210" t="str">
        <f ca="1"/>
        <v/>
      </c>
      <c r="G22" s="55" t="s">
        <v>5</v>
      </c>
      <c r="H22" s="431">
        <f>Setup!F18</f>
        <v>43535</v>
      </c>
      <c r="I22" s="217">
        <v>9041.1667259999995</v>
      </c>
      <c r="J22" s="217">
        <v>6324.7754450000002</v>
      </c>
      <c r="K22" s="217">
        <v>11191.914349999999</v>
      </c>
      <c r="L22" s="217">
        <v>12826.261780000001</v>
      </c>
      <c r="M22" s="217">
        <v>12756.786690000001</v>
      </c>
      <c r="N22" s="217">
        <v>0</v>
      </c>
      <c r="O22" s="217">
        <v>0</v>
      </c>
      <c r="P22" s="217">
        <v>0</v>
      </c>
      <c r="Q22" s="217">
        <v>0</v>
      </c>
      <c r="R22" s="217">
        <v>31806.192080000001</v>
      </c>
      <c r="S22" s="217">
        <v>124936.10830000001</v>
      </c>
      <c r="T22" s="217">
        <v>0</v>
      </c>
      <c r="U22" s="217">
        <v>0</v>
      </c>
      <c r="V22" s="217">
        <v>0</v>
      </c>
      <c r="W22" s="217">
        <v>28401.06753</v>
      </c>
      <c r="X22" s="217">
        <v>0</v>
      </c>
      <c r="Y22" s="217">
        <v>13554.999</v>
      </c>
      <c r="Z22" s="217">
        <v>0</v>
      </c>
      <c r="AA22" s="217">
        <v>0</v>
      </c>
      <c r="AB22" s="217"/>
      <c r="AC22" s="217"/>
      <c r="AD22" s="217"/>
    </row>
    <row r="23" spans="1:30" x14ac:dyDescent="0.2">
      <c r="A23" s="232">
        <v>11</v>
      </c>
      <c r="B23" s="210" t="str">
        <f ca="1"/>
        <v/>
      </c>
      <c r="C23" s="210" t="str">
        <f ca="1"/>
        <v/>
      </c>
      <c r="D23" s="210" t="str">
        <f ca="1"/>
        <v/>
      </c>
      <c r="E23" s="210" t="str">
        <f ca="1"/>
        <v/>
      </c>
      <c r="G23" s="55" t="s">
        <v>5</v>
      </c>
      <c r="H23" s="431">
        <f>Setup!F19</f>
        <v>43542</v>
      </c>
      <c r="I23" s="217">
        <v>9687.5568700000003</v>
      </c>
      <c r="J23" s="217">
        <v>6776.9596190000002</v>
      </c>
      <c r="K23" s="217">
        <v>14381.07662</v>
      </c>
      <c r="L23" s="217">
        <v>11685.268550000001</v>
      </c>
      <c r="M23" s="217">
        <v>9198.0747510000001</v>
      </c>
      <c r="N23" s="217">
        <v>0</v>
      </c>
      <c r="O23" s="217">
        <v>0</v>
      </c>
      <c r="P23" s="217">
        <v>0</v>
      </c>
      <c r="Q23" s="217">
        <v>1466.832028</v>
      </c>
      <c r="R23" s="217">
        <v>1587.1126360000001</v>
      </c>
      <c r="S23" s="217">
        <v>0</v>
      </c>
      <c r="T23" s="217">
        <v>0</v>
      </c>
      <c r="U23" s="217">
        <v>0</v>
      </c>
      <c r="V23" s="217">
        <v>0</v>
      </c>
      <c r="W23" s="217">
        <v>28401.06753</v>
      </c>
      <c r="X23" s="217">
        <v>0</v>
      </c>
      <c r="Y23" s="217">
        <v>19186.103139999999</v>
      </c>
      <c r="Z23" s="217">
        <v>0</v>
      </c>
      <c r="AA23" s="217">
        <v>0</v>
      </c>
      <c r="AB23" s="217"/>
      <c r="AC23" s="217"/>
      <c r="AD23" s="217"/>
    </row>
    <row r="24" spans="1:30" x14ac:dyDescent="0.2">
      <c r="A24" s="232">
        <v>12</v>
      </c>
      <c r="B24" s="210" t="str">
        <f ca="1"/>
        <v/>
      </c>
      <c r="C24" s="210" t="str">
        <f ca="1"/>
        <v/>
      </c>
      <c r="D24" s="210" t="str">
        <f ca="1"/>
        <v/>
      </c>
      <c r="E24" s="210" t="str">
        <f ca="1"/>
        <v/>
      </c>
      <c r="G24" s="55" t="s">
        <v>5</v>
      </c>
      <c r="H24" s="431">
        <f>Setup!F20</f>
        <v>43549</v>
      </c>
      <c r="I24" s="217">
        <v>6094.4151810000003</v>
      </c>
      <c r="J24" s="217">
        <v>4263.3665170000004</v>
      </c>
      <c r="K24" s="217">
        <v>13680.0623</v>
      </c>
      <c r="L24" s="217">
        <v>13208.832969999999</v>
      </c>
      <c r="M24" s="217">
        <v>6776.7153699999999</v>
      </c>
      <c r="N24" s="217">
        <v>0</v>
      </c>
      <c r="O24" s="217">
        <v>0</v>
      </c>
      <c r="P24" s="217">
        <v>0</v>
      </c>
      <c r="Q24" s="217">
        <v>5663.8374530000001</v>
      </c>
      <c r="R24" s="217">
        <v>476.88064850000001</v>
      </c>
      <c r="S24" s="217">
        <v>346712.64020000002</v>
      </c>
      <c r="T24" s="217">
        <v>0</v>
      </c>
      <c r="U24" s="217">
        <v>0</v>
      </c>
      <c r="V24" s="217">
        <v>0</v>
      </c>
      <c r="W24" s="217">
        <v>0</v>
      </c>
      <c r="X24" s="217">
        <v>0</v>
      </c>
      <c r="Y24" s="217">
        <v>17619.135719999998</v>
      </c>
      <c r="Z24" s="217">
        <v>0</v>
      </c>
      <c r="AA24" s="217">
        <v>0</v>
      </c>
      <c r="AB24" s="217"/>
      <c r="AC24" s="217"/>
      <c r="AD24" s="217"/>
    </row>
    <row r="25" spans="1:30" x14ac:dyDescent="0.2">
      <c r="A25" s="232">
        <v>13</v>
      </c>
      <c r="B25" s="210" t="str">
        <f ca="1"/>
        <v/>
      </c>
      <c r="C25" s="210" t="str">
        <f ca="1"/>
        <v/>
      </c>
      <c r="D25" s="210" t="str">
        <f ca="1"/>
        <v/>
      </c>
      <c r="E25" s="210" t="str">
        <f ca="1"/>
        <v/>
      </c>
      <c r="G25" s="55" t="s">
        <v>5</v>
      </c>
      <c r="H25" s="431">
        <f>Setup!F21</f>
        <v>43556</v>
      </c>
      <c r="I25" s="217">
        <v>5280.9620969999996</v>
      </c>
      <c r="J25" s="217">
        <v>3694.3129589999999</v>
      </c>
      <c r="K25" s="217">
        <v>4133.3607229999998</v>
      </c>
      <c r="L25" s="217">
        <v>12834.149160000001</v>
      </c>
      <c r="M25" s="217">
        <v>5269.9098000000004</v>
      </c>
      <c r="N25" s="217">
        <v>0</v>
      </c>
      <c r="O25" s="217">
        <v>0</v>
      </c>
      <c r="P25" s="217">
        <v>0</v>
      </c>
      <c r="Q25" s="217">
        <v>1968.218926</v>
      </c>
      <c r="R25" s="217">
        <v>12306.023740000001</v>
      </c>
      <c r="S25" s="217">
        <v>0</v>
      </c>
      <c r="T25" s="217">
        <v>0</v>
      </c>
      <c r="U25" s="217">
        <v>0</v>
      </c>
      <c r="V25" s="217">
        <v>0</v>
      </c>
      <c r="W25" s="217">
        <v>59168.890679999997</v>
      </c>
      <c r="X25" s="217">
        <v>0</v>
      </c>
      <c r="Y25" s="217">
        <v>9911.1562969999995</v>
      </c>
      <c r="Z25" s="217">
        <v>0</v>
      </c>
      <c r="AA25" s="217">
        <v>0</v>
      </c>
      <c r="AB25" s="217"/>
      <c r="AC25" s="217"/>
      <c r="AD25" s="217"/>
    </row>
    <row r="26" spans="1:30" x14ac:dyDescent="0.2">
      <c r="A26" s="232">
        <v>14</v>
      </c>
      <c r="B26" s="210" t="str">
        <f ca="1"/>
        <v/>
      </c>
      <c r="C26" s="210" t="str">
        <f ca="1"/>
        <v/>
      </c>
      <c r="D26" s="210" t="str">
        <f ca="1"/>
        <v/>
      </c>
      <c r="E26" s="210" t="str">
        <f ca="1"/>
        <v/>
      </c>
      <c r="G26" s="55" t="s">
        <v>5</v>
      </c>
      <c r="H26" s="431">
        <f>Setup!F22</f>
        <v>43563</v>
      </c>
      <c r="I26" s="217">
        <v>5529.5766489999996</v>
      </c>
      <c r="J26" s="217">
        <v>3868.2320180000002</v>
      </c>
      <c r="K26" s="217">
        <v>4946.5055700000003</v>
      </c>
      <c r="L26" s="217">
        <v>12310.252420000001</v>
      </c>
      <c r="M26" s="217">
        <v>6727.3134419999997</v>
      </c>
      <c r="N26" s="217">
        <v>20573.329659999999</v>
      </c>
      <c r="O26" s="217">
        <v>0</v>
      </c>
      <c r="P26" s="217">
        <v>0</v>
      </c>
      <c r="Q26" s="217">
        <v>499.37147629999998</v>
      </c>
      <c r="R26" s="217">
        <v>15819.243780000001</v>
      </c>
      <c r="S26" s="217">
        <v>102980.9279</v>
      </c>
      <c r="T26" s="217">
        <v>0</v>
      </c>
      <c r="U26" s="217">
        <v>0</v>
      </c>
      <c r="V26" s="217">
        <v>0</v>
      </c>
      <c r="W26" s="217">
        <v>59168.890679999997</v>
      </c>
      <c r="X26" s="217">
        <v>0</v>
      </c>
      <c r="Y26" s="217">
        <v>9887.2157530000004</v>
      </c>
      <c r="Z26" s="217">
        <v>0</v>
      </c>
      <c r="AA26" s="217">
        <v>0</v>
      </c>
      <c r="AB26" s="217"/>
      <c r="AC26" s="217"/>
      <c r="AD26" s="217"/>
    </row>
    <row r="27" spans="1:30" x14ac:dyDescent="0.2">
      <c r="A27" s="232">
        <v>15</v>
      </c>
      <c r="B27" s="210" t="str">
        <f ca="1"/>
        <v/>
      </c>
      <c r="C27" s="210" t="str">
        <f ca="1"/>
        <v/>
      </c>
      <c r="D27" s="210" t="str">
        <f ca="1"/>
        <v/>
      </c>
      <c r="E27" s="210" t="str">
        <f ca="1"/>
        <v/>
      </c>
      <c r="G27" s="55" t="s">
        <v>5</v>
      </c>
      <c r="H27" s="431">
        <f>Setup!F23</f>
        <v>43570</v>
      </c>
      <c r="I27" s="217">
        <v>3819.1456920000001</v>
      </c>
      <c r="J27" s="217">
        <v>2671.6948849999999</v>
      </c>
      <c r="K27" s="217">
        <v>9579.7837500000005</v>
      </c>
      <c r="L27" s="217">
        <v>12546.926810000001</v>
      </c>
      <c r="M27" s="217">
        <v>6208.477699</v>
      </c>
      <c r="N27" s="217">
        <v>20573.329659999999</v>
      </c>
      <c r="O27" s="217">
        <v>0</v>
      </c>
      <c r="P27" s="217">
        <v>0</v>
      </c>
      <c r="Q27" s="217">
        <v>0</v>
      </c>
      <c r="R27" s="217">
        <v>15819.84762</v>
      </c>
      <c r="S27" s="217">
        <v>94093.623430000007</v>
      </c>
      <c r="T27" s="217">
        <v>0</v>
      </c>
      <c r="U27" s="217">
        <v>0</v>
      </c>
      <c r="V27" s="217">
        <v>0</v>
      </c>
      <c r="W27" s="217">
        <v>59168.890679999997</v>
      </c>
      <c r="X27" s="217">
        <v>0</v>
      </c>
      <c r="Y27" s="217">
        <v>12696.93727</v>
      </c>
      <c r="Z27" s="217">
        <v>0</v>
      </c>
      <c r="AA27" s="217">
        <v>0</v>
      </c>
      <c r="AB27" s="217"/>
      <c r="AC27" s="217"/>
      <c r="AD27" s="217"/>
    </row>
    <row r="28" spans="1:30" x14ac:dyDescent="0.2">
      <c r="A28" s="232">
        <v>16</v>
      </c>
      <c r="B28" s="210" t="str">
        <f ca="1"/>
        <v/>
      </c>
      <c r="C28" s="210" t="str">
        <f ca="1"/>
        <v/>
      </c>
      <c r="D28" s="210" t="str">
        <f ca="1"/>
        <v/>
      </c>
      <c r="E28" s="210" t="str">
        <f ca="1"/>
        <v/>
      </c>
      <c r="G28" s="55" t="s">
        <v>5</v>
      </c>
      <c r="H28" s="431">
        <f>Setup!F24</f>
        <v>43577</v>
      </c>
      <c r="I28" s="217">
        <v>3882.7178250000002</v>
      </c>
      <c r="J28" s="217">
        <v>2716.1669619999998</v>
      </c>
      <c r="K28" s="217">
        <v>11299.58231</v>
      </c>
      <c r="L28" s="217">
        <v>12553.78808</v>
      </c>
      <c r="M28" s="217">
        <v>5192.8786090000003</v>
      </c>
      <c r="N28" s="217">
        <v>20573.329659999999</v>
      </c>
      <c r="O28" s="217">
        <v>0</v>
      </c>
      <c r="P28" s="217">
        <v>0</v>
      </c>
      <c r="Q28" s="217">
        <v>0</v>
      </c>
      <c r="R28" s="217">
        <v>7034.5947619999997</v>
      </c>
      <c r="S28" s="217">
        <v>257917.8309</v>
      </c>
      <c r="T28" s="217">
        <v>0</v>
      </c>
      <c r="U28" s="217">
        <v>0</v>
      </c>
      <c r="V28" s="217">
        <v>0</v>
      </c>
      <c r="W28" s="217">
        <v>59168.890679999997</v>
      </c>
      <c r="X28" s="217">
        <v>0</v>
      </c>
      <c r="Y28" s="217">
        <v>16603.824799999999</v>
      </c>
      <c r="Z28" s="217">
        <v>0</v>
      </c>
      <c r="AA28" s="217">
        <v>0</v>
      </c>
      <c r="AB28" s="217"/>
      <c r="AC28" s="217"/>
      <c r="AD28" s="217"/>
    </row>
    <row r="29" spans="1:30" x14ac:dyDescent="0.2">
      <c r="A29" s="232">
        <v>17</v>
      </c>
      <c r="B29" s="210" t="str">
        <f ca="1"/>
        <v/>
      </c>
      <c r="C29" s="210" t="str">
        <f ca="1"/>
        <v/>
      </c>
      <c r="D29" s="210" t="str">
        <f ca="1"/>
        <v/>
      </c>
      <c r="E29" s="210" t="str">
        <f ca="1"/>
        <v/>
      </c>
      <c r="G29" s="55" t="s">
        <v>5</v>
      </c>
      <c r="H29" s="431">
        <f>Setup!F25</f>
        <v>43584</v>
      </c>
      <c r="I29" s="217">
        <v>5240.4830279999996</v>
      </c>
      <c r="J29" s="217">
        <v>3665.9957039999999</v>
      </c>
      <c r="K29" s="217">
        <v>14127.510979999999</v>
      </c>
      <c r="L29" s="217">
        <v>11516.735699999999</v>
      </c>
      <c r="M29" s="217">
        <v>2023.091678</v>
      </c>
      <c r="N29" s="217">
        <v>0</v>
      </c>
      <c r="O29" s="217">
        <v>0</v>
      </c>
      <c r="P29" s="217">
        <v>0</v>
      </c>
      <c r="Q29" s="217">
        <v>0</v>
      </c>
      <c r="R29" s="217">
        <v>27329.32676</v>
      </c>
      <c r="S29" s="217">
        <v>0</v>
      </c>
      <c r="T29" s="217">
        <v>0</v>
      </c>
      <c r="U29" s="217">
        <v>0</v>
      </c>
      <c r="V29" s="217">
        <v>0</v>
      </c>
      <c r="W29" s="217">
        <v>0</v>
      </c>
      <c r="X29" s="217">
        <v>0</v>
      </c>
      <c r="Y29" s="217">
        <v>4981.6473740000001</v>
      </c>
      <c r="Z29" s="217">
        <v>6283.4346800000003</v>
      </c>
      <c r="AA29" s="217">
        <v>0</v>
      </c>
      <c r="AB29" s="217"/>
      <c r="AC29" s="217"/>
      <c r="AD29" s="217"/>
    </row>
    <row r="30" spans="1:30" x14ac:dyDescent="0.2">
      <c r="A30" s="232">
        <v>18</v>
      </c>
      <c r="B30" s="210" t="str">
        <f ca="1"/>
        <v/>
      </c>
      <c r="C30" s="210" t="str">
        <f ca="1"/>
        <v/>
      </c>
      <c r="D30" s="210" t="str">
        <f ca="1"/>
        <v/>
      </c>
      <c r="E30" s="210" t="str">
        <f ca="1"/>
        <v/>
      </c>
      <c r="G30" s="55" t="s">
        <v>5</v>
      </c>
      <c r="H30" s="431">
        <f>Setup!F26</f>
        <v>43591</v>
      </c>
      <c r="I30" s="217">
        <v>6197.1617239999996</v>
      </c>
      <c r="J30" s="217">
        <v>4335.2431710000001</v>
      </c>
      <c r="K30" s="217">
        <v>4486.3234469999998</v>
      </c>
      <c r="L30" s="217">
        <v>11232.485979999999</v>
      </c>
      <c r="M30" s="217">
        <v>3653.7537419999999</v>
      </c>
      <c r="N30" s="217">
        <v>0</v>
      </c>
      <c r="O30" s="217">
        <v>19750.39662</v>
      </c>
      <c r="P30" s="217">
        <v>0</v>
      </c>
      <c r="Q30" s="217">
        <v>0</v>
      </c>
      <c r="R30" s="217">
        <v>36851.13955</v>
      </c>
      <c r="S30" s="217">
        <v>10961.215990000001</v>
      </c>
      <c r="T30" s="217">
        <v>0</v>
      </c>
      <c r="U30" s="217">
        <v>0</v>
      </c>
      <c r="V30" s="217">
        <v>0</v>
      </c>
      <c r="W30" s="217">
        <v>146896.63260000001</v>
      </c>
      <c r="X30" s="217">
        <v>0</v>
      </c>
      <c r="Y30" s="217">
        <v>0</v>
      </c>
      <c r="Z30" s="217">
        <v>18912.862929999999</v>
      </c>
      <c r="AA30" s="217">
        <v>0</v>
      </c>
      <c r="AB30" s="217"/>
      <c r="AC30" s="217"/>
      <c r="AD30" s="217"/>
    </row>
    <row r="31" spans="1:30" x14ac:dyDescent="0.2">
      <c r="A31" s="232">
        <v>19</v>
      </c>
      <c r="B31" s="210" t="str">
        <f ca="1"/>
        <v/>
      </c>
      <c r="C31" s="210" t="str">
        <f ca="1"/>
        <v/>
      </c>
      <c r="D31" s="210" t="str">
        <f ca="1"/>
        <v/>
      </c>
      <c r="E31" s="210" t="str">
        <f ca="1"/>
        <v/>
      </c>
      <c r="G31" s="55" t="s">
        <v>5</v>
      </c>
      <c r="H31" s="431">
        <f>Setup!F27</f>
        <v>43598</v>
      </c>
      <c r="I31" s="217">
        <v>4489.8874530000003</v>
      </c>
      <c r="J31" s="217">
        <v>3140.9143060000001</v>
      </c>
      <c r="K31" s="217">
        <v>2845.9824829999998</v>
      </c>
      <c r="L31" s="217">
        <v>11706.72875</v>
      </c>
      <c r="M31" s="217">
        <v>3024.2928689999999</v>
      </c>
      <c r="N31" s="217">
        <v>0</v>
      </c>
      <c r="O31" s="217">
        <v>19750.39662</v>
      </c>
      <c r="P31" s="217">
        <v>0</v>
      </c>
      <c r="Q31" s="217">
        <v>0</v>
      </c>
      <c r="R31" s="217">
        <v>36851.142910000002</v>
      </c>
      <c r="S31" s="217">
        <v>136054.03950000001</v>
      </c>
      <c r="T31" s="217">
        <v>0</v>
      </c>
      <c r="U31" s="217">
        <v>0</v>
      </c>
      <c r="V31" s="217">
        <v>0</v>
      </c>
      <c r="W31" s="217">
        <v>146896.63260000001</v>
      </c>
      <c r="X31" s="217">
        <v>0</v>
      </c>
      <c r="Y31" s="217">
        <v>0</v>
      </c>
      <c r="Z31" s="217">
        <v>8320.4342340000003</v>
      </c>
      <c r="AA31" s="217">
        <v>0</v>
      </c>
      <c r="AB31" s="217"/>
      <c r="AC31" s="217"/>
      <c r="AD31" s="217"/>
    </row>
    <row r="32" spans="1:30" x14ac:dyDescent="0.2">
      <c r="A32" s="232">
        <v>20</v>
      </c>
      <c r="B32" s="210" t="str">
        <f ca="1"/>
        <v/>
      </c>
      <c r="C32" s="210" t="str">
        <f ca="1"/>
        <v/>
      </c>
      <c r="D32" s="210" t="str">
        <f ca="1"/>
        <v/>
      </c>
      <c r="E32" s="210" t="str">
        <f ca="1"/>
        <v/>
      </c>
      <c r="G32" s="55" t="s">
        <v>5</v>
      </c>
      <c r="H32" s="431">
        <f>Setup!F28</f>
        <v>43605</v>
      </c>
      <c r="I32" s="217">
        <v>5480.5230279999996</v>
      </c>
      <c r="J32" s="217">
        <v>3833.9164099999998</v>
      </c>
      <c r="K32" s="217">
        <v>2625.0485090000002</v>
      </c>
      <c r="L32" s="217">
        <v>12024.19269</v>
      </c>
      <c r="M32" s="217">
        <v>3206.669817</v>
      </c>
      <c r="N32" s="217">
        <v>0</v>
      </c>
      <c r="O32" s="217">
        <v>19750.39662</v>
      </c>
      <c r="P32" s="217">
        <v>0</v>
      </c>
      <c r="Q32" s="217">
        <v>0</v>
      </c>
      <c r="R32" s="217">
        <v>21490.030699999999</v>
      </c>
      <c r="S32" s="217">
        <v>69175.357029999999</v>
      </c>
      <c r="T32" s="217">
        <v>0</v>
      </c>
      <c r="U32" s="217">
        <v>0</v>
      </c>
      <c r="V32" s="217">
        <v>0</v>
      </c>
      <c r="W32" s="217">
        <v>146896.63260000001</v>
      </c>
      <c r="X32" s="217">
        <v>0</v>
      </c>
      <c r="Y32" s="217">
        <v>0</v>
      </c>
      <c r="Z32" s="217">
        <v>4241.9904120000001</v>
      </c>
      <c r="AA32" s="217">
        <v>0</v>
      </c>
      <c r="AB32" s="217"/>
      <c r="AC32" s="217"/>
      <c r="AD32" s="217"/>
    </row>
    <row r="33" spans="1:30" x14ac:dyDescent="0.2">
      <c r="A33" s="232">
        <v>21</v>
      </c>
      <c r="B33" s="210" t="str">
        <f ca="1"/>
        <v/>
      </c>
      <c r="C33" s="210" t="str">
        <f ca="1"/>
        <v/>
      </c>
      <c r="D33" s="210" t="str">
        <f ca="1"/>
        <v/>
      </c>
      <c r="E33" s="210" t="str">
        <f ca="1"/>
        <v/>
      </c>
      <c r="G33" s="55" t="s">
        <v>5</v>
      </c>
      <c r="H33" s="431">
        <f>Setup!F29</f>
        <v>43612</v>
      </c>
      <c r="I33" s="217">
        <v>11291.22854</v>
      </c>
      <c r="J33" s="217">
        <v>7898.8129689999996</v>
      </c>
      <c r="K33" s="217">
        <v>19855.88162</v>
      </c>
      <c r="L33" s="217">
        <v>9694.0760040000005</v>
      </c>
      <c r="M33" s="217">
        <v>3689.0765430000001</v>
      </c>
      <c r="N33" s="217">
        <v>0</v>
      </c>
      <c r="O33" s="217">
        <v>0</v>
      </c>
      <c r="P33" s="217">
        <v>0</v>
      </c>
      <c r="Q33" s="217">
        <v>0</v>
      </c>
      <c r="R33" s="217">
        <v>16416.428629999999</v>
      </c>
      <c r="S33" s="217">
        <v>0</v>
      </c>
      <c r="T33" s="217">
        <v>0</v>
      </c>
      <c r="U33" s="217">
        <v>0</v>
      </c>
      <c r="V33" s="217">
        <v>0</v>
      </c>
      <c r="W33" s="217">
        <v>0</v>
      </c>
      <c r="X33" s="217">
        <v>0</v>
      </c>
      <c r="Y33" s="217">
        <v>0</v>
      </c>
      <c r="Z33" s="217">
        <v>0</v>
      </c>
      <c r="AA33" s="217">
        <v>0</v>
      </c>
      <c r="AB33" s="217"/>
      <c r="AC33" s="217"/>
      <c r="AD33" s="217"/>
    </row>
    <row r="34" spans="1:30" x14ac:dyDescent="0.2">
      <c r="A34" s="232">
        <v>22</v>
      </c>
      <c r="B34" s="210" t="str">
        <f ca="1"/>
        <v/>
      </c>
      <c r="C34" s="210" t="str">
        <f ca="1"/>
        <v/>
      </c>
      <c r="D34" s="210" t="str">
        <f ca="1"/>
        <v/>
      </c>
      <c r="E34" s="210" t="str">
        <f ca="1"/>
        <v/>
      </c>
      <c r="G34" s="55" t="s">
        <v>5</v>
      </c>
      <c r="H34" s="431">
        <f>Setup!F30</f>
        <v>43619</v>
      </c>
      <c r="I34" s="217">
        <v>6868.3042480000004</v>
      </c>
      <c r="J34" s="217">
        <v>4804.7429460000003</v>
      </c>
      <c r="K34" s="217">
        <v>13883.499260000001</v>
      </c>
      <c r="L34" s="217">
        <v>4639.0065750000003</v>
      </c>
      <c r="M34" s="217">
        <v>2605.5004789999998</v>
      </c>
      <c r="N34" s="217">
        <v>0</v>
      </c>
      <c r="O34" s="217">
        <v>0</v>
      </c>
      <c r="P34" s="217">
        <v>0</v>
      </c>
      <c r="Q34" s="217">
        <v>0</v>
      </c>
      <c r="R34" s="217">
        <v>26620.5785</v>
      </c>
      <c r="S34" s="217">
        <v>0</v>
      </c>
      <c r="T34" s="217">
        <v>0</v>
      </c>
      <c r="U34" s="217">
        <v>0</v>
      </c>
      <c r="V34" s="217">
        <v>0</v>
      </c>
      <c r="W34" s="217">
        <v>0</v>
      </c>
      <c r="X34" s="217">
        <v>0</v>
      </c>
      <c r="Y34" s="217">
        <v>0</v>
      </c>
      <c r="Z34" s="217">
        <v>13444.237150000001</v>
      </c>
      <c r="AA34" s="217">
        <v>0</v>
      </c>
      <c r="AB34" s="217"/>
      <c r="AC34" s="217"/>
      <c r="AD34" s="217"/>
    </row>
    <row r="35" spans="1:30" x14ac:dyDescent="0.2">
      <c r="A35" s="232">
        <v>23</v>
      </c>
      <c r="B35" s="210" t="str">
        <f ca="1"/>
        <v/>
      </c>
      <c r="C35" s="210" t="str">
        <f ca="1"/>
        <v/>
      </c>
      <c r="D35" s="210" t="str">
        <f ca="1"/>
        <v/>
      </c>
      <c r="E35" s="210" t="str">
        <f ca="1"/>
        <v/>
      </c>
      <c r="G35" s="55" t="s">
        <v>5</v>
      </c>
      <c r="H35" s="431">
        <f>Setup!F31</f>
        <v>43626</v>
      </c>
      <c r="I35" s="217">
        <v>5410.6199550000001</v>
      </c>
      <c r="J35" s="217">
        <v>3785.015504</v>
      </c>
      <c r="K35" s="217">
        <v>7514.2969590000002</v>
      </c>
      <c r="L35" s="217">
        <v>3146.049254</v>
      </c>
      <c r="M35" s="217">
        <v>1748.54206</v>
      </c>
      <c r="N35" s="217">
        <v>0</v>
      </c>
      <c r="O35" s="217">
        <v>0</v>
      </c>
      <c r="P35" s="217">
        <v>0</v>
      </c>
      <c r="Q35" s="217">
        <v>0</v>
      </c>
      <c r="R35" s="217">
        <v>26620.544870000002</v>
      </c>
      <c r="S35" s="217">
        <v>0</v>
      </c>
      <c r="T35" s="217">
        <v>0</v>
      </c>
      <c r="U35" s="217">
        <v>0</v>
      </c>
      <c r="V35" s="217">
        <v>0</v>
      </c>
      <c r="W35" s="217">
        <v>0</v>
      </c>
      <c r="X35" s="217">
        <v>0</v>
      </c>
      <c r="Y35" s="217">
        <v>0</v>
      </c>
      <c r="Z35" s="217">
        <v>17661.09506</v>
      </c>
      <c r="AA35" s="217">
        <v>0</v>
      </c>
      <c r="AB35" s="217"/>
      <c r="AC35" s="217"/>
      <c r="AD35" s="217"/>
    </row>
    <row r="36" spans="1:30" x14ac:dyDescent="0.2">
      <c r="A36" s="232">
        <v>24</v>
      </c>
      <c r="B36" s="210" t="str">
        <f ca="1"/>
        <v/>
      </c>
      <c r="C36" s="210" t="str">
        <f ca="1"/>
        <v/>
      </c>
      <c r="D36" s="210" t="str">
        <f ca="1"/>
        <v/>
      </c>
      <c r="E36" s="210" t="str">
        <f ca="1"/>
        <v/>
      </c>
      <c r="G36" s="55" t="s">
        <v>5</v>
      </c>
      <c r="H36" s="431">
        <f>Setup!F32</f>
        <v>43633</v>
      </c>
      <c r="I36" s="217">
        <v>3525.0752219999999</v>
      </c>
      <c r="J36" s="217">
        <v>2465.9770010000002</v>
      </c>
      <c r="K36" s="217">
        <v>1113.159703</v>
      </c>
      <c r="L36" s="217">
        <v>3237.2496179999998</v>
      </c>
      <c r="M36" s="217">
        <v>1806.932489</v>
      </c>
      <c r="N36" s="217">
        <v>0</v>
      </c>
      <c r="O36" s="217">
        <v>0</v>
      </c>
      <c r="P36" s="217">
        <v>1947.12049</v>
      </c>
      <c r="Q36" s="217">
        <v>0</v>
      </c>
      <c r="R36" s="217">
        <v>19098.04119</v>
      </c>
      <c r="S36" s="217">
        <v>0</v>
      </c>
      <c r="T36" s="217">
        <v>0</v>
      </c>
      <c r="U36" s="217">
        <v>0</v>
      </c>
      <c r="V36" s="217">
        <v>0</v>
      </c>
      <c r="W36" s="217">
        <v>0</v>
      </c>
      <c r="X36" s="217">
        <v>0</v>
      </c>
      <c r="Y36" s="217">
        <v>0</v>
      </c>
      <c r="Z36" s="217">
        <v>5969.1952350000001</v>
      </c>
      <c r="AA36" s="217">
        <v>0</v>
      </c>
      <c r="AB36" s="217"/>
      <c r="AC36" s="217"/>
      <c r="AD36" s="217"/>
    </row>
    <row r="37" spans="1:30" x14ac:dyDescent="0.2">
      <c r="A37" s="232">
        <v>25</v>
      </c>
      <c r="B37" s="210" t="str">
        <f ca="1"/>
        <v/>
      </c>
      <c r="C37" s="210" t="str">
        <f ca="1"/>
        <v/>
      </c>
      <c r="D37" s="210" t="str">
        <f ca="1"/>
        <v/>
      </c>
      <c r="E37" s="210" t="str">
        <f ca="1"/>
        <v/>
      </c>
      <c r="G37" s="55" t="s">
        <v>5</v>
      </c>
      <c r="H37" s="431">
        <f>Setup!F33</f>
        <v>43640</v>
      </c>
      <c r="I37" s="217">
        <v>3794.9675609999999</v>
      </c>
      <c r="J37" s="217">
        <v>2654.7809999999999</v>
      </c>
      <c r="K37" s="217">
        <v>2430.6938340000002</v>
      </c>
      <c r="L37" s="217">
        <v>3392.619209</v>
      </c>
      <c r="M37" s="217">
        <v>2075.9042030000001</v>
      </c>
      <c r="N37" s="217">
        <v>0</v>
      </c>
      <c r="O37" s="217">
        <v>0</v>
      </c>
      <c r="P37" s="217">
        <v>2161.3702990000002</v>
      </c>
      <c r="Q37" s="217">
        <v>0</v>
      </c>
      <c r="R37" s="217">
        <v>291.69793010000001</v>
      </c>
      <c r="S37" s="217">
        <v>0</v>
      </c>
      <c r="T37" s="217">
        <v>0</v>
      </c>
      <c r="U37" s="217">
        <v>0</v>
      </c>
      <c r="V37" s="217">
        <v>0</v>
      </c>
      <c r="W37" s="217">
        <v>0</v>
      </c>
      <c r="X37" s="217">
        <v>0</v>
      </c>
      <c r="Y37" s="217">
        <v>0</v>
      </c>
      <c r="Z37" s="217">
        <v>6456.3397599999998</v>
      </c>
      <c r="AA37" s="217">
        <v>0</v>
      </c>
      <c r="AB37" s="217"/>
      <c r="AC37" s="217"/>
      <c r="AD37" s="217"/>
    </row>
    <row r="38" spans="1:30" x14ac:dyDescent="0.2">
      <c r="A38" s="232">
        <v>26</v>
      </c>
      <c r="B38" s="210" t="str">
        <f ca="1"/>
        <v/>
      </c>
      <c r="C38" s="210" t="str">
        <f ca="1"/>
        <v/>
      </c>
      <c r="D38" s="210" t="str">
        <f ca="1"/>
        <v/>
      </c>
      <c r="E38" s="210" t="str">
        <f ca="1"/>
        <v/>
      </c>
      <c r="G38" s="55" t="s">
        <v>5</v>
      </c>
      <c r="H38" s="431">
        <f>Setup!F34</f>
        <v>43647</v>
      </c>
      <c r="I38" s="217">
        <v>4502.6417419999998</v>
      </c>
      <c r="J38" s="217">
        <v>3149.8366080000001</v>
      </c>
      <c r="K38" s="217">
        <v>0.74513987500000001</v>
      </c>
      <c r="L38" s="217">
        <v>9420.1402139999991</v>
      </c>
      <c r="M38" s="217">
        <v>10.32097997</v>
      </c>
      <c r="N38" s="217">
        <v>32341.274460000001</v>
      </c>
      <c r="O38" s="217">
        <v>0</v>
      </c>
      <c r="P38" s="217">
        <v>0</v>
      </c>
      <c r="Q38" s="217">
        <v>0</v>
      </c>
      <c r="R38" s="217">
        <v>291.69829820000001</v>
      </c>
      <c r="S38" s="217">
        <v>86858.472070000003</v>
      </c>
      <c r="T38" s="217">
        <v>0</v>
      </c>
      <c r="U38" s="217">
        <v>0</v>
      </c>
      <c r="V38" s="217">
        <v>0</v>
      </c>
      <c r="W38" s="217">
        <v>0</v>
      </c>
      <c r="X38" s="217">
        <v>0</v>
      </c>
      <c r="Y38" s="217">
        <v>0</v>
      </c>
      <c r="Z38" s="217">
        <v>6404.138003</v>
      </c>
      <c r="AA38" s="217">
        <v>0</v>
      </c>
      <c r="AB38" s="217"/>
      <c r="AC38" s="217"/>
      <c r="AD38" s="217"/>
    </row>
    <row r="39" spans="1:30" x14ac:dyDescent="0.2">
      <c r="A39" s="232">
        <v>27</v>
      </c>
      <c r="B39" s="210" t="str">
        <f ca="1"/>
        <v/>
      </c>
      <c r="C39" s="210" t="str">
        <f ca="1"/>
        <v/>
      </c>
      <c r="D39" s="210" t="str">
        <f ca="1"/>
        <v/>
      </c>
      <c r="E39" s="210" t="str">
        <f ca="1"/>
        <v/>
      </c>
      <c r="G39" s="55" t="s">
        <v>5</v>
      </c>
      <c r="H39" s="431">
        <f>Setup!F35</f>
        <v>43654</v>
      </c>
      <c r="I39" s="217">
        <v>4829.4310530000002</v>
      </c>
      <c r="J39" s="217">
        <v>3378.4430550000002</v>
      </c>
      <c r="K39" s="217">
        <v>0</v>
      </c>
      <c r="L39" s="217">
        <v>10174.40497</v>
      </c>
      <c r="M39" s="217">
        <v>0</v>
      </c>
      <c r="N39" s="217">
        <v>32341.274460000001</v>
      </c>
      <c r="O39" s="217">
        <v>0</v>
      </c>
      <c r="P39" s="217">
        <v>0</v>
      </c>
      <c r="Q39" s="217">
        <v>0</v>
      </c>
      <c r="R39" s="217">
        <v>291.69866580000001</v>
      </c>
      <c r="S39" s="217">
        <v>49266.731379999997</v>
      </c>
      <c r="T39" s="217">
        <v>0</v>
      </c>
      <c r="U39" s="217">
        <v>0</v>
      </c>
      <c r="V39" s="217">
        <v>0</v>
      </c>
      <c r="W39" s="217">
        <v>0</v>
      </c>
      <c r="X39" s="217">
        <v>0</v>
      </c>
      <c r="Y39" s="217">
        <v>0</v>
      </c>
      <c r="Z39" s="217">
        <v>7229.5536949999996</v>
      </c>
      <c r="AA39" s="217">
        <v>0</v>
      </c>
      <c r="AB39" s="217"/>
      <c r="AC39" s="217"/>
      <c r="AD39" s="217"/>
    </row>
    <row r="40" spans="1:30" x14ac:dyDescent="0.2">
      <c r="A40" s="232">
        <v>28</v>
      </c>
      <c r="B40" s="210" t="str">
        <f ca="1"/>
        <v/>
      </c>
      <c r="C40" s="210" t="str">
        <f ca="1"/>
        <v/>
      </c>
      <c r="D40" s="210" t="str">
        <f ca="1"/>
        <v/>
      </c>
      <c r="E40" s="210" t="str">
        <f ca="1"/>
        <v/>
      </c>
      <c r="G40" s="55" t="s">
        <v>5</v>
      </c>
      <c r="H40" s="431">
        <f>Setup!F36</f>
        <v>43661</v>
      </c>
      <c r="I40" s="217">
        <v>5723.5470029999997</v>
      </c>
      <c r="J40" s="217">
        <v>4003.9245639999999</v>
      </c>
      <c r="K40" s="217">
        <v>0</v>
      </c>
      <c r="L40" s="217">
        <v>10088.436439999999</v>
      </c>
      <c r="M40" s="217">
        <v>0</v>
      </c>
      <c r="N40" s="217">
        <v>32341.274460000001</v>
      </c>
      <c r="O40" s="217">
        <v>0</v>
      </c>
      <c r="P40" s="217">
        <v>0</v>
      </c>
      <c r="Q40" s="217">
        <v>0</v>
      </c>
      <c r="R40" s="217">
        <v>291.69866580000001</v>
      </c>
      <c r="S40" s="217">
        <v>0</v>
      </c>
      <c r="T40" s="217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29253.107960000001</v>
      </c>
      <c r="AA40" s="217">
        <v>0</v>
      </c>
      <c r="AB40" s="217"/>
      <c r="AC40" s="217"/>
      <c r="AD40" s="217"/>
    </row>
    <row r="41" spans="1:30" x14ac:dyDescent="0.2">
      <c r="A41" s="232">
        <v>29</v>
      </c>
      <c r="B41" s="210" t="str">
        <f ca="1"/>
        <v/>
      </c>
      <c r="C41" s="210" t="str">
        <f ca="1"/>
        <v/>
      </c>
      <c r="D41" s="210" t="str">
        <f ca="1"/>
        <v/>
      </c>
      <c r="E41" s="210" t="str">
        <f ca="1"/>
        <v/>
      </c>
      <c r="G41" s="55" t="s">
        <v>5</v>
      </c>
      <c r="H41" s="431">
        <f>Setup!F37</f>
        <v>43668</v>
      </c>
      <c r="I41" s="217">
        <v>4548.7359690000003</v>
      </c>
      <c r="J41" s="217">
        <v>3182.0819630000001</v>
      </c>
      <c r="K41" s="217">
        <v>1054.224287</v>
      </c>
      <c r="L41" s="217">
        <v>10722.192880000001</v>
      </c>
      <c r="M41" s="217">
        <v>0</v>
      </c>
      <c r="N41" s="217">
        <v>32341.274460000001</v>
      </c>
      <c r="O41" s="217">
        <v>0</v>
      </c>
      <c r="P41" s="217">
        <v>0</v>
      </c>
      <c r="Q41" s="217">
        <v>0</v>
      </c>
      <c r="R41" s="217">
        <v>291.69866580000001</v>
      </c>
      <c r="S41" s="217">
        <v>21165.404310000002</v>
      </c>
      <c r="T41" s="217">
        <v>0</v>
      </c>
      <c r="U41" s="217">
        <v>0</v>
      </c>
      <c r="V41" s="217">
        <v>0</v>
      </c>
      <c r="W41" s="217">
        <v>0</v>
      </c>
      <c r="X41" s="217">
        <v>0</v>
      </c>
      <c r="Y41" s="217">
        <v>6611.4389019999999</v>
      </c>
      <c r="Z41" s="217">
        <v>15597.018690000001</v>
      </c>
      <c r="AA41" s="217">
        <v>0</v>
      </c>
      <c r="AB41" s="217"/>
      <c r="AC41" s="217"/>
      <c r="AD41" s="217"/>
    </row>
    <row r="42" spans="1:30" x14ac:dyDescent="0.2">
      <c r="A42" s="232">
        <v>30</v>
      </c>
      <c r="B42" s="210" t="str">
        <f ca="1"/>
        <v/>
      </c>
      <c r="C42" s="210" t="str">
        <f ca="1"/>
        <v/>
      </c>
      <c r="D42" s="210" t="str">
        <f ca="1"/>
        <v/>
      </c>
      <c r="E42" s="210" t="str">
        <f ca="1"/>
        <v/>
      </c>
      <c r="G42" s="55" t="s">
        <v>5</v>
      </c>
      <c r="H42" s="431">
        <f>Setup!F38</f>
        <v>43675</v>
      </c>
      <c r="I42" s="217">
        <v>4278.83104</v>
      </c>
      <c r="J42" s="217">
        <v>2993.2691559999998</v>
      </c>
      <c r="K42" s="217">
        <v>4005.6424630000001</v>
      </c>
      <c r="L42" s="217">
        <v>10652.84907</v>
      </c>
      <c r="M42" s="217">
        <v>523.02508</v>
      </c>
      <c r="N42" s="217">
        <v>0</v>
      </c>
      <c r="O42" s="217">
        <v>0</v>
      </c>
      <c r="P42" s="217">
        <v>0</v>
      </c>
      <c r="Q42" s="217">
        <v>0</v>
      </c>
      <c r="R42" s="217">
        <v>12580.588369999999</v>
      </c>
      <c r="S42" s="217">
        <v>17348.691470000002</v>
      </c>
      <c r="T42" s="217">
        <v>0</v>
      </c>
      <c r="U42" s="217">
        <v>0</v>
      </c>
      <c r="V42" s="217">
        <v>0</v>
      </c>
      <c r="W42" s="217">
        <v>0</v>
      </c>
      <c r="X42" s="217">
        <v>0</v>
      </c>
      <c r="Y42" s="217">
        <v>8900.6549479999994</v>
      </c>
      <c r="Z42" s="217">
        <v>33752.82374</v>
      </c>
      <c r="AA42" s="217">
        <v>0</v>
      </c>
      <c r="AB42" s="217"/>
      <c r="AC42" s="217"/>
      <c r="AD42" s="217"/>
    </row>
    <row r="43" spans="1:30" x14ac:dyDescent="0.2">
      <c r="A43" s="232">
        <v>31</v>
      </c>
      <c r="B43" s="210" t="str">
        <f ca="1"/>
        <v/>
      </c>
      <c r="C43" s="210" t="str">
        <f ca="1"/>
        <v/>
      </c>
      <c r="D43" s="210" t="str">
        <f ca="1"/>
        <v/>
      </c>
      <c r="E43" s="210" t="str">
        <f ca="1"/>
        <v/>
      </c>
      <c r="G43" s="55" t="s">
        <v>5</v>
      </c>
      <c r="H43" s="431">
        <f>Setup!F39</f>
        <v>43682</v>
      </c>
      <c r="I43" s="217">
        <v>6115.7697189999999</v>
      </c>
      <c r="J43" s="217">
        <v>4278.3051480000004</v>
      </c>
      <c r="K43" s="217">
        <v>6005.0112849999996</v>
      </c>
      <c r="L43" s="217">
        <v>11488.114750000001</v>
      </c>
      <c r="M43" s="217">
        <v>522.97971989999996</v>
      </c>
      <c r="N43" s="217">
        <v>0</v>
      </c>
      <c r="O43" s="217">
        <v>5760.5323490000001</v>
      </c>
      <c r="P43" s="217">
        <v>0</v>
      </c>
      <c r="Q43" s="217">
        <v>0</v>
      </c>
      <c r="R43" s="217">
        <v>21797.254809999999</v>
      </c>
      <c r="S43" s="217">
        <v>206293.87040000001</v>
      </c>
      <c r="T43" s="217">
        <v>0</v>
      </c>
      <c r="U43" s="217">
        <v>0</v>
      </c>
      <c r="V43" s="217">
        <v>0</v>
      </c>
      <c r="W43" s="217">
        <v>145949.93040000001</v>
      </c>
      <c r="X43" s="217">
        <v>0</v>
      </c>
      <c r="Y43" s="217">
        <v>7658.683943</v>
      </c>
      <c r="Z43" s="217">
        <v>28119.24798</v>
      </c>
      <c r="AA43" s="217">
        <v>0</v>
      </c>
      <c r="AB43" s="217"/>
      <c r="AC43" s="217"/>
      <c r="AD43" s="217"/>
    </row>
    <row r="44" spans="1:30" x14ac:dyDescent="0.2">
      <c r="A44" s="232">
        <v>32</v>
      </c>
      <c r="B44" s="210" t="str">
        <f ca="1"/>
        <v/>
      </c>
      <c r="C44" s="210" t="str">
        <f ca="1"/>
        <v/>
      </c>
      <c r="D44" s="210" t="str">
        <f ca="1"/>
        <v/>
      </c>
      <c r="E44" s="210" t="str">
        <f ca="1"/>
        <v/>
      </c>
      <c r="G44" s="55" t="s">
        <v>5</v>
      </c>
      <c r="H44" s="431">
        <f>Setup!F40</f>
        <v>43689</v>
      </c>
      <c r="I44" s="217">
        <v>5839.78982</v>
      </c>
      <c r="J44" s="217">
        <v>4085.242577</v>
      </c>
      <c r="K44" s="217">
        <v>5738.9828779999998</v>
      </c>
      <c r="L44" s="217">
        <v>11724.080120000001</v>
      </c>
      <c r="M44" s="217">
        <v>798.41596159999995</v>
      </c>
      <c r="N44" s="217">
        <v>0</v>
      </c>
      <c r="O44" s="217">
        <v>5760.5323490000001</v>
      </c>
      <c r="P44" s="217">
        <v>0</v>
      </c>
      <c r="Q44" s="217">
        <v>0</v>
      </c>
      <c r="R44" s="217">
        <v>21797.25518</v>
      </c>
      <c r="S44" s="217">
        <v>0</v>
      </c>
      <c r="T44" s="217">
        <v>0</v>
      </c>
      <c r="U44" s="217">
        <v>0</v>
      </c>
      <c r="V44" s="217">
        <v>0</v>
      </c>
      <c r="W44" s="217">
        <v>145949.93040000001</v>
      </c>
      <c r="X44" s="217">
        <v>0</v>
      </c>
      <c r="Y44" s="217">
        <v>7613.4141399999999</v>
      </c>
      <c r="Z44" s="217">
        <v>31541.163919999999</v>
      </c>
      <c r="AA44" s="217">
        <v>0</v>
      </c>
      <c r="AB44" s="217"/>
      <c r="AC44" s="217"/>
      <c r="AD44" s="217"/>
    </row>
    <row r="45" spans="1:30" x14ac:dyDescent="0.2">
      <c r="A45" s="232">
        <v>33</v>
      </c>
      <c r="B45" s="210" t="str">
        <f ca="1"/>
        <v/>
      </c>
      <c r="C45" s="210" t="str">
        <f ca="1"/>
        <v/>
      </c>
      <c r="D45" s="210" t="str">
        <f ca="1"/>
        <v/>
      </c>
      <c r="E45" s="210" t="str">
        <f ca="1"/>
        <v/>
      </c>
      <c r="G45" s="55" t="s">
        <v>5</v>
      </c>
      <c r="H45" s="431">
        <f>Setup!F41</f>
        <v>43696</v>
      </c>
      <c r="I45" s="217">
        <v>6606.6335779999999</v>
      </c>
      <c r="J45" s="217">
        <v>4621.6904400000003</v>
      </c>
      <c r="K45" s="217">
        <v>6518.2922339999996</v>
      </c>
      <c r="L45" s="217">
        <v>11559.18489</v>
      </c>
      <c r="M45" s="217">
        <v>1528.2677639999999</v>
      </c>
      <c r="N45" s="217">
        <v>0</v>
      </c>
      <c r="O45" s="217">
        <v>5760.5323490000001</v>
      </c>
      <c r="P45" s="217">
        <v>0</v>
      </c>
      <c r="Q45" s="217">
        <v>0</v>
      </c>
      <c r="R45" s="217">
        <v>9508.3651119999995</v>
      </c>
      <c r="S45" s="217">
        <v>269579.6434</v>
      </c>
      <c r="T45" s="217">
        <v>0</v>
      </c>
      <c r="U45" s="217">
        <v>0</v>
      </c>
      <c r="V45" s="217">
        <v>0</v>
      </c>
      <c r="W45" s="217">
        <v>145949.93040000001</v>
      </c>
      <c r="X45" s="217">
        <v>0</v>
      </c>
      <c r="Y45" s="217">
        <v>7578.0155240000004</v>
      </c>
      <c r="Z45" s="217">
        <v>32550.927469999999</v>
      </c>
      <c r="AA45" s="217">
        <v>0</v>
      </c>
      <c r="AB45" s="217"/>
      <c r="AC45" s="217"/>
      <c r="AD45" s="217"/>
    </row>
    <row r="46" spans="1:30" x14ac:dyDescent="0.2">
      <c r="A46" s="232">
        <v>34</v>
      </c>
      <c r="B46" s="210" t="str">
        <f ca="1"/>
        <v/>
      </c>
      <c r="C46" s="210" t="str">
        <f ca="1"/>
        <v/>
      </c>
      <c r="D46" s="210" t="str">
        <f ca="1"/>
        <v/>
      </c>
      <c r="E46" s="210" t="str">
        <f ca="1"/>
        <v/>
      </c>
      <c r="G46" s="55" t="s">
        <v>5</v>
      </c>
      <c r="H46" s="431">
        <f>Setup!F42</f>
        <v>43703</v>
      </c>
      <c r="I46" s="217">
        <v>7313.2123760000004</v>
      </c>
      <c r="J46" s="217">
        <v>5115.9797689999996</v>
      </c>
      <c r="K46" s="217">
        <v>8668.4696540000004</v>
      </c>
      <c r="L46" s="217">
        <v>12022.589669999999</v>
      </c>
      <c r="M46" s="217">
        <v>2257.6657770000002</v>
      </c>
      <c r="N46" s="217">
        <v>0</v>
      </c>
      <c r="O46" s="217">
        <v>0</v>
      </c>
      <c r="P46" s="217">
        <v>0</v>
      </c>
      <c r="Q46" s="217">
        <v>0</v>
      </c>
      <c r="R46" s="217">
        <v>11872.30063</v>
      </c>
      <c r="S46" s="217">
        <v>49267.282950000001</v>
      </c>
      <c r="T46" s="217">
        <v>0</v>
      </c>
      <c r="U46" s="217">
        <v>0</v>
      </c>
      <c r="V46" s="217">
        <v>0</v>
      </c>
      <c r="W46" s="217">
        <v>9867.6804960000009</v>
      </c>
      <c r="X46" s="217">
        <v>0</v>
      </c>
      <c r="Y46" s="217">
        <v>18806.79982</v>
      </c>
      <c r="Z46" s="217">
        <v>52784.426760000002</v>
      </c>
      <c r="AA46" s="217">
        <v>0</v>
      </c>
      <c r="AB46" s="217"/>
      <c r="AC46" s="217"/>
      <c r="AD46" s="217"/>
    </row>
    <row r="47" spans="1:30" x14ac:dyDescent="0.2">
      <c r="A47" s="232">
        <v>35</v>
      </c>
      <c r="B47" s="210" t="str">
        <f ca="1"/>
        <v/>
      </c>
      <c r="C47" s="210" t="str">
        <f ca="1"/>
        <v/>
      </c>
      <c r="D47" s="210" t="str">
        <f ca="1"/>
        <v/>
      </c>
      <c r="E47" s="210" t="str">
        <f ca="1"/>
        <v/>
      </c>
      <c r="G47" s="55" t="s">
        <v>5</v>
      </c>
      <c r="H47" s="431">
        <f>Setup!F43</f>
        <v>43710</v>
      </c>
      <c r="I47" s="217">
        <v>7181.6719670000002</v>
      </c>
      <c r="J47" s="217">
        <v>5023.9602789999999</v>
      </c>
      <c r="K47" s="217">
        <v>10114.47414</v>
      </c>
      <c r="L47" s="217">
        <v>10624.22372</v>
      </c>
      <c r="M47" s="217">
        <v>6105.5428389999997</v>
      </c>
      <c r="N47" s="217">
        <v>0</v>
      </c>
      <c r="O47" s="217">
        <v>5760.5323490000001</v>
      </c>
      <c r="P47" s="217">
        <v>0</v>
      </c>
      <c r="Q47" s="217">
        <v>0</v>
      </c>
      <c r="R47" s="217">
        <v>15877.169760000001</v>
      </c>
      <c r="S47" s="217">
        <v>0</v>
      </c>
      <c r="T47" s="217">
        <v>0</v>
      </c>
      <c r="U47" s="217">
        <v>0</v>
      </c>
      <c r="V47" s="217">
        <v>0</v>
      </c>
      <c r="W47" s="217">
        <v>138147.527</v>
      </c>
      <c r="X47" s="217">
        <v>0</v>
      </c>
      <c r="Y47" s="217">
        <v>42044.42121</v>
      </c>
      <c r="Z47" s="217">
        <v>40161.973870000002</v>
      </c>
      <c r="AA47" s="217">
        <v>0</v>
      </c>
      <c r="AB47" s="217"/>
      <c r="AC47" s="217"/>
      <c r="AD47" s="217"/>
    </row>
    <row r="48" spans="1:30" x14ac:dyDescent="0.2">
      <c r="A48" s="232">
        <v>36</v>
      </c>
      <c r="B48" s="210" t="str">
        <f ca="1"/>
        <v/>
      </c>
      <c r="C48" s="210" t="str">
        <f ca="1"/>
        <v/>
      </c>
      <c r="D48" s="210" t="str">
        <f ca="1"/>
        <v/>
      </c>
      <c r="E48" s="210" t="str">
        <f ca="1"/>
        <v/>
      </c>
      <c r="G48" s="55" t="s">
        <v>5</v>
      </c>
      <c r="H48" s="431">
        <f>Setup!F44</f>
        <v>43717</v>
      </c>
      <c r="I48" s="217">
        <v>4397.4094150000001</v>
      </c>
      <c r="J48" s="217">
        <v>3076.221016</v>
      </c>
      <c r="K48" s="217">
        <v>20399.658490000002</v>
      </c>
      <c r="L48" s="217">
        <v>10622.73079</v>
      </c>
      <c r="M48" s="217">
        <v>18822.797470000001</v>
      </c>
      <c r="N48" s="217">
        <v>0</v>
      </c>
      <c r="O48" s="217">
        <v>13989.86427</v>
      </c>
      <c r="P48" s="217">
        <v>0</v>
      </c>
      <c r="Q48" s="217">
        <v>0</v>
      </c>
      <c r="R48" s="217">
        <v>15972.86443</v>
      </c>
      <c r="S48" s="217">
        <v>91388.932409999994</v>
      </c>
      <c r="T48" s="217">
        <v>0</v>
      </c>
      <c r="U48" s="217">
        <v>0</v>
      </c>
      <c r="V48" s="217">
        <v>0</v>
      </c>
      <c r="W48" s="217">
        <v>138147.527</v>
      </c>
      <c r="X48" s="217">
        <v>0</v>
      </c>
      <c r="Y48" s="217">
        <v>82304.089000000007</v>
      </c>
      <c r="Z48" s="217">
        <v>39481.06626</v>
      </c>
      <c r="AA48" s="217">
        <v>0</v>
      </c>
      <c r="AB48" s="217"/>
      <c r="AC48" s="217"/>
      <c r="AD48" s="217"/>
    </row>
    <row r="49" spans="1:30" x14ac:dyDescent="0.2">
      <c r="A49" s="232">
        <v>37</v>
      </c>
      <c r="B49" s="210" t="str">
        <f ca="1"/>
        <v/>
      </c>
      <c r="C49" s="210" t="str">
        <f ca="1"/>
        <v/>
      </c>
      <c r="D49" s="210" t="str">
        <f ca="1"/>
        <v/>
      </c>
      <c r="E49" s="210" t="str">
        <f ca="1"/>
        <v/>
      </c>
      <c r="G49" s="55" t="s">
        <v>5</v>
      </c>
      <c r="H49" s="431">
        <f>Setup!F45</f>
        <v>43724</v>
      </c>
      <c r="I49" s="217">
        <v>5103.0376219999998</v>
      </c>
      <c r="J49" s="217">
        <v>3569.8453559999998</v>
      </c>
      <c r="K49" s="217">
        <v>21515.33095</v>
      </c>
      <c r="L49" s="217">
        <v>10668.615030000001</v>
      </c>
      <c r="M49" s="217">
        <v>16895.458610000001</v>
      </c>
      <c r="N49" s="217">
        <v>0</v>
      </c>
      <c r="O49" s="217">
        <v>13989.86427</v>
      </c>
      <c r="P49" s="217">
        <v>0</v>
      </c>
      <c r="Q49" s="217">
        <v>0</v>
      </c>
      <c r="R49" s="217">
        <v>4452.0623269999996</v>
      </c>
      <c r="S49" s="217">
        <v>0</v>
      </c>
      <c r="T49" s="217">
        <v>0</v>
      </c>
      <c r="U49" s="217">
        <v>0</v>
      </c>
      <c r="V49" s="217">
        <v>0</v>
      </c>
      <c r="W49" s="217">
        <v>138147.527</v>
      </c>
      <c r="X49" s="217">
        <v>0</v>
      </c>
      <c r="Y49" s="217">
        <v>90350.779349999997</v>
      </c>
      <c r="Z49" s="217">
        <v>47394.175479999998</v>
      </c>
      <c r="AA49" s="217">
        <v>0</v>
      </c>
      <c r="AB49" s="217"/>
      <c r="AC49" s="217"/>
      <c r="AD49" s="217"/>
    </row>
    <row r="50" spans="1:30" x14ac:dyDescent="0.2">
      <c r="A50" s="232">
        <v>38</v>
      </c>
      <c r="B50" s="210" t="str">
        <f ca="1"/>
        <v/>
      </c>
      <c r="C50" s="210" t="str">
        <f ca="1"/>
        <v/>
      </c>
      <c r="D50" s="210" t="str">
        <f ca="1"/>
        <v/>
      </c>
      <c r="E50" s="210" t="str">
        <f ca="1"/>
        <v/>
      </c>
      <c r="G50" s="55" t="s">
        <v>5</v>
      </c>
      <c r="H50" s="431">
        <f>Setup!F46</f>
        <v>43731</v>
      </c>
      <c r="I50" s="217">
        <v>5452.3452399999996</v>
      </c>
      <c r="J50" s="217">
        <v>3814.204553</v>
      </c>
      <c r="K50" s="217">
        <v>28637.48244</v>
      </c>
      <c r="L50" s="217">
        <v>10761.783939999999</v>
      </c>
      <c r="M50" s="217">
        <v>16548.11535</v>
      </c>
      <c r="N50" s="217">
        <v>0</v>
      </c>
      <c r="O50" s="217">
        <v>8229.3319260000007</v>
      </c>
      <c r="P50" s="217">
        <v>0</v>
      </c>
      <c r="Q50" s="217">
        <v>0</v>
      </c>
      <c r="R50" s="217">
        <v>590.38398440000003</v>
      </c>
      <c r="S50" s="217">
        <v>0</v>
      </c>
      <c r="T50" s="217">
        <v>0</v>
      </c>
      <c r="U50" s="217">
        <v>0</v>
      </c>
      <c r="V50" s="217">
        <v>0</v>
      </c>
      <c r="W50" s="217">
        <v>128279.84639999999</v>
      </c>
      <c r="X50" s="217">
        <v>0</v>
      </c>
      <c r="Y50" s="217">
        <v>100171.7729</v>
      </c>
      <c r="Z50" s="217">
        <v>45551.63882</v>
      </c>
      <c r="AA50" s="217">
        <v>0</v>
      </c>
      <c r="AB50" s="217"/>
      <c r="AC50" s="217"/>
      <c r="AD50" s="217"/>
    </row>
    <row r="51" spans="1:30" x14ac:dyDescent="0.2">
      <c r="A51" s="232">
        <v>39</v>
      </c>
      <c r="B51" s="210" t="str">
        <f ca="1"/>
        <v/>
      </c>
      <c r="C51" s="210" t="str">
        <f ca="1"/>
        <v/>
      </c>
      <c r="D51" s="210" t="str">
        <f ca="1"/>
        <v/>
      </c>
      <c r="E51" s="210" t="str">
        <f ca="1"/>
        <v/>
      </c>
      <c r="G51" s="55" t="s">
        <v>5</v>
      </c>
      <c r="H51" s="431">
        <f>Setup!F47</f>
        <v>43738</v>
      </c>
      <c r="I51" s="217">
        <v>7459.9307669999998</v>
      </c>
      <c r="J51" s="217">
        <v>5218.6170620000003</v>
      </c>
      <c r="K51" s="217">
        <v>26884.970809999999</v>
      </c>
      <c r="L51" s="217">
        <v>10561.336020000001</v>
      </c>
      <c r="M51" s="217">
        <v>6857.2276279999996</v>
      </c>
      <c r="N51" s="217">
        <v>27773.99524</v>
      </c>
      <c r="O51" s="217">
        <v>0</v>
      </c>
      <c r="P51" s="217">
        <v>0</v>
      </c>
      <c r="Q51" s="217">
        <v>0</v>
      </c>
      <c r="R51" s="217">
        <v>37200.521860000001</v>
      </c>
      <c r="S51" s="217">
        <v>14255.861199999999</v>
      </c>
      <c r="T51" s="217">
        <v>0</v>
      </c>
      <c r="U51" s="217">
        <v>0</v>
      </c>
      <c r="V51" s="217">
        <v>0</v>
      </c>
      <c r="W51" s="217">
        <v>0</v>
      </c>
      <c r="X51" s="217">
        <v>0</v>
      </c>
      <c r="Y51" s="217">
        <v>43809.324430000001</v>
      </c>
      <c r="Z51" s="217">
        <v>39598.599649999996</v>
      </c>
      <c r="AA51" s="217">
        <v>0</v>
      </c>
      <c r="AB51" s="217"/>
      <c r="AC51" s="217"/>
      <c r="AD51" s="217"/>
    </row>
    <row r="52" spans="1:30" x14ac:dyDescent="0.2">
      <c r="A52" s="232">
        <v>40</v>
      </c>
      <c r="B52" s="210" t="str">
        <f ca="1"/>
        <v/>
      </c>
      <c r="C52" s="210" t="str">
        <f ca="1"/>
        <v/>
      </c>
      <c r="D52" s="210" t="str">
        <f ca="1"/>
        <v/>
      </c>
      <c r="E52" s="210" t="str">
        <f ca="1"/>
        <v/>
      </c>
      <c r="G52" s="55" t="s">
        <v>5</v>
      </c>
      <c r="H52" s="431">
        <f>Setup!F48</f>
        <v>43745</v>
      </c>
      <c r="I52" s="217">
        <v>8053.439582</v>
      </c>
      <c r="J52" s="217">
        <v>5633.8079429999998</v>
      </c>
      <c r="K52" s="217">
        <v>29697.509549999999</v>
      </c>
      <c r="L52" s="217">
        <v>10709.18375</v>
      </c>
      <c r="M52" s="217">
        <v>4585.2007599999997</v>
      </c>
      <c r="N52" s="217">
        <v>27773.99524</v>
      </c>
      <c r="O52" s="217">
        <v>41146.659630000002</v>
      </c>
      <c r="P52" s="217">
        <v>0</v>
      </c>
      <c r="Q52" s="217">
        <v>0</v>
      </c>
      <c r="R52" s="217">
        <v>43502.902130000002</v>
      </c>
      <c r="S52" s="217">
        <v>184237.3499</v>
      </c>
      <c r="T52" s="217">
        <v>0</v>
      </c>
      <c r="U52" s="217">
        <v>0</v>
      </c>
      <c r="V52" s="217">
        <v>0</v>
      </c>
      <c r="W52" s="217">
        <v>74947.261530000003</v>
      </c>
      <c r="X52" s="217">
        <v>0</v>
      </c>
      <c r="Y52" s="217">
        <v>30692.413209999999</v>
      </c>
      <c r="Z52" s="217">
        <v>39583.249309999999</v>
      </c>
      <c r="AA52" s="217">
        <v>0</v>
      </c>
      <c r="AB52" s="217"/>
      <c r="AC52" s="217"/>
      <c r="AD52" s="217"/>
    </row>
    <row r="53" spans="1:30" x14ac:dyDescent="0.2">
      <c r="A53" s="232">
        <v>41</v>
      </c>
      <c r="B53" s="210" t="str">
        <f ca="1"/>
        <v/>
      </c>
      <c r="C53" s="210" t="str">
        <f ca="1"/>
        <v/>
      </c>
      <c r="D53" s="210" t="str">
        <f ca="1"/>
        <v/>
      </c>
      <c r="E53" s="210" t="str">
        <f ca="1"/>
        <v/>
      </c>
      <c r="G53" s="55" t="s">
        <v>5</v>
      </c>
      <c r="H53" s="431">
        <f>Setup!F49</f>
        <v>43752</v>
      </c>
      <c r="I53" s="217">
        <v>7247.7852659999999</v>
      </c>
      <c r="J53" s="217">
        <v>5070.2100369999998</v>
      </c>
      <c r="K53" s="217">
        <v>21728.37934</v>
      </c>
      <c r="L53" s="217">
        <v>8031.2294330000004</v>
      </c>
      <c r="M53" s="217">
        <v>3689.9455309999998</v>
      </c>
      <c r="N53" s="217">
        <v>27773.99524</v>
      </c>
      <c r="O53" s="217">
        <v>41146.659630000002</v>
      </c>
      <c r="P53" s="217">
        <v>0</v>
      </c>
      <c r="Q53" s="217">
        <v>0</v>
      </c>
      <c r="R53" s="217">
        <v>31620.342769999999</v>
      </c>
      <c r="S53" s="217">
        <v>34503.704270000002</v>
      </c>
      <c r="T53" s="217">
        <v>0</v>
      </c>
      <c r="U53" s="217">
        <v>0</v>
      </c>
      <c r="V53" s="217">
        <v>0</v>
      </c>
      <c r="W53" s="217">
        <v>74947.261530000003</v>
      </c>
      <c r="X53" s="217">
        <v>0</v>
      </c>
      <c r="Y53" s="217">
        <v>29727.620169999998</v>
      </c>
      <c r="Z53" s="217">
        <v>38817.12801</v>
      </c>
      <c r="AA53" s="217">
        <v>0</v>
      </c>
      <c r="AB53" s="217"/>
      <c r="AC53" s="217"/>
      <c r="AD53" s="217"/>
    </row>
    <row r="54" spans="1:30" x14ac:dyDescent="0.2">
      <c r="A54" s="232">
        <v>42</v>
      </c>
      <c r="B54" s="210" t="str">
        <f ca="1"/>
        <v/>
      </c>
      <c r="C54" s="210" t="str">
        <f ca="1"/>
        <v/>
      </c>
      <c r="D54" s="210" t="str">
        <f ca="1"/>
        <v/>
      </c>
      <c r="E54" s="210" t="str">
        <f ca="1"/>
        <v/>
      </c>
      <c r="G54" s="55" t="s">
        <v>5</v>
      </c>
      <c r="H54" s="431">
        <f>Setup!F50</f>
        <v>43759</v>
      </c>
      <c r="I54" s="217">
        <v>5778.0517579999996</v>
      </c>
      <c r="J54" s="217">
        <v>4042.0535300000001</v>
      </c>
      <c r="K54" s="217">
        <v>43894.975550000003</v>
      </c>
      <c r="L54" s="217">
        <v>11567.067870000001</v>
      </c>
      <c r="M54" s="217">
        <v>3834.3287359999999</v>
      </c>
      <c r="N54" s="217">
        <v>27773.99524</v>
      </c>
      <c r="O54" s="217">
        <v>41146.659630000002</v>
      </c>
      <c r="P54" s="217">
        <v>0</v>
      </c>
      <c r="Q54" s="217">
        <v>0</v>
      </c>
      <c r="R54" s="217">
        <v>1914.62734</v>
      </c>
      <c r="S54" s="217">
        <v>32527.115020000001</v>
      </c>
      <c r="T54" s="217">
        <v>0</v>
      </c>
      <c r="U54" s="217">
        <v>0</v>
      </c>
      <c r="V54" s="217">
        <v>0</v>
      </c>
      <c r="W54" s="217">
        <v>74947.261530000003</v>
      </c>
      <c r="X54" s="217">
        <v>0</v>
      </c>
      <c r="Y54" s="217">
        <v>30583.839250000001</v>
      </c>
      <c r="Z54" s="217">
        <v>45228.910920000002</v>
      </c>
      <c r="AA54" s="217">
        <v>0</v>
      </c>
      <c r="AB54" s="217"/>
      <c r="AC54" s="217"/>
      <c r="AD54" s="217"/>
    </row>
    <row r="55" spans="1:30" x14ac:dyDescent="0.2">
      <c r="A55" s="232">
        <v>43</v>
      </c>
      <c r="B55" s="210" t="str">
        <f ca="1"/>
        <v/>
      </c>
      <c r="C55" s="210" t="str">
        <f ca="1"/>
        <v/>
      </c>
      <c r="D55" s="210" t="str">
        <f ca="1"/>
        <v/>
      </c>
      <c r="E55" s="210" t="str">
        <f ca="1"/>
        <v/>
      </c>
      <c r="G55" s="55" t="s">
        <v>5</v>
      </c>
      <c r="H55" s="431">
        <f>Setup!F51</f>
        <v>43766</v>
      </c>
      <c r="I55" s="217">
        <v>4423.2390530000002</v>
      </c>
      <c r="J55" s="217">
        <v>3094.2902170000002</v>
      </c>
      <c r="K55" s="217">
        <v>35549.892780000002</v>
      </c>
      <c r="L55" s="217">
        <v>12966.93115</v>
      </c>
      <c r="M55" s="217">
        <v>3651.9185520000001</v>
      </c>
      <c r="N55" s="217">
        <v>0</v>
      </c>
      <c r="O55" s="217">
        <v>0</v>
      </c>
      <c r="P55" s="217">
        <v>0</v>
      </c>
      <c r="Q55" s="217">
        <v>0</v>
      </c>
      <c r="R55" s="217">
        <v>2772.6948269999998</v>
      </c>
      <c r="S55" s="217">
        <v>24818.093110000002</v>
      </c>
      <c r="T55" s="217">
        <v>0</v>
      </c>
      <c r="U55" s="217">
        <v>0</v>
      </c>
      <c r="V55" s="217">
        <v>0</v>
      </c>
      <c r="W55" s="217">
        <v>0</v>
      </c>
      <c r="X55" s="217">
        <v>0</v>
      </c>
      <c r="Y55" s="217">
        <v>22279.665690000002</v>
      </c>
      <c r="Z55" s="217">
        <v>36823.482389999997</v>
      </c>
      <c r="AA55" s="217">
        <v>0</v>
      </c>
      <c r="AB55" s="217"/>
      <c r="AC55" s="217"/>
      <c r="AD55" s="217"/>
    </row>
    <row r="56" spans="1:30" x14ac:dyDescent="0.2">
      <c r="A56" s="232">
        <v>44</v>
      </c>
      <c r="B56" s="210" t="str">
        <f ca="1"/>
        <v/>
      </c>
      <c r="C56" s="210" t="str">
        <f ca="1"/>
        <v/>
      </c>
      <c r="D56" s="210" t="str">
        <f ca="1"/>
        <v/>
      </c>
      <c r="E56" s="210" t="str">
        <f ca="1"/>
        <v/>
      </c>
      <c r="G56" s="55" t="s">
        <v>5</v>
      </c>
      <c r="H56" s="431">
        <f>Setup!F52</f>
        <v>43773</v>
      </c>
      <c r="I56" s="217">
        <v>4829.3240320000004</v>
      </c>
      <c r="J56" s="217">
        <v>3378.3681889999998</v>
      </c>
      <c r="K56" s="217">
        <v>22095.719659999999</v>
      </c>
      <c r="L56" s="217">
        <v>12156.375749999999</v>
      </c>
      <c r="M56" s="217">
        <v>5107.4859630000001</v>
      </c>
      <c r="N56" s="217">
        <v>11784.403319999999</v>
      </c>
      <c r="O56" s="217">
        <v>0</v>
      </c>
      <c r="P56" s="217">
        <v>0</v>
      </c>
      <c r="Q56" s="217">
        <v>0</v>
      </c>
      <c r="R56" s="217">
        <v>12694.23137</v>
      </c>
      <c r="S56" s="217">
        <v>64274.348709999998</v>
      </c>
      <c r="T56" s="217">
        <v>0</v>
      </c>
      <c r="U56" s="217">
        <v>0</v>
      </c>
      <c r="V56" s="217">
        <v>0</v>
      </c>
      <c r="W56" s="217">
        <v>403689.61820000003</v>
      </c>
      <c r="X56" s="217">
        <v>0</v>
      </c>
      <c r="Y56" s="217">
        <v>25324.920679999999</v>
      </c>
      <c r="Z56" s="217">
        <v>49799.405469999998</v>
      </c>
      <c r="AA56" s="217">
        <v>0</v>
      </c>
      <c r="AB56" s="217"/>
      <c r="AC56" s="217"/>
      <c r="AD56" s="217"/>
    </row>
    <row r="57" spans="1:30" x14ac:dyDescent="0.2">
      <c r="A57" s="232">
        <v>45</v>
      </c>
      <c r="B57" s="210" t="str">
        <f ca="1"/>
        <v/>
      </c>
      <c r="C57" s="210" t="str">
        <f ca="1"/>
        <v/>
      </c>
      <c r="D57" s="210" t="str">
        <f ca="1"/>
        <v/>
      </c>
      <c r="E57" s="210" t="str">
        <f ca="1"/>
        <v/>
      </c>
      <c r="G57" s="55" t="s">
        <v>5</v>
      </c>
      <c r="H57" s="431">
        <f>Setup!F53</f>
        <v>43780</v>
      </c>
      <c r="I57" s="217">
        <v>4696.6693539999997</v>
      </c>
      <c r="J57" s="217">
        <v>3285.5692089999998</v>
      </c>
      <c r="K57" s="217">
        <v>23687.872640000001</v>
      </c>
      <c r="L57" s="217">
        <v>5934.5987150000001</v>
      </c>
      <c r="M57" s="217">
        <v>5924.1669380000003</v>
      </c>
      <c r="N57" s="217">
        <v>11784.403319999999</v>
      </c>
      <c r="O57" s="217">
        <v>0</v>
      </c>
      <c r="P57" s="217">
        <v>0</v>
      </c>
      <c r="Q57" s="217">
        <v>0</v>
      </c>
      <c r="R57" s="217">
        <v>16205.233329999999</v>
      </c>
      <c r="S57" s="217">
        <v>76117.794559999995</v>
      </c>
      <c r="T57" s="217">
        <v>0</v>
      </c>
      <c r="U57" s="217">
        <v>0</v>
      </c>
      <c r="V57" s="217">
        <v>0</v>
      </c>
      <c r="W57" s="217">
        <v>403689.61820000003</v>
      </c>
      <c r="X57" s="217">
        <v>0</v>
      </c>
      <c r="Y57" s="217">
        <v>20092.250199999999</v>
      </c>
      <c r="Z57" s="217">
        <v>90195.700930000006</v>
      </c>
      <c r="AA57" s="217">
        <v>0</v>
      </c>
      <c r="AB57" s="217"/>
      <c r="AC57" s="217"/>
      <c r="AD57" s="217"/>
    </row>
    <row r="58" spans="1:30" x14ac:dyDescent="0.2">
      <c r="A58" s="232">
        <v>46</v>
      </c>
      <c r="B58" s="210" t="str">
        <f ca="1"/>
        <v/>
      </c>
      <c r="C58" s="210" t="str">
        <f ca="1"/>
        <v/>
      </c>
      <c r="D58" s="210" t="str">
        <f ca="1"/>
        <v/>
      </c>
      <c r="E58" s="210" t="str">
        <f ca="1"/>
        <v/>
      </c>
      <c r="G58" s="55" t="s">
        <v>5</v>
      </c>
      <c r="H58" s="431">
        <f>Setup!F54</f>
        <v>43787</v>
      </c>
      <c r="I58" s="217">
        <v>6259.1075309999997</v>
      </c>
      <c r="J58" s="217">
        <v>4378.5775460000004</v>
      </c>
      <c r="K58" s="217">
        <v>13771.375550000001</v>
      </c>
      <c r="L58" s="217">
        <v>0</v>
      </c>
      <c r="M58" s="217">
        <v>5863.2481109999999</v>
      </c>
      <c r="N58" s="217">
        <v>11784.403319999999</v>
      </c>
      <c r="O58" s="217">
        <v>0</v>
      </c>
      <c r="P58" s="217">
        <v>0</v>
      </c>
      <c r="Q58" s="217">
        <v>0</v>
      </c>
      <c r="R58" s="217">
        <v>16205.1697</v>
      </c>
      <c r="S58" s="217">
        <v>175491.30660000001</v>
      </c>
      <c r="T58" s="217">
        <v>0</v>
      </c>
      <c r="U58" s="217">
        <v>0</v>
      </c>
      <c r="V58" s="217">
        <v>0</v>
      </c>
      <c r="W58" s="217">
        <v>403689.61820000003</v>
      </c>
      <c r="X58" s="217">
        <v>0</v>
      </c>
      <c r="Y58" s="217">
        <v>18422.10096</v>
      </c>
      <c r="Z58" s="217">
        <v>111706.4902</v>
      </c>
      <c r="AA58" s="217">
        <v>0</v>
      </c>
      <c r="AB58" s="217"/>
      <c r="AC58" s="217"/>
      <c r="AD58" s="217"/>
    </row>
    <row r="59" spans="1:30" x14ac:dyDescent="0.2">
      <c r="A59" s="232">
        <v>47</v>
      </c>
      <c r="B59" s="210" t="str">
        <f ca="1"/>
        <v/>
      </c>
      <c r="C59" s="210" t="str">
        <f ca="1"/>
        <v/>
      </c>
      <c r="D59" s="210" t="str">
        <f ca="1"/>
        <v/>
      </c>
      <c r="E59" s="210" t="str">
        <f ca="1"/>
        <v/>
      </c>
      <c r="G59" s="55" t="s">
        <v>5</v>
      </c>
      <c r="H59" s="431">
        <f>Setup!F55</f>
        <v>43794</v>
      </c>
      <c r="I59" s="217">
        <v>8660.8169560000006</v>
      </c>
      <c r="J59" s="217">
        <v>6058.7006160000001</v>
      </c>
      <c r="K59" s="217">
        <v>14042.765429999999</v>
      </c>
      <c r="L59" s="217">
        <v>10375.54429</v>
      </c>
      <c r="M59" s="217">
        <v>5780.4099859999997</v>
      </c>
      <c r="N59" s="217">
        <v>0</v>
      </c>
      <c r="O59" s="217">
        <v>0</v>
      </c>
      <c r="P59" s="217">
        <v>0</v>
      </c>
      <c r="Q59" s="217">
        <v>0</v>
      </c>
      <c r="R59" s="217">
        <v>6855.6674929999999</v>
      </c>
      <c r="S59" s="217">
        <v>105515.06050000001</v>
      </c>
      <c r="T59" s="217">
        <v>0</v>
      </c>
      <c r="U59" s="217">
        <v>0</v>
      </c>
      <c r="V59" s="217">
        <v>0</v>
      </c>
      <c r="W59" s="217">
        <v>0</v>
      </c>
      <c r="X59" s="217">
        <v>0</v>
      </c>
      <c r="Y59" s="217">
        <v>19490.99382</v>
      </c>
      <c r="Z59" s="217">
        <v>92894.270749999996</v>
      </c>
      <c r="AA59" s="217">
        <v>0</v>
      </c>
      <c r="AB59" s="217"/>
      <c r="AC59" s="217"/>
      <c r="AD59" s="217"/>
    </row>
    <row r="60" spans="1:30" x14ac:dyDescent="0.2">
      <c r="A60" s="232">
        <v>48</v>
      </c>
      <c r="B60" s="210" t="str">
        <f ca="1"/>
        <v/>
      </c>
      <c r="C60" s="210" t="str">
        <f ca="1"/>
        <v/>
      </c>
      <c r="D60" s="210" t="str">
        <f ca="1"/>
        <v/>
      </c>
      <c r="E60" s="210" t="str">
        <f ca="1"/>
        <v/>
      </c>
      <c r="G60" s="55" t="s">
        <v>5</v>
      </c>
      <c r="H60" s="431">
        <f>Setup!F56</f>
        <v>43801</v>
      </c>
      <c r="I60" s="217">
        <v>7245.5315460000002</v>
      </c>
      <c r="J60" s="217">
        <v>5068.6334409999999</v>
      </c>
      <c r="K60" s="217">
        <v>11952.72746</v>
      </c>
      <c r="L60" s="217">
        <v>13902.980089999999</v>
      </c>
      <c r="M60" s="217">
        <v>9738.5896119999998</v>
      </c>
      <c r="N60" s="217">
        <v>0</v>
      </c>
      <c r="O60" s="217">
        <v>0</v>
      </c>
      <c r="P60" s="217">
        <v>0</v>
      </c>
      <c r="Q60" s="217">
        <v>0</v>
      </c>
      <c r="R60" s="217">
        <v>7521.3104059999996</v>
      </c>
      <c r="S60" s="217">
        <v>12288.895350000001</v>
      </c>
      <c r="T60" s="217">
        <v>0</v>
      </c>
      <c r="U60" s="217">
        <v>0</v>
      </c>
      <c r="V60" s="217">
        <v>0</v>
      </c>
      <c r="W60" s="217">
        <v>138060.74530000001</v>
      </c>
      <c r="X60" s="217">
        <v>0</v>
      </c>
      <c r="Y60" s="217">
        <v>29703.08828</v>
      </c>
      <c r="Z60" s="217">
        <v>84187.22954</v>
      </c>
      <c r="AA60" s="217">
        <v>0</v>
      </c>
      <c r="AB60" s="217"/>
      <c r="AC60" s="217"/>
      <c r="AD60" s="217"/>
    </row>
    <row r="61" spans="1:30" x14ac:dyDescent="0.2">
      <c r="A61" s="232">
        <v>49</v>
      </c>
      <c r="B61" s="210" t="str">
        <f ca="1"/>
        <v/>
      </c>
      <c r="C61" s="210" t="str">
        <f ca="1"/>
        <v/>
      </c>
      <c r="D61" s="210" t="str">
        <f ca="1"/>
        <v/>
      </c>
      <c r="E61" s="210" t="str">
        <f ca="1"/>
        <v/>
      </c>
      <c r="G61" s="55" t="s">
        <v>5</v>
      </c>
      <c r="H61" s="431">
        <f>Setup!F57</f>
        <v>43808</v>
      </c>
      <c r="I61" s="217">
        <v>7306.5141709999998</v>
      </c>
      <c r="J61" s="217">
        <v>5111.2940200000003</v>
      </c>
      <c r="K61" s="217">
        <v>28290.230820000001</v>
      </c>
      <c r="L61" s="217">
        <v>12500.27189</v>
      </c>
      <c r="M61" s="217">
        <v>15568.491110000001</v>
      </c>
      <c r="N61" s="217">
        <v>0</v>
      </c>
      <c r="O61" s="217">
        <v>0</v>
      </c>
      <c r="P61" s="217">
        <v>0</v>
      </c>
      <c r="Q61" s="217">
        <v>0</v>
      </c>
      <c r="R61" s="217">
        <v>37736.571539999997</v>
      </c>
      <c r="S61" s="217">
        <v>0</v>
      </c>
      <c r="T61" s="217">
        <v>0</v>
      </c>
      <c r="U61" s="217">
        <v>0</v>
      </c>
      <c r="V61" s="217">
        <v>0</v>
      </c>
      <c r="W61" s="217">
        <v>138060.74530000001</v>
      </c>
      <c r="X61" s="217">
        <v>0</v>
      </c>
      <c r="Y61" s="217">
        <v>66865.909239999994</v>
      </c>
      <c r="Z61" s="217">
        <v>96622.542910000004</v>
      </c>
      <c r="AA61" s="217">
        <v>0</v>
      </c>
      <c r="AB61" s="217"/>
      <c r="AC61" s="217"/>
      <c r="AD61" s="217"/>
    </row>
    <row r="62" spans="1:30" x14ac:dyDescent="0.2">
      <c r="A62" s="232">
        <v>50</v>
      </c>
      <c r="B62" s="210" t="str">
        <f ca="1"/>
        <v/>
      </c>
      <c r="C62" s="210" t="str">
        <f ca="1"/>
        <v/>
      </c>
      <c r="D62" s="210" t="str">
        <f ca="1"/>
        <v/>
      </c>
      <c r="E62" s="210" t="str">
        <f ca="1"/>
        <v/>
      </c>
      <c r="G62" s="55" t="s">
        <v>5</v>
      </c>
      <c r="H62" s="431">
        <f>Setup!F58</f>
        <v>43815</v>
      </c>
      <c r="I62" s="217">
        <v>5340.3202780000001</v>
      </c>
      <c r="J62" s="217">
        <v>3735.8371529999999</v>
      </c>
      <c r="K62" s="217">
        <v>47413.739350000003</v>
      </c>
      <c r="L62" s="217">
        <v>12264.02908</v>
      </c>
      <c r="M62" s="217">
        <v>17813.734090000002</v>
      </c>
      <c r="N62" s="217">
        <v>0</v>
      </c>
      <c r="O62" s="217">
        <v>0</v>
      </c>
      <c r="P62" s="217">
        <v>0</v>
      </c>
      <c r="Q62" s="217">
        <v>0</v>
      </c>
      <c r="R62" s="217">
        <v>17178.587100000001</v>
      </c>
      <c r="S62" s="217">
        <v>0</v>
      </c>
      <c r="T62" s="217">
        <v>0</v>
      </c>
      <c r="U62" s="217">
        <v>0</v>
      </c>
      <c r="V62" s="217">
        <v>0</v>
      </c>
      <c r="W62" s="217">
        <v>138060.74530000001</v>
      </c>
      <c r="X62" s="217">
        <v>0</v>
      </c>
      <c r="Y62" s="217">
        <v>39894.946349999998</v>
      </c>
      <c r="Z62" s="217">
        <v>121188.667</v>
      </c>
      <c r="AA62" s="217">
        <v>0</v>
      </c>
      <c r="AB62" s="217"/>
      <c r="AC62" s="217"/>
      <c r="AD62" s="217"/>
    </row>
    <row r="63" spans="1:30" x14ac:dyDescent="0.2">
      <c r="A63" s="232">
        <v>51</v>
      </c>
      <c r="B63" s="210" t="str">
        <f ca="1"/>
        <v/>
      </c>
      <c r="C63" s="210" t="str">
        <f ca="1"/>
        <v/>
      </c>
      <c r="D63" s="210" t="str">
        <f ca="1"/>
        <v/>
      </c>
      <c r="E63" s="210" t="str">
        <f ca="1"/>
        <v/>
      </c>
      <c r="G63" s="55" t="s">
        <v>5</v>
      </c>
      <c r="H63" s="431">
        <f>Setup!F59</f>
        <v>43822</v>
      </c>
      <c r="I63" s="217">
        <v>4758.8166099999999</v>
      </c>
      <c r="J63" s="217">
        <v>3329.0445089999998</v>
      </c>
      <c r="K63" s="217">
        <v>45282.768340000002</v>
      </c>
      <c r="L63" s="217">
        <v>13520.725979999999</v>
      </c>
      <c r="M63" s="217">
        <v>21919.011170000002</v>
      </c>
      <c r="N63" s="217">
        <v>0</v>
      </c>
      <c r="O63" s="217">
        <v>0</v>
      </c>
      <c r="P63" s="217">
        <v>1533.0863440000001</v>
      </c>
      <c r="Q63" s="217">
        <v>1.1600126000000001E-2</v>
      </c>
      <c r="R63" s="217">
        <v>17178.568149999999</v>
      </c>
      <c r="S63" s="217">
        <v>0</v>
      </c>
      <c r="T63" s="217">
        <v>0</v>
      </c>
      <c r="U63" s="217">
        <v>0</v>
      </c>
      <c r="V63" s="217">
        <v>0</v>
      </c>
      <c r="W63" s="217">
        <v>0</v>
      </c>
      <c r="X63" s="217">
        <v>0</v>
      </c>
      <c r="Y63" s="217">
        <v>10057.22328</v>
      </c>
      <c r="Z63" s="217">
        <v>113183.728</v>
      </c>
      <c r="AA63" s="217">
        <v>0</v>
      </c>
      <c r="AB63" s="217"/>
      <c r="AC63" s="217"/>
      <c r="AD63" s="217"/>
    </row>
    <row r="64" spans="1:30" x14ac:dyDescent="0.2">
      <c r="A64" s="232">
        <v>52</v>
      </c>
      <c r="B64" s="210" t="str">
        <f ca="1"/>
        <v/>
      </c>
      <c r="C64" s="210" t="str">
        <f ca="1"/>
        <v/>
      </c>
      <c r="D64" s="210" t="str">
        <f ca="1"/>
        <v/>
      </c>
      <c r="E64" s="210" t="str">
        <f ca="1"/>
        <v/>
      </c>
      <c r="G64" s="55" t="s">
        <v>5</v>
      </c>
      <c r="H64" s="431">
        <f>Setup!F60</f>
        <v>43829</v>
      </c>
      <c r="I64" s="217">
        <v>4247.1278810000003</v>
      </c>
      <c r="J64" s="217">
        <v>2971.0911150000002</v>
      </c>
      <c r="K64" s="217">
        <v>10290.298989999999</v>
      </c>
      <c r="L64" s="217">
        <v>14724.082839999999</v>
      </c>
      <c r="M64" s="217">
        <v>5676.9288310000002</v>
      </c>
      <c r="N64" s="217">
        <v>0</v>
      </c>
      <c r="O64" s="217">
        <v>0</v>
      </c>
      <c r="P64" s="217">
        <v>0</v>
      </c>
      <c r="Q64" s="217">
        <v>0</v>
      </c>
      <c r="R64" s="217">
        <v>6939.0536769999999</v>
      </c>
      <c r="S64" s="217">
        <v>0</v>
      </c>
      <c r="T64" s="217">
        <v>0</v>
      </c>
      <c r="U64" s="217">
        <v>0</v>
      </c>
      <c r="V64" s="217">
        <v>0</v>
      </c>
      <c r="W64" s="217">
        <v>0</v>
      </c>
      <c r="X64" s="217">
        <v>0</v>
      </c>
      <c r="Y64" s="217">
        <v>0</v>
      </c>
      <c r="Z64" s="217">
        <v>47057.867559999999</v>
      </c>
      <c r="AA64" s="217">
        <v>0</v>
      </c>
      <c r="AB64" s="217"/>
      <c r="AC64" s="217"/>
      <c r="AD64" s="217"/>
    </row>
    <row r="65" spans="1:30" x14ac:dyDescent="0.2">
      <c r="A65" s="232">
        <v>53</v>
      </c>
      <c r="B65" s="210">
        <f ca="1"/>
        <v>53</v>
      </c>
      <c r="C65" s="210" t="str">
        <f ca="1"/>
        <v/>
      </c>
      <c r="D65" s="210" t="str">
        <f ca="1"/>
        <v/>
      </c>
      <c r="E65" s="210" t="str">
        <f ca="1"/>
        <v/>
      </c>
      <c r="G65" s="55" t="s">
        <v>5</v>
      </c>
      <c r="H65" s="431">
        <f>Setup!F61</f>
        <v>43836</v>
      </c>
      <c r="I65" s="217">
        <v>3360.2200560000001</v>
      </c>
      <c r="J65" s="217">
        <v>2350.6520719999999</v>
      </c>
      <c r="K65" s="217">
        <v>0</v>
      </c>
      <c r="L65" s="217">
        <v>12795.007299999999</v>
      </c>
      <c r="M65" s="217">
        <v>0</v>
      </c>
      <c r="N65" s="217">
        <v>0</v>
      </c>
      <c r="O65" s="217">
        <v>0</v>
      </c>
      <c r="P65" s="217">
        <v>0</v>
      </c>
      <c r="Q65" s="217">
        <v>0</v>
      </c>
      <c r="R65" s="217">
        <v>1033.951251</v>
      </c>
      <c r="S65" s="217">
        <v>0</v>
      </c>
      <c r="T65" s="217">
        <v>0</v>
      </c>
      <c r="U65" s="217">
        <v>0</v>
      </c>
      <c r="V65" s="217">
        <v>0</v>
      </c>
      <c r="W65" s="217">
        <v>0</v>
      </c>
      <c r="X65" s="217">
        <v>0</v>
      </c>
      <c r="Y65" s="217">
        <v>0</v>
      </c>
      <c r="Z65" s="217">
        <v>37469.959540000003</v>
      </c>
      <c r="AA65" s="217">
        <v>0</v>
      </c>
      <c r="AB65" s="217"/>
      <c r="AC65" s="217"/>
      <c r="AD65" s="217"/>
    </row>
    <row r="66" spans="1:30" x14ac:dyDescent="0.2">
      <c r="A66" s="232">
        <v>54</v>
      </c>
      <c r="B66" s="210">
        <f ca="1"/>
        <v>54</v>
      </c>
      <c r="C66" s="210" t="str">
        <f ca="1"/>
        <v/>
      </c>
      <c r="D66" s="210" t="str">
        <f ca="1"/>
        <v/>
      </c>
      <c r="E66" s="210" t="str">
        <f ca="1"/>
        <v/>
      </c>
      <c r="G66" s="55" t="s">
        <v>5</v>
      </c>
      <c r="H66" s="431">
        <f>Setup!F62</f>
        <v>43843</v>
      </c>
      <c r="I66" s="217">
        <v>3982.1144039999999</v>
      </c>
      <c r="J66" s="217">
        <v>2785.7001380000002</v>
      </c>
      <c r="K66" s="217">
        <v>0</v>
      </c>
      <c r="L66" s="217">
        <v>16597.118750000001</v>
      </c>
      <c r="M66" s="217">
        <v>0</v>
      </c>
      <c r="N66" s="217">
        <v>0</v>
      </c>
      <c r="O66" s="217">
        <v>0</v>
      </c>
      <c r="P66" s="217">
        <v>0</v>
      </c>
      <c r="Q66" s="217">
        <v>0</v>
      </c>
      <c r="R66" s="217">
        <v>1033.9507140000001</v>
      </c>
      <c r="S66" s="217">
        <v>114707.674</v>
      </c>
      <c r="T66" s="217">
        <v>0</v>
      </c>
      <c r="U66" s="217">
        <v>0</v>
      </c>
      <c r="V66" s="217">
        <v>0</v>
      </c>
      <c r="W66" s="217">
        <v>0</v>
      </c>
      <c r="X66" s="217">
        <v>0</v>
      </c>
      <c r="Y66" s="217">
        <v>0</v>
      </c>
      <c r="Z66" s="217">
        <v>47759.553740000003</v>
      </c>
      <c r="AA66" s="217">
        <v>0</v>
      </c>
      <c r="AB66" s="217"/>
      <c r="AC66" s="217"/>
      <c r="AD66" s="217"/>
    </row>
    <row r="67" spans="1:30" x14ac:dyDescent="0.2">
      <c r="A67" s="232">
        <v>55</v>
      </c>
      <c r="B67" s="210">
        <f ca="1"/>
        <v>55</v>
      </c>
      <c r="C67" s="210" t="str">
        <f ca="1"/>
        <v/>
      </c>
      <c r="D67" s="210" t="str">
        <f ca="1"/>
        <v/>
      </c>
      <c r="E67" s="210" t="str">
        <f ca="1"/>
        <v/>
      </c>
      <c r="G67" s="55" t="s">
        <v>5</v>
      </c>
      <c r="H67" s="431">
        <f>Setup!F63</f>
        <v>43850</v>
      </c>
      <c r="I67" s="217">
        <v>3879.5198089999999</v>
      </c>
      <c r="J67" s="217">
        <v>2713.9297809999998</v>
      </c>
      <c r="K67" s="217">
        <v>0</v>
      </c>
      <c r="L67" s="217">
        <v>16767.84474</v>
      </c>
      <c r="M67" s="217">
        <v>0</v>
      </c>
      <c r="N67" s="217">
        <v>0</v>
      </c>
      <c r="O67" s="217">
        <v>0</v>
      </c>
      <c r="P67" s="217">
        <v>0</v>
      </c>
      <c r="Q67" s="217">
        <v>0</v>
      </c>
      <c r="R67" s="217">
        <v>924.92650370000001</v>
      </c>
      <c r="S67" s="217">
        <v>47622.358180000003</v>
      </c>
      <c r="T67" s="217">
        <v>0</v>
      </c>
      <c r="U67" s="217">
        <v>0</v>
      </c>
      <c r="V67" s="217">
        <v>0</v>
      </c>
      <c r="W67" s="217">
        <v>0</v>
      </c>
      <c r="X67" s="217">
        <v>0</v>
      </c>
      <c r="Y67" s="217">
        <v>0</v>
      </c>
      <c r="Z67" s="217">
        <v>43278.573850000001</v>
      </c>
      <c r="AA67" s="217">
        <v>0</v>
      </c>
      <c r="AB67" s="217"/>
      <c r="AC67" s="217"/>
      <c r="AD67" s="217"/>
    </row>
    <row r="68" spans="1:30" x14ac:dyDescent="0.2">
      <c r="A68" s="232">
        <v>56</v>
      </c>
      <c r="B68" s="210">
        <f ca="1"/>
        <v>56</v>
      </c>
      <c r="C68" s="210" t="str">
        <f ca="1"/>
        <v/>
      </c>
      <c r="D68" s="210" t="str">
        <f ca="1"/>
        <v/>
      </c>
      <c r="E68" s="210" t="str">
        <f ca="1"/>
        <v/>
      </c>
      <c r="G68" s="55" t="s">
        <v>5</v>
      </c>
      <c r="H68" s="431">
        <f>Setup!F64</f>
        <v>43857</v>
      </c>
      <c r="I68" s="217">
        <v>3401.171018</v>
      </c>
      <c r="J68" s="217">
        <v>2379.2994410000001</v>
      </c>
      <c r="K68" s="217">
        <v>0</v>
      </c>
      <c r="L68" s="217">
        <v>17285.893110000001</v>
      </c>
      <c r="M68" s="217">
        <v>0</v>
      </c>
      <c r="N68" s="217">
        <v>0</v>
      </c>
      <c r="O68" s="217">
        <v>0</v>
      </c>
      <c r="P68" s="217">
        <v>0</v>
      </c>
      <c r="Q68" s="217">
        <v>0</v>
      </c>
      <c r="R68" s="217">
        <v>6895.1169980000004</v>
      </c>
      <c r="S68" s="217">
        <v>194419.6152</v>
      </c>
      <c r="T68" s="217">
        <v>0</v>
      </c>
      <c r="U68" s="217">
        <v>0</v>
      </c>
      <c r="V68" s="217">
        <v>0</v>
      </c>
      <c r="W68" s="217">
        <v>0</v>
      </c>
      <c r="X68" s="217">
        <v>0</v>
      </c>
      <c r="Y68" s="217">
        <v>0</v>
      </c>
      <c r="Z68" s="217">
        <v>41096.423150000002</v>
      </c>
      <c r="AA68" s="217">
        <v>0</v>
      </c>
      <c r="AB68" s="217"/>
      <c r="AC68" s="217"/>
      <c r="AD68" s="217"/>
    </row>
    <row r="69" spans="1:30" x14ac:dyDescent="0.2">
      <c r="A69" s="232">
        <v>57</v>
      </c>
      <c r="B69" s="210">
        <f ca="1"/>
        <v>57</v>
      </c>
      <c r="C69" s="210" t="str">
        <f ca="1"/>
        <v/>
      </c>
      <c r="D69" s="210" t="str">
        <f ca="1"/>
        <v/>
      </c>
      <c r="E69" s="210" t="str">
        <f ca="1"/>
        <v/>
      </c>
      <c r="G69" s="55" t="s">
        <v>5</v>
      </c>
      <c r="H69" s="431">
        <f>Setup!F65</f>
        <v>43864</v>
      </c>
      <c r="I69" s="217">
        <v>3692.045611</v>
      </c>
      <c r="J69" s="217">
        <v>2582.7816389999998</v>
      </c>
      <c r="K69" s="217">
        <v>3280.8946510000001</v>
      </c>
      <c r="L69" s="217">
        <v>12631.613810000001</v>
      </c>
      <c r="M69" s="217">
        <v>1699.016946</v>
      </c>
      <c r="N69" s="217">
        <v>0</v>
      </c>
      <c r="O69" s="217">
        <v>0</v>
      </c>
      <c r="P69" s="217">
        <v>0</v>
      </c>
      <c r="Q69" s="217">
        <v>0</v>
      </c>
      <c r="R69" s="217">
        <v>25323.001789999998</v>
      </c>
      <c r="S69" s="217">
        <v>0</v>
      </c>
      <c r="T69" s="217">
        <v>0</v>
      </c>
      <c r="U69" s="217">
        <v>0</v>
      </c>
      <c r="V69" s="217">
        <v>0</v>
      </c>
      <c r="W69" s="217">
        <v>173956.5399</v>
      </c>
      <c r="X69" s="217">
        <v>0</v>
      </c>
      <c r="Y69" s="217">
        <v>56409.83541</v>
      </c>
      <c r="Z69" s="217">
        <v>42225.592539999998</v>
      </c>
      <c r="AA69" s="217">
        <v>0</v>
      </c>
      <c r="AB69" s="217"/>
      <c r="AC69" s="217"/>
      <c r="AD69" s="217"/>
    </row>
    <row r="70" spans="1:30" x14ac:dyDescent="0.2">
      <c r="A70" s="232">
        <v>58</v>
      </c>
      <c r="B70" s="210">
        <f ca="1"/>
        <v>58</v>
      </c>
      <c r="C70" s="210" t="str">
        <f ca="1"/>
        <v/>
      </c>
      <c r="D70" s="210" t="str">
        <f ca="1"/>
        <v/>
      </c>
      <c r="E70" s="210" t="str">
        <f ca="1"/>
        <v/>
      </c>
      <c r="G70" s="55" t="s">
        <v>5</v>
      </c>
      <c r="H70" s="431">
        <f>Setup!F66</f>
        <v>43871</v>
      </c>
      <c r="I70" s="217">
        <v>2873.8195689999998</v>
      </c>
      <c r="J70" s="217">
        <v>2010.3891450000001</v>
      </c>
      <c r="K70" s="217">
        <v>5042.7712959999999</v>
      </c>
      <c r="L70" s="217">
        <v>11518.642589999999</v>
      </c>
      <c r="M70" s="217">
        <v>7138.0944650000001</v>
      </c>
      <c r="N70" s="217">
        <v>0</v>
      </c>
      <c r="O70" s="217">
        <v>0</v>
      </c>
      <c r="P70" s="217">
        <v>0</v>
      </c>
      <c r="Q70" s="217">
        <v>0</v>
      </c>
      <c r="R70" s="217">
        <v>41813.275199999996</v>
      </c>
      <c r="S70" s="217">
        <v>74459.018920000002</v>
      </c>
      <c r="T70" s="217">
        <v>0</v>
      </c>
      <c r="U70" s="217">
        <v>0</v>
      </c>
      <c r="V70" s="217">
        <v>0</v>
      </c>
      <c r="W70" s="217">
        <v>173956.5399</v>
      </c>
      <c r="X70" s="217">
        <v>0</v>
      </c>
      <c r="Y70" s="217">
        <v>70190.103640000001</v>
      </c>
      <c r="Z70" s="217">
        <v>43195.054819999998</v>
      </c>
      <c r="AA70" s="217">
        <v>0</v>
      </c>
      <c r="AB70" s="217"/>
      <c r="AC70" s="217"/>
      <c r="AD70" s="217"/>
    </row>
    <row r="71" spans="1:30" x14ac:dyDescent="0.2">
      <c r="A71" s="232">
        <v>59</v>
      </c>
      <c r="B71" s="210">
        <f ca="1"/>
        <v>59</v>
      </c>
      <c r="C71" s="210" t="str">
        <f ca="1"/>
        <v/>
      </c>
      <c r="D71" s="210" t="str">
        <f ca="1"/>
        <v/>
      </c>
      <c r="E71" s="210" t="str">
        <f ca="1"/>
        <v/>
      </c>
      <c r="G71" s="55" t="s">
        <v>5</v>
      </c>
      <c r="H71" s="431">
        <f>Setup!F67</f>
        <v>43878</v>
      </c>
      <c r="I71" s="217">
        <v>3321.5881460000001</v>
      </c>
      <c r="J71" s="217">
        <v>2323.6270030000001</v>
      </c>
      <c r="K71" s="217">
        <v>13874.94767</v>
      </c>
      <c r="L71" s="217">
        <v>12049.915870000001</v>
      </c>
      <c r="M71" s="217">
        <v>10352.660379999999</v>
      </c>
      <c r="N71" s="217">
        <v>0</v>
      </c>
      <c r="O71" s="217">
        <v>0</v>
      </c>
      <c r="P71" s="217">
        <v>0</v>
      </c>
      <c r="Q71" s="217">
        <v>0</v>
      </c>
      <c r="R71" s="217">
        <v>22024.539079999999</v>
      </c>
      <c r="S71" s="217">
        <v>82977.567479999998</v>
      </c>
      <c r="T71" s="217">
        <v>0</v>
      </c>
      <c r="U71" s="217">
        <v>0</v>
      </c>
      <c r="V71" s="217">
        <v>0</v>
      </c>
      <c r="W71" s="217">
        <v>0</v>
      </c>
      <c r="X71" s="217">
        <v>0</v>
      </c>
      <c r="Y71" s="217">
        <v>80445.444090000005</v>
      </c>
      <c r="Z71" s="217">
        <v>35687.742380000003</v>
      </c>
      <c r="AA71" s="217">
        <v>0</v>
      </c>
      <c r="AB71" s="217"/>
      <c r="AC71" s="217"/>
      <c r="AD71" s="217"/>
    </row>
    <row r="72" spans="1:30" x14ac:dyDescent="0.2">
      <c r="A72" s="232">
        <v>60</v>
      </c>
      <c r="B72" s="210">
        <f ca="1"/>
        <v>60</v>
      </c>
      <c r="C72" s="210" t="str">
        <f ca="1"/>
        <v/>
      </c>
      <c r="D72" s="210" t="str">
        <f ca="1"/>
        <v/>
      </c>
      <c r="E72" s="210" t="str">
        <f ca="1"/>
        <v/>
      </c>
      <c r="G72" s="55" t="s">
        <v>5</v>
      </c>
      <c r="H72" s="431">
        <f>Setup!F68</f>
        <v>43885</v>
      </c>
      <c r="I72" s="217">
        <v>3159.387072</v>
      </c>
      <c r="J72" s="217">
        <v>2210.1587519999998</v>
      </c>
      <c r="K72" s="217">
        <v>2816.2624930000002</v>
      </c>
      <c r="L72" s="217">
        <v>12759.62637</v>
      </c>
      <c r="M72" s="217">
        <v>10729.30791</v>
      </c>
      <c r="N72" s="217">
        <v>0</v>
      </c>
      <c r="O72" s="217">
        <v>0</v>
      </c>
      <c r="P72" s="217">
        <v>0</v>
      </c>
      <c r="Q72" s="217">
        <v>0</v>
      </c>
      <c r="R72" s="217">
        <v>22047.154289999999</v>
      </c>
      <c r="S72" s="217">
        <v>0</v>
      </c>
      <c r="T72" s="217">
        <v>0</v>
      </c>
      <c r="U72" s="217">
        <v>0</v>
      </c>
      <c r="V72" s="217">
        <v>0</v>
      </c>
      <c r="W72" s="217">
        <v>0</v>
      </c>
      <c r="X72" s="217">
        <v>0</v>
      </c>
      <c r="Y72" s="217">
        <v>10512.470880000001</v>
      </c>
      <c r="Z72" s="217">
        <v>31754.109260000001</v>
      </c>
      <c r="AA72" s="217">
        <v>0</v>
      </c>
      <c r="AB72" s="217"/>
      <c r="AC72" s="217"/>
      <c r="AD72" s="217"/>
    </row>
    <row r="73" spans="1:30" x14ac:dyDescent="0.2">
      <c r="A73" s="232">
        <v>61</v>
      </c>
      <c r="B73" s="210">
        <f ca="1"/>
        <v>61</v>
      </c>
      <c r="C73" s="210" t="str">
        <f ca="1"/>
        <v/>
      </c>
      <c r="D73" s="210" t="str">
        <f ca="1"/>
        <v/>
      </c>
      <c r="E73" s="210" t="str">
        <f ca="1"/>
        <v/>
      </c>
      <c r="G73" s="55" t="s">
        <v>5</v>
      </c>
      <c r="H73" s="431">
        <f>Setup!F69</f>
        <v>43892</v>
      </c>
      <c r="I73" s="217">
        <v>3441.1021409999998</v>
      </c>
      <c r="J73" s="217">
        <v>2407.2333789999998</v>
      </c>
      <c r="K73" s="217">
        <v>5329.514032</v>
      </c>
      <c r="L73" s="217">
        <v>10157.767040000001</v>
      </c>
      <c r="M73" s="217">
        <v>14190.038769999999</v>
      </c>
      <c r="N73" s="217">
        <v>0</v>
      </c>
      <c r="O73" s="217">
        <v>0</v>
      </c>
      <c r="P73" s="217">
        <v>0</v>
      </c>
      <c r="Q73" s="217">
        <v>0</v>
      </c>
      <c r="R73" s="217">
        <v>1002.936031</v>
      </c>
      <c r="S73" s="217">
        <v>0</v>
      </c>
      <c r="T73" s="217">
        <v>0</v>
      </c>
      <c r="U73" s="217">
        <v>0</v>
      </c>
      <c r="V73" s="217">
        <v>0</v>
      </c>
      <c r="W73" s="217">
        <v>0</v>
      </c>
      <c r="X73" s="217">
        <v>0</v>
      </c>
      <c r="Y73" s="217">
        <v>30111.17697</v>
      </c>
      <c r="Z73" s="217">
        <v>26234.53759</v>
      </c>
      <c r="AA73" s="217">
        <v>0</v>
      </c>
      <c r="AB73" s="217"/>
      <c r="AC73" s="217"/>
      <c r="AD73" s="217"/>
    </row>
    <row r="74" spans="1:30" x14ac:dyDescent="0.2">
      <c r="A74" s="232">
        <v>62</v>
      </c>
      <c r="B74" s="210">
        <f ca="1"/>
        <v>62</v>
      </c>
      <c r="C74" s="210" t="str">
        <f ca="1"/>
        <v/>
      </c>
      <c r="D74" s="210" t="str">
        <f ca="1"/>
        <v/>
      </c>
      <c r="E74" s="210" t="str">
        <f ca="1"/>
        <v/>
      </c>
      <c r="G74" s="55" t="s">
        <v>5</v>
      </c>
      <c r="H74" s="431">
        <f>Setup!F70</f>
        <v>43899</v>
      </c>
      <c r="I74" s="217">
        <v>2876.83502</v>
      </c>
      <c r="J74" s="217">
        <v>2012.498613</v>
      </c>
      <c r="K74" s="217">
        <v>6256.9761230000004</v>
      </c>
      <c r="L74" s="217">
        <v>10244.88939</v>
      </c>
      <c r="M74" s="217">
        <v>9009.7412199999999</v>
      </c>
      <c r="N74" s="217">
        <v>0</v>
      </c>
      <c r="O74" s="217">
        <v>0</v>
      </c>
      <c r="P74" s="217">
        <v>0</v>
      </c>
      <c r="Q74" s="217">
        <v>0</v>
      </c>
      <c r="R74" s="217">
        <v>1002.933392</v>
      </c>
      <c r="S74" s="217">
        <v>0</v>
      </c>
      <c r="T74" s="217">
        <v>0</v>
      </c>
      <c r="U74" s="217">
        <v>0</v>
      </c>
      <c r="V74" s="217">
        <v>0</v>
      </c>
      <c r="W74" s="217">
        <v>0</v>
      </c>
      <c r="X74" s="217">
        <v>0</v>
      </c>
      <c r="Y74" s="217">
        <v>32698.946650000002</v>
      </c>
      <c r="Z74" s="217">
        <v>36036.608990000001</v>
      </c>
      <c r="AA74" s="217">
        <v>0</v>
      </c>
      <c r="AB74" s="217"/>
      <c r="AC74" s="217"/>
      <c r="AD74" s="217"/>
    </row>
    <row r="75" spans="1:30" x14ac:dyDescent="0.2">
      <c r="A75" s="232">
        <v>63</v>
      </c>
      <c r="B75" s="210">
        <f ca="1"/>
        <v>63</v>
      </c>
      <c r="C75" s="210" t="str">
        <f ca="1"/>
        <v/>
      </c>
      <c r="D75" s="210" t="str">
        <f ca="1"/>
        <v/>
      </c>
      <c r="E75" s="210" t="str">
        <f ca="1"/>
        <v/>
      </c>
      <c r="G75" s="55" t="s">
        <v>5</v>
      </c>
      <c r="H75" s="431">
        <f>Setup!F71</f>
        <v>43906</v>
      </c>
      <c r="I75" s="217">
        <v>3886.4005780000002</v>
      </c>
      <c r="J75" s="217">
        <v>2718.7432429999999</v>
      </c>
      <c r="K75" s="217">
        <v>5432.9176600000001</v>
      </c>
      <c r="L75" s="217">
        <v>10441.40021</v>
      </c>
      <c r="M75" s="217">
        <v>9015.1282910000009</v>
      </c>
      <c r="N75" s="217">
        <v>0</v>
      </c>
      <c r="O75" s="217">
        <v>0</v>
      </c>
      <c r="P75" s="217">
        <v>0</v>
      </c>
      <c r="Q75" s="217">
        <v>0</v>
      </c>
      <c r="R75" s="217">
        <v>1002.93035</v>
      </c>
      <c r="S75" s="217">
        <v>0</v>
      </c>
      <c r="T75" s="217">
        <v>0</v>
      </c>
      <c r="U75" s="217">
        <v>0</v>
      </c>
      <c r="V75" s="217">
        <v>0</v>
      </c>
      <c r="W75" s="217">
        <v>0</v>
      </c>
      <c r="X75" s="217">
        <v>0</v>
      </c>
      <c r="Y75" s="217">
        <v>32972.720159999997</v>
      </c>
      <c r="Z75" s="217">
        <v>30266.593720000001</v>
      </c>
      <c r="AA75" s="217">
        <v>0</v>
      </c>
      <c r="AB75" s="217"/>
      <c r="AC75" s="217"/>
      <c r="AD75" s="217"/>
    </row>
    <row r="76" spans="1:30" x14ac:dyDescent="0.2">
      <c r="A76" s="232">
        <v>64</v>
      </c>
      <c r="B76" s="210">
        <f ca="1"/>
        <v>64</v>
      </c>
      <c r="C76" s="210" t="str">
        <f ca="1"/>
        <v/>
      </c>
      <c r="D76" s="210" t="str">
        <f ca="1"/>
        <v/>
      </c>
      <c r="E76" s="210" t="str">
        <f ca="1"/>
        <v/>
      </c>
      <c r="G76" s="55" t="s">
        <v>5</v>
      </c>
      <c r="H76" s="431">
        <f>Setup!F72</f>
        <v>43913</v>
      </c>
      <c r="I76" s="217">
        <v>2409.7925970000001</v>
      </c>
      <c r="J76" s="217">
        <v>1685.7776779999999</v>
      </c>
      <c r="K76" s="217">
        <v>555.63081729999999</v>
      </c>
      <c r="L76" s="217">
        <v>5212.6541809999999</v>
      </c>
      <c r="M76" s="217">
        <v>1122.817751</v>
      </c>
      <c r="N76" s="217">
        <v>0</v>
      </c>
      <c r="O76" s="217">
        <v>0</v>
      </c>
      <c r="P76" s="217">
        <v>0</v>
      </c>
      <c r="Q76" s="217">
        <v>0</v>
      </c>
      <c r="R76" s="217">
        <v>1002.928798</v>
      </c>
      <c r="S76" s="217">
        <v>254695.4319</v>
      </c>
      <c r="T76" s="217">
        <v>0</v>
      </c>
      <c r="U76" s="217">
        <v>0</v>
      </c>
      <c r="V76" s="217">
        <v>0</v>
      </c>
      <c r="W76" s="217">
        <v>0</v>
      </c>
      <c r="X76" s="217">
        <v>0</v>
      </c>
      <c r="Y76" s="217">
        <v>9046.1022539999994</v>
      </c>
      <c r="Z76" s="217">
        <v>12167.20817</v>
      </c>
      <c r="AA76" s="217">
        <v>0</v>
      </c>
      <c r="AB76" s="217"/>
      <c r="AC76" s="217"/>
      <c r="AD76" s="217"/>
    </row>
    <row r="77" spans="1:30" x14ac:dyDescent="0.2">
      <c r="A77" s="232">
        <v>65</v>
      </c>
      <c r="B77" s="210">
        <f ca="1"/>
        <v>65</v>
      </c>
      <c r="C77" s="210" t="str">
        <f ca="1"/>
        <v/>
      </c>
      <c r="D77" s="210" t="str">
        <f ca="1"/>
        <v/>
      </c>
      <c r="E77" s="210" t="str">
        <f ca="1"/>
        <v/>
      </c>
      <c r="G77" s="55" t="s">
        <v>5</v>
      </c>
      <c r="H77" s="431">
        <f>Setup!F73</f>
        <v>43920</v>
      </c>
      <c r="I77" s="217">
        <v>4078.2374239999999</v>
      </c>
      <c r="J77" s="217">
        <v>2852.9432870000001</v>
      </c>
      <c r="K77" s="217">
        <v>0</v>
      </c>
      <c r="L77" s="217">
        <v>1316.8233419999999</v>
      </c>
      <c r="M77" s="217">
        <v>0</v>
      </c>
      <c r="N77" s="217">
        <v>0</v>
      </c>
      <c r="O77" s="217">
        <v>0</v>
      </c>
      <c r="P77" s="217">
        <v>0</v>
      </c>
      <c r="Q77" s="217">
        <v>0</v>
      </c>
      <c r="R77" s="217">
        <v>1002.928971</v>
      </c>
      <c r="S77" s="217">
        <v>79137.489180000004</v>
      </c>
      <c r="T77" s="217">
        <v>0</v>
      </c>
      <c r="U77" s="217">
        <v>0</v>
      </c>
      <c r="V77" s="217">
        <v>0</v>
      </c>
      <c r="W77" s="217">
        <v>0</v>
      </c>
      <c r="X77" s="217">
        <v>0</v>
      </c>
      <c r="Y77" s="217">
        <v>0</v>
      </c>
      <c r="Z77" s="217">
        <v>8522.2394160000003</v>
      </c>
      <c r="AA77" s="217">
        <v>0</v>
      </c>
      <c r="AB77" s="217"/>
      <c r="AC77" s="217"/>
      <c r="AD77" s="217"/>
    </row>
    <row r="78" spans="1:30" x14ac:dyDescent="0.2">
      <c r="A78" s="232">
        <v>66</v>
      </c>
      <c r="B78" s="210">
        <f ca="1"/>
        <v>66</v>
      </c>
      <c r="C78" s="210" t="str">
        <f ca="1"/>
        <v/>
      </c>
      <c r="D78" s="210" t="str">
        <f ca="1"/>
        <v/>
      </c>
      <c r="E78" s="210" t="str">
        <f ca="1"/>
        <v/>
      </c>
      <c r="G78" s="55" t="s">
        <v>5</v>
      </c>
      <c r="H78" s="431">
        <f>Setup!F74</f>
        <v>43927</v>
      </c>
      <c r="I78" s="217">
        <v>5037.1887260000003</v>
      </c>
      <c r="J78" s="217">
        <v>3523.7805619999999</v>
      </c>
      <c r="K78" s="217">
        <v>0</v>
      </c>
      <c r="L78" s="217">
        <v>1279.090727</v>
      </c>
      <c r="M78" s="217">
        <v>0</v>
      </c>
      <c r="N78" s="217">
        <v>0</v>
      </c>
      <c r="O78" s="217">
        <v>0</v>
      </c>
      <c r="P78" s="217">
        <v>0</v>
      </c>
      <c r="Q78" s="217">
        <v>0</v>
      </c>
      <c r="R78" s="217">
        <v>1002.928971</v>
      </c>
      <c r="S78" s="217">
        <v>0</v>
      </c>
      <c r="T78" s="217">
        <v>0</v>
      </c>
      <c r="U78" s="217">
        <v>0</v>
      </c>
      <c r="V78" s="217">
        <v>0</v>
      </c>
      <c r="W78" s="217">
        <v>0</v>
      </c>
      <c r="X78" s="217">
        <v>0</v>
      </c>
      <c r="Y78" s="217">
        <v>52852.061840000002</v>
      </c>
      <c r="Z78" s="217">
        <v>17590.40727</v>
      </c>
      <c r="AA78" s="217">
        <v>0</v>
      </c>
      <c r="AB78" s="217"/>
      <c r="AC78" s="217"/>
      <c r="AD78" s="217"/>
    </row>
    <row r="79" spans="1:30" x14ac:dyDescent="0.2">
      <c r="A79" s="232">
        <v>67</v>
      </c>
      <c r="B79" s="210">
        <f ca="1"/>
        <v>67</v>
      </c>
      <c r="C79" s="210" t="str">
        <f ca="1"/>
        <v/>
      </c>
      <c r="D79" s="210" t="str">
        <f ca="1"/>
        <v/>
      </c>
      <c r="E79" s="210" t="str">
        <f ca="1"/>
        <v/>
      </c>
      <c r="G79" s="55" t="s">
        <v>5</v>
      </c>
      <c r="H79" s="431">
        <f>Setup!F75</f>
        <v>43934</v>
      </c>
      <c r="I79" s="217">
        <v>6563.2463319999997</v>
      </c>
      <c r="J79" s="217">
        <v>4591.3387620000003</v>
      </c>
      <c r="K79" s="217">
        <v>0</v>
      </c>
      <c r="L79" s="217">
        <v>1208.205553</v>
      </c>
      <c r="M79" s="217">
        <v>0</v>
      </c>
      <c r="N79" s="217">
        <v>0</v>
      </c>
      <c r="O79" s="217">
        <v>0</v>
      </c>
      <c r="P79" s="217">
        <v>0</v>
      </c>
      <c r="Q79" s="217">
        <v>0</v>
      </c>
      <c r="R79" s="217">
        <v>1002.928971</v>
      </c>
      <c r="S79" s="217">
        <v>19883.072939999998</v>
      </c>
      <c r="T79" s="217">
        <v>0</v>
      </c>
      <c r="U79" s="217">
        <v>0</v>
      </c>
      <c r="V79" s="217">
        <v>0</v>
      </c>
      <c r="W79" s="217">
        <v>0</v>
      </c>
      <c r="X79" s="217">
        <v>0</v>
      </c>
      <c r="Y79" s="217">
        <v>59867.689659999996</v>
      </c>
      <c r="Z79" s="217">
        <v>37412.175170000002</v>
      </c>
      <c r="AA79" s="217">
        <v>0</v>
      </c>
      <c r="AB79" s="217"/>
      <c r="AC79" s="217"/>
      <c r="AD79" s="217"/>
    </row>
    <row r="80" spans="1:30" x14ac:dyDescent="0.2">
      <c r="A80" s="232">
        <v>68</v>
      </c>
      <c r="B80" s="210">
        <f ca="1"/>
        <v>68</v>
      </c>
      <c r="C80" s="210" t="str">
        <f ca="1"/>
        <v/>
      </c>
      <c r="D80" s="210" t="str">
        <f ca="1"/>
        <v/>
      </c>
      <c r="E80" s="210" t="str">
        <f ca="1"/>
        <v/>
      </c>
      <c r="G80" s="55" t="s">
        <v>5</v>
      </c>
      <c r="H80" s="431">
        <f>Setup!F76</f>
        <v>43941</v>
      </c>
      <c r="I80" s="217">
        <v>4484.7819600000003</v>
      </c>
      <c r="J80" s="217">
        <v>3137.3427430000002</v>
      </c>
      <c r="K80" s="217">
        <v>4716.6356880000003</v>
      </c>
      <c r="L80" s="217">
        <v>634.35536739999998</v>
      </c>
      <c r="M80" s="217">
        <v>0</v>
      </c>
      <c r="N80" s="217">
        <v>0</v>
      </c>
      <c r="O80" s="217">
        <v>0</v>
      </c>
      <c r="P80" s="217">
        <v>0</v>
      </c>
      <c r="Q80" s="217">
        <v>0</v>
      </c>
      <c r="R80" s="217">
        <v>1002.929144</v>
      </c>
      <c r="S80" s="217">
        <v>299678.96659999999</v>
      </c>
      <c r="T80" s="217">
        <v>0</v>
      </c>
      <c r="U80" s="217">
        <v>0</v>
      </c>
      <c r="V80" s="217">
        <v>0</v>
      </c>
      <c r="W80" s="217">
        <v>0</v>
      </c>
      <c r="X80" s="217">
        <v>0</v>
      </c>
      <c r="Y80" s="217">
        <v>44996.224170000001</v>
      </c>
      <c r="Z80" s="217">
        <v>33268.3243</v>
      </c>
      <c r="AA80" s="217">
        <v>0</v>
      </c>
      <c r="AB80" s="217"/>
      <c r="AC80" s="217"/>
      <c r="AD80" s="217"/>
    </row>
    <row r="81" spans="1:30" x14ac:dyDescent="0.2">
      <c r="A81" s="232">
        <v>69</v>
      </c>
      <c r="B81" s="210">
        <f ca="1"/>
        <v>69</v>
      </c>
      <c r="C81" s="210" t="str">
        <f ca="1"/>
        <v/>
      </c>
      <c r="D81" s="210" t="str">
        <f ca="1"/>
        <v/>
      </c>
      <c r="E81" s="210" t="str">
        <f ca="1"/>
        <v/>
      </c>
      <c r="G81" s="55" t="s">
        <v>5</v>
      </c>
      <c r="H81" s="431">
        <f>Setup!F77</f>
        <v>43948</v>
      </c>
      <c r="I81" s="217">
        <v>4689.7382230000003</v>
      </c>
      <c r="J81" s="217">
        <v>3280.720515</v>
      </c>
      <c r="K81" s="217">
        <v>11648.897440000001</v>
      </c>
      <c r="L81" s="217">
        <v>977.76708329999997</v>
      </c>
      <c r="M81" s="217">
        <v>0</v>
      </c>
      <c r="N81" s="217">
        <v>0</v>
      </c>
      <c r="O81" s="217">
        <v>0</v>
      </c>
      <c r="P81" s="217">
        <v>0</v>
      </c>
      <c r="Q81" s="217">
        <v>751.3296593</v>
      </c>
      <c r="R81" s="217">
        <v>400.67252730000001</v>
      </c>
      <c r="S81" s="217">
        <v>27096.313979999999</v>
      </c>
      <c r="T81" s="217">
        <v>0</v>
      </c>
      <c r="U81" s="217">
        <v>0</v>
      </c>
      <c r="V81" s="217">
        <v>0</v>
      </c>
      <c r="W81" s="217">
        <v>0</v>
      </c>
      <c r="X81" s="217">
        <v>0</v>
      </c>
      <c r="Y81" s="217">
        <v>27014.888009999999</v>
      </c>
      <c r="Z81" s="217">
        <v>21656.996569999999</v>
      </c>
      <c r="AA81" s="217">
        <v>0</v>
      </c>
      <c r="AB81" s="217"/>
      <c r="AC81" s="217"/>
      <c r="AD81" s="217"/>
    </row>
    <row r="82" spans="1:30" x14ac:dyDescent="0.2">
      <c r="A82" s="232">
        <v>70</v>
      </c>
      <c r="B82" s="210">
        <f ca="1"/>
        <v>70</v>
      </c>
      <c r="C82" s="210" t="str">
        <f ca="1"/>
        <v/>
      </c>
      <c r="D82" s="210" t="str">
        <f ca="1"/>
        <v/>
      </c>
      <c r="E82" s="210" t="str">
        <f ca="1"/>
        <v/>
      </c>
      <c r="G82" s="55" t="s">
        <v>5</v>
      </c>
      <c r="H82" s="431">
        <f>Setup!F78</f>
        <v>43955</v>
      </c>
      <c r="I82" s="217">
        <v>6439.757619</v>
      </c>
      <c r="J82" s="217">
        <v>4504.9518600000001</v>
      </c>
      <c r="K82" s="217">
        <v>16882.51008</v>
      </c>
      <c r="L82" s="217">
        <v>973.82999670000004</v>
      </c>
      <c r="M82" s="217">
        <v>0</v>
      </c>
      <c r="N82" s="217">
        <v>0</v>
      </c>
      <c r="O82" s="217">
        <v>0</v>
      </c>
      <c r="P82" s="217">
        <v>0</v>
      </c>
      <c r="Q82" s="217">
        <v>1395.669897</v>
      </c>
      <c r="R82" s="217">
        <v>159.76994970000001</v>
      </c>
      <c r="S82" s="217">
        <v>0</v>
      </c>
      <c r="T82" s="217">
        <v>0</v>
      </c>
      <c r="U82" s="217">
        <v>0</v>
      </c>
      <c r="V82" s="217">
        <v>0</v>
      </c>
      <c r="W82" s="217">
        <v>220344.95050000001</v>
      </c>
      <c r="X82" s="217">
        <v>0</v>
      </c>
      <c r="Y82" s="217">
        <v>15499.499760000001</v>
      </c>
      <c r="Z82" s="217">
        <v>20005.025839999998</v>
      </c>
      <c r="AA82" s="217">
        <v>0</v>
      </c>
      <c r="AB82" s="217"/>
      <c r="AC82" s="217"/>
      <c r="AD82" s="217"/>
    </row>
    <row r="83" spans="1:30" x14ac:dyDescent="0.2">
      <c r="A83" s="232">
        <v>71</v>
      </c>
      <c r="B83" s="210">
        <f ca="1"/>
        <v>71</v>
      </c>
      <c r="C83" s="210" t="str">
        <f ca="1"/>
        <v/>
      </c>
      <c r="D83" s="210" t="str">
        <f ca="1"/>
        <v/>
      </c>
      <c r="E83" s="210" t="str">
        <f ca="1"/>
        <v/>
      </c>
      <c r="G83" s="55" t="s">
        <v>5</v>
      </c>
      <c r="H83" s="431">
        <f>Setup!F79</f>
        <v>43962</v>
      </c>
      <c r="I83" s="217">
        <v>6969.6586669999997</v>
      </c>
      <c r="J83" s="217">
        <v>4875.6457360000004</v>
      </c>
      <c r="K83" s="217">
        <v>16385.54249</v>
      </c>
      <c r="L83" s="217">
        <v>762.84355300000004</v>
      </c>
      <c r="M83" s="217">
        <v>0</v>
      </c>
      <c r="N83" s="217">
        <v>0</v>
      </c>
      <c r="O83" s="217">
        <v>0</v>
      </c>
      <c r="P83" s="217">
        <v>0</v>
      </c>
      <c r="Q83" s="217">
        <v>1337.0862420000001</v>
      </c>
      <c r="R83" s="217">
        <v>159.76994970000001</v>
      </c>
      <c r="S83" s="217">
        <v>0</v>
      </c>
      <c r="T83" s="217">
        <v>0</v>
      </c>
      <c r="U83" s="217">
        <v>0</v>
      </c>
      <c r="V83" s="217">
        <v>0</v>
      </c>
      <c r="W83" s="217">
        <v>220344.95050000001</v>
      </c>
      <c r="X83" s="217">
        <v>0</v>
      </c>
      <c r="Y83" s="217">
        <v>10919.510700000001</v>
      </c>
      <c r="Z83" s="217">
        <v>18207.295109999999</v>
      </c>
      <c r="AA83" s="217">
        <v>0</v>
      </c>
      <c r="AB83" s="217"/>
      <c r="AC83" s="217"/>
      <c r="AD83" s="217"/>
    </row>
    <row r="84" spans="1:30" x14ac:dyDescent="0.2">
      <c r="A84" s="232">
        <v>72</v>
      </c>
      <c r="B84" s="210">
        <f ca="1"/>
        <v>72</v>
      </c>
      <c r="C84" s="210" t="str">
        <f ca="1"/>
        <v/>
      </c>
      <c r="D84" s="210" t="str">
        <f ca="1"/>
        <v/>
      </c>
      <c r="E84" s="210" t="str">
        <f ca="1"/>
        <v/>
      </c>
      <c r="G84" s="55" t="s">
        <v>5</v>
      </c>
      <c r="H84" s="431">
        <f>Setup!F80</f>
        <v>43969</v>
      </c>
      <c r="I84" s="217">
        <v>7018.088452</v>
      </c>
      <c r="J84" s="217">
        <v>4909.5249379999996</v>
      </c>
      <c r="K84" s="217">
        <v>14476.82734</v>
      </c>
      <c r="L84" s="217">
        <v>752.45034910000004</v>
      </c>
      <c r="M84" s="217">
        <v>0</v>
      </c>
      <c r="N84" s="217">
        <v>0</v>
      </c>
      <c r="O84" s="217">
        <v>0</v>
      </c>
      <c r="P84" s="217">
        <v>0</v>
      </c>
      <c r="Q84" s="217">
        <v>6956.752504</v>
      </c>
      <c r="R84" s="217">
        <v>159.76942869999999</v>
      </c>
      <c r="S84" s="217">
        <v>107493.7243</v>
      </c>
      <c r="T84" s="217">
        <v>0</v>
      </c>
      <c r="U84" s="217">
        <v>0</v>
      </c>
      <c r="V84" s="217">
        <v>0</v>
      </c>
      <c r="W84" s="217">
        <v>0</v>
      </c>
      <c r="X84" s="217">
        <v>0</v>
      </c>
      <c r="Y84" s="217">
        <v>9381.3353879999995</v>
      </c>
      <c r="Z84" s="217">
        <v>9075.5327739999993</v>
      </c>
      <c r="AA84" s="217">
        <v>0</v>
      </c>
      <c r="AB84" s="217"/>
      <c r="AC84" s="217"/>
      <c r="AD84" s="217"/>
    </row>
    <row r="85" spans="1:30" x14ac:dyDescent="0.2">
      <c r="A85" s="232">
        <v>73</v>
      </c>
      <c r="B85" s="210">
        <f ca="1"/>
        <v>73</v>
      </c>
      <c r="C85" s="210" t="str">
        <f ca="1"/>
        <v/>
      </c>
      <c r="D85" s="210" t="str">
        <f ca="1"/>
        <v/>
      </c>
      <c r="E85" s="210" t="str">
        <f ca="1"/>
        <v/>
      </c>
      <c r="G85" s="55" t="s">
        <v>5</v>
      </c>
      <c r="H85" s="431">
        <f>Setup!F81</f>
        <v>43976</v>
      </c>
      <c r="I85" s="217">
        <v>7864.6622550000002</v>
      </c>
      <c r="J85" s="217">
        <v>5501.7481950000001</v>
      </c>
      <c r="K85" s="217">
        <v>11982.890460000001</v>
      </c>
      <c r="L85" s="217">
        <v>2282.8188009999999</v>
      </c>
      <c r="M85" s="217">
        <v>0</v>
      </c>
      <c r="N85" s="217">
        <v>0</v>
      </c>
      <c r="O85" s="217">
        <v>0</v>
      </c>
      <c r="P85" s="217">
        <v>0</v>
      </c>
      <c r="Q85" s="217">
        <v>8062.8103419999998</v>
      </c>
      <c r="R85" s="217">
        <v>159.76925449999999</v>
      </c>
      <c r="S85" s="217">
        <v>0</v>
      </c>
      <c r="T85" s="217">
        <v>0</v>
      </c>
      <c r="U85" s="217">
        <v>0</v>
      </c>
      <c r="V85" s="217">
        <v>0</v>
      </c>
      <c r="W85" s="217">
        <v>0</v>
      </c>
      <c r="X85" s="217">
        <v>0</v>
      </c>
      <c r="Y85" s="217">
        <v>6876.921045</v>
      </c>
      <c r="Z85" s="217">
        <v>8405.9921219999997</v>
      </c>
      <c r="AA85" s="217">
        <v>0</v>
      </c>
      <c r="AB85" s="217"/>
      <c r="AC85" s="217"/>
      <c r="AD85" s="217"/>
    </row>
    <row r="86" spans="1:30" x14ac:dyDescent="0.2">
      <c r="A86" s="232">
        <v>74</v>
      </c>
      <c r="B86" s="210">
        <f ca="1"/>
        <v>74</v>
      </c>
      <c r="C86" s="210" t="str">
        <f ca="1"/>
        <v/>
      </c>
      <c r="D86" s="210" t="str">
        <f ca="1"/>
        <v/>
      </c>
      <c r="E86" s="210" t="str">
        <f ca="1"/>
        <v/>
      </c>
      <c r="G86" s="55" t="s">
        <v>5</v>
      </c>
      <c r="H86" s="431">
        <f>Setup!F82</f>
        <v>43983</v>
      </c>
      <c r="I86" s="217">
        <v>7256.6175789999998</v>
      </c>
      <c r="J86" s="217">
        <v>5076.3887080000004</v>
      </c>
      <c r="K86" s="217">
        <v>11384.660250000001</v>
      </c>
      <c r="L86" s="217">
        <v>3638.1850749999999</v>
      </c>
      <c r="M86" s="217">
        <v>0</v>
      </c>
      <c r="N86" s="217">
        <v>0</v>
      </c>
      <c r="O86" s="217">
        <v>0</v>
      </c>
      <c r="P86" s="217">
        <v>0</v>
      </c>
      <c r="Q86" s="217">
        <v>0</v>
      </c>
      <c r="R86" s="217">
        <v>159.76890539999999</v>
      </c>
      <c r="S86" s="217">
        <v>0</v>
      </c>
      <c r="T86" s="217">
        <v>0</v>
      </c>
      <c r="U86" s="217">
        <v>0</v>
      </c>
      <c r="V86" s="217">
        <v>0</v>
      </c>
      <c r="W86" s="217">
        <v>0</v>
      </c>
      <c r="X86" s="217">
        <v>0</v>
      </c>
      <c r="Y86" s="217">
        <v>8075.2811309999997</v>
      </c>
      <c r="Z86" s="217">
        <v>10202.03515</v>
      </c>
      <c r="AA86" s="217">
        <v>0</v>
      </c>
      <c r="AB86" s="217"/>
      <c r="AC86" s="217"/>
      <c r="AD86" s="217"/>
    </row>
    <row r="87" spans="1:30" x14ac:dyDescent="0.2">
      <c r="A87" s="232">
        <v>75</v>
      </c>
      <c r="B87" s="210">
        <f ca="1"/>
        <v>75</v>
      </c>
      <c r="C87" s="210" t="str">
        <f ca="1"/>
        <v/>
      </c>
      <c r="D87" s="210" t="str">
        <f ca="1"/>
        <v/>
      </c>
      <c r="E87" s="210" t="str">
        <f ca="1"/>
        <v/>
      </c>
      <c r="G87" s="55" t="s">
        <v>5</v>
      </c>
      <c r="H87" s="431">
        <f>Setup!F83</f>
        <v>43990</v>
      </c>
      <c r="I87" s="217">
        <v>8397.9124059999995</v>
      </c>
      <c r="J87" s="217">
        <v>5874.7849459999998</v>
      </c>
      <c r="K87" s="217">
        <v>8555.8186330000008</v>
      </c>
      <c r="L87" s="217">
        <v>5265.5230000000001</v>
      </c>
      <c r="M87" s="217">
        <v>0</v>
      </c>
      <c r="N87" s="217">
        <v>5296.7650549999998</v>
      </c>
      <c r="O87" s="217">
        <v>23762.544040000001</v>
      </c>
      <c r="P87" s="217">
        <v>0</v>
      </c>
      <c r="Q87" s="217">
        <v>0</v>
      </c>
      <c r="R87" s="217">
        <v>45.64820872</v>
      </c>
      <c r="S87" s="217">
        <v>0</v>
      </c>
      <c r="T87" s="217">
        <v>0</v>
      </c>
      <c r="U87" s="217">
        <v>0</v>
      </c>
      <c r="V87" s="217">
        <v>0</v>
      </c>
      <c r="W87" s="217">
        <v>0</v>
      </c>
      <c r="X87" s="217">
        <v>0</v>
      </c>
      <c r="Y87" s="217">
        <v>9350.7109670000009</v>
      </c>
      <c r="Z87" s="217">
        <v>14917.125410000001</v>
      </c>
      <c r="AA87" s="217">
        <v>0</v>
      </c>
      <c r="AB87" s="217"/>
      <c r="AC87" s="217"/>
      <c r="AD87" s="217"/>
    </row>
    <row r="88" spans="1:30" x14ac:dyDescent="0.2">
      <c r="A88" s="232">
        <v>76</v>
      </c>
      <c r="B88" s="210">
        <f ca="1"/>
        <v>76</v>
      </c>
      <c r="C88" s="210" t="str">
        <f ca="1"/>
        <v/>
      </c>
      <c r="D88" s="210" t="str">
        <f ca="1"/>
        <v/>
      </c>
      <c r="E88" s="210" t="str">
        <f ca="1"/>
        <v/>
      </c>
      <c r="G88" s="55" t="s">
        <v>5</v>
      </c>
      <c r="H88" s="431">
        <f>Setup!F84</f>
        <v>43997</v>
      </c>
      <c r="I88" s="217">
        <v>14037.022269999999</v>
      </c>
      <c r="J88" s="217">
        <v>9819.6412550000005</v>
      </c>
      <c r="K88" s="217">
        <v>7242.0044010000001</v>
      </c>
      <c r="L88" s="217">
        <v>8295.7981280000004</v>
      </c>
      <c r="M88" s="217">
        <v>0</v>
      </c>
      <c r="N88" s="217">
        <v>5296.7650549999998</v>
      </c>
      <c r="O88" s="217">
        <v>23762.544040000001</v>
      </c>
      <c r="P88" s="217">
        <v>0</v>
      </c>
      <c r="Q88" s="217">
        <v>0</v>
      </c>
      <c r="R88" s="217">
        <v>0</v>
      </c>
      <c r="S88" s="217">
        <v>0</v>
      </c>
      <c r="T88" s="217">
        <v>0</v>
      </c>
      <c r="U88" s="217">
        <v>0</v>
      </c>
      <c r="V88" s="217">
        <v>0</v>
      </c>
      <c r="W88" s="217">
        <v>0</v>
      </c>
      <c r="X88" s="217">
        <v>0</v>
      </c>
      <c r="Y88" s="217">
        <v>55578.896639999999</v>
      </c>
      <c r="Z88" s="217">
        <v>20349.833490000001</v>
      </c>
      <c r="AA88" s="217">
        <v>0</v>
      </c>
      <c r="AB88" s="217"/>
      <c r="AC88" s="217"/>
      <c r="AD88" s="217"/>
    </row>
    <row r="89" spans="1:30" x14ac:dyDescent="0.2">
      <c r="A89" s="232">
        <v>77</v>
      </c>
      <c r="B89" s="210">
        <f ca="1"/>
        <v>77</v>
      </c>
      <c r="C89" s="210" t="str">
        <f ca="1"/>
        <v/>
      </c>
      <c r="D89" s="210" t="str">
        <f ca="1"/>
        <v/>
      </c>
      <c r="E89" s="210" t="str">
        <f ca="1"/>
        <v/>
      </c>
      <c r="G89" s="55" t="s">
        <v>5</v>
      </c>
      <c r="H89" s="431">
        <f>Setup!F85</f>
        <v>44004</v>
      </c>
      <c r="I89" s="217">
        <v>19674.579010000001</v>
      </c>
      <c r="J89" s="217">
        <v>13763.41107</v>
      </c>
      <c r="K89" s="217">
        <v>14390.416859999999</v>
      </c>
      <c r="L89" s="217">
        <v>1539.6078339999999</v>
      </c>
      <c r="M89" s="217">
        <v>0</v>
      </c>
      <c r="N89" s="217">
        <v>0</v>
      </c>
      <c r="O89" s="217">
        <v>0</v>
      </c>
      <c r="P89" s="217">
        <v>0</v>
      </c>
      <c r="Q89" s="217">
        <v>0</v>
      </c>
      <c r="R89" s="217">
        <v>0</v>
      </c>
      <c r="S89" s="217">
        <v>0</v>
      </c>
      <c r="T89" s="217">
        <v>0</v>
      </c>
      <c r="U89" s="217">
        <v>0</v>
      </c>
      <c r="V89" s="217">
        <v>0</v>
      </c>
      <c r="W89" s="217">
        <v>0</v>
      </c>
      <c r="X89" s="217">
        <v>0</v>
      </c>
      <c r="Y89" s="217">
        <v>58938.778839999999</v>
      </c>
      <c r="Z89" s="217">
        <v>29359.01917</v>
      </c>
      <c r="AA89" s="217">
        <v>0</v>
      </c>
      <c r="AB89" s="217"/>
      <c r="AC89" s="217"/>
      <c r="AD89" s="217"/>
    </row>
    <row r="90" spans="1:30" x14ac:dyDescent="0.2">
      <c r="A90" s="232">
        <v>78</v>
      </c>
      <c r="B90" s="210">
        <f ca="1"/>
        <v>78</v>
      </c>
      <c r="C90" s="210" t="str">
        <f ca="1"/>
        <v/>
      </c>
      <c r="D90" s="210" t="str">
        <f ca="1"/>
        <v/>
      </c>
      <c r="E90" s="210" t="str">
        <f ca="1"/>
        <v/>
      </c>
      <c r="G90" s="55" t="s">
        <v>5</v>
      </c>
      <c r="H90" s="431">
        <f>Setup!F86</f>
        <v>44011</v>
      </c>
      <c r="I90" s="217">
        <v>13157.097900000001</v>
      </c>
      <c r="J90" s="217">
        <v>9204.0875059999998</v>
      </c>
      <c r="K90" s="217">
        <v>7471.1978840000002</v>
      </c>
      <c r="L90" s="217">
        <v>4176.5838659999999</v>
      </c>
      <c r="M90" s="217">
        <v>0</v>
      </c>
      <c r="N90" s="217">
        <v>0</v>
      </c>
      <c r="O90" s="217">
        <v>0</v>
      </c>
      <c r="P90" s="217">
        <v>0</v>
      </c>
      <c r="Q90" s="217">
        <v>0</v>
      </c>
      <c r="R90" s="217">
        <v>0</v>
      </c>
      <c r="S90" s="217">
        <v>0</v>
      </c>
      <c r="T90" s="217">
        <v>0</v>
      </c>
      <c r="U90" s="217">
        <v>0</v>
      </c>
      <c r="V90" s="217">
        <v>0</v>
      </c>
      <c r="W90" s="217">
        <v>0</v>
      </c>
      <c r="X90" s="217">
        <v>0</v>
      </c>
      <c r="Y90" s="217">
        <v>28296.635920000001</v>
      </c>
      <c r="Z90" s="217">
        <v>17111.53499</v>
      </c>
      <c r="AA90" s="217">
        <v>0</v>
      </c>
      <c r="AB90" s="217"/>
      <c r="AC90" s="217"/>
      <c r="AD90" s="217"/>
    </row>
    <row r="91" spans="1:30" x14ac:dyDescent="0.2">
      <c r="A91" s="232">
        <v>79</v>
      </c>
      <c r="B91" s="210">
        <f ca="1"/>
        <v>79</v>
      </c>
      <c r="C91" s="210" t="str">
        <f ca="1"/>
        <v/>
      </c>
      <c r="D91" s="210" t="str">
        <f ca="1"/>
        <v/>
      </c>
      <c r="E91" s="210" t="str">
        <f ca="1"/>
        <v/>
      </c>
      <c r="G91" s="55" t="s">
        <v>5</v>
      </c>
      <c r="H91" s="431">
        <f>Setup!F87</f>
        <v>44018</v>
      </c>
      <c r="I91" s="217">
        <v>5728.4581269999999</v>
      </c>
      <c r="J91" s="217">
        <v>4007.3601560000002</v>
      </c>
      <c r="K91" s="217">
        <v>6300.6967249999998</v>
      </c>
      <c r="L91" s="217">
        <v>12500.15739</v>
      </c>
      <c r="M91" s="217">
        <v>0</v>
      </c>
      <c r="N91" s="217">
        <v>0</v>
      </c>
      <c r="O91" s="217">
        <v>0</v>
      </c>
      <c r="P91" s="217">
        <v>0</v>
      </c>
      <c r="Q91" s="217">
        <v>0</v>
      </c>
      <c r="R91" s="217">
        <v>0</v>
      </c>
      <c r="S91" s="217">
        <v>0</v>
      </c>
      <c r="T91" s="217">
        <v>0</v>
      </c>
      <c r="U91" s="217">
        <v>0</v>
      </c>
      <c r="V91" s="217">
        <v>0</v>
      </c>
      <c r="W91" s="217">
        <v>0</v>
      </c>
      <c r="X91" s="217">
        <v>0</v>
      </c>
      <c r="Y91" s="217">
        <v>15535.43785</v>
      </c>
      <c r="Z91" s="217">
        <v>6121.4689289999997</v>
      </c>
      <c r="AA91" s="217">
        <v>0</v>
      </c>
      <c r="AB91" s="217"/>
      <c r="AC91" s="217"/>
      <c r="AD91" s="217"/>
    </row>
    <row r="92" spans="1:30" x14ac:dyDescent="0.2">
      <c r="A92" s="232">
        <v>80</v>
      </c>
      <c r="B92" s="210">
        <f ca="1"/>
        <v>80</v>
      </c>
      <c r="C92" s="210" t="str">
        <f ca="1"/>
        <v/>
      </c>
      <c r="D92" s="210" t="str">
        <f ca="1"/>
        <v/>
      </c>
      <c r="E92" s="210" t="str">
        <f ca="1"/>
        <v/>
      </c>
      <c r="G92" s="55" t="s">
        <v>5</v>
      </c>
      <c r="H92" s="431">
        <f>Setup!F88</f>
        <v>44025</v>
      </c>
      <c r="I92" s="217">
        <v>2406.7943829999999</v>
      </c>
      <c r="J92" s="217">
        <v>1683.6802680000001</v>
      </c>
      <c r="K92" s="217">
        <v>7787.8385470000003</v>
      </c>
      <c r="L92" s="217">
        <v>13274.68449</v>
      </c>
      <c r="M92" s="217">
        <v>0</v>
      </c>
      <c r="N92" s="217">
        <v>0</v>
      </c>
      <c r="O92" s="217">
        <v>0</v>
      </c>
      <c r="P92" s="217">
        <v>0</v>
      </c>
      <c r="Q92" s="217">
        <v>0</v>
      </c>
      <c r="R92" s="217">
        <v>0</v>
      </c>
      <c r="S92" s="217">
        <v>0</v>
      </c>
      <c r="T92" s="217">
        <v>0</v>
      </c>
      <c r="U92" s="217">
        <v>0</v>
      </c>
      <c r="V92" s="217">
        <v>0</v>
      </c>
      <c r="W92" s="217">
        <v>0</v>
      </c>
      <c r="X92" s="217">
        <v>0</v>
      </c>
      <c r="Y92" s="217">
        <v>15462.93943</v>
      </c>
      <c r="Z92" s="217">
        <v>1170.9194500000001</v>
      </c>
      <c r="AA92" s="217">
        <v>0</v>
      </c>
      <c r="AB92" s="217"/>
      <c r="AC92" s="217"/>
      <c r="AD92" s="217"/>
    </row>
    <row r="93" spans="1:30" x14ac:dyDescent="0.2">
      <c r="A93" s="232">
        <v>81</v>
      </c>
      <c r="B93" s="210">
        <f ca="1"/>
        <v>81</v>
      </c>
      <c r="C93" s="210" t="str">
        <f ca="1"/>
        <v/>
      </c>
      <c r="D93" s="210" t="str">
        <f ca="1"/>
        <v/>
      </c>
      <c r="E93" s="210" t="str">
        <f ca="1"/>
        <v/>
      </c>
      <c r="G93" s="55" t="s">
        <v>5</v>
      </c>
      <c r="H93" s="431">
        <f>Setup!F89</f>
        <v>44032</v>
      </c>
      <c r="I93" s="217">
        <v>2017.104437</v>
      </c>
      <c r="J93" s="217">
        <v>1411.0714909999999</v>
      </c>
      <c r="K93" s="217">
        <v>14408.92676</v>
      </c>
      <c r="L93" s="217">
        <v>11526.67971</v>
      </c>
      <c r="M93" s="217">
        <v>0</v>
      </c>
      <c r="N93" s="217">
        <v>0</v>
      </c>
      <c r="O93" s="217">
        <v>0</v>
      </c>
      <c r="P93" s="217">
        <v>0</v>
      </c>
      <c r="Q93" s="217">
        <v>0</v>
      </c>
      <c r="R93" s="217">
        <v>0</v>
      </c>
      <c r="S93" s="217">
        <v>49267.284449999999</v>
      </c>
      <c r="T93" s="217">
        <v>0</v>
      </c>
      <c r="U93" s="217">
        <v>1554.5977829999999</v>
      </c>
      <c r="V93" s="217">
        <v>0</v>
      </c>
      <c r="W93" s="217">
        <v>0</v>
      </c>
      <c r="X93" s="217">
        <v>0</v>
      </c>
      <c r="Y93" s="217">
        <v>43452.118990000003</v>
      </c>
      <c r="Z93" s="217">
        <v>5976.9146840000003</v>
      </c>
      <c r="AA93" s="217">
        <v>0</v>
      </c>
      <c r="AB93" s="217"/>
      <c r="AC93" s="217"/>
      <c r="AD93" s="217"/>
    </row>
    <row r="94" spans="1:30" x14ac:dyDescent="0.2">
      <c r="A94" s="232">
        <v>82</v>
      </c>
      <c r="B94" s="210">
        <f ca="1"/>
        <v>82</v>
      </c>
      <c r="C94" s="210" t="str">
        <f ca="1"/>
        <v/>
      </c>
      <c r="D94" s="210" t="str">
        <f ca="1"/>
        <v/>
      </c>
      <c r="E94" s="210" t="str">
        <f ca="1"/>
        <v/>
      </c>
      <c r="G94" s="55" t="s">
        <v>5</v>
      </c>
      <c r="H94" s="431">
        <f>Setup!F90</f>
        <v>44039</v>
      </c>
      <c r="I94" s="217">
        <v>3090.8171910000001</v>
      </c>
      <c r="J94" s="217">
        <v>2162.190486</v>
      </c>
      <c r="K94" s="217">
        <v>13939.36141</v>
      </c>
      <c r="L94" s="217">
        <v>5155.544406</v>
      </c>
      <c r="M94" s="217">
        <v>1710.5082179999999</v>
      </c>
      <c r="N94" s="217">
        <v>0</v>
      </c>
      <c r="O94" s="217">
        <v>0</v>
      </c>
      <c r="P94" s="217">
        <v>0</v>
      </c>
      <c r="Q94" s="217">
        <v>0</v>
      </c>
      <c r="R94" s="217">
        <v>0</v>
      </c>
      <c r="S94" s="217">
        <v>0</v>
      </c>
      <c r="T94" s="217">
        <v>0</v>
      </c>
      <c r="U94" s="217">
        <v>4402.2256960000004</v>
      </c>
      <c r="V94" s="217">
        <v>0</v>
      </c>
      <c r="W94" s="217">
        <v>0</v>
      </c>
      <c r="X94" s="217">
        <v>0</v>
      </c>
      <c r="Y94" s="217">
        <v>62524.420619999997</v>
      </c>
      <c r="Z94" s="217">
        <v>15273.50382</v>
      </c>
      <c r="AA94" s="217">
        <v>0</v>
      </c>
      <c r="AB94" s="217"/>
      <c r="AC94" s="217"/>
      <c r="AD94" s="217"/>
    </row>
    <row r="95" spans="1:30" x14ac:dyDescent="0.2">
      <c r="A95" s="232">
        <v>83</v>
      </c>
      <c r="B95" s="210">
        <f ca="1"/>
        <v>83</v>
      </c>
      <c r="C95" s="210">
        <f ca="1"/>
        <v>83</v>
      </c>
      <c r="D95" s="210" t="str">
        <f ca="1"/>
        <v/>
      </c>
      <c r="E95" s="210" t="str">
        <f ca="1"/>
        <v/>
      </c>
      <c r="G95" s="55" t="s">
        <v>5</v>
      </c>
      <c r="H95" s="431">
        <f>Setup!F91</f>
        <v>44046</v>
      </c>
      <c r="I95" s="217">
        <v>8016.4235760000001</v>
      </c>
      <c r="J95" s="217">
        <v>5607.9132849999996</v>
      </c>
      <c r="K95" s="217">
        <v>19421.96933</v>
      </c>
      <c r="L95" s="217">
        <v>11166.387839999999</v>
      </c>
      <c r="M95" s="217">
        <v>2131.2665099999999</v>
      </c>
      <c r="N95" s="217">
        <v>0</v>
      </c>
      <c r="O95" s="217">
        <v>147090.57269999999</v>
      </c>
      <c r="P95" s="217">
        <v>0</v>
      </c>
      <c r="Q95" s="217">
        <v>0</v>
      </c>
      <c r="R95" s="217">
        <v>0</v>
      </c>
      <c r="S95" s="217">
        <v>0</v>
      </c>
      <c r="T95" s="217">
        <v>0</v>
      </c>
      <c r="U95" s="217">
        <v>7159.1583659999997</v>
      </c>
      <c r="V95" s="217">
        <v>0</v>
      </c>
      <c r="W95" s="217">
        <v>0</v>
      </c>
      <c r="X95" s="217">
        <v>0</v>
      </c>
      <c r="Y95" s="217">
        <v>224059.495</v>
      </c>
      <c r="Z95" s="217">
        <v>24709.953300000001</v>
      </c>
      <c r="AA95" s="217">
        <v>26250</v>
      </c>
      <c r="AB95" s="217"/>
      <c r="AC95" s="217"/>
      <c r="AD95" s="217"/>
    </row>
    <row r="96" spans="1:30" x14ac:dyDescent="0.2">
      <c r="A96" s="232">
        <v>84</v>
      </c>
      <c r="B96" s="210">
        <f ca="1"/>
        <v>84</v>
      </c>
      <c r="C96" s="210">
        <f ca="1"/>
        <v>84</v>
      </c>
      <c r="D96" s="210" t="str">
        <f ca="1"/>
        <v/>
      </c>
      <c r="E96" s="210" t="str">
        <f ca="1"/>
        <v/>
      </c>
      <c r="G96" s="55" t="s">
        <v>5</v>
      </c>
      <c r="H96" s="431">
        <f>Setup!F92</f>
        <v>44053</v>
      </c>
      <c r="I96" s="217">
        <v>9597.1979819999997</v>
      </c>
      <c r="J96" s="217">
        <v>6713.7487870000004</v>
      </c>
      <c r="K96" s="217">
        <v>28691.57518</v>
      </c>
      <c r="L96" s="217">
        <v>13657.299720000001</v>
      </c>
      <c r="M96" s="217">
        <v>4885.8742339999999</v>
      </c>
      <c r="N96" s="217">
        <v>0</v>
      </c>
      <c r="O96" s="217">
        <v>147090.57269999999</v>
      </c>
      <c r="P96" s="217">
        <v>0</v>
      </c>
      <c r="Q96" s="217">
        <v>0</v>
      </c>
      <c r="R96" s="217">
        <v>0</v>
      </c>
      <c r="S96" s="217">
        <v>0</v>
      </c>
      <c r="T96" s="217">
        <v>0</v>
      </c>
      <c r="U96" s="217">
        <v>0</v>
      </c>
      <c r="V96" s="217">
        <v>0</v>
      </c>
      <c r="W96" s="217">
        <v>0</v>
      </c>
      <c r="X96" s="217">
        <v>0</v>
      </c>
      <c r="Y96" s="217">
        <v>293285.13569999998</v>
      </c>
      <c r="Z96" s="217">
        <v>34967.095659999999</v>
      </c>
      <c r="AA96" s="217">
        <v>26250</v>
      </c>
      <c r="AB96" s="217"/>
      <c r="AC96" s="217"/>
      <c r="AD96" s="217"/>
    </row>
    <row r="97" spans="1:30" x14ac:dyDescent="0.2">
      <c r="A97" s="232">
        <v>85</v>
      </c>
      <c r="B97" s="210">
        <f ca="1"/>
        <v>85</v>
      </c>
      <c r="C97" s="210">
        <f ca="1"/>
        <v>85</v>
      </c>
      <c r="D97" s="210" t="str">
        <f ca="1"/>
        <v/>
      </c>
      <c r="E97" s="210" t="str">
        <f ca="1"/>
        <v/>
      </c>
      <c r="G97" s="55" t="s">
        <v>5</v>
      </c>
      <c r="H97" s="431">
        <f>Setup!F93</f>
        <v>44060</v>
      </c>
      <c r="I97" s="217">
        <v>12859.980949999999</v>
      </c>
      <c r="J97" s="217">
        <v>8996.2384529999999</v>
      </c>
      <c r="K97" s="217">
        <v>33088.296629999997</v>
      </c>
      <c r="L97" s="217">
        <v>12773.613160000001</v>
      </c>
      <c r="M97" s="217">
        <v>4702.9741029999996</v>
      </c>
      <c r="N97" s="217">
        <v>0</v>
      </c>
      <c r="O97" s="217">
        <v>0</v>
      </c>
      <c r="P97" s="217">
        <v>0</v>
      </c>
      <c r="Q97" s="217">
        <v>0</v>
      </c>
      <c r="R97" s="217">
        <v>0</v>
      </c>
      <c r="S97" s="217">
        <v>276406.63829999999</v>
      </c>
      <c r="T97" s="217">
        <v>0</v>
      </c>
      <c r="U97" s="217">
        <v>0</v>
      </c>
      <c r="V97" s="217">
        <v>0</v>
      </c>
      <c r="W97" s="217">
        <v>0</v>
      </c>
      <c r="X97" s="217">
        <v>0</v>
      </c>
      <c r="Y97" s="217">
        <v>129347.6369</v>
      </c>
      <c r="Z97" s="217">
        <v>40540.632819999999</v>
      </c>
      <c r="AA97" s="217">
        <v>26250</v>
      </c>
      <c r="AB97" s="217"/>
      <c r="AC97" s="217"/>
      <c r="AD97" s="217"/>
    </row>
    <row r="98" spans="1:30" x14ac:dyDescent="0.2">
      <c r="A98" s="232">
        <v>86</v>
      </c>
      <c r="B98" s="210">
        <f ca="1"/>
        <v>86</v>
      </c>
      <c r="C98" s="210">
        <f ca="1"/>
        <v>86</v>
      </c>
      <c r="D98" s="210" t="str">
        <f ca="1"/>
        <v/>
      </c>
      <c r="E98" s="210" t="str">
        <f ca="1"/>
        <v/>
      </c>
      <c r="G98" s="55" t="s">
        <v>5</v>
      </c>
      <c r="H98" s="431">
        <f>Setup!F94</f>
        <v>44067</v>
      </c>
      <c r="I98" s="217">
        <v>26639.805850000001</v>
      </c>
      <c r="J98" s="217">
        <v>18635.95651</v>
      </c>
      <c r="K98" s="217">
        <v>31950.00506</v>
      </c>
      <c r="L98" s="217">
        <v>8467.5634379999992</v>
      </c>
      <c r="M98" s="217">
        <v>5611.941699</v>
      </c>
      <c r="N98" s="217">
        <v>0</v>
      </c>
      <c r="O98" s="217">
        <v>0</v>
      </c>
      <c r="P98" s="217">
        <v>0</v>
      </c>
      <c r="Q98" s="217">
        <v>0</v>
      </c>
      <c r="R98" s="217">
        <v>0</v>
      </c>
      <c r="S98" s="217">
        <v>0</v>
      </c>
      <c r="T98" s="217">
        <v>0</v>
      </c>
      <c r="U98" s="217">
        <v>0</v>
      </c>
      <c r="V98" s="217">
        <v>0</v>
      </c>
      <c r="W98" s="217">
        <v>0</v>
      </c>
      <c r="X98" s="217">
        <v>0</v>
      </c>
      <c r="Y98" s="217">
        <v>135847.83119999999</v>
      </c>
      <c r="Z98" s="217">
        <v>40451.007550000002</v>
      </c>
      <c r="AA98" s="217">
        <v>26250</v>
      </c>
      <c r="AB98" s="217"/>
      <c r="AC98" s="217"/>
      <c r="AD98" s="217"/>
    </row>
    <row r="99" spans="1:30" x14ac:dyDescent="0.2">
      <c r="A99" s="232">
        <v>87</v>
      </c>
      <c r="B99" s="210">
        <f ca="1"/>
        <v>87</v>
      </c>
      <c r="C99" s="210">
        <f ca="1"/>
        <v>87</v>
      </c>
      <c r="D99" s="210" t="str">
        <f ca="1"/>
        <v/>
      </c>
      <c r="E99" s="210" t="str">
        <f ca="1"/>
        <v/>
      </c>
      <c r="G99" s="55" t="s">
        <v>5</v>
      </c>
      <c r="H99" s="431">
        <f>Setup!F95</f>
        <v>44074</v>
      </c>
      <c r="I99" s="217">
        <v>12188.917170000001</v>
      </c>
      <c r="J99" s="217">
        <v>8526.7937610000008</v>
      </c>
      <c r="K99" s="217">
        <v>28279.404839999999</v>
      </c>
      <c r="L99" s="217">
        <v>10665.091909999999</v>
      </c>
      <c r="M99" s="217">
        <v>6124.6534220000003</v>
      </c>
      <c r="N99" s="217">
        <v>0</v>
      </c>
      <c r="O99" s="217">
        <v>0</v>
      </c>
      <c r="P99" s="217">
        <v>0</v>
      </c>
      <c r="Q99" s="217">
        <v>0</v>
      </c>
      <c r="R99" s="217">
        <v>0</v>
      </c>
      <c r="S99" s="217">
        <v>49267.284449999999</v>
      </c>
      <c r="T99" s="217">
        <v>0</v>
      </c>
      <c r="U99" s="217">
        <v>0</v>
      </c>
      <c r="V99" s="217">
        <v>0</v>
      </c>
      <c r="W99" s="217">
        <v>0</v>
      </c>
      <c r="X99" s="217">
        <v>0</v>
      </c>
      <c r="Y99" s="217">
        <v>58180.777009999998</v>
      </c>
      <c r="Z99" s="217">
        <v>40243.332690000003</v>
      </c>
      <c r="AA99" s="217">
        <v>0</v>
      </c>
      <c r="AB99" s="217"/>
      <c r="AC99" s="217"/>
      <c r="AD99" s="217"/>
    </row>
    <row r="100" spans="1:30" x14ac:dyDescent="0.2">
      <c r="A100" s="232">
        <v>88</v>
      </c>
      <c r="B100" s="210">
        <f ca="1"/>
        <v>88</v>
      </c>
      <c r="C100" s="210">
        <f ca="1"/>
        <v>88</v>
      </c>
      <c r="D100" s="210" t="str">
        <f ca="1"/>
        <v/>
      </c>
      <c r="E100" s="210" t="str">
        <f ca="1"/>
        <v/>
      </c>
      <c r="G100" s="55" t="s">
        <v>5</v>
      </c>
      <c r="H100" s="431">
        <f>Setup!F96</f>
        <v>44081</v>
      </c>
      <c r="I100" s="217">
        <v>6295.2311719999998</v>
      </c>
      <c r="J100" s="217">
        <v>4403.8479479999996</v>
      </c>
      <c r="K100" s="217">
        <v>34102.463080000001</v>
      </c>
      <c r="L100" s="217">
        <v>10899.98712</v>
      </c>
      <c r="M100" s="217">
        <v>9212.2118379999993</v>
      </c>
      <c r="N100" s="217">
        <v>0</v>
      </c>
      <c r="O100" s="217">
        <v>50206.24884</v>
      </c>
      <c r="P100" s="217">
        <v>0</v>
      </c>
      <c r="Q100" s="217">
        <v>0</v>
      </c>
      <c r="R100" s="217">
        <v>0</v>
      </c>
      <c r="S100" s="217">
        <v>0</v>
      </c>
      <c r="T100" s="217">
        <v>0</v>
      </c>
      <c r="U100" s="217">
        <v>0</v>
      </c>
      <c r="V100" s="217">
        <v>0</v>
      </c>
      <c r="W100" s="217">
        <v>0</v>
      </c>
      <c r="X100" s="217">
        <v>0</v>
      </c>
      <c r="Y100" s="217">
        <v>126576.3256</v>
      </c>
      <c r="Z100" s="217">
        <v>35125.495970000004</v>
      </c>
      <c r="AA100" s="217">
        <v>0</v>
      </c>
      <c r="AB100" s="217"/>
      <c r="AC100" s="217"/>
      <c r="AD100" s="217"/>
    </row>
    <row r="101" spans="1:30" x14ac:dyDescent="0.2">
      <c r="A101" s="232">
        <v>89</v>
      </c>
      <c r="B101" s="210">
        <f ca="1"/>
        <v>89</v>
      </c>
      <c r="C101" s="210">
        <f ca="1"/>
        <v>89</v>
      </c>
      <c r="D101" s="210" t="str">
        <f ca="1"/>
        <v/>
      </c>
      <c r="E101" s="210" t="str">
        <f ca="1"/>
        <v/>
      </c>
      <c r="G101" s="55" t="s">
        <v>5</v>
      </c>
      <c r="H101" s="431">
        <f>Setup!F97</f>
        <v>44088</v>
      </c>
      <c r="I101" s="217">
        <v>7766.6524810000001</v>
      </c>
      <c r="J101" s="217">
        <v>5433.1851619999998</v>
      </c>
      <c r="K101" s="217">
        <v>26867.788629999999</v>
      </c>
      <c r="L101" s="217">
        <v>9390.1276350000007</v>
      </c>
      <c r="M101" s="217">
        <v>8458.1144299999996</v>
      </c>
      <c r="N101" s="217">
        <v>0</v>
      </c>
      <c r="O101" s="217">
        <v>50206.24884</v>
      </c>
      <c r="P101" s="217">
        <v>0</v>
      </c>
      <c r="Q101" s="217">
        <v>0</v>
      </c>
      <c r="R101" s="217">
        <v>0</v>
      </c>
      <c r="S101" s="217">
        <v>0</v>
      </c>
      <c r="T101" s="217">
        <v>0</v>
      </c>
      <c r="U101" s="217">
        <v>0</v>
      </c>
      <c r="V101" s="217">
        <v>0</v>
      </c>
      <c r="W101" s="217">
        <v>0</v>
      </c>
      <c r="X101" s="217">
        <v>0</v>
      </c>
      <c r="Y101" s="217">
        <v>73193.8177</v>
      </c>
      <c r="Z101" s="217">
        <v>33363.241179999997</v>
      </c>
      <c r="AA101" s="217">
        <v>0</v>
      </c>
      <c r="AB101" s="217"/>
      <c r="AC101" s="217"/>
      <c r="AD101" s="217"/>
    </row>
    <row r="102" spans="1:30" x14ac:dyDescent="0.2">
      <c r="A102" s="232">
        <v>90</v>
      </c>
      <c r="B102" s="210">
        <f ca="1"/>
        <v>90</v>
      </c>
      <c r="C102" s="210">
        <f ca="1"/>
        <v>90</v>
      </c>
      <c r="D102" s="210" t="str">
        <f ca="1"/>
        <v/>
      </c>
      <c r="E102" s="210" t="str">
        <f ca="1"/>
        <v/>
      </c>
      <c r="G102" s="55" t="s">
        <v>5</v>
      </c>
      <c r="H102" s="431">
        <f>Setup!F98</f>
        <v>44095</v>
      </c>
      <c r="I102" s="217">
        <v>9289.42893</v>
      </c>
      <c r="J102" s="217">
        <v>6498.448018</v>
      </c>
      <c r="K102" s="217">
        <v>52566.582670000003</v>
      </c>
      <c r="L102" s="217">
        <v>13260.64926</v>
      </c>
      <c r="M102" s="217">
        <v>17985.227139999999</v>
      </c>
      <c r="N102" s="217">
        <v>0</v>
      </c>
      <c r="O102" s="217">
        <v>0</v>
      </c>
      <c r="P102" s="217">
        <v>0</v>
      </c>
      <c r="Q102" s="217">
        <v>0</v>
      </c>
      <c r="R102" s="217">
        <v>0</v>
      </c>
      <c r="S102" s="217">
        <v>0</v>
      </c>
      <c r="T102" s="217">
        <v>0</v>
      </c>
      <c r="U102" s="217">
        <v>0</v>
      </c>
      <c r="V102" s="217">
        <v>0</v>
      </c>
      <c r="W102" s="217">
        <v>0</v>
      </c>
      <c r="X102" s="217">
        <v>0</v>
      </c>
      <c r="Y102" s="217">
        <v>32995.739930000003</v>
      </c>
      <c r="Z102" s="217">
        <v>51769.62442</v>
      </c>
      <c r="AA102" s="217">
        <v>0</v>
      </c>
      <c r="AB102" s="217"/>
      <c r="AC102" s="217"/>
      <c r="AD102" s="217"/>
    </row>
    <row r="103" spans="1:30" x14ac:dyDescent="0.2">
      <c r="A103" s="232">
        <v>91</v>
      </c>
      <c r="B103" s="210">
        <f ca="1"/>
        <v>91</v>
      </c>
      <c r="C103" s="210">
        <f ca="1"/>
        <v>91</v>
      </c>
      <c r="D103" s="210" t="str">
        <f ca="1"/>
        <v/>
      </c>
      <c r="E103" s="210" t="str">
        <f ca="1"/>
        <v/>
      </c>
      <c r="G103" s="55" t="s">
        <v>5</v>
      </c>
      <c r="H103" s="431">
        <f>Setup!F99</f>
        <v>44102</v>
      </c>
      <c r="I103" s="217">
        <v>7605.0004049999998</v>
      </c>
      <c r="J103" s="217">
        <v>5320.1009640000002</v>
      </c>
      <c r="K103" s="217">
        <v>63893.020920000003</v>
      </c>
      <c r="L103" s="217">
        <v>10203.41346</v>
      </c>
      <c r="M103" s="217">
        <v>5918.3765089999997</v>
      </c>
      <c r="N103" s="217">
        <v>0</v>
      </c>
      <c r="O103" s="217">
        <v>0</v>
      </c>
      <c r="P103" s="217">
        <v>0</v>
      </c>
      <c r="Q103" s="217">
        <v>0</v>
      </c>
      <c r="R103" s="217">
        <v>0</v>
      </c>
      <c r="S103" s="217">
        <v>0</v>
      </c>
      <c r="T103" s="217">
        <v>0</v>
      </c>
      <c r="U103" s="217">
        <v>0</v>
      </c>
      <c r="V103" s="217">
        <v>0</v>
      </c>
      <c r="W103" s="217">
        <v>0</v>
      </c>
      <c r="X103" s="217">
        <v>0</v>
      </c>
      <c r="Y103" s="217">
        <v>36727.691500000001</v>
      </c>
      <c r="Z103" s="217">
        <v>30047.12081</v>
      </c>
      <c r="AA103" s="217">
        <v>0</v>
      </c>
      <c r="AB103" s="217"/>
      <c r="AC103" s="217"/>
      <c r="AD103" s="217"/>
    </row>
    <row r="104" spans="1:30" x14ac:dyDescent="0.2">
      <c r="A104" s="232">
        <v>92</v>
      </c>
      <c r="B104" s="210">
        <f ca="1"/>
        <v>92</v>
      </c>
      <c r="C104" s="210">
        <f ca="1"/>
        <v>92</v>
      </c>
      <c r="D104" s="210" t="str">
        <f ca="1"/>
        <v/>
      </c>
      <c r="E104" s="210" t="str">
        <f ca="1"/>
        <v/>
      </c>
      <c r="G104" s="55" t="s">
        <v>5</v>
      </c>
      <c r="H104" s="431">
        <f>Setup!F100</f>
        <v>44109</v>
      </c>
      <c r="I104" s="217">
        <v>9861.3656979999996</v>
      </c>
      <c r="J104" s="217">
        <v>6898.5481090000003</v>
      </c>
      <c r="K104" s="217">
        <v>52769.270320000003</v>
      </c>
      <c r="L104" s="217">
        <v>12389.41252</v>
      </c>
      <c r="M104" s="217">
        <v>4201.827902</v>
      </c>
      <c r="N104" s="217">
        <v>0</v>
      </c>
      <c r="O104" s="217">
        <v>95915.803910000002</v>
      </c>
      <c r="P104" s="217">
        <v>0</v>
      </c>
      <c r="Q104" s="217">
        <v>0</v>
      </c>
      <c r="R104" s="217">
        <v>0</v>
      </c>
      <c r="S104" s="217">
        <v>104609.6249</v>
      </c>
      <c r="T104" s="217">
        <v>0</v>
      </c>
      <c r="U104" s="217">
        <v>0</v>
      </c>
      <c r="V104" s="217">
        <v>0</v>
      </c>
      <c r="W104" s="217">
        <v>0</v>
      </c>
      <c r="X104" s="217">
        <v>0</v>
      </c>
      <c r="Y104" s="217">
        <v>44887.249040000002</v>
      </c>
      <c r="Z104" s="217">
        <v>23067.863539999998</v>
      </c>
      <c r="AA104" s="217">
        <v>0</v>
      </c>
      <c r="AB104" s="217"/>
      <c r="AC104" s="217"/>
      <c r="AD104" s="217"/>
    </row>
    <row r="105" spans="1:30" x14ac:dyDescent="0.2">
      <c r="A105" s="232">
        <v>93</v>
      </c>
      <c r="B105" s="210">
        <f ca="1"/>
        <v>93</v>
      </c>
      <c r="C105" s="210">
        <f ca="1"/>
        <v>93</v>
      </c>
      <c r="D105" s="210" t="str">
        <f ca="1"/>
        <v/>
      </c>
      <c r="E105" s="210" t="str">
        <f ca="1"/>
        <v/>
      </c>
      <c r="G105" s="55" t="s">
        <v>5</v>
      </c>
      <c r="H105" s="431">
        <f>Setup!F101</f>
        <v>44116</v>
      </c>
      <c r="I105" s="217">
        <v>14136.511039999999</v>
      </c>
      <c r="J105" s="217">
        <v>9889.2389220000005</v>
      </c>
      <c r="K105" s="217">
        <v>54164.726920000001</v>
      </c>
      <c r="L105" s="217">
        <v>14482.86362</v>
      </c>
      <c r="M105" s="217">
        <v>3178.8221960000001</v>
      </c>
      <c r="N105" s="217">
        <v>0</v>
      </c>
      <c r="O105" s="217">
        <v>95915.803910000002</v>
      </c>
      <c r="P105" s="217">
        <v>0</v>
      </c>
      <c r="Q105" s="217">
        <v>0</v>
      </c>
      <c r="R105" s="217">
        <v>0</v>
      </c>
      <c r="S105" s="217">
        <v>0</v>
      </c>
      <c r="T105" s="217">
        <v>0</v>
      </c>
      <c r="U105" s="217">
        <v>0</v>
      </c>
      <c r="V105" s="217">
        <v>0</v>
      </c>
      <c r="W105" s="217">
        <v>0</v>
      </c>
      <c r="X105" s="217">
        <v>0</v>
      </c>
      <c r="Y105" s="217">
        <v>44265.514450000002</v>
      </c>
      <c r="Z105" s="217">
        <v>15923.85938</v>
      </c>
      <c r="AA105" s="217">
        <v>0</v>
      </c>
      <c r="AB105" s="217"/>
      <c r="AC105" s="217"/>
      <c r="AD105" s="217"/>
    </row>
    <row r="106" spans="1:30" x14ac:dyDescent="0.2">
      <c r="A106" s="232">
        <v>94</v>
      </c>
      <c r="B106" s="210">
        <f ca="1"/>
        <v>94</v>
      </c>
      <c r="C106" s="210">
        <f ca="1"/>
        <v>94</v>
      </c>
      <c r="D106" s="210" t="str">
        <f ca="1"/>
        <v/>
      </c>
      <c r="E106" s="210" t="str">
        <f ca="1"/>
        <v/>
      </c>
      <c r="G106" s="55" t="s">
        <v>5</v>
      </c>
      <c r="H106" s="431">
        <f>Setup!F102</f>
        <v>44123</v>
      </c>
      <c r="I106" s="217">
        <v>12750.319670000001</v>
      </c>
      <c r="J106" s="217">
        <v>8919.5245680000007</v>
      </c>
      <c r="K106" s="217">
        <v>41750.5484</v>
      </c>
      <c r="L106" s="217">
        <v>17020.258669999999</v>
      </c>
      <c r="M106" s="217">
        <v>2662.2103790000001</v>
      </c>
      <c r="N106" s="217">
        <v>0</v>
      </c>
      <c r="O106" s="217">
        <v>0</v>
      </c>
      <c r="P106" s="217">
        <v>0</v>
      </c>
      <c r="Q106" s="217">
        <v>0</v>
      </c>
      <c r="R106" s="217">
        <v>0</v>
      </c>
      <c r="S106" s="217">
        <v>0</v>
      </c>
      <c r="T106" s="217">
        <v>0</v>
      </c>
      <c r="U106" s="217">
        <v>0</v>
      </c>
      <c r="V106" s="217">
        <v>0</v>
      </c>
      <c r="W106" s="217">
        <v>0</v>
      </c>
      <c r="X106" s="217">
        <v>0</v>
      </c>
      <c r="Y106" s="217">
        <v>43479.728410000003</v>
      </c>
      <c r="Z106" s="217">
        <v>31535.250970000001</v>
      </c>
      <c r="AA106" s="217">
        <v>0</v>
      </c>
      <c r="AB106" s="217"/>
      <c r="AC106" s="217"/>
      <c r="AD106" s="217"/>
    </row>
    <row r="107" spans="1:30" x14ac:dyDescent="0.2">
      <c r="A107" s="232">
        <v>95</v>
      </c>
      <c r="B107" s="210">
        <f ca="1"/>
        <v>95</v>
      </c>
      <c r="C107" s="210">
        <f ca="1"/>
        <v>95</v>
      </c>
      <c r="D107" s="210" t="str">
        <f ca="1"/>
        <v/>
      </c>
      <c r="E107" s="210" t="str">
        <f ca="1"/>
        <v/>
      </c>
      <c r="G107" s="55" t="s">
        <v>5</v>
      </c>
      <c r="H107" s="431">
        <f>Setup!F103</f>
        <v>44130</v>
      </c>
      <c r="I107" s="217">
        <v>18898.156910000002</v>
      </c>
      <c r="J107" s="217">
        <v>13220.262650000001</v>
      </c>
      <c r="K107" s="217">
        <v>49243.055670000002</v>
      </c>
      <c r="L107" s="217">
        <v>12364.10771</v>
      </c>
      <c r="M107" s="217">
        <v>2834.1632960000002</v>
      </c>
      <c r="N107" s="217">
        <v>0</v>
      </c>
      <c r="O107" s="217">
        <v>0</v>
      </c>
      <c r="P107" s="217">
        <v>0</v>
      </c>
      <c r="Q107" s="217">
        <v>0</v>
      </c>
      <c r="R107" s="217">
        <v>0</v>
      </c>
      <c r="S107" s="217">
        <v>84593.899860000005</v>
      </c>
      <c r="T107" s="217">
        <v>7500.6718979999996</v>
      </c>
      <c r="U107" s="217">
        <v>5782.0585490000003</v>
      </c>
      <c r="V107" s="217">
        <v>0</v>
      </c>
      <c r="W107" s="217">
        <v>0</v>
      </c>
      <c r="X107" s="217">
        <v>0</v>
      </c>
      <c r="Y107" s="217">
        <v>44183.468540000002</v>
      </c>
      <c r="Z107" s="217">
        <v>45187.167370000003</v>
      </c>
      <c r="AA107" s="217">
        <v>0</v>
      </c>
      <c r="AB107" s="217"/>
      <c r="AC107" s="217"/>
      <c r="AD107" s="217"/>
    </row>
    <row r="108" spans="1:30" x14ac:dyDescent="0.2">
      <c r="A108" s="232">
        <v>96</v>
      </c>
      <c r="B108" s="210">
        <f ca="1"/>
        <v>96</v>
      </c>
      <c r="C108" s="210">
        <f ca="1"/>
        <v>96</v>
      </c>
      <c r="D108" s="210" t="str">
        <f ca="1"/>
        <v/>
      </c>
      <c r="E108" s="210" t="str">
        <f ca="1"/>
        <v/>
      </c>
      <c r="G108" s="55" t="s">
        <v>5</v>
      </c>
      <c r="H108" s="431">
        <f>Setup!F104</f>
        <v>44137</v>
      </c>
      <c r="I108" s="217">
        <v>21112.129290000001</v>
      </c>
      <c r="J108" s="217">
        <v>14769.05371</v>
      </c>
      <c r="K108" s="217">
        <v>27439.423040000001</v>
      </c>
      <c r="L108" s="217">
        <v>15727.64356</v>
      </c>
      <c r="M108" s="217">
        <v>776.16623119999997</v>
      </c>
      <c r="N108" s="217">
        <v>0</v>
      </c>
      <c r="O108" s="217">
        <v>30859.994719999999</v>
      </c>
      <c r="P108" s="217">
        <v>0</v>
      </c>
      <c r="Q108" s="217">
        <v>0</v>
      </c>
      <c r="R108" s="217">
        <v>0</v>
      </c>
      <c r="S108" s="217">
        <v>0</v>
      </c>
      <c r="T108" s="217">
        <v>18561.253799999999</v>
      </c>
      <c r="U108" s="217">
        <v>6934.0723969999999</v>
      </c>
      <c r="V108" s="217">
        <v>0</v>
      </c>
      <c r="W108" s="217">
        <v>0</v>
      </c>
      <c r="X108" s="217">
        <v>0</v>
      </c>
      <c r="Y108" s="217">
        <v>70324.932199999996</v>
      </c>
      <c r="Z108" s="217">
        <v>32041.233970000001</v>
      </c>
      <c r="AA108" s="217">
        <v>0</v>
      </c>
      <c r="AB108" s="217"/>
      <c r="AC108" s="217"/>
      <c r="AD108" s="217"/>
    </row>
    <row r="109" spans="1:30" x14ac:dyDescent="0.2">
      <c r="A109" s="232">
        <v>97</v>
      </c>
      <c r="B109" s="210">
        <f ca="1"/>
        <v>97</v>
      </c>
      <c r="C109" s="210">
        <f ca="1"/>
        <v>97</v>
      </c>
      <c r="D109" s="210" t="str">
        <f ca="1"/>
        <v/>
      </c>
      <c r="E109" s="210" t="str">
        <f ca="1"/>
        <v/>
      </c>
      <c r="G109" s="55" t="s">
        <v>5</v>
      </c>
      <c r="H109" s="431">
        <f>Setup!F105</f>
        <v>44144</v>
      </c>
      <c r="I109" s="217">
        <v>22577.660189999999</v>
      </c>
      <c r="J109" s="217">
        <v>15794.270270000001</v>
      </c>
      <c r="K109" s="217">
        <v>32451.405129999999</v>
      </c>
      <c r="L109" s="217">
        <v>15835.0723</v>
      </c>
      <c r="M109" s="217">
        <v>16.274171949999999</v>
      </c>
      <c r="N109" s="217">
        <v>0</v>
      </c>
      <c r="O109" s="217">
        <v>30859.994719999999</v>
      </c>
      <c r="P109" s="217">
        <v>0</v>
      </c>
      <c r="Q109" s="217">
        <v>0</v>
      </c>
      <c r="R109" s="217">
        <v>0</v>
      </c>
      <c r="S109" s="217">
        <v>0</v>
      </c>
      <c r="T109" s="217">
        <v>12794.776089999999</v>
      </c>
      <c r="U109" s="217">
        <v>8889.1185690000002</v>
      </c>
      <c r="V109" s="217">
        <v>0</v>
      </c>
      <c r="W109" s="217">
        <v>584233.63080000004</v>
      </c>
      <c r="X109" s="217">
        <v>0</v>
      </c>
      <c r="Y109" s="217">
        <v>90198.239180000004</v>
      </c>
      <c r="Z109" s="217">
        <v>57237.28847</v>
      </c>
      <c r="AA109" s="217">
        <v>0</v>
      </c>
      <c r="AB109" s="217"/>
      <c r="AC109" s="217"/>
      <c r="AD109" s="217"/>
    </row>
    <row r="110" spans="1:30" x14ac:dyDescent="0.2">
      <c r="A110" s="232">
        <v>98</v>
      </c>
      <c r="B110" s="210">
        <f ca="1"/>
        <v>98</v>
      </c>
      <c r="C110" s="210">
        <f ca="1"/>
        <v>98</v>
      </c>
      <c r="D110" s="210" t="str">
        <f ca="1"/>
        <v/>
      </c>
      <c r="E110" s="210" t="str">
        <f ca="1"/>
        <v/>
      </c>
      <c r="G110" s="55" t="s">
        <v>5</v>
      </c>
      <c r="H110" s="431">
        <f>Setup!F106</f>
        <v>44151</v>
      </c>
      <c r="I110" s="217">
        <v>50575.99136</v>
      </c>
      <c r="J110" s="217">
        <v>35380.58726</v>
      </c>
      <c r="K110" s="217">
        <v>49872.1394</v>
      </c>
      <c r="L110" s="217">
        <v>14284.19929</v>
      </c>
      <c r="M110" s="217">
        <v>3504.733694</v>
      </c>
      <c r="N110" s="217">
        <v>0</v>
      </c>
      <c r="O110" s="217">
        <v>0</v>
      </c>
      <c r="P110" s="217">
        <v>0</v>
      </c>
      <c r="Q110" s="217">
        <v>0</v>
      </c>
      <c r="R110" s="217">
        <v>0</v>
      </c>
      <c r="S110" s="217">
        <v>0</v>
      </c>
      <c r="T110" s="217">
        <v>9019.9320069999994</v>
      </c>
      <c r="U110" s="217">
        <v>11362.59828</v>
      </c>
      <c r="V110" s="217">
        <v>0</v>
      </c>
      <c r="W110" s="217">
        <v>584233.63080000004</v>
      </c>
      <c r="X110" s="217">
        <v>0</v>
      </c>
      <c r="Y110" s="217">
        <v>114109.1174</v>
      </c>
      <c r="Z110" s="217">
        <v>64952.870289999999</v>
      </c>
      <c r="AA110" s="217">
        <v>0</v>
      </c>
      <c r="AB110" s="217"/>
      <c r="AC110" s="217"/>
      <c r="AD110" s="217"/>
    </row>
    <row r="111" spans="1:30" x14ac:dyDescent="0.2">
      <c r="A111" s="232">
        <v>99</v>
      </c>
      <c r="B111" s="210">
        <f ca="1"/>
        <v>99</v>
      </c>
      <c r="C111" s="210">
        <f ca="1"/>
        <v>99</v>
      </c>
      <c r="D111" s="210" t="str">
        <f ca="1"/>
        <v/>
      </c>
      <c r="E111" s="210" t="str">
        <f ca="1"/>
        <v/>
      </c>
      <c r="G111" s="55" t="s">
        <v>5</v>
      </c>
      <c r="H111" s="431">
        <f>Setup!F107</f>
        <v>44158</v>
      </c>
      <c r="I111" s="217">
        <v>218001.07569999999</v>
      </c>
      <c r="J111" s="217">
        <v>152503.30989999999</v>
      </c>
      <c r="K111" s="217">
        <v>51353.461389999997</v>
      </c>
      <c r="L111" s="217">
        <v>22846.261610000001</v>
      </c>
      <c r="M111" s="217">
        <v>6792.8932770000001</v>
      </c>
      <c r="N111" s="217">
        <v>0</v>
      </c>
      <c r="O111" s="217">
        <v>0</v>
      </c>
      <c r="P111" s="217">
        <v>0</v>
      </c>
      <c r="Q111" s="217">
        <v>0</v>
      </c>
      <c r="R111" s="217">
        <v>0</v>
      </c>
      <c r="S111" s="217">
        <v>0</v>
      </c>
      <c r="T111" s="217">
        <v>14278.29607</v>
      </c>
      <c r="U111" s="217">
        <v>26631.32589</v>
      </c>
      <c r="V111" s="217">
        <v>6705.9871032565616</v>
      </c>
      <c r="W111" s="217">
        <v>0</v>
      </c>
      <c r="X111" s="217">
        <v>0</v>
      </c>
      <c r="Y111" s="217">
        <v>88700.81465</v>
      </c>
      <c r="Z111" s="217">
        <v>79074.807969999994</v>
      </c>
      <c r="AA111" s="217">
        <v>0</v>
      </c>
      <c r="AB111" s="217"/>
      <c r="AC111" s="217"/>
      <c r="AD111" s="217"/>
    </row>
    <row r="112" spans="1:30" x14ac:dyDescent="0.2">
      <c r="A112" s="232">
        <v>100</v>
      </c>
      <c r="B112" s="210">
        <f ca="1"/>
        <v>100</v>
      </c>
      <c r="C112" s="210">
        <f ca="1"/>
        <v>100</v>
      </c>
      <c r="D112" s="210" t="str">
        <f ca="1"/>
        <v/>
      </c>
      <c r="E112" s="210" t="str">
        <f ca="1"/>
        <v/>
      </c>
      <c r="G112" s="55" t="s">
        <v>5</v>
      </c>
      <c r="H112" s="431">
        <f>Setup!F108</f>
        <v>44165</v>
      </c>
      <c r="I112" s="217">
        <v>105341.19500000001</v>
      </c>
      <c r="J112" s="217">
        <v>73691.750629999995</v>
      </c>
      <c r="K112" s="217">
        <v>36643.572800000002</v>
      </c>
      <c r="L112" s="217">
        <v>13650.29312</v>
      </c>
      <c r="M112" s="217">
        <v>4604.5680769999999</v>
      </c>
      <c r="N112" s="217">
        <v>0</v>
      </c>
      <c r="O112" s="217">
        <v>47414.773880000001</v>
      </c>
      <c r="P112" s="217">
        <v>0</v>
      </c>
      <c r="Q112" s="217">
        <v>5714.0912520000002</v>
      </c>
      <c r="R112" s="217">
        <v>5606.7207040000003</v>
      </c>
      <c r="S112" s="217">
        <v>0</v>
      </c>
      <c r="T112" s="217">
        <v>6626.0906880000002</v>
      </c>
      <c r="U112" s="217">
        <v>7591.5126980000005</v>
      </c>
      <c r="V112" s="217">
        <v>6711.1164468837114</v>
      </c>
      <c r="W112" s="217">
        <v>0</v>
      </c>
      <c r="X112" s="217">
        <v>0</v>
      </c>
      <c r="Y112" s="217">
        <v>71039.253559999997</v>
      </c>
      <c r="Z112" s="217">
        <v>90946.384049999993</v>
      </c>
      <c r="AA112" s="217">
        <v>0</v>
      </c>
      <c r="AB112" s="217"/>
      <c r="AC112" s="217"/>
      <c r="AD112" s="217"/>
    </row>
    <row r="113" spans="1:30" x14ac:dyDescent="0.2">
      <c r="A113" s="232">
        <v>101</v>
      </c>
      <c r="B113" s="210">
        <f ca="1"/>
        <v>101</v>
      </c>
      <c r="C113" s="210">
        <f ca="1"/>
        <v>101</v>
      </c>
      <c r="D113" s="210" t="str">
        <f ca="1"/>
        <v/>
      </c>
      <c r="E113" s="210" t="str">
        <f ca="1"/>
        <v/>
      </c>
      <c r="G113" s="55" t="s">
        <v>5</v>
      </c>
      <c r="H113" s="431">
        <f>Setup!F109</f>
        <v>44172</v>
      </c>
      <c r="I113" s="217">
        <v>18308.944599999999</v>
      </c>
      <c r="J113" s="217">
        <v>12808.0774</v>
      </c>
      <c r="K113" s="217">
        <v>47689.035949999998</v>
      </c>
      <c r="L113" s="217">
        <v>17944.61966</v>
      </c>
      <c r="M113" s="217">
        <v>1721.772514</v>
      </c>
      <c r="N113" s="217">
        <v>0</v>
      </c>
      <c r="O113" s="217">
        <v>47414.773880000001</v>
      </c>
      <c r="P113" s="217">
        <v>0</v>
      </c>
      <c r="Q113" s="217">
        <v>6665.3053399999999</v>
      </c>
      <c r="R113" s="217">
        <v>33640.324229999998</v>
      </c>
      <c r="S113" s="217">
        <v>0</v>
      </c>
      <c r="T113" s="217">
        <v>11108.22682</v>
      </c>
      <c r="U113" s="217">
        <v>7679.8473270000004</v>
      </c>
      <c r="V113" s="217">
        <v>2981.0538256618129</v>
      </c>
      <c r="W113" s="217">
        <v>0</v>
      </c>
      <c r="X113" s="217">
        <v>716820.73060000001</v>
      </c>
      <c r="Y113" s="217">
        <v>90475.658190000002</v>
      </c>
      <c r="Z113" s="217">
        <v>93958.403179999994</v>
      </c>
      <c r="AA113" s="217">
        <v>0</v>
      </c>
      <c r="AB113" s="217"/>
      <c r="AC113" s="217"/>
      <c r="AD113" s="217"/>
    </row>
    <row r="114" spans="1:30" x14ac:dyDescent="0.2">
      <c r="A114" s="232">
        <v>102</v>
      </c>
      <c r="B114" s="210">
        <f ca="1"/>
        <v>102</v>
      </c>
      <c r="C114" s="210">
        <f ca="1"/>
        <v>102</v>
      </c>
      <c r="D114" s="210" t="str">
        <f ca="1"/>
        <v/>
      </c>
      <c r="E114" s="210" t="str">
        <f ca="1"/>
        <v/>
      </c>
      <c r="G114" s="55" t="s">
        <v>5</v>
      </c>
      <c r="H114" s="431">
        <f>Setup!F110</f>
        <v>44179</v>
      </c>
      <c r="I114" s="217">
        <v>25012.460579999999</v>
      </c>
      <c r="J114" s="217">
        <v>17497.542219999999</v>
      </c>
      <c r="K114" s="217">
        <v>104153.9733</v>
      </c>
      <c r="L114" s="217">
        <v>18045.623100000001</v>
      </c>
      <c r="M114" s="217">
        <v>950.8381157</v>
      </c>
      <c r="N114" s="217">
        <v>0</v>
      </c>
      <c r="O114" s="217">
        <v>47414.773880000001</v>
      </c>
      <c r="P114" s="217">
        <v>0</v>
      </c>
      <c r="Q114" s="217">
        <v>6663.2649060000003</v>
      </c>
      <c r="R114" s="217">
        <v>0</v>
      </c>
      <c r="S114" s="217">
        <v>0</v>
      </c>
      <c r="T114" s="217">
        <v>18980.035779999998</v>
      </c>
      <c r="U114" s="217">
        <v>7663.2198850000004</v>
      </c>
      <c r="V114" s="217">
        <v>33821.199587591807</v>
      </c>
      <c r="W114" s="217">
        <v>0</v>
      </c>
      <c r="X114" s="217">
        <v>643577.21909999999</v>
      </c>
      <c r="Y114" s="217">
        <v>93652.967130000005</v>
      </c>
      <c r="Z114" s="217">
        <v>95475.531749999995</v>
      </c>
      <c r="AA114" s="217">
        <v>0</v>
      </c>
      <c r="AB114" s="217"/>
      <c r="AC114" s="217"/>
      <c r="AD114" s="217"/>
    </row>
    <row r="115" spans="1:30" x14ac:dyDescent="0.2">
      <c r="A115" s="232">
        <v>103</v>
      </c>
      <c r="B115" s="210">
        <f ca="1"/>
        <v>103</v>
      </c>
      <c r="C115" s="210">
        <f ca="1"/>
        <v>103</v>
      </c>
      <c r="D115" s="210" t="str">
        <f ca="1"/>
        <v/>
      </c>
      <c r="E115" s="210" t="str">
        <f ca="1"/>
        <v/>
      </c>
      <c r="G115" s="55" t="s">
        <v>5</v>
      </c>
      <c r="H115" s="431">
        <f>Setup!F111</f>
        <v>44186</v>
      </c>
      <c r="I115" s="217">
        <v>30650.488560000002</v>
      </c>
      <c r="J115" s="217">
        <v>21441.64169</v>
      </c>
      <c r="K115" s="217">
        <v>121469.0816</v>
      </c>
      <c r="L115" s="217">
        <v>18298.45981</v>
      </c>
      <c r="M115" s="217">
        <v>6220.189867</v>
      </c>
      <c r="N115" s="217">
        <v>0</v>
      </c>
      <c r="O115" s="217">
        <v>0</v>
      </c>
      <c r="P115" s="217">
        <v>0</v>
      </c>
      <c r="Q115" s="217">
        <v>6657.5194499999998</v>
      </c>
      <c r="R115" s="217">
        <v>0</v>
      </c>
      <c r="S115" s="217">
        <v>35426.905729999999</v>
      </c>
      <c r="T115" s="217">
        <v>8474.6431630000006</v>
      </c>
      <c r="U115" s="217">
        <v>1496.8586700000001</v>
      </c>
      <c r="V115" s="217">
        <v>47349.679422628527</v>
      </c>
      <c r="W115" s="217">
        <v>0</v>
      </c>
      <c r="X115" s="217">
        <v>0</v>
      </c>
      <c r="Y115" s="217">
        <v>92203.811149999994</v>
      </c>
      <c r="Z115" s="217">
        <v>72103.446630000006</v>
      </c>
      <c r="AA115" s="217">
        <v>0</v>
      </c>
      <c r="AB115" s="217"/>
      <c r="AC115" s="217"/>
      <c r="AD115" s="217"/>
    </row>
    <row r="116" spans="1:30" x14ac:dyDescent="0.2">
      <c r="A116" s="232">
        <v>104</v>
      </c>
      <c r="B116" s="210">
        <f ca="1"/>
        <v>104</v>
      </c>
      <c r="C116" s="210">
        <f ca="1"/>
        <v>104</v>
      </c>
      <c r="D116" s="210" t="str">
        <f ca="1"/>
        <v/>
      </c>
      <c r="E116" s="210" t="str">
        <f ca="1"/>
        <v/>
      </c>
      <c r="G116" s="55" t="s">
        <v>5</v>
      </c>
      <c r="H116" s="431">
        <f>Setup!F112</f>
        <v>44193</v>
      </c>
      <c r="I116" s="217">
        <v>16219.52</v>
      </c>
      <c r="J116" s="217">
        <v>11346.414119999999</v>
      </c>
      <c r="K116" s="217">
        <v>56061.991020000001</v>
      </c>
      <c r="L116" s="217">
        <v>12319.751630000001</v>
      </c>
      <c r="M116" s="217">
        <v>1072.739828</v>
      </c>
      <c r="N116" s="217">
        <v>0</v>
      </c>
      <c r="O116" s="217">
        <v>0</v>
      </c>
      <c r="P116" s="217">
        <v>0</v>
      </c>
      <c r="Q116" s="217">
        <v>3778.0325630000002</v>
      </c>
      <c r="R116" s="217">
        <v>0</v>
      </c>
      <c r="S116" s="217">
        <v>0</v>
      </c>
      <c r="T116" s="217">
        <v>0</v>
      </c>
      <c r="U116" s="217">
        <v>0</v>
      </c>
      <c r="V116" s="217">
        <v>27056.959670073444</v>
      </c>
      <c r="W116" s="217">
        <v>0</v>
      </c>
      <c r="X116" s="217">
        <v>0</v>
      </c>
      <c r="Y116" s="217">
        <v>39218.948389999998</v>
      </c>
      <c r="Z116" s="217">
        <v>18749.434109999998</v>
      </c>
      <c r="AA116" s="217">
        <v>0</v>
      </c>
      <c r="AB116" s="217"/>
      <c r="AC116" s="217"/>
      <c r="AD116" s="217"/>
    </row>
    <row r="117" spans="1:30" x14ac:dyDescent="0.2">
      <c r="A117" s="232">
        <v>105</v>
      </c>
      <c r="B117" s="210" t="str">
        <f ca="1"/>
        <v/>
      </c>
      <c r="C117" s="210" t="str">
        <f ca="1"/>
        <v/>
      </c>
      <c r="D117" s="210" t="str">
        <f ca="1"/>
        <v/>
      </c>
      <c r="E117" s="210" t="str">
        <f ca="1"/>
        <v/>
      </c>
      <c r="G117" s="55"/>
      <c r="H117" s="431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</row>
    <row r="118" spans="1:30" x14ac:dyDescent="0.2">
      <c r="A118" s="232">
        <v>106</v>
      </c>
      <c r="B118" s="210" t="str">
        <f ca="1"/>
        <v/>
      </c>
      <c r="C118" s="210" t="str">
        <f ca="1"/>
        <v/>
      </c>
      <c r="D118" s="210" t="str">
        <f ca="1"/>
        <v/>
      </c>
      <c r="E118" s="210" t="str">
        <f ca="1"/>
        <v/>
      </c>
      <c r="G118" s="55"/>
      <c r="H118" s="430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</row>
    <row r="119" spans="1:30" x14ac:dyDescent="0.2">
      <c r="A119" s="232">
        <v>107</v>
      </c>
      <c r="B119" s="210" t="str">
        <f ca="1"/>
        <v/>
      </c>
      <c r="C119" s="210" t="str">
        <f ca="1"/>
        <v/>
      </c>
      <c r="D119" s="210" t="str">
        <f ca="1"/>
        <v/>
      </c>
      <c r="E119" s="210" t="str">
        <f ca="1"/>
        <v/>
      </c>
      <c r="G119" s="55"/>
      <c r="H119" s="430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</row>
    <row r="120" spans="1:30" x14ac:dyDescent="0.2">
      <c r="A120" s="232">
        <v>108</v>
      </c>
      <c r="B120" s="210" t="str">
        <f ca="1"/>
        <v/>
      </c>
      <c r="C120" s="210" t="str">
        <f ca="1"/>
        <v/>
      </c>
      <c r="D120" s="210" t="str">
        <f ca="1"/>
        <v/>
      </c>
      <c r="E120" s="210" t="str">
        <f ca="1"/>
        <v/>
      </c>
      <c r="G120" s="55"/>
      <c r="H120" s="430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</row>
    <row r="121" spans="1:30" x14ac:dyDescent="0.2">
      <c r="A121" s="232">
        <v>109</v>
      </c>
      <c r="B121" s="210" t="str">
        <f ca="1"/>
        <v/>
      </c>
      <c r="C121" s="210" t="str">
        <f ca="1"/>
        <v/>
      </c>
      <c r="D121" s="210" t="str">
        <f ca="1"/>
        <v/>
      </c>
      <c r="E121" s="210" t="str">
        <f ca="1"/>
        <v/>
      </c>
      <c r="G121" s="55"/>
      <c r="H121" s="430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</row>
    <row r="122" spans="1:30" x14ac:dyDescent="0.2">
      <c r="A122" s="232">
        <v>110</v>
      </c>
      <c r="B122" s="210" t="str">
        <f ca="1"/>
        <v/>
      </c>
      <c r="C122" s="210" t="str">
        <f ca="1"/>
        <v/>
      </c>
      <c r="D122" s="210" t="str">
        <f ca="1"/>
        <v/>
      </c>
      <c r="E122" s="210" t="str">
        <f ca="1"/>
        <v/>
      </c>
      <c r="G122" s="55"/>
      <c r="H122" s="430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</row>
    <row r="123" spans="1:30" x14ac:dyDescent="0.2">
      <c r="A123" s="232">
        <v>111</v>
      </c>
      <c r="B123" s="210" t="str">
        <f ca="1"/>
        <v/>
      </c>
      <c r="C123" s="210" t="str">
        <f ca="1"/>
        <v/>
      </c>
      <c r="D123" s="210" t="str">
        <f ca="1"/>
        <v/>
      </c>
      <c r="E123" s="210" t="str">
        <f ca="1"/>
        <v/>
      </c>
      <c r="G123" s="55"/>
      <c r="H123" s="430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</row>
    <row r="124" spans="1:30" x14ac:dyDescent="0.2">
      <c r="A124" s="232">
        <v>112</v>
      </c>
      <c r="B124" s="210" t="str">
        <f ca="1"/>
        <v/>
      </c>
      <c r="C124" s="210" t="str">
        <f ca="1"/>
        <v/>
      </c>
      <c r="D124" s="210" t="str">
        <f ca="1"/>
        <v/>
      </c>
      <c r="E124" s="210" t="str">
        <f ca="1"/>
        <v/>
      </c>
      <c r="G124" s="55"/>
      <c r="H124" s="430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</row>
    <row r="125" spans="1:30" x14ac:dyDescent="0.2">
      <c r="A125" s="232"/>
      <c r="B125" s="210"/>
      <c r="C125" s="210"/>
      <c r="D125" s="210"/>
      <c r="E125" s="210"/>
      <c r="G125" s="55"/>
      <c r="H125" s="430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</row>
    <row r="126" spans="1:30" x14ac:dyDescent="0.2">
      <c r="A126" s="232"/>
      <c r="B126" s="210"/>
      <c r="C126" s="210"/>
      <c r="D126" s="210"/>
      <c r="E126" s="210"/>
      <c r="G126" s="55"/>
      <c r="H126" s="430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</row>
    <row r="127" spans="1:30" x14ac:dyDescent="0.2">
      <c r="A127" s="232"/>
      <c r="B127" s="210"/>
      <c r="C127" s="210"/>
      <c r="D127" s="210"/>
      <c r="E127" s="210"/>
      <c r="G127" s="55"/>
      <c r="H127" s="430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</row>
    <row r="128" spans="1:30" x14ac:dyDescent="0.2">
      <c r="A128" s="232"/>
      <c r="B128" s="210"/>
      <c r="C128" s="210"/>
      <c r="D128" s="210"/>
      <c r="E128" s="210"/>
      <c r="G128" s="55"/>
      <c r="H128" s="430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</row>
    <row r="129" spans="1:30" x14ac:dyDescent="0.2">
      <c r="A129" s="232"/>
      <c r="B129" s="210"/>
      <c r="C129" s="210"/>
      <c r="D129" s="210"/>
      <c r="E129" s="210"/>
      <c r="G129" s="55"/>
      <c r="H129" s="430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</row>
    <row r="130" spans="1:30" x14ac:dyDescent="0.2">
      <c r="A130" s="232"/>
      <c r="B130" s="210"/>
      <c r="C130" s="210"/>
      <c r="D130" s="210"/>
      <c r="E130" s="210"/>
      <c r="G130" s="55"/>
      <c r="H130" s="430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</row>
    <row r="131" spans="1:30" x14ac:dyDescent="0.2">
      <c r="A131" s="232"/>
      <c r="B131" s="210"/>
      <c r="C131" s="210"/>
      <c r="D131" s="210"/>
      <c r="E131" s="210"/>
      <c r="G131" s="55"/>
      <c r="H131" s="430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</row>
    <row r="132" spans="1:30" x14ac:dyDescent="0.2">
      <c r="A132" s="232"/>
      <c r="B132" s="210"/>
      <c r="C132" s="210"/>
      <c r="D132" s="210"/>
      <c r="E132" s="210"/>
      <c r="G132" s="55"/>
      <c r="H132" s="430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</row>
    <row r="133" spans="1:30" x14ac:dyDescent="0.2">
      <c r="A133" s="232"/>
      <c r="B133" s="210"/>
      <c r="C133" s="210"/>
      <c r="D133" s="210"/>
      <c r="E133" s="210"/>
      <c r="G133" s="55"/>
      <c r="H133" s="430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</row>
    <row r="134" spans="1:30" x14ac:dyDescent="0.2">
      <c r="A134" s="232"/>
      <c r="B134" s="210"/>
      <c r="C134" s="210"/>
      <c r="D134" s="210"/>
      <c r="E134" s="210"/>
      <c r="G134" s="55"/>
      <c r="H134" s="430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</row>
    <row r="135" spans="1:30" x14ac:dyDescent="0.2">
      <c r="A135" s="232"/>
      <c r="B135" s="210"/>
      <c r="C135" s="210"/>
      <c r="D135" s="210"/>
      <c r="E135" s="210"/>
      <c r="G135" s="55"/>
      <c r="H135" s="430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</row>
    <row r="136" spans="1:30" x14ac:dyDescent="0.2">
      <c r="A136" s="232"/>
      <c r="B136" s="210"/>
      <c r="C136" s="210"/>
      <c r="D136" s="210"/>
      <c r="E136" s="210"/>
      <c r="G136" s="55"/>
      <c r="H136" s="430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</row>
    <row r="137" spans="1:30" x14ac:dyDescent="0.2">
      <c r="A137" s="232"/>
      <c r="B137" s="210"/>
      <c r="C137" s="210"/>
      <c r="D137" s="210"/>
      <c r="E137" s="210"/>
      <c r="G137" s="55"/>
      <c r="H137" s="430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</row>
    <row r="138" spans="1:30" x14ac:dyDescent="0.2">
      <c r="A138" s="232"/>
      <c r="B138" s="210"/>
      <c r="C138" s="210"/>
      <c r="D138" s="210"/>
      <c r="E138" s="210"/>
      <c r="G138" s="55"/>
      <c r="H138" s="430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</row>
    <row r="139" spans="1:30" x14ac:dyDescent="0.2">
      <c r="A139" s="232"/>
      <c r="B139" s="210"/>
      <c r="C139" s="210"/>
      <c r="D139" s="210"/>
      <c r="E139" s="210"/>
      <c r="G139" s="55"/>
      <c r="H139" s="430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</row>
    <row r="140" spans="1:30" x14ac:dyDescent="0.2">
      <c r="A140" s="232"/>
      <c r="B140" s="210"/>
      <c r="C140" s="210"/>
      <c r="D140" s="210"/>
      <c r="E140" s="210"/>
      <c r="G140" s="55"/>
      <c r="H140" s="430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</row>
    <row r="141" spans="1:30" x14ac:dyDescent="0.2">
      <c r="A141" s="232"/>
      <c r="B141" s="210"/>
      <c r="C141" s="210"/>
      <c r="D141" s="210"/>
      <c r="E141" s="210"/>
      <c r="G141" s="55"/>
      <c r="H141" s="430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</row>
    <row r="142" spans="1:30" x14ac:dyDescent="0.2">
      <c r="A142" s="232"/>
      <c r="B142" s="210"/>
      <c r="C142" s="210"/>
      <c r="D142" s="210"/>
      <c r="E142" s="210"/>
      <c r="G142" s="55"/>
      <c r="H142" s="430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</row>
    <row r="143" spans="1:30" x14ac:dyDescent="0.2">
      <c r="A143" s="232"/>
      <c r="B143" s="210"/>
      <c r="C143" s="210"/>
      <c r="D143" s="210"/>
      <c r="E143" s="210"/>
      <c r="G143" s="55"/>
      <c r="H143" s="430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</row>
    <row r="144" spans="1:30" x14ac:dyDescent="0.2">
      <c r="A144" s="232"/>
      <c r="B144" s="210"/>
      <c r="C144" s="210"/>
      <c r="D144" s="210"/>
      <c r="E144" s="210"/>
      <c r="G144" s="55"/>
      <c r="H144" s="430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</row>
    <row r="145" spans="1:30" x14ac:dyDescent="0.2">
      <c r="A145" s="232"/>
      <c r="B145" s="210"/>
      <c r="C145" s="210"/>
      <c r="D145" s="210"/>
      <c r="E145" s="210"/>
      <c r="G145" s="55"/>
      <c r="H145" s="430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</row>
    <row r="146" spans="1:30" x14ac:dyDescent="0.2">
      <c r="A146" s="232"/>
      <c r="B146" s="210"/>
      <c r="C146" s="210"/>
      <c r="D146" s="210"/>
      <c r="E146" s="210"/>
      <c r="G146" s="55"/>
      <c r="H146" s="430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</row>
    <row r="147" spans="1:30" x14ac:dyDescent="0.2">
      <c r="A147" s="232"/>
      <c r="B147" s="210"/>
      <c r="C147" s="210"/>
      <c r="D147" s="210"/>
      <c r="E147" s="210"/>
      <c r="G147" s="55"/>
      <c r="H147" s="430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</row>
    <row r="148" spans="1:30" x14ac:dyDescent="0.2">
      <c r="A148" s="232"/>
      <c r="B148" s="210"/>
      <c r="C148" s="210"/>
      <c r="D148" s="210"/>
      <c r="E148" s="210"/>
      <c r="G148" s="55"/>
      <c r="H148" s="430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</row>
    <row r="149" spans="1:30" x14ac:dyDescent="0.2">
      <c r="A149" s="232"/>
      <c r="B149" s="210"/>
      <c r="C149" s="210"/>
      <c r="D149" s="210"/>
      <c r="E149" s="210"/>
      <c r="G149" s="55"/>
      <c r="H149" s="430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</row>
    <row r="150" spans="1:30" x14ac:dyDescent="0.2">
      <c r="A150" s="232"/>
      <c r="B150" s="210"/>
      <c r="C150" s="210"/>
      <c r="D150" s="210"/>
      <c r="E150" s="210"/>
      <c r="G150" s="55"/>
      <c r="H150" s="430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</row>
    <row r="151" spans="1:30" x14ac:dyDescent="0.2">
      <c r="A151" s="232"/>
      <c r="B151" s="210"/>
      <c r="C151" s="210"/>
      <c r="D151" s="210"/>
      <c r="E151" s="210"/>
      <c r="G151" s="55"/>
      <c r="H151" s="430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</row>
    <row r="152" spans="1:30" x14ac:dyDescent="0.2">
      <c r="A152" s="232"/>
      <c r="B152" s="210"/>
      <c r="C152" s="210"/>
      <c r="D152" s="210"/>
      <c r="E152" s="210"/>
      <c r="G152" s="55"/>
      <c r="H152" s="430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</row>
    <row r="153" spans="1:30" x14ac:dyDescent="0.2">
      <c r="A153" s="232"/>
      <c r="B153" s="210"/>
      <c r="C153" s="210"/>
      <c r="D153" s="210"/>
      <c r="E153" s="210"/>
      <c r="G153" s="55"/>
      <c r="H153" s="430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</row>
    <row r="154" spans="1:30" x14ac:dyDescent="0.2">
      <c r="A154" s="232"/>
      <c r="B154" s="210"/>
      <c r="C154" s="210"/>
      <c r="D154" s="210"/>
      <c r="E154" s="210"/>
      <c r="G154" s="55"/>
      <c r="H154" s="430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</row>
    <row r="155" spans="1:30" x14ac:dyDescent="0.2">
      <c r="A155" s="232"/>
      <c r="B155" s="210"/>
      <c r="C155" s="210"/>
      <c r="D155" s="210"/>
      <c r="E155" s="210"/>
      <c r="G155" s="55"/>
      <c r="H155" s="430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</row>
    <row r="156" spans="1:30" x14ac:dyDescent="0.2">
      <c r="A156" s="232"/>
      <c r="B156" s="210"/>
      <c r="C156" s="210"/>
      <c r="D156" s="210"/>
      <c r="E156" s="210"/>
      <c r="G156" s="55"/>
      <c r="H156" s="430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</row>
    <row r="157" spans="1:30" x14ac:dyDescent="0.2">
      <c r="A157" s="232"/>
      <c r="B157" s="210"/>
      <c r="C157" s="210"/>
      <c r="D157" s="210"/>
      <c r="E157" s="210"/>
      <c r="G157" s="55"/>
      <c r="H157" s="430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</row>
    <row r="158" spans="1:30" x14ac:dyDescent="0.2">
      <c r="A158" s="232"/>
      <c r="B158" s="210"/>
      <c r="C158" s="210"/>
      <c r="D158" s="210"/>
      <c r="E158" s="210"/>
      <c r="G158" s="55"/>
      <c r="H158" s="430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</row>
    <row r="159" spans="1:30" x14ac:dyDescent="0.2">
      <c r="A159" s="232"/>
      <c r="B159" s="210"/>
      <c r="C159" s="210"/>
      <c r="D159" s="210"/>
      <c r="E159" s="210"/>
      <c r="G159" s="55"/>
      <c r="H159" s="430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</row>
    <row r="160" spans="1:30" x14ac:dyDescent="0.2">
      <c r="A160" s="232"/>
      <c r="B160" s="210"/>
      <c r="C160" s="210"/>
      <c r="D160" s="210"/>
      <c r="E160" s="210"/>
      <c r="G160" s="55"/>
      <c r="H160" s="430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</row>
    <row r="161" spans="1:30" x14ac:dyDescent="0.2">
      <c r="A161" s="232"/>
      <c r="B161" s="210"/>
      <c r="C161" s="210"/>
      <c r="D161" s="210"/>
      <c r="E161" s="210"/>
      <c r="G161" s="55"/>
      <c r="H161" s="430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</row>
    <row r="162" spans="1:30" x14ac:dyDescent="0.2">
      <c r="A162" s="232"/>
      <c r="B162" s="210"/>
      <c r="C162" s="210"/>
      <c r="D162" s="210"/>
      <c r="E162" s="210"/>
      <c r="G162" s="55"/>
      <c r="H162" s="430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</row>
    <row r="163" spans="1:30" x14ac:dyDescent="0.2">
      <c r="A163" s="232"/>
      <c r="B163" s="210"/>
      <c r="C163" s="210"/>
      <c r="D163" s="210"/>
      <c r="E163" s="210"/>
      <c r="G163" s="55"/>
      <c r="H163" s="430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</row>
    <row r="164" spans="1:30" x14ac:dyDescent="0.2">
      <c r="A164" s="232"/>
      <c r="B164" s="210"/>
      <c r="C164" s="210"/>
      <c r="D164" s="210"/>
      <c r="E164" s="210"/>
      <c r="G164" s="55"/>
      <c r="H164" s="430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</row>
    <row r="165" spans="1:30" x14ac:dyDescent="0.2">
      <c r="A165" s="232"/>
      <c r="B165" s="210"/>
      <c r="C165" s="210"/>
      <c r="D165" s="210"/>
      <c r="E165" s="210"/>
      <c r="G165" s="55"/>
      <c r="H165" s="430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</row>
    <row r="166" spans="1:30" x14ac:dyDescent="0.2">
      <c r="A166" s="232"/>
      <c r="B166" s="210"/>
      <c r="C166" s="210"/>
      <c r="D166" s="210"/>
      <c r="E166" s="210"/>
      <c r="G166" s="55"/>
      <c r="H166" s="430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</row>
    <row r="167" spans="1:30" x14ac:dyDescent="0.2">
      <c r="A167" s="232"/>
      <c r="B167" s="210"/>
      <c r="C167" s="210"/>
      <c r="D167" s="210"/>
      <c r="E167" s="210"/>
      <c r="G167" s="55"/>
      <c r="H167" s="430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</row>
    <row r="168" spans="1:30" x14ac:dyDescent="0.2">
      <c r="A168" s="232"/>
      <c r="B168" s="210"/>
      <c r="C168" s="210"/>
      <c r="D168" s="210"/>
      <c r="E168" s="210"/>
      <c r="G168" s="55"/>
      <c r="H168" s="430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</row>
    <row r="169" spans="1:30" x14ac:dyDescent="0.2">
      <c r="A169" s="232"/>
      <c r="B169" s="210"/>
      <c r="C169" s="210"/>
      <c r="D169" s="210"/>
      <c r="E169" s="210"/>
      <c r="G169" s="55"/>
      <c r="H169" s="430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</row>
    <row r="170" spans="1:30" x14ac:dyDescent="0.2">
      <c r="A170" s="232"/>
      <c r="B170" s="210"/>
      <c r="C170" s="210"/>
      <c r="D170" s="210"/>
      <c r="E170" s="210"/>
      <c r="G170" s="55"/>
      <c r="H170" s="430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</row>
    <row r="171" spans="1:30" x14ac:dyDescent="0.2">
      <c r="A171" s="232"/>
      <c r="B171" s="210"/>
      <c r="C171" s="210"/>
      <c r="D171" s="210"/>
      <c r="E171" s="210"/>
      <c r="G171" s="55"/>
      <c r="H171" s="56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</row>
    <row r="172" spans="1:30" x14ac:dyDescent="0.2">
      <c r="A172" s="232"/>
      <c r="B172" s="210"/>
      <c r="C172" s="210"/>
      <c r="D172" s="210"/>
      <c r="E172" s="210"/>
      <c r="G172" s="55"/>
      <c r="H172" s="56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</row>
    <row r="173" spans="1:30" x14ac:dyDescent="0.2">
      <c r="A173" s="232"/>
      <c r="B173" s="210"/>
      <c r="C173" s="210"/>
      <c r="D173" s="210"/>
      <c r="E173" s="210"/>
      <c r="G173" s="55"/>
      <c r="H173" s="56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</row>
    <row r="174" spans="1:30" x14ac:dyDescent="0.2">
      <c r="A174" s="232"/>
      <c r="B174" s="210"/>
      <c r="C174" s="210"/>
      <c r="D174" s="210"/>
      <c r="E174" s="210"/>
      <c r="G174" s="55"/>
      <c r="H174" s="56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</row>
    <row r="175" spans="1:30" x14ac:dyDescent="0.2">
      <c r="A175" s="232"/>
      <c r="B175" s="210"/>
      <c r="C175" s="210"/>
      <c r="D175" s="210"/>
      <c r="E175" s="210"/>
      <c r="G175" s="55"/>
      <c r="H175" s="56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</row>
    <row r="176" spans="1:30" x14ac:dyDescent="0.2">
      <c r="A176" s="232"/>
      <c r="B176" s="210"/>
      <c r="C176" s="210"/>
      <c r="D176" s="210"/>
      <c r="E176" s="210"/>
      <c r="G176" s="55"/>
      <c r="H176" s="56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</row>
    <row r="177" spans="1:30" x14ac:dyDescent="0.2">
      <c r="A177" s="232"/>
      <c r="B177" s="210"/>
      <c r="C177" s="210"/>
      <c r="D177" s="210"/>
      <c r="E177" s="210"/>
      <c r="G177" s="55"/>
      <c r="H177" s="56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</row>
    <row r="178" spans="1:30" x14ac:dyDescent="0.2">
      <c r="A178" s="232"/>
      <c r="B178" s="210"/>
      <c r="C178" s="210"/>
      <c r="D178" s="210"/>
      <c r="E178" s="210"/>
      <c r="G178" s="55"/>
      <c r="H178" s="56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</row>
    <row r="179" spans="1:30" x14ac:dyDescent="0.2">
      <c r="A179" s="232"/>
      <c r="B179" s="210"/>
      <c r="C179" s="210"/>
      <c r="D179" s="210"/>
      <c r="E179" s="210"/>
      <c r="G179" s="55"/>
      <c r="H179" s="56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</row>
    <row r="180" spans="1:30" x14ac:dyDescent="0.2">
      <c r="A180" s="232"/>
      <c r="B180" s="210"/>
      <c r="C180" s="210"/>
      <c r="D180" s="210"/>
      <c r="E180" s="210"/>
      <c r="G180" s="55"/>
      <c r="H180" s="56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</row>
    <row r="181" spans="1:30" x14ac:dyDescent="0.2">
      <c r="A181" s="232"/>
      <c r="B181" s="210"/>
      <c r="C181" s="210"/>
      <c r="D181" s="210"/>
      <c r="E181" s="210"/>
      <c r="G181" s="55"/>
      <c r="H181" s="56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</row>
    <row r="182" spans="1:30" x14ac:dyDescent="0.2">
      <c r="A182" s="232"/>
      <c r="B182" s="210"/>
      <c r="C182" s="210"/>
      <c r="D182" s="210"/>
      <c r="E182" s="210"/>
      <c r="G182" s="55"/>
      <c r="H182" s="56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</row>
    <row r="183" spans="1:30" x14ac:dyDescent="0.2">
      <c r="A183" s="232"/>
      <c r="B183" s="210"/>
      <c r="C183" s="210"/>
      <c r="D183" s="210"/>
      <c r="E183" s="210"/>
      <c r="G183" s="55"/>
      <c r="H183" s="56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</row>
    <row r="184" spans="1:30" x14ac:dyDescent="0.2">
      <c r="A184" s="232"/>
      <c r="B184" s="210"/>
      <c r="C184" s="210"/>
      <c r="D184" s="210"/>
      <c r="E184" s="210"/>
      <c r="G184" s="55"/>
      <c r="H184" s="56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</row>
    <row r="185" spans="1:30" x14ac:dyDescent="0.2">
      <c r="A185" s="232"/>
      <c r="B185" s="210"/>
      <c r="C185" s="210"/>
      <c r="D185" s="210"/>
      <c r="E185" s="210"/>
      <c r="G185" s="55"/>
      <c r="H185" s="56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</row>
    <row r="186" spans="1:30" x14ac:dyDescent="0.2">
      <c r="A186" s="232"/>
      <c r="B186" s="210"/>
      <c r="C186" s="210"/>
      <c r="D186" s="210"/>
      <c r="E186" s="210"/>
      <c r="G186" s="55"/>
      <c r="H186" s="56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</row>
    <row r="187" spans="1:30" x14ac:dyDescent="0.2">
      <c r="A187" s="232"/>
      <c r="B187" s="210"/>
      <c r="C187" s="210"/>
      <c r="D187" s="210"/>
      <c r="E187" s="210"/>
      <c r="G187" s="55"/>
      <c r="H187" s="56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</row>
    <row r="188" spans="1:30" x14ac:dyDescent="0.2">
      <c r="A188" s="232"/>
      <c r="B188" s="210"/>
      <c r="C188" s="210"/>
      <c r="D188" s="210"/>
      <c r="E188" s="210"/>
      <c r="G188" s="55"/>
      <c r="H188" s="56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</row>
    <row r="189" spans="1:30" x14ac:dyDescent="0.2">
      <c r="A189" s="232"/>
      <c r="B189" s="210"/>
      <c r="C189" s="210"/>
      <c r="D189" s="210"/>
      <c r="E189" s="210"/>
      <c r="G189" s="55"/>
      <c r="H189" s="56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</row>
    <row r="190" spans="1:30" x14ac:dyDescent="0.2">
      <c r="A190" s="232"/>
      <c r="B190" s="210"/>
      <c r="C190" s="210"/>
      <c r="D190" s="210"/>
      <c r="E190" s="210"/>
      <c r="G190" s="55"/>
      <c r="H190" s="56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</row>
    <row r="191" spans="1:30" x14ac:dyDescent="0.2">
      <c r="A191" s="232"/>
      <c r="B191" s="210"/>
      <c r="C191" s="210"/>
      <c r="D191" s="210"/>
      <c r="E191" s="210"/>
      <c r="G191" s="55"/>
      <c r="H191" s="56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</row>
    <row r="192" spans="1:30" x14ac:dyDescent="0.2">
      <c r="A192" s="232"/>
      <c r="B192" s="210"/>
      <c r="C192" s="210"/>
      <c r="D192" s="210"/>
      <c r="E192" s="210"/>
      <c r="G192" s="55"/>
      <c r="H192" s="56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</row>
    <row r="193" spans="1:30" x14ac:dyDescent="0.2">
      <c r="A193" s="232"/>
      <c r="B193" s="210"/>
      <c r="C193" s="210"/>
      <c r="D193" s="210"/>
      <c r="E193" s="210"/>
      <c r="G193" s="55"/>
      <c r="H193" s="56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</row>
    <row r="194" spans="1:30" x14ac:dyDescent="0.2">
      <c r="A194" s="232"/>
      <c r="B194" s="210"/>
      <c r="C194" s="210"/>
      <c r="D194" s="210"/>
      <c r="E194" s="210"/>
      <c r="G194" s="55"/>
      <c r="H194" s="56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</row>
    <row r="195" spans="1:30" x14ac:dyDescent="0.2">
      <c r="A195" s="232"/>
      <c r="B195" s="210"/>
      <c r="C195" s="210"/>
      <c r="D195" s="210"/>
      <c r="E195" s="210"/>
      <c r="G195" s="55"/>
      <c r="H195" s="56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</row>
    <row r="196" spans="1:30" x14ac:dyDescent="0.2">
      <c r="A196" s="232"/>
      <c r="B196" s="210"/>
      <c r="C196" s="210"/>
      <c r="D196" s="210"/>
      <c r="E196" s="210"/>
      <c r="G196" s="55"/>
      <c r="H196" s="56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</row>
    <row r="197" spans="1:30" x14ac:dyDescent="0.2">
      <c r="A197" s="232"/>
      <c r="B197" s="210"/>
      <c r="C197" s="210"/>
      <c r="D197" s="210"/>
      <c r="E197" s="210"/>
      <c r="G197" s="55"/>
      <c r="H197" s="56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</row>
    <row r="198" spans="1:30" x14ac:dyDescent="0.2">
      <c r="A198" s="232"/>
      <c r="B198" s="210"/>
      <c r="C198" s="210"/>
      <c r="D198" s="210"/>
      <c r="E198" s="210"/>
      <c r="G198" s="55"/>
      <c r="H198" s="56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</row>
    <row r="199" spans="1:30" x14ac:dyDescent="0.2">
      <c r="A199" s="232"/>
      <c r="B199" s="210"/>
      <c r="C199" s="210"/>
      <c r="D199" s="210"/>
      <c r="E199" s="210"/>
      <c r="G199" s="55"/>
      <c r="H199" s="56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</row>
    <row r="200" spans="1:30" x14ac:dyDescent="0.2">
      <c r="A200" s="232"/>
      <c r="B200" s="210"/>
      <c r="C200" s="210"/>
      <c r="D200" s="210"/>
      <c r="E200" s="210"/>
      <c r="G200" s="55"/>
      <c r="H200" s="56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</row>
    <row r="201" spans="1:30" x14ac:dyDescent="0.2">
      <c r="A201" s="232"/>
      <c r="B201" s="210"/>
      <c r="C201" s="210"/>
      <c r="D201" s="210"/>
      <c r="E201" s="210"/>
      <c r="G201" s="55"/>
      <c r="H201" s="56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</row>
    <row r="202" spans="1:30" x14ac:dyDescent="0.2">
      <c r="A202" s="232"/>
      <c r="B202" s="210"/>
      <c r="C202" s="210"/>
      <c r="D202" s="210"/>
      <c r="E202" s="210"/>
      <c r="G202" s="55"/>
      <c r="H202" s="56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</row>
    <row r="203" spans="1:30" x14ac:dyDescent="0.2">
      <c r="A203" s="232"/>
      <c r="B203" s="210"/>
      <c r="C203" s="210"/>
      <c r="D203" s="210"/>
      <c r="E203" s="210"/>
      <c r="G203" s="55"/>
      <c r="H203" s="56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</row>
    <row r="204" spans="1:30" x14ac:dyDescent="0.2">
      <c r="A204" s="232"/>
      <c r="B204" s="210"/>
      <c r="C204" s="210"/>
      <c r="D204" s="210"/>
      <c r="E204" s="210"/>
      <c r="G204" s="55"/>
      <c r="H204" s="56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</row>
    <row r="205" spans="1:30" x14ac:dyDescent="0.2">
      <c r="A205" s="232"/>
      <c r="B205" s="210"/>
      <c r="C205" s="210"/>
      <c r="D205" s="210"/>
      <c r="E205" s="210"/>
      <c r="G205" s="55"/>
      <c r="H205" s="56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</row>
    <row r="206" spans="1:30" x14ac:dyDescent="0.2">
      <c r="A206" s="232"/>
      <c r="B206" s="210"/>
      <c r="C206" s="210"/>
      <c r="D206" s="210"/>
      <c r="E206" s="210"/>
      <c r="G206" s="55"/>
      <c r="H206" s="56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</row>
    <row r="207" spans="1:30" x14ac:dyDescent="0.2">
      <c r="A207" s="232"/>
      <c r="B207" s="210"/>
      <c r="C207" s="210"/>
      <c r="D207" s="210"/>
      <c r="E207" s="210"/>
      <c r="G207" s="55"/>
      <c r="H207" s="56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</row>
    <row r="208" spans="1:30" x14ac:dyDescent="0.2">
      <c r="A208" s="232"/>
      <c r="B208" s="210"/>
      <c r="C208" s="210"/>
      <c r="D208" s="210"/>
      <c r="E208" s="210"/>
      <c r="G208" s="55"/>
      <c r="H208" s="56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</row>
    <row r="209" spans="1:30" x14ac:dyDescent="0.2">
      <c r="A209" s="232"/>
      <c r="B209" s="210"/>
      <c r="C209" s="210"/>
      <c r="D209" s="210"/>
      <c r="E209" s="210"/>
      <c r="G209" s="55"/>
      <c r="H209" s="56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</row>
    <row r="210" spans="1:30" x14ac:dyDescent="0.2">
      <c r="A210" s="232"/>
      <c r="B210" s="210"/>
      <c r="C210" s="210"/>
      <c r="D210" s="210"/>
      <c r="E210" s="210"/>
      <c r="G210" s="55"/>
      <c r="H210" s="56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</row>
    <row r="211" spans="1:30" x14ac:dyDescent="0.2">
      <c r="A211" s="232"/>
      <c r="B211" s="210"/>
      <c r="C211" s="210"/>
      <c r="D211" s="210"/>
      <c r="E211" s="210"/>
      <c r="G211" s="55"/>
      <c r="H211" s="56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</row>
    <row r="212" spans="1:30" x14ac:dyDescent="0.2">
      <c r="A212" s="232"/>
      <c r="B212" s="210"/>
      <c r="C212" s="210"/>
      <c r="D212" s="210"/>
      <c r="E212" s="210"/>
      <c r="G212" s="55"/>
      <c r="H212" s="56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</row>
    <row r="213" spans="1:30" x14ac:dyDescent="0.2">
      <c r="A213" s="232"/>
      <c r="B213" s="210"/>
      <c r="C213" s="210"/>
      <c r="D213" s="210"/>
      <c r="E213" s="210"/>
      <c r="G213" s="55"/>
      <c r="H213" s="56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</row>
    <row r="214" spans="1:30" x14ac:dyDescent="0.2">
      <c r="A214" s="232"/>
      <c r="B214" s="210"/>
      <c r="C214" s="210"/>
      <c r="D214" s="210"/>
      <c r="E214" s="210"/>
      <c r="G214" s="55"/>
      <c r="H214" s="56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</row>
    <row r="215" spans="1:30" x14ac:dyDescent="0.2">
      <c r="A215" s="232"/>
      <c r="B215" s="210"/>
      <c r="C215" s="210"/>
      <c r="D215" s="210"/>
      <c r="E215" s="210"/>
      <c r="G215" s="55"/>
      <c r="H215" s="56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</row>
    <row r="216" spans="1:30" x14ac:dyDescent="0.2">
      <c r="A216" s="232"/>
      <c r="B216" s="210"/>
      <c r="C216" s="210"/>
      <c r="D216" s="210"/>
      <c r="E216" s="210"/>
      <c r="G216" s="55"/>
      <c r="H216" s="56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</row>
    <row r="217" spans="1:30" x14ac:dyDescent="0.2">
      <c r="A217" s="232"/>
      <c r="B217" s="210"/>
      <c r="C217" s="210"/>
      <c r="D217" s="210"/>
      <c r="E217" s="210"/>
      <c r="G217" s="55"/>
      <c r="H217" s="56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</row>
    <row r="218" spans="1:30" x14ac:dyDescent="0.2">
      <c r="A218" s="232"/>
      <c r="B218" s="210"/>
      <c r="C218" s="210"/>
      <c r="D218" s="210"/>
      <c r="E218" s="210"/>
      <c r="G218" s="55"/>
      <c r="H218" s="56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</row>
    <row r="219" spans="1:30" x14ac:dyDescent="0.2">
      <c r="A219" s="232"/>
      <c r="B219" s="210"/>
      <c r="C219" s="210"/>
      <c r="D219" s="210"/>
      <c r="E219" s="210"/>
      <c r="G219" s="55"/>
      <c r="H219" s="56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</row>
    <row r="220" spans="1:30" x14ac:dyDescent="0.2">
      <c r="A220" s="232"/>
      <c r="B220" s="210"/>
      <c r="C220" s="210"/>
      <c r="D220" s="210"/>
      <c r="E220" s="210"/>
      <c r="G220" s="55"/>
      <c r="H220" s="56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</row>
    <row r="221" spans="1:30" x14ac:dyDescent="0.2">
      <c r="A221" s="232"/>
      <c r="B221" s="210"/>
      <c r="C221" s="210"/>
      <c r="D221" s="210"/>
      <c r="E221" s="210"/>
      <c r="G221" s="55"/>
      <c r="H221" s="56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</row>
    <row r="222" spans="1:30" x14ac:dyDescent="0.2">
      <c r="A222" s="232"/>
      <c r="B222" s="210"/>
      <c r="C222" s="210"/>
      <c r="D222" s="210"/>
      <c r="E222" s="210"/>
      <c r="G222" s="55"/>
      <c r="H222" s="56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</row>
    <row r="223" spans="1:30" x14ac:dyDescent="0.2">
      <c r="A223" s="232"/>
      <c r="B223" s="210"/>
      <c r="C223" s="210"/>
      <c r="D223" s="210"/>
      <c r="E223" s="210"/>
      <c r="G223" s="55"/>
      <c r="H223" s="56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</row>
    <row r="224" spans="1:30" x14ac:dyDescent="0.2">
      <c r="A224" s="232"/>
      <c r="B224" s="210"/>
      <c r="C224" s="210"/>
      <c r="D224" s="210"/>
      <c r="E224" s="210"/>
      <c r="G224" s="55"/>
      <c r="H224" s="56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</row>
    <row r="225" spans="1:30" x14ac:dyDescent="0.2">
      <c r="A225" s="232"/>
      <c r="B225" s="210"/>
      <c r="C225" s="210"/>
      <c r="D225" s="210"/>
      <c r="E225" s="210"/>
      <c r="G225" s="55"/>
      <c r="H225" s="56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</row>
    <row r="226" spans="1:30" x14ac:dyDescent="0.2">
      <c r="A226" s="232"/>
      <c r="B226" s="210"/>
      <c r="C226" s="210"/>
      <c r="D226" s="210"/>
      <c r="E226" s="210"/>
      <c r="G226" s="55"/>
      <c r="H226" s="56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</row>
    <row r="227" spans="1:30" x14ac:dyDescent="0.2">
      <c r="A227" s="232"/>
      <c r="B227" s="210"/>
      <c r="C227" s="210"/>
      <c r="D227" s="210"/>
      <c r="E227" s="210"/>
      <c r="G227" s="55"/>
      <c r="H227" s="56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</row>
    <row r="228" spans="1:30" x14ac:dyDescent="0.2">
      <c r="A228" s="232"/>
      <c r="B228" s="210"/>
      <c r="C228" s="210"/>
      <c r="D228" s="210"/>
      <c r="E228" s="210"/>
      <c r="G228" s="55"/>
      <c r="H228" s="56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</row>
    <row r="229" spans="1:30" x14ac:dyDescent="0.2">
      <c r="A229" s="232"/>
      <c r="B229" s="210"/>
      <c r="C229" s="210"/>
      <c r="D229" s="210"/>
      <c r="E229" s="210"/>
      <c r="G229" s="55"/>
      <c r="H229" s="56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</row>
    <row r="230" spans="1:30" x14ac:dyDescent="0.2">
      <c r="A230" s="232"/>
      <c r="B230" s="210"/>
      <c r="C230" s="210"/>
      <c r="D230" s="210"/>
      <c r="E230" s="210"/>
      <c r="G230" s="55"/>
      <c r="H230" s="56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</row>
    <row r="231" spans="1:30" x14ac:dyDescent="0.2">
      <c r="A231" s="232"/>
      <c r="B231" s="210"/>
      <c r="C231" s="210"/>
      <c r="D231" s="210"/>
      <c r="E231" s="210"/>
      <c r="G231" s="55"/>
      <c r="H231" s="56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</row>
    <row r="232" spans="1:30" x14ac:dyDescent="0.2">
      <c r="A232" s="232"/>
      <c r="B232" s="210"/>
      <c r="C232" s="210"/>
      <c r="D232" s="210"/>
      <c r="E232" s="210"/>
      <c r="G232" s="55"/>
      <c r="H232" s="56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</row>
    <row r="233" spans="1:30" x14ac:dyDescent="0.2">
      <c r="A233" s="232"/>
      <c r="B233" s="210"/>
      <c r="C233" s="210"/>
      <c r="D233" s="210"/>
      <c r="E233" s="210"/>
      <c r="G233" s="55"/>
      <c r="H233" s="56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</row>
    <row r="234" spans="1:30" x14ac:dyDescent="0.2">
      <c r="A234" s="232"/>
      <c r="B234" s="210"/>
      <c r="C234" s="210"/>
      <c r="D234" s="210"/>
      <c r="E234" s="210"/>
      <c r="G234" s="55"/>
      <c r="H234" s="56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</row>
    <row r="235" spans="1:30" x14ac:dyDescent="0.2">
      <c r="A235" s="232"/>
      <c r="B235" s="210"/>
      <c r="C235" s="210"/>
      <c r="D235" s="210"/>
      <c r="E235" s="210"/>
      <c r="G235" s="55"/>
      <c r="H235" s="56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</row>
    <row r="236" spans="1:30" x14ac:dyDescent="0.2">
      <c r="A236" s="232"/>
      <c r="B236" s="210"/>
      <c r="C236" s="210"/>
      <c r="D236" s="210"/>
      <c r="E236" s="210"/>
      <c r="G236" s="55"/>
      <c r="H236" s="56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</row>
    <row r="237" spans="1:30" x14ac:dyDescent="0.2">
      <c r="A237" s="232"/>
      <c r="B237" s="210"/>
      <c r="C237" s="210"/>
      <c r="D237" s="210"/>
      <c r="E237" s="210"/>
      <c r="G237" s="55"/>
      <c r="H237" s="56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</row>
    <row r="238" spans="1:30" x14ac:dyDescent="0.2">
      <c r="A238" s="232"/>
      <c r="B238" s="210"/>
      <c r="C238" s="210"/>
      <c r="D238" s="210"/>
      <c r="E238" s="210"/>
      <c r="G238" s="55"/>
      <c r="H238" s="56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</row>
    <row r="239" spans="1:30" x14ac:dyDescent="0.2">
      <c r="A239" s="232"/>
      <c r="B239" s="210"/>
      <c r="C239" s="210"/>
      <c r="D239" s="210"/>
      <c r="E239" s="210"/>
      <c r="G239" s="55"/>
      <c r="H239" s="56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</row>
    <row r="240" spans="1:30" x14ac:dyDescent="0.2">
      <c r="A240" s="232"/>
      <c r="B240" s="210"/>
      <c r="C240" s="210"/>
      <c r="D240" s="210"/>
      <c r="E240" s="210"/>
      <c r="G240" s="55"/>
      <c r="H240" s="56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</row>
    <row r="241" spans="1:30" x14ac:dyDescent="0.2">
      <c r="A241" s="232"/>
      <c r="B241" s="210"/>
      <c r="C241" s="210"/>
      <c r="D241" s="210"/>
      <c r="E241" s="210"/>
      <c r="G241" s="55"/>
      <c r="H241" s="56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</row>
    <row r="242" spans="1:30" x14ac:dyDescent="0.2">
      <c r="A242" s="232"/>
      <c r="B242" s="210"/>
      <c r="C242" s="210"/>
      <c r="D242" s="210"/>
      <c r="E242" s="210"/>
      <c r="G242" s="55"/>
      <c r="H242" s="56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</row>
    <row r="243" spans="1:30" x14ac:dyDescent="0.2">
      <c r="A243" s="232"/>
      <c r="B243" s="210"/>
      <c r="C243" s="210"/>
      <c r="D243" s="210"/>
      <c r="E243" s="210"/>
      <c r="G243" s="55"/>
      <c r="H243" s="56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</row>
    <row r="244" spans="1:30" x14ac:dyDescent="0.2">
      <c r="A244" s="232"/>
      <c r="B244" s="210"/>
      <c r="C244" s="210"/>
      <c r="D244" s="210"/>
      <c r="E244" s="210"/>
      <c r="G244" s="55"/>
      <c r="H244" s="56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</row>
    <row r="245" spans="1:30" x14ac:dyDescent="0.2">
      <c r="A245" s="232"/>
      <c r="B245" s="210"/>
      <c r="C245" s="210"/>
      <c r="D245" s="210"/>
      <c r="E245" s="210"/>
      <c r="G245" s="55"/>
      <c r="H245" s="56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</row>
    <row r="246" spans="1:30" x14ac:dyDescent="0.2">
      <c r="A246" s="232"/>
      <c r="B246" s="210"/>
      <c r="C246" s="210"/>
      <c r="D246" s="210"/>
      <c r="E246" s="210"/>
      <c r="G246" s="55"/>
      <c r="H246" s="56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</row>
    <row r="247" spans="1:30" x14ac:dyDescent="0.2">
      <c r="A247" s="232"/>
      <c r="B247" s="210"/>
      <c r="C247" s="210"/>
      <c r="D247" s="210"/>
      <c r="E247" s="210"/>
      <c r="G247" s="55"/>
      <c r="H247" s="56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</row>
    <row r="248" spans="1:30" x14ac:dyDescent="0.2">
      <c r="A248" s="232"/>
      <c r="B248" s="210"/>
      <c r="C248" s="210"/>
      <c r="D248" s="210"/>
      <c r="E248" s="210"/>
      <c r="G248" s="55"/>
      <c r="H248" s="56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</row>
    <row r="249" spans="1:30" x14ac:dyDescent="0.2">
      <c r="A249" s="232"/>
      <c r="B249" s="210"/>
      <c r="C249" s="210"/>
      <c r="D249" s="210"/>
      <c r="E249" s="210"/>
      <c r="G249" s="55"/>
      <c r="H249" s="56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</row>
    <row r="250" spans="1:30" x14ac:dyDescent="0.2">
      <c r="A250" s="232"/>
      <c r="B250" s="210"/>
      <c r="C250" s="210"/>
      <c r="D250" s="210"/>
      <c r="E250" s="210"/>
      <c r="G250" s="55"/>
      <c r="H250" s="56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</row>
    <row r="251" spans="1:30" x14ac:dyDescent="0.2">
      <c r="A251" s="232"/>
      <c r="B251" s="210"/>
      <c r="C251" s="210"/>
      <c r="D251" s="210"/>
      <c r="E251" s="210"/>
      <c r="G251" s="55"/>
      <c r="H251" s="56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</row>
    <row r="252" spans="1:30" x14ac:dyDescent="0.2">
      <c r="A252" s="232"/>
      <c r="B252" s="210"/>
      <c r="C252" s="210"/>
      <c r="D252" s="210"/>
      <c r="E252" s="210"/>
      <c r="G252" s="55"/>
      <c r="H252" s="56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</row>
    <row r="253" spans="1:30" x14ac:dyDescent="0.2">
      <c r="A253" s="232"/>
      <c r="B253" s="210"/>
      <c r="C253" s="210"/>
      <c r="D253" s="210"/>
      <c r="E253" s="210"/>
      <c r="G253" s="55"/>
      <c r="H253" s="56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</row>
    <row r="254" spans="1:30" x14ac:dyDescent="0.2">
      <c r="A254" s="232"/>
      <c r="B254" s="210"/>
      <c r="C254" s="210"/>
      <c r="D254" s="210"/>
      <c r="E254" s="210"/>
      <c r="G254" s="55"/>
      <c r="H254" s="56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</row>
    <row r="255" spans="1:30" x14ac:dyDescent="0.2">
      <c r="A255" s="232"/>
      <c r="B255" s="210"/>
      <c r="C255" s="210"/>
      <c r="D255" s="210"/>
      <c r="E255" s="210"/>
      <c r="G255" s="55"/>
      <c r="H255" s="56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</row>
    <row r="256" spans="1:30" x14ac:dyDescent="0.2">
      <c r="A256" s="232"/>
      <c r="B256" s="210"/>
      <c r="C256" s="210"/>
      <c r="D256" s="210"/>
      <c r="E256" s="210"/>
      <c r="G256" s="55"/>
      <c r="H256" s="56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</row>
    <row r="257" spans="1:30" x14ac:dyDescent="0.2">
      <c r="A257" s="232"/>
      <c r="B257" s="210"/>
      <c r="C257" s="210"/>
      <c r="D257" s="210"/>
      <c r="E257" s="210"/>
      <c r="G257" s="55"/>
      <c r="H257" s="56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</row>
    <row r="258" spans="1:30" x14ac:dyDescent="0.2">
      <c r="A258" s="232"/>
      <c r="B258" s="210"/>
      <c r="C258" s="210"/>
      <c r="D258" s="210"/>
      <c r="E258" s="210"/>
      <c r="G258" s="55"/>
      <c r="H258" s="56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</row>
    <row r="259" spans="1:30" x14ac:dyDescent="0.2">
      <c r="A259" s="232"/>
      <c r="B259" s="210"/>
      <c r="C259" s="210"/>
      <c r="D259" s="210"/>
      <c r="E259" s="210"/>
      <c r="G259" s="55"/>
      <c r="H259" s="56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</row>
    <row r="260" spans="1:30" x14ac:dyDescent="0.2">
      <c r="A260" s="232"/>
      <c r="B260" s="210"/>
      <c r="C260" s="210"/>
      <c r="D260" s="210"/>
      <c r="E260" s="210"/>
      <c r="G260" s="55"/>
      <c r="H260" s="56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</row>
    <row r="261" spans="1:30" x14ac:dyDescent="0.2">
      <c r="A261" s="232"/>
      <c r="B261" s="210"/>
      <c r="C261" s="210"/>
      <c r="D261" s="210"/>
      <c r="E261" s="210"/>
      <c r="G261" s="55"/>
      <c r="H261" s="56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</row>
    <row r="262" spans="1:30" x14ac:dyDescent="0.2">
      <c r="A262" s="232"/>
      <c r="B262" s="210"/>
      <c r="C262" s="210"/>
      <c r="D262" s="210"/>
      <c r="E262" s="210"/>
      <c r="G262" s="55"/>
      <c r="H262" s="56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</row>
    <row r="263" spans="1:30" x14ac:dyDescent="0.2">
      <c r="A263" s="232"/>
      <c r="B263" s="210"/>
      <c r="C263" s="210"/>
      <c r="D263" s="210"/>
      <c r="E263" s="210"/>
      <c r="G263" s="55"/>
      <c r="H263" s="56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</row>
    <row r="264" spans="1:30" x14ac:dyDescent="0.2">
      <c r="A264" s="232"/>
      <c r="B264" s="210"/>
      <c r="C264" s="210"/>
      <c r="D264" s="210"/>
      <c r="E264" s="210"/>
      <c r="G264" s="55"/>
      <c r="H264" s="56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</row>
    <row r="265" spans="1:30" x14ac:dyDescent="0.2">
      <c r="A265" s="232"/>
      <c r="B265" s="210"/>
      <c r="C265" s="210"/>
      <c r="D265" s="210"/>
      <c r="E265" s="210"/>
      <c r="G265" s="55"/>
      <c r="H265" s="56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</row>
    <row r="266" spans="1:30" x14ac:dyDescent="0.2">
      <c r="A266" s="232"/>
      <c r="B266" s="210"/>
      <c r="C266" s="210"/>
      <c r="D266" s="210"/>
      <c r="E266" s="210"/>
      <c r="G266" s="55"/>
      <c r="H266" s="56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</row>
    <row r="267" spans="1:30" x14ac:dyDescent="0.2">
      <c r="A267" s="232"/>
      <c r="B267" s="210"/>
      <c r="C267" s="210"/>
      <c r="D267" s="210"/>
      <c r="E267" s="210"/>
      <c r="G267" s="55"/>
      <c r="H267" s="56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</row>
    <row r="268" spans="1:30" x14ac:dyDescent="0.2">
      <c r="A268" s="232"/>
      <c r="B268" s="210"/>
      <c r="C268" s="210"/>
      <c r="D268" s="210"/>
      <c r="E268" s="210"/>
      <c r="G268" s="55"/>
      <c r="H268" s="56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</row>
    <row r="269" spans="1:30" x14ac:dyDescent="0.2">
      <c r="A269" s="232"/>
      <c r="B269" s="210"/>
      <c r="C269" s="210"/>
      <c r="D269" s="210"/>
      <c r="E269" s="210"/>
      <c r="G269" s="55"/>
      <c r="H269" s="56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</row>
    <row r="270" spans="1:30" x14ac:dyDescent="0.2">
      <c r="A270" s="232"/>
      <c r="B270" s="210"/>
      <c r="C270" s="210"/>
      <c r="D270" s="210"/>
      <c r="E270" s="210"/>
      <c r="G270" s="55"/>
      <c r="H270" s="56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</row>
    <row r="271" spans="1:30" x14ac:dyDescent="0.2">
      <c r="A271" s="232"/>
      <c r="B271" s="210"/>
      <c r="C271" s="210"/>
      <c r="D271" s="210"/>
      <c r="E271" s="210"/>
      <c r="G271" s="55"/>
      <c r="H271" s="56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</row>
    <row r="272" spans="1:30" x14ac:dyDescent="0.2">
      <c r="A272" s="232"/>
      <c r="B272" s="210"/>
      <c r="C272" s="210"/>
      <c r="D272" s="210"/>
      <c r="E272" s="210"/>
      <c r="G272" s="55"/>
      <c r="H272" s="56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</row>
    <row r="273" spans="1:30" x14ac:dyDescent="0.2">
      <c r="A273" s="232"/>
      <c r="B273" s="210"/>
      <c r="C273" s="210"/>
      <c r="D273" s="210"/>
      <c r="E273" s="210"/>
      <c r="G273" s="55"/>
      <c r="H273" s="56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</row>
    <row r="274" spans="1:30" x14ac:dyDescent="0.2">
      <c r="A274" s="232"/>
      <c r="B274" s="210"/>
      <c r="C274" s="210"/>
      <c r="D274" s="210"/>
      <c r="E274" s="210"/>
      <c r="G274" s="55"/>
      <c r="H274" s="56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</row>
    <row r="275" spans="1:30" x14ac:dyDescent="0.2">
      <c r="A275" s="232"/>
      <c r="B275" s="210"/>
      <c r="C275" s="210"/>
      <c r="D275" s="210"/>
      <c r="E275" s="210"/>
      <c r="G275" s="55"/>
      <c r="H275" s="56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</row>
    <row r="276" spans="1:30" x14ac:dyDescent="0.2">
      <c r="A276" s="232"/>
      <c r="B276" s="210"/>
      <c r="C276" s="210"/>
      <c r="D276" s="210"/>
      <c r="E276" s="210"/>
      <c r="G276" s="55"/>
      <c r="H276" s="56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</row>
    <row r="277" spans="1:30" x14ac:dyDescent="0.2">
      <c r="A277" s="232"/>
      <c r="B277" s="210"/>
      <c r="C277" s="210"/>
      <c r="D277" s="210"/>
      <c r="E277" s="210"/>
      <c r="G277" s="55"/>
      <c r="H277" s="56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</row>
    <row r="278" spans="1:30" x14ac:dyDescent="0.2">
      <c r="A278" s="232"/>
      <c r="B278" s="210"/>
      <c r="C278" s="210"/>
      <c r="D278" s="210"/>
      <c r="E278" s="210"/>
      <c r="G278" s="55"/>
      <c r="H278" s="56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</row>
    <row r="279" spans="1:30" x14ac:dyDescent="0.2">
      <c r="A279" s="232"/>
      <c r="B279" s="210"/>
      <c r="C279" s="210"/>
      <c r="D279" s="210"/>
      <c r="E279" s="210"/>
      <c r="G279" s="55"/>
      <c r="H279" s="56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</row>
    <row r="280" spans="1:30" x14ac:dyDescent="0.2">
      <c r="A280" s="232"/>
      <c r="B280" s="210"/>
      <c r="C280" s="210"/>
      <c r="D280" s="210"/>
      <c r="E280" s="210"/>
      <c r="G280" s="55"/>
      <c r="H280" s="56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</row>
    <row r="281" spans="1:30" x14ac:dyDescent="0.2">
      <c r="A281" s="232"/>
      <c r="B281" s="210"/>
      <c r="C281" s="210"/>
      <c r="D281" s="210"/>
      <c r="E281" s="210"/>
      <c r="G281" s="55"/>
      <c r="H281" s="56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</row>
    <row r="282" spans="1:30" x14ac:dyDescent="0.2">
      <c r="A282" s="232"/>
      <c r="B282" s="210"/>
      <c r="C282" s="210"/>
      <c r="D282" s="210"/>
      <c r="E282" s="210"/>
      <c r="G282" s="55"/>
      <c r="H282" s="56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</row>
    <row r="283" spans="1:30" x14ac:dyDescent="0.2">
      <c r="A283" s="232"/>
      <c r="B283" s="210"/>
      <c r="C283" s="210"/>
      <c r="D283" s="210"/>
      <c r="E283" s="210"/>
      <c r="G283" s="55"/>
      <c r="H283" s="56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</row>
    <row r="284" spans="1:30" x14ac:dyDescent="0.2">
      <c r="A284" s="232"/>
      <c r="B284" s="210"/>
      <c r="C284" s="210"/>
      <c r="D284" s="210"/>
      <c r="E284" s="210"/>
      <c r="G284" s="55"/>
      <c r="H284" s="56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</row>
    <row r="285" spans="1:30" x14ac:dyDescent="0.2">
      <c r="A285" s="232"/>
      <c r="B285" s="210"/>
      <c r="C285" s="210"/>
      <c r="D285" s="210"/>
      <c r="E285" s="210"/>
      <c r="G285" s="55"/>
      <c r="H285" s="56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</row>
    <row r="286" spans="1:30" x14ac:dyDescent="0.2">
      <c r="A286" s="232"/>
      <c r="B286" s="210"/>
      <c r="C286" s="210"/>
      <c r="D286" s="210"/>
      <c r="E286" s="210"/>
      <c r="G286" s="55"/>
      <c r="H286" s="56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</row>
    <row r="287" spans="1:30" x14ac:dyDescent="0.2">
      <c r="A287" s="232"/>
      <c r="B287" s="210"/>
      <c r="C287" s="210"/>
      <c r="D287" s="210"/>
      <c r="E287" s="210"/>
      <c r="G287" s="55"/>
      <c r="H287" s="56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</row>
    <row r="288" spans="1:30" x14ac:dyDescent="0.2">
      <c r="A288" s="232"/>
      <c r="B288" s="210"/>
      <c r="C288" s="210"/>
      <c r="D288" s="210"/>
      <c r="E288" s="210"/>
      <c r="G288" s="55"/>
      <c r="H288" s="56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</row>
    <row r="289" spans="1:30" x14ac:dyDescent="0.2">
      <c r="A289" s="232"/>
      <c r="B289" s="210"/>
      <c r="C289" s="210"/>
      <c r="D289" s="210"/>
      <c r="E289" s="210"/>
      <c r="G289" s="55"/>
      <c r="H289" s="56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</row>
    <row r="290" spans="1:30" x14ac:dyDescent="0.2">
      <c r="A290" s="232"/>
      <c r="B290" s="210"/>
      <c r="C290" s="210"/>
      <c r="D290" s="210"/>
      <c r="E290" s="210"/>
      <c r="G290" s="55"/>
      <c r="H290" s="56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</row>
    <row r="291" spans="1:30" x14ac:dyDescent="0.2">
      <c r="A291" s="232"/>
      <c r="B291" s="210"/>
      <c r="C291" s="210"/>
      <c r="D291" s="210"/>
      <c r="E291" s="210"/>
      <c r="G291" s="55"/>
      <c r="H291" s="56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</row>
    <row r="292" spans="1:30" x14ac:dyDescent="0.2">
      <c r="A292" s="232"/>
      <c r="B292" s="210"/>
      <c r="C292" s="210"/>
      <c r="D292" s="210"/>
      <c r="E292" s="210"/>
      <c r="G292" s="55"/>
      <c r="H292" s="56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</row>
    <row r="293" spans="1:30" x14ac:dyDescent="0.2">
      <c r="A293" s="232"/>
      <c r="B293" s="210"/>
      <c r="C293" s="210"/>
      <c r="D293" s="210"/>
      <c r="E293" s="210"/>
      <c r="G293" s="55"/>
      <c r="H293" s="56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</row>
    <row r="294" spans="1:30" x14ac:dyDescent="0.2">
      <c r="A294" s="232"/>
      <c r="B294" s="210"/>
      <c r="C294" s="210"/>
      <c r="D294" s="210"/>
      <c r="E294" s="210"/>
      <c r="G294" s="55"/>
      <c r="H294" s="56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</row>
    <row r="295" spans="1:30" x14ac:dyDescent="0.2">
      <c r="A295" s="232"/>
      <c r="B295" s="210"/>
      <c r="C295" s="210"/>
      <c r="D295" s="210"/>
      <c r="E295" s="210"/>
      <c r="G295" s="55"/>
      <c r="H295" s="56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</row>
    <row r="296" spans="1:30" x14ac:dyDescent="0.2">
      <c r="A296" s="232"/>
      <c r="B296" s="210"/>
      <c r="C296" s="210"/>
      <c r="D296" s="210"/>
      <c r="E296" s="210"/>
      <c r="G296" s="55"/>
      <c r="H296" s="56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</row>
    <row r="297" spans="1:30" x14ac:dyDescent="0.2">
      <c r="A297" s="232"/>
      <c r="B297" s="210"/>
      <c r="C297" s="210"/>
      <c r="D297" s="210"/>
      <c r="E297" s="210"/>
      <c r="G297" s="55"/>
      <c r="H297" s="56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</row>
    <row r="298" spans="1:30" x14ac:dyDescent="0.2">
      <c r="A298" s="232"/>
      <c r="B298" s="210"/>
      <c r="C298" s="210"/>
      <c r="D298" s="210"/>
      <c r="E298" s="210"/>
      <c r="G298" s="55"/>
      <c r="H298" s="56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</row>
    <row r="299" spans="1:30" x14ac:dyDescent="0.2">
      <c r="A299" s="232"/>
      <c r="B299" s="210"/>
      <c r="C299" s="210"/>
      <c r="D299" s="210"/>
      <c r="E299" s="210"/>
      <c r="G299" s="55"/>
      <c r="H299" s="56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</row>
    <row r="300" spans="1:30" x14ac:dyDescent="0.2">
      <c r="A300" s="232"/>
      <c r="B300" s="210"/>
      <c r="C300" s="210"/>
      <c r="D300" s="210"/>
      <c r="E300" s="210"/>
      <c r="G300" s="55"/>
      <c r="H300" s="56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</row>
    <row r="301" spans="1:30" x14ac:dyDescent="0.2">
      <c r="A301" s="232"/>
      <c r="B301" s="210"/>
      <c r="C301" s="210"/>
      <c r="D301" s="210"/>
      <c r="E301" s="210"/>
      <c r="G301" s="55"/>
      <c r="H301" s="56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</row>
    <row r="302" spans="1:30" x14ac:dyDescent="0.2">
      <c r="A302" s="232"/>
      <c r="B302" s="210"/>
      <c r="C302" s="210"/>
      <c r="D302" s="210"/>
      <c r="E302" s="210"/>
      <c r="G302" s="55"/>
      <c r="H302" s="56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</row>
    <row r="303" spans="1:30" x14ac:dyDescent="0.2">
      <c r="A303" s="232"/>
      <c r="B303" s="210"/>
      <c r="C303" s="210"/>
      <c r="D303" s="210"/>
      <c r="E303" s="210"/>
      <c r="G303" s="55"/>
      <c r="H303" s="56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</row>
    <row r="304" spans="1:30" x14ac:dyDescent="0.2">
      <c r="A304" s="232"/>
      <c r="B304" s="210"/>
      <c r="C304" s="210"/>
      <c r="D304" s="210"/>
      <c r="E304" s="210"/>
      <c r="G304" s="55"/>
      <c r="H304" s="56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</row>
    <row r="305" spans="1:30" x14ac:dyDescent="0.2">
      <c r="A305" s="232"/>
      <c r="B305" s="210"/>
      <c r="C305" s="210"/>
      <c r="D305" s="210"/>
      <c r="E305" s="210"/>
      <c r="G305" s="55"/>
      <c r="H305" s="56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</row>
    <row r="306" spans="1:30" x14ac:dyDescent="0.2">
      <c r="A306" s="232"/>
      <c r="B306" s="210"/>
      <c r="C306" s="210"/>
      <c r="D306" s="210"/>
      <c r="E306" s="210"/>
      <c r="G306" s="55"/>
      <c r="H306" s="56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</row>
    <row r="307" spans="1:30" x14ac:dyDescent="0.2">
      <c r="A307" s="232"/>
      <c r="B307" s="210"/>
      <c r="C307" s="210"/>
      <c r="D307" s="210"/>
      <c r="E307" s="210"/>
      <c r="G307" s="55"/>
      <c r="H307" s="56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</row>
    <row r="308" spans="1:30" x14ac:dyDescent="0.2">
      <c r="A308" s="232"/>
      <c r="B308" s="210"/>
      <c r="C308" s="210"/>
      <c r="D308" s="210"/>
      <c r="E308" s="210"/>
      <c r="G308" s="55"/>
      <c r="H308" s="56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</row>
    <row r="309" spans="1:30" x14ac:dyDescent="0.2">
      <c r="A309" s="232"/>
      <c r="B309" s="210"/>
      <c r="C309" s="210"/>
      <c r="D309" s="210"/>
      <c r="E309" s="210"/>
      <c r="G309" s="55"/>
      <c r="H309" s="56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</row>
    <row r="310" spans="1:30" x14ac:dyDescent="0.2">
      <c r="A310" s="232"/>
      <c r="B310" s="210"/>
      <c r="C310" s="210"/>
      <c r="D310" s="210"/>
      <c r="E310" s="210"/>
      <c r="G310" s="55"/>
      <c r="H310" s="56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</row>
    <row r="311" spans="1:30" x14ac:dyDescent="0.2">
      <c r="A311" s="232"/>
      <c r="B311" s="210"/>
      <c r="C311" s="210"/>
      <c r="D311" s="210"/>
      <c r="E311" s="210"/>
      <c r="G311" s="55"/>
      <c r="H311" s="56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</row>
    <row r="312" spans="1:30" x14ac:dyDescent="0.2">
      <c r="A312" s="232"/>
      <c r="B312" s="210"/>
      <c r="C312" s="210"/>
      <c r="D312" s="210"/>
      <c r="E312" s="210"/>
      <c r="G312" s="55"/>
      <c r="H312" s="56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</row>
    <row r="313" spans="1:30" x14ac:dyDescent="0.2">
      <c r="A313" s="232"/>
      <c r="B313" s="210"/>
      <c r="C313" s="210"/>
      <c r="D313" s="210"/>
      <c r="E313" s="210"/>
      <c r="G313" s="55"/>
      <c r="H313" s="56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</row>
    <row r="314" spans="1:30" x14ac:dyDescent="0.2">
      <c r="A314" s="232"/>
      <c r="B314" s="210"/>
      <c r="C314" s="210"/>
      <c r="D314" s="210"/>
      <c r="E314" s="210"/>
      <c r="G314" s="55"/>
      <c r="H314" s="56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</row>
    <row r="315" spans="1:30" x14ac:dyDescent="0.2">
      <c r="A315" s="232"/>
      <c r="B315" s="210"/>
      <c r="C315" s="210"/>
      <c r="D315" s="210"/>
      <c r="E315" s="210"/>
      <c r="G315" s="55"/>
      <c r="H315" s="56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</row>
    <row r="316" spans="1:30" x14ac:dyDescent="0.2">
      <c r="A316" s="232"/>
      <c r="B316" s="210"/>
      <c r="C316" s="210"/>
      <c r="D316" s="210"/>
      <c r="E316" s="210"/>
      <c r="G316" s="55"/>
      <c r="H316" s="56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</row>
    <row r="317" spans="1:30" x14ac:dyDescent="0.2">
      <c r="A317" s="232"/>
      <c r="B317" s="210"/>
      <c r="C317" s="210"/>
      <c r="D317" s="210"/>
      <c r="E317" s="210"/>
      <c r="G317" s="55"/>
      <c r="H317" s="56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</row>
    <row r="318" spans="1:30" x14ac:dyDescent="0.2">
      <c r="A318" s="232"/>
      <c r="B318" s="210"/>
      <c r="C318" s="210"/>
      <c r="D318" s="210"/>
      <c r="E318" s="210"/>
      <c r="G318" s="55"/>
      <c r="H318" s="56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</row>
    <row r="319" spans="1:30" x14ac:dyDescent="0.2">
      <c r="A319" s="232"/>
      <c r="B319" s="210"/>
      <c r="C319" s="210"/>
      <c r="D319" s="210"/>
      <c r="E319" s="210"/>
      <c r="G319" s="55"/>
      <c r="H319" s="56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</row>
    <row r="320" spans="1:30" x14ac:dyDescent="0.2">
      <c r="A320" s="232"/>
      <c r="B320" s="210"/>
      <c r="C320" s="210"/>
      <c r="D320" s="210"/>
      <c r="E320" s="210"/>
      <c r="G320" s="55"/>
      <c r="H320" s="56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</row>
    <row r="321" spans="1:30" x14ac:dyDescent="0.2">
      <c r="A321" s="232"/>
      <c r="B321" s="210"/>
      <c r="C321" s="210"/>
      <c r="D321" s="210"/>
      <c r="E321" s="210"/>
      <c r="G321" s="55"/>
      <c r="H321" s="56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</row>
    <row r="322" spans="1:30" x14ac:dyDescent="0.2">
      <c r="A322" s="232"/>
      <c r="B322" s="210"/>
      <c r="C322" s="210"/>
      <c r="D322" s="210"/>
      <c r="E322" s="210"/>
      <c r="G322" s="55"/>
      <c r="H322" s="56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</row>
    <row r="323" spans="1:30" x14ac:dyDescent="0.2">
      <c r="A323" s="232"/>
      <c r="B323" s="210"/>
      <c r="C323" s="210"/>
      <c r="D323" s="210"/>
      <c r="E323" s="210"/>
      <c r="G323" s="55"/>
      <c r="H323" s="56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</row>
    <row r="324" spans="1:30" x14ac:dyDescent="0.2">
      <c r="A324" s="232"/>
      <c r="B324" s="210"/>
      <c r="C324" s="210"/>
      <c r="D324" s="210"/>
      <c r="E324" s="210"/>
      <c r="G324" s="55"/>
      <c r="H324" s="56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</row>
    <row r="325" spans="1:30" x14ac:dyDescent="0.2">
      <c r="A325" s="232"/>
      <c r="B325" s="210"/>
      <c r="C325" s="210"/>
      <c r="D325" s="210"/>
      <c r="E325" s="210"/>
      <c r="G325" s="55"/>
      <c r="H325" s="56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</row>
    <row r="326" spans="1:30" x14ac:dyDescent="0.2">
      <c r="A326" s="232"/>
      <c r="B326" s="210"/>
      <c r="C326" s="210"/>
      <c r="D326" s="210"/>
      <c r="E326" s="210"/>
      <c r="G326" s="55"/>
      <c r="H326" s="56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</row>
    <row r="327" spans="1:30" x14ac:dyDescent="0.2">
      <c r="A327" s="232"/>
      <c r="B327" s="210"/>
      <c r="C327" s="210"/>
      <c r="D327" s="210"/>
      <c r="E327" s="210"/>
      <c r="G327" s="55"/>
      <c r="H327" s="56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</row>
    <row r="328" spans="1:30" x14ac:dyDescent="0.2">
      <c r="A328" s="232"/>
      <c r="B328" s="210"/>
      <c r="C328" s="210"/>
      <c r="D328" s="210"/>
      <c r="E328" s="210"/>
      <c r="G328" s="55"/>
      <c r="H328" s="56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</row>
    <row r="329" spans="1:30" x14ac:dyDescent="0.2">
      <c r="A329" s="232"/>
      <c r="B329" s="210"/>
      <c r="C329" s="210"/>
      <c r="D329" s="210"/>
      <c r="E329" s="210"/>
      <c r="G329" s="55"/>
      <c r="H329" s="56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</row>
    <row r="330" spans="1:30" x14ac:dyDescent="0.2">
      <c r="A330" s="232"/>
      <c r="B330" s="210"/>
      <c r="C330" s="210"/>
      <c r="D330" s="210"/>
      <c r="E330" s="210"/>
      <c r="G330" s="55"/>
      <c r="H330" s="56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</row>
    <row r="331" spans="1:30" x14ac:dyDescent="0.2">
      <c r="A331" s="232"/>
      <c r="B331" s="210"/>
      <c r="C331" s="210"/>
      <c r="D331" s="210"/>
      <c r="E331" s="210"/>
      <c r="G331" s="55"/>
      <c r="H331" s="56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</row>
    <row r="332" spans="1:30" x14ac:dyDescent="0.2">
      <c r="A332" s="232"/>
      <c r="B332" s="210"/>
      <c r="C332" s="210"/>
      <c r="D332" s="210"/>
      <c r="E332" s="210"/>
      <c r="G332" s="55"/>
      <c r="H332" s="56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</row>
    <row r="333" spans="1:30" x14ac:dyDescent="0.2">
      <c r="A333" s="232"/>
      <c r="B333" s="210"/>
      <c r="C333" s="210"/>
      <c r="D333" s="210"/>
      <c r="E333" s="210"/>
      <c r="G333" s="55"/>
      <c r="H333" s="56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</row>
    <row r="334" spans="1:30" x14ac:dyDescent="0.2">
      <c r="A334" s="232"/>
      <c r="B334" s="210"/>
      <c r="C334" s="210"/>
      <c r="D334" s="210"/>
      <c r="E334" s="210"/>
      <c r="G334" s="55"/>
      <c r="H334" s="56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</row>
    <row r="335" spans="1:30" x14ac:dyDescent="0.2">
      <c r="A335" s="232"/>
      <c r="B335" s="210"/>
      <c r="C335" s="210"/>
      <c r="D335" s="210"/>
      <c r="E335" s="210"/>
      <c r="G335" s="55"/>
      <c r="H335" s="56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</row>
    <row r="336" spans="1:30" x14ac:dyDescent="0.2">
      <c r="A336" s="232"/>
      <c r="B336" s="210"/>
      <c r="C336" s="210"/>
      <c r="D336" s="210"/>
      <c r="E336" s="210"/>
      <c r="G336" s="55"/>
      <c r="H336" s="56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</row>
    <row r="337" spans="1:30" x14ac:dyDescent="0.2">
      <c r="A337" s="232"/>
      <c r="B337" s="210"/>
      <c r="C337" s="210"/>
      <c r="D337" s="210"/>
      <c r="E337" s="210"/>
      <c r="G337" s="55"/>
      <c r="H337" s="56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</row>
    <row r="338" spans="1:30" x14ac:dyDescent="0.2">
      <c r="A338" s="232"/>
      <c r="B338" s="210"/>
      <c r="C338" s="210"/>
      <c r="D338" s="210"/>
      <c r="E338" s="210"/>
      <c r="G338" s="55"/>
      <c r="H338" s="56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</row>
    <row r="339" spans="1:30" x14ac:dyDescent="0.2">
      <c r="A339" s="232"/>
      <c r="B339" s="210"/>
      <c r="C339" s="210"/>
      <c r="D339" s="210"/>
      <c r="E339" s="210"/>
      <c r="G339" s="55"/>
      <c r="H339" s="56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</row>
    <row r="340" spans="1:30" x14ac:dyDescent="0.2">
      <c r="A340" s="232"/>
      <c r="B340" s="210"/>
      <c r="C340" s="210"/>
      <c r="D340" s="210"/>
      <c r="E340" s="210"/>
      <c r="G340" s="55"/>
      <c r="H340" s="56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</row>
    <row r="341" spans="1:30" x14ac:dyDescent="0.2">
      <c r="A341" s="232"/>
      <c r="B341" s="210"/>
      <c r="C341" s="210"/>
      <c r="D341" s="210"/>
      <c r="E341" s="210"/>
      <c r="G341" s="55"/>
      <c r="H341" s="56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</row>
    <row r="342" spans="1:30" x14ac:dyDescent="0.2">
      <c r="A342" s="232"/>
      <c r="B342" s="210"/>
      <c r="C342" s="210"/>
      <c r="D342" s="210"/>
      <c r="E342" s="210"/>
      <c r="G342" s="55"/>
      <c r="H342" s="56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</row>
    <row r="343" spans="1:30" x14ac:dyDescent="0.2">
      <c r="A343" s="232"/>
      <c r="B343" s="210"/>
      <c r="C343" s="210"/>
      <c r="D343" s="210"/>
      <c r="E343" s="210"/>
      <c r="G343" s="55"/>
      <c r="H343" s="56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</row>
    <row r="344" spans="1:30" x14ac:dyDescent="0.2">
      <c r="A344" s="232"/>
      <c r="B344" s="210"/>
      <c r="C344" s="210"/>
      <c r="D344" s="210"/>
      <c r="E344" s="210"/>
      <c r="G344" s="55"/>
      <c r="H344" s="56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</row>
    <row r="345" spans="1:30" x14ac:dyDescent="0.2">
      <c r="A345" s="232"/>
      <c r="B345" s="210"/>
      <c r="C345" s="210"/>
      <c r="D345" s="210"/>
      <c r="E345" s="210"/>
      <c r="G345" s="55"/>
      <c r="H345" s="56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</row>
    <row r="346" spans="1:30" x14ac:dyDescent="0.2">
      <c r="A346" s="232"/>
      <c r="B346" s="210"/>
      <c r="C346" s="210"/>
      <c r="D346" s="210"/>
      <c r="E346" s="210"/>
      <c r="G346" s="55"/>
      <c r="H346" s="56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</row>
    <row r="347" spans="1:30" x14ac:dyDescent="0.2">
      <c r="A347" s="232"/>
      <c r="B347" s="210"/>
      <c r="C347" s="210"/>
      <c r="D347" s="210"/>
      <c r="E347" s="210"/>
      <c r="G347" s="55"/>
      <c r="H347" s="56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</row>
    <row r="348" spans="1:30" x14ac:dyDescent="0.2">
      <c r="A348" s="232"/>
      <c r="B348" s="210"/>
      <c r="C348" s="210"/>
      <c r="D348" s="210"/>
      <c r="E348" s="210"/>
      <c r="G348" s="55"/>
      <c r="H348" s="56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</row>
    <row r="349" spans="1:30" x14ac:dyDescent="0.2">
      <c r="A349" s="232"/>
      <c r="B349" s="210"/>
      <c r="C349" s="210"/>
      <c r="D349" s="210"/>
      <c r="E349" s="210"/>
      <c r="G349" s="55"/>
      <c r="H349" s="56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</row>
    <row r="350" spans="1:30" x14ac:dyDescent="0.2">
      <c r="A350" s="232"/>
      <c r="B350" s="210"/>
      <c r="C350" s="210"/>
      <c r="D350" s="210"/>
      <c r="E350" s="210"/>
      <c r="G350" s="55"/>
      <c r="H350" s="56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</row>
    <row r="351" spans="1:30" x14ac:dyDescent="0.2">
      <c r="A351" s="232"/>
      <c r="B351" s="210"/>
      <c r="C351" s="210"/>
      <c r="D351" s="210"/>
      <c r="E351" s="210"/>
      <c r="G351" s="55"/>
      <c r="H351" s="56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</row>
    <row r="352" spans="1:30" x14ac:dyDescent="0.2">
      <c r="A352" s="232"/>
      <c r="B352" s="210"/>
      <c r="C352" s="210"/>
      <c r="D352" s="210"/>
      <c r="E352" s="210"/>
      <c r="G352" s="55"/>
      <c r="H352" s="56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</row>
    <row r="353" spans="1:30" x14ac:dyDescent="0.2">
      <c r="A353" s="232"/>
      <c r="B353" s="210"/>
      <c r="C353" s="210"/>
      <c r="D353" s="210"/>
      <c r="E353" s="210"/>
      <c r="G353" s="55"/>
      <c r="H353" s="56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</row>
    <row r="354" spans="1:30" x14ac:dyDescent="0.2">
      <c r="A354" s="232"/>
      <c r="B354" s="210"/>
      <c r="C354" s="210"/>
      <c r="D354" s="210"/>
      <c r="E354" s="210"/>
      <c r="G354" s="55"/>
      <c r="H354" s="56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</row>
    <row r="355" spans="1:30" x14ac:dyDescent="0.2">
      <c r="A355" s="232"/>
      <c r="B355" s="210"/>
      <c r="C355" s="210"/>
      <c r="D355" s="210"/>
      <c r="E355" s="210"/>
      <c r="G355" s="55"/>
      <c r="H355" s="56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</row>
    <row r="356" spans="1:30" x14ac:dyDescent="0.2">
      <c r="A356" s="232"/>
      <c r="B356" s="210"/>
      <c r="C356" s="210"/>
      <c r="D356" s="210"/>
      <c r="E356" s="210"/>
      <c r="G356" s="55"/>
      <c r="H356" s="56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</row>
    <row r="357" spans="1:30" x14ac:dyDescent="0.2">
      <c r="A357" s="232"/>
      <c r="B357" s="210"/>
      <c r="C357" s="210"/>
      <c r="D357" s="210"/>
      <c r="E357" s="210"/>
      <c r="G357" s="55"/>
      <c r="H357" s="56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</row>
    <row r="358" spans="1:30" x14ac:dyDescent="0.2">
      <c r="A358" s="232"/>
      <c r="B358" s="210"/>
      <c r="C358" s="210"/>
      <c r="D358" s="210"/>
      <c r="E358" s="210"/>
      <c r="G358" s="55"/>
      <c r="H358" s="56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</row>
    <row r="359" spans="1:30" x14ac:dyDescent="0.2">
      <c r="A359" s="232"/>
      <c r="B359" s="210"/>
      <c r="C359" s="210"/>
      <c r="D359" s="210"/>
      <c r="E359" s="210"/>
      <c r="G359" s="55"/>
      <c r="H359" s="56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</row>
    <row r="360" spans="1:30" x14ac:dyDescent="0.2">
      <c r="A360" s="232"/>
      <c r="B360" s="210"/>
      <c r="C360" s="210"/>
      <c r="D360" s="210"/>
      <c r="E360" s="210"/>
      <c r="G360" s="55"/>
      <c r="H360" s="56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</row>
    <row r="361" spans="1:30" x14ac:dyDescent="0.2">
      <c r="A361" s="232"/>
      <c r="B361" s="210"/>
      <c r="C361" s="210"/>
      <c r="D361" s="210"/>
      <c r="E361" s="210"/>
      <c r="G361" s="55"/>
      <c r="H361" s="56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</row>
    <row r="362" spans="1:30" x14ac:dyDescent="0.2">
      <c r="A362" s="232"/>
      <c r="B362" s="210"/>
      <c r="C362" s="210"/>
      <c r="D362" s="210"/>
      <c r="E362" s="210"/>
      <c r="G362" s="55"/>
      <c r="H362" s="56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</row>
    <row r="363" spans="1:30" x14ac:dyDescent="0.2">
      <c r="A363" s="232"/>
      <c r="B363" s="210"/>
      <c r="C363" s="210"/>
      <c r="D363" s="210"/>
      <c r="E363" s="210"/>
      <c r="G363" s="55"/>
      <c r="H363" s="56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</row>
    <row r="364" spans="1:30" x14ac:dyDescent="0.2">
      <c r="A364" s="232"/>
      <c r="B364" s="210"/>
      <c r="C364" s="210"/>
      <c r="D364" s="210"/>
      <c r="E364" s="210"/>
      <c r="G364" s="55"/>
      <c r="H364" s="56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</row>
    <row r="365" spans="1:30" x14ac:dyDescent="0.2">
      <c r="A365" s="232"/>
      <c r="B365" s="210"/>
      <c r="C365" s="210"/>
      <c r="D365" s="210"/>
      <c r="E365" s="210"/>
      <c r="G365" s="55"/>
      <c r="H365" s="56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</row>
    <row r="366" spans="1:30" x14ac:dyDescent="0.2">
      <c r="A366" s="232"/>
      <c r="B366" s="210"/>
      <c r="C366" s="210"/>
      <c r="D366" s="210"/>
      <c r="E366" s="210"/>
      <c r="G366" s="55"/>
      <c r="H366" s="56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</row>
    <row r="367" spans="1:30" x14ac:dyDescent="0.2">
      <c r="A367" s="232"/>
      <c r="B367" s="210"/>
      <c r="C367" s="210"/>
      <c r="D367" s="210"/>
      <c r="E367" s="210"/>
      <c r="G367" s="55"/>
      <c r="H367" s="56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</row>
    <row r="368" spans="1:30" x14ac:dyDescent="0.2">
      <c r="A368" s="232"/>
      <c r="B368" s="210"/>
      <c r="C368" s="210"/>
      <c r="D368" s="210"/>
      <c r="E368" s="210"/>
      <c r="G368" s="55"/>
      <c r="H368" s="56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</row>
    <row r="369" spans="1:30" x14ac:dyDescent="0.2">
      <c r="A369" s="232"/>
      <c r="B369" s="210"/>
      <c r="C369" s="210"/>
      <c r="D369" s="210"/>
      <c r="E369" s="210"/>
      <c r="G369" s="55"/>
      <c r="H369" s="56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</row>
    <row r="370" spans="1:30" x14ac:dyDescent="0.2">
      <c r="A370" s="232"/>
      <c r="B370" s="210"/>
      <c r="C370" s="210"/>
      <c r="D370" s="210"/>
      <c r="E370" s="210"/>
      <c r="G370" s="55"/>
      <c r="H370" s="56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</row>
    <row r="371" spans="1:30" x14ac:dyDescent="0.2">
      <c r="A371" s="232"/>
      <c r="B371" s="210"/>
      <c r="C371" s="210"/>
      <c r="D371" s="210"/>
      <c r="E371" s="210"/>
      <c r="G371" s="55"/>
      <c r="H371" s="56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</row>
    <row r="372" spans="1:30" x14ac:dyDescent="0.2">
      <c r="A372" s="232"/>
      <c r="B372" s="210"/>
      <c r="C372" s="210"/>
      <c r="D372" s="210"/>
      <c r="E372" s="210"/>
      <c r="G372" s="55"/>
      <c r="H372" s="56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</row>
    <row r="373" spans="1:30" x14ac:dyDescent="0.2">
      <c r="A373" s="232"/>
      <c r="B373" s="210"/>
      <c r="C373" s="210"/>
      <c r="D373" s="210"/>
      <c r="E373" s="210"/>
      <c r="G373" s="55"/>
      <c r="H373" s="56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</row>
    <row r="374" spans="1:30" x14ac:dyDescent="0.2">
      <c r="A374" s="232"/>
      <c r="B374" s="210"/>
      <c r="C374" s="210"/>
      <c r="D374" s="210"/>
      <c r="E374" s="210"/>
      <c r="G374" s="55"/>
      <c r="H374" s="56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</row>
    <row r="375" spans="1:30" x14ac:dyDescent="0.2">
      <c r="A375" s="232"/>
      <c r="B375" s="210"/>
      <c r="C375" s="210"/>
      <c r="D375" s="210"/>
      <c r="E375" s="210"/>
      <c r="G375" s="55"/>
      <c r="H375" s="56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</row>
    <row r="376" spans="1:30" x14ac:dyDescent="0.2">
      <c r="A376" s="232"/>
      <c r="B376" s="210"/>
      <c r="C376" s="210"/>
      <c r="D376" s="210"/>
      <c r="E376" s="210"/>
      <c r="G376" s="55"/>
      <c r="H376" s="56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</row>
    <row r="377" spans="1:30" x14ac:dyDescent="0.2">
      <c r="A377" s="232"/>
      <c r="B377" s="210"/>
      <c r="C377" s="210"/>
      <c r="D377" s="210"/>
      <c r="E377" s="210"/>
      <c r="G377" s="55"/>
      <c r="H377" s="56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</row>
    <row r="378" spans="1:30" x14ac:dyDescent="0.2">
      <c r="A378" s="232"/>
      <c r="B378" s="210"/>
      <c r="C378" s="210"/>
      <c r="D378" s="210"/>
      <c r="E378" s="210"/>
      <c r="G378" s="55"/>
      <c r="H378" s="56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</row>
    <row r="379" spans="1:30" x14ac:dyDescent="0.2">
      <c r="A379" s="232"/>
      <c r="B379" s="210"/>
      <c r="C379" s="210"/>
      <c r="D379" s="210"/>
      <c r="E379" s="210"/>
      <c r="G379" s="55"/>
      <c r="H379" s="56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</row>
    <row r="380" spans="1:30" x14ac:dyDescent="0.2">
      <c r="A380" s="232"/>
      <c r="B380" s="210"/>
      <c r="C380" s="210"/>
      <c r="D380" s="210"/>
      <c r="E380" s="210"/>
      <c r="G380" s="55"/>
      <c r="H380" s="56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</row>
    <row r="381" spans="1:30" x14ac:dyDescent="0.2">
      <c r="A381" s="232"/>
      <c r="B381" s="210"/>
      <c r="C381" s="210"/>
      <c r="D381" s="210"/>
      <c r="E381" s="210"/>
      <c r="G381" s="55"/>
      <c r="H381" s="56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</row>
    <row r="382" spans="1:30" x14ac:dyDescent="0.2">
      <c r="A382" s="232"/>
      <c r="B382" s="210"/>
      <c r="C382" s="210"/>
      <c r="D382" s="210"/>
      <c r="E382" s="210"/>
      <c r="G382" s="55"/>
      <c r="H382" s="56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</row>
    <row r="383" spans="1:30" x14ac:dyDescent="0.2">
      <c r="A383" s="232"/>
      <c r="B383" s="210"/>
      <c r="C383" s="210"/>
      <c r="D383" s="210"/>
      <c r="E383" s="210"/>
      <c r="G383" s="55"/>
      <c r="H383" s="56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</row>
    <row r="384" spans="1:30" x14ac:dyDescent="0.2">
      <c r="A384" s="232"/>
      <c r="B384" s="210"/>
      <c r="C384" s="210"/>
      <c r="D384" s="210"/>
      <c r="E384" s="210"/>
      <c r="G384" s="55"/>
      <c r="H384" s="56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</row>
    <row r="385" spans="1:30" x14ac:dyDescent="0.2">
      <c r="A385" s="232"/>
      <c r="B385" s="210"/>
      <c r="C385" s="210"/>
      <c r="D385" s="210"/>
      <c r="E385" s="210"/>
      <c r="G385" s="55"/>
      <c r="H385" s="56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</row>
    <row r="386" spans="1:30" x14ac:dyDescent="0.2">
      <c r="A386" s="232"/>
      <c r="B386" s="210"/>
      <c r="C386" s="210"/>
      <c r="D386" s="210"/>
      <c r="E386" s="210"/>
      <c r="G386" s="55"/>
      <c r="H386" s="56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</row>
    <row r="387" spans="1:30" x14ac:dyDescent="0.2">
      <c r="A387" s="232"/>
      <c r="B387" s="210"/>
      <c r="C387" s="210"/>
      <c r="D387" s="210"/>
      <c r="E387" s="210"/>
      <c r="G387" s="55"/>
      <c r="H387" s="56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</row>
    <row r="388" spans="1:30" x14ac:dyDescent="0.2">
      <c r="A388" s="232"/>
      <c r="B388" s="210"/>
      <c r="C388" s="210"/>
      <c r="D388" s="210"/>
      <c r="E388" s="210"/>
      <c r="G388" s="55"/>
      <c r="H388" s="56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</row>
    <row r="389" spans="1:30" x14ac:dyDescent="0.2">
      <c r="A389" s="232"/>
      <c r="B389" s="210"/>
      <c r="C389" s="210"/>
      <c r="D389" s="210"/>
      <c r="E389" s="210"/>
      <c r="G389" s="55"/>
      <c r="H389" s="56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</row>
    <row r="390" spans="1:30" x14ac:dyDescent="0.2">
      <c r="A390" s="232"/>
      <c r="B390" s="210"/>
      <c r="C390" s="210"/>
      <c r="D390" s="210"/>
      <c r="E390" s="210"/>
      <c r="G390" s="55"/>
      <c r="H390" s="56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</row>
    <row r="391" spans="1:30" x14ac:dyDescent="0.2">
      <c r="A391" s="232"/>
      <c r="B391" s="210"/>
      <c r="C391" s="210"/>
      <c r="D391" s="210"/>
      <c r="E391" s="210"/>
      <c r="G391" s="55"/>
      <c r="H391" s="56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</row>
    <row r="392" spans="1:30" x14ac:dyDescent="0.2">
      <c r="A392" s="232"/>
      <c r="B392" s="210"/>
      <c r="C392" s="210"/>
      <c r="D392" s="210"/>
      <c r="E392" s="210"/>
      <c r="G392" s="55"/>
      <c r="H392" s="56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</row>
    <row r="393" spans="1:30" x14ac:dyDescent="0.2">
      <c r="A393" s="232"/>
      <c r="B393" s="210"/>
      <c r="C393" s="210"/>
      <c r="D393" s="210"/>
      <c r="E393" s="210"/>
      <c r="G393" s="55"/>
      <c r="H393" s="56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</row>
    <row r="394" spans="1:30" x14ac:dyDescent="0.2">
      <c r="A394" s="232"/>
      <c r="B394" s="210"/>
      <c r="C394" s="210"/>
      <c r="D394" s="210"/>
      <c r="E394" s="210"/>
      <c r="G394" s="55"/>
      <c r="H394" s="56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</row>
    <row r="395" spans="1:30" x14ac:dyDescent="0.2">
      <c r="A395" s="232"/>
      <c r="B395" s="210"/>
      <c r="C395" s="210"/>
      <c r="D395" s="210"/>
      <c r="E395" s="210"/>
      <c r="G395" s="55"/>
      <c r="H395" s="56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</row>
    <row r="396" spans="1:30" x14ac:dyDescent="0.2">
      <c r="A396" s="232"/>
      <c r="B396" s="210"/>
      <c r="C396" s="210"/>
      <c r="D396" s="210"/>
      <c r="E396" s="210"/>
      <c r="G396" s="55"/>
      <c r="H396" s="56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</row>
    <row r="397" spans="1:30" x14ac:dyDescent="0.2">
      <c r="A397" s="232"/>
      <c r="B397" s="210"/>
      <c r="C397" s="210"/>
      <c r="D397" s="210"/>
      <c r="E397" s="210"/>
      <c r="G397" s="55"/>
      <c r="H397" s="56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</row>
    <row r="398" spans="1:30" x14ac:dyDescent="0.2">
      <c r="A398" s="232"/>
      <c r="B398" s="210"/>
      <c r="C398" s="210"/>
      <c r="D398" s="210"/>
      <c r="E398" s="210"/>
      <c r="G398" s="55"/>
      <c r="H398" s="56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</row>
    <row r="399" spans="1:30" x14ac:dyDescent="0.2">
      <c r="A399" s="232"/>
      <c r="B399" s="210"/>
      <c r="C399" s="210"/>
      <c r="D399" s="210"/>
      <c r="E399" s="210"/>
      <c r="G399" s="55"/>
      <c r="H399" s="56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</row>
    <row r="400" spans="1:30" x14ac:dyDescent="0.2">
      <c r="A400" s="232"/>
      <c r="B400" s="210"/>
      <c r="C400" s="210"/>
      <c r="D400" s="210"/>
      <c r="E400" s="210"/>
      <c r="G400" s="55"/>
      <c r="H400" s="56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</row>
    <row r="401" spans="1:30" x14ac:dyDescent="0.2">
      <c r="A401" s="232"/>
      <c r="B401" s="210"/>
      <c r="C401" s="210"/>
      <c r="D401" s="210"/>
      <c r="E401" s="210"/>
      <c r="G401" s="55"/>
      <c r="H401" s="56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</row>
    <row r="402" spans="1:30" x14ac:dyDescent="0.2">
      <c r="A402" s="232"/>
      <c r="B402" s="210"/>
      <c r="C402" s="210"/>
      <c r="D402" s="210"/>
      <c r="E402" s="210"/>
      <c r="G402" s="55"/>
      <c r="H402" s="56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</row>
    <row r="403" spans="1:30" x14ac:dyDescent="0.2">
      <c r="A403" s="232"/>
      <c r="B403" s="210"/>
      <c r="C403" s="210"/>
      <c r="D403" s="210"/>
      <c r="E403" s="210"/>
      <c r="G403" s="55"/>
      <c r="H403" s="56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</row>
    <row r="404" spans="1:30" x14ac:dyDescent="0.2">
      <c r="A404" s="232"/>
      <c r="B404" s="210"/>
      <c r="C404" s="210"/>
      <c r="D404" s="210"/>
      <c r="E404" s="210"/>
      <c r="G404" s="55"/>
      <c r="H404" s="56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</row>
    <row r="405" spans="1:30" x14ac:dyDescent="0.2">
      <c r="A405" s="232"/>
      <c r="B405" s="210"/>
      <c r="C405" s="210"/>
      <c r="D405" s="210"/>
      <c r="E405" s="210"/>
      <c r="G405" s="55"/>
      <c r="H405" s="56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</row>
    <row r="406" spans="1:30" x14ac:dyDescent="0.2">
      <c r="A406" s="232"/>
      <c r="B406" s="210"/>
      <c r="C406" s="210"/>
      <c r="D406" s="210"/>
      <c r="E406" s="210"/>
      <c r="G406" s="55"/>
      <c r="H406" s="56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</row>
    <row r="407" spans="1:30" x14ac:dyDescent="0.2">
      <c r="A407" s="232"/>
      <c r="B407" s="210"/>
      <c r="C407" s="210"/>
      <c r="D407" s="210"/>
      <c r="E407" s="210"/>
      <c r="G407" s="55"/>
      <c r="H407" s="56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</row>
    <row r="408" spans="1:30" x14ac:dyDescent="0.2">
      <c r="A408" s="232"/>
      <c r="B408" s="210"/>
      <c r="C408" s="210"/>
      <c r="D408" s="210"/>
      <c r="E408" s="210"/>
      <c r="G408" s="55"/>
      <c r="H408" s="56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</row>
    <row r="409" spans="1:30" x14ac:dyDescent="0.2">
      <c r="A409" s="232"/>
      <c r="B409" s="210"/>
      <c r="C409" s="210"/>
      <c r="D409" s="210"/>
      <c r="E409" s="210"/>
      <c r="G409" s="55"/>
      <c r="H409" s="56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</row>
    <row r="410" spans="1:30" x14ac:dyDescent="0.2">
      <c r="A410" s="232"/>
      <c r="B410" s="210"/>
      <c r="C410" s="210"/>
      <c r="D410" s="210"/>
      <c r="E410" s="210"/>
      <c r="G410" s="55"/>
      <c r="H410" s="56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</row>
    <row r="411" spans="1:30" x14ac:dyDescent="0.2">
      <c r="A411" s="232"/>
      <c r="B411" s="210"/>
      <c r="C411" s="210"/>
      <c r="D411" s="210"/>
      <c r="E411" s="210"/>
      <c r="G411" s="55"/>
      <c r="H411" s="56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</row>
    <row r="412" spans="1:30" x14ac:dyDescent="0.2">
      <c r="A412" s="232"/>
      <c r="B412" s="210"/>
      <c r="C412" s="210"/>
      <c r="D412" s="210"/>
      <c r="E412" s="210"/>
      <c r="G412" s="55"/>
      <c r="H412" s="56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</row>
    <row r="413" spans="1:30" x14ac:dyDescent="0.2">
      <c r="A413" s="232"/>
      <c r="B413" s="210"/>
      <c r="C413" s="210"/>
      <c r="D413" s="210"/>
      <c r="E413" s="210"/>
      <c r="G413" s="55"/>
      <c r="H413" s="56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</row>
    <row r="414" spans="1:30" x14ac:dyDescent="0.2">
      <c r="A414" s="232"/>
      <c r="B414" s="210"/>
      <c r="C414" s="210"/>
      <c r="D414" s="210"/>
      <c r="E414" s="210"/>
      <c r="G414" s="55"/>
      <c r="H414" s="56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</row>
    <row r="415" spans="1:30" x14ac:dyDescent="0.2">
      <c r="A415" s="232"/>
      <c r="B415" s="210"/>
      <c r="C415" s="210"/>
      <c r="D415" s="210"/>
      <c r="E415" s="210"/>
      <c r="G415" s="55"/>
      <c r="H415" s="56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</row>
    <row r="416" spans="1:30" x14ac:dyDescent="0.2">
      <c r="A416" s="232"/>
      <c r="B416" s="210"/>
      <c r="C416" s="210"/>
      <c r="D416" s="210"/>
      <c r="E416" s="210"/>
      <c r="G416" s="55"/>
      <c r="H416" s="56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</row>
    <row r="417" spans="1:30" x14ac:dyDescent="0.2">
      <c r="A417" s="232"/>
      <c r="B417" s="210"/>
      <c r="C417" s="210"/>
      <c r="D417" s="210"/>
      <c r="E417" s="210"/>
      <c r="G417" s="55"/>
      <c r="H417" s="56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</row>
    <row r="418" spans="1:30" x14ac:dyDescent="0.2">
      <c r="A418" s="232"/>
      <c r="B418" s="210"/>
      <c r="C418" s="210"/>
      <c r="D418" s="210"/>
      <c r="E418" s="210"/>
      <c r="G418" s="55"/>
      <c r="H418" s="56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</row>
    <row r="419" spans="1:30" x14ac:dyDescent="0.2">
      <c r="A419" s="232"/>
      <c r="B419" s="210"/>
      <c r="C419" s="210"/>
      <c r="D419" s="210"/>
      <c r="E419" s="210"/>
      <c r="G419" s="55"/>
      <c r="H419" s="56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</row>
    <row r="420" spans="1:30" x14ac:dyDescent="0.2">
      <c r="A420" s="232"/>
      <c r="B420" s="210"/>
      <c r="C420" s="210"/>
      <c r="D420" s="210"/>
      <c r="E420" s="210"/>
      <c r="G420" s="55"/>
      <c r="H420" s="56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</row>
    <row r="421" spans="1:30" x14ac:dyDescent="0.2">
      <c r="A421" s="232"/>
      <c r="B421" s="210"/>
      <c r="C421" s="210"/>
      <c r="D421" s="210"/>
      <c r="E421" s="210"/>
      <c r="G421" s="55"/>
      <c r="H421" s="56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</row>
    <row r="422" spans="1:30" x14ac:dyDescent="0.2">
      <c r="A422" s="232"/>
      <c r="B422" s="210"/>
      <c r="C422" s="210"/>
      <c r="D422" s="210"/>
      <c r="E422" s="210"/>
      <c r="G422" s="55"/>
      <c r="H422" s="56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</row>
    <row r="423" spans="1:30" x14ac:dyDescent="0.2">
      <c r="A423" s="232"/>
      <c r="B423" s="210"/>
      <c r="C423" s="210"/>
      <c r="D423" s="210"/>
      <c r="E423" s="210"/>
      <c r="G423" s="55"/>
      <c r="H423" s="56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</row>
    <row r="424" spans="1:30" x14ac:dyDescent="0.2">
      <c r="A424" s="232"/>
      <c r="B424" s="210"/>
      <c r="C424" s="210"/>
      <c r="D424" s="210"/>
      <c r="E424" s="210"/>
      <c r="G424" s="55"/>
      <c r="H424" s="56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</row>
    <row r="425" spans="1:30" x14ac:dyDescent="0.2">
      <c r="A425" s="232"/>
      <c r="B425" s="210"/>
      <c r="C425" s="210"/>
      <c r="D425" s="210"/>
      <c r="E425" s="210"/>
      <c r="G425" s="55"/>
      <c r="H425" s="56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</row>
    <row r="426" spans="1:30" x14ac:dyDescent="0.2">
      <c r="A426" s="232"/>
      <c r="B426" s="210"/>
      <c r="C426" s="210"/>
      <c r="D426" s="210"/>
      <c r="E426" s="210"/>
      <c r="G426" s="55"/>
      <c r="H426" s="56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</row>
    <row r="427" spans="1:30" x14ac:dyDescent="0.2">
      <c r="A427" s="232"/>
      <c r="B427" s="210"/>
      <c r="C427" s="210"/>
      <c r="D427" s="210"/>
      <c r="E427" s="210"/>
      <c r="G427" s="55"/>
      <c r="H427" s="56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</row>
    <row r="428" spans="1:30" x14ac:dyDescent="0.2">
      <c r="A428" s="232"/>
      <c r="B428" s="210"/>
      <c r="C428" s="210"/>
      <c r="D428" s="210"/>
      <c r="E428" s="210"/>
      <c r="G428" s="55"/>
      <c r="H428" s="56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</row>
    <row r="429" spans="1:30" x14ac:dyDescent="0.2">
      <c r="A429" s="232"/>
      <c r="B429" s="210"/>
      <c r="C429" s="210"/>
      <c r="D429" s="210"/>
      <c r="E429" s="210"/>
      <c r="G429" s="55"/>
      <c r="H429" s="56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</row>
    <row r="430" spans="1:30" x14ac:dyDescent="0.2">
      <c r="A430" s="232"/>
      <c r="B430" s="210"/>
      <c r="C430" s="210"/>
      <c r="D430" s="210"/>
      <c r="E430" s="210"/>
      <c r="G430" s="55"/>
      <c r="H430" s="56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</row>
    <row r="431" spans="1:30" x14ac:dyDescent="0.2">
      <c r="A431" s="232"/>
      <c r="B431" s="210"/>
      <c r="C431" s="210"/>
      <c r="D431" s="210"/>
      <c r="E431" s="210"/>
      <c r="G431" s="55"/>
      <c r="H431" s="56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</row>
    <row r="432" spans="1:30" x14ac:dyDescent="0.2">
      <c r="A432" s="232"/>
      <c r="B432" s="210"/>
      <c r="C432" s="210"/>
      <c r="D432" s="210"/>
      <c r="E432" s="210"/>
      <c r="G432" s="55"/>
      <c r="H432" s="56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</row>
    <row r="433" spans="1:30" x14ac:dyDescent="0.2">
      <c r="A433" s="232"/>
      <c r="B433" s="210"/>
      <c r="C433" s="210"/>
      <c r="D433" s="210"/>
      <c r="E433" s="210"/>
      <c r="G433" s="55"/>
      <c r="H433" s="56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</row>
    <row r="434" spans="1:30" x14ac:dyDescent="0.2">
      <c r="A434" s="232"/>
      <c r="B434" s="210"/>
      <c r="C434" s="210"/>
      <c r="D434" s="210"/>
      <c r="E434" s="210"/>
      <c r="G434" s="55"/>
      <c r="H434" s="56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</row>
    <row r="435" spans="1:30" x14ac:dyDescent="0.2">
      <c r="A435" s="232"/>
      <c r="B435" s="210"/>
      <c r="C435" s="210"/>
      <c r="D435" s="210"/>
      <c r="E435" s="210"/>
      <c r="G435" s="55"/>
      <c r="H435" s="56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</row>
    <row r="436" spans="1:30" x14ac:dyDescent="0.2">
      <c r="A436" s="232"/>
      <c r="B436" s="210"/>
      <c r="C436" s="210"/>
      <c r="D436" s="210"/>
      <c r="E436" s="210"/>
      <c r="G436" s="55"/>
      <c r="H436" s="56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</row>
    <row r="437" spans="1:30" x14ac:dyDescent="0.2">
      <c r="A437" s="232"/>
      <c r="B437" s="210"/>
      <c r="C437" s="210"/>
      <c r="D437" s="210"/>
      <c r="E437" s="210"/>
      <c r="G437" s="55"/>
      <c r="H437" s="56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</row>
    <row r="438" spans="1:30" x14ac:dyDescent="0.2">
      <c r="A438" s="232"/>
      <c r="B438" s="210"/>
      <c r="C438" s="210"/>
      <c r="D438" s="210"/>
      <c r="E438" s="210"/>
      <c r="G438" s="55"/>
      <c r="H438" s="56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</row>
    <row r="439" spans="1:30" x14ac:dyDescent="0.2">
      <c r="A439" s="232"/>
      <c r="B439" s="210"/>
      <c r="C439" s="210"/>
      <c r="D439" s="210"/>
      <c r="E439" s="210"/>
      <c r="G439" s="55"/>
      <c r="H439" s="56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</row>
    <row r="440" spans="1:30" x14ac:dyDescent="0.2">
      <c r="A440" s="232"/>
      <c r="B440" s="210"/>
      <c r="C440" s="210"/>
      <c r="D440" s="210"/>
      <c r="E440" s="210"/>
      <c r="G440" s="55"/>
      <c r="H440" s="56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</row>
    <row r="441" spans="1:30" x14ac:dyDescent="0.2">
      <c r="A441" s="232"/>
      <c r="B441" s="210"/>
      <c r="C441" s="210"/>
      <c r="D441" s="210"/>
      <c r="E441" s="210"/>
      <c r="G441" s="55"/>
      <c r="H441" s="56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</row>
    <row r="442" spans="1:30" x14ac:dyDescent="0.2">
      <c r="A442" s="232"/>
      <c r="B442" s="210"/>
      <c r="C442" s="210"/>
      <c r="D442" s="210"/>
      <c r="E442" s="210"/>
      <c r="G442" s="55"/>
      <c r="H442" s="56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</row>
    <row r="443" spans="1:30" x14ac:dyDescent="0.2">
      <c r="A443" s="232"/>
      <c r="B443" s="210"/>
      <c r="C443" s="210"/>
      <c r="D443" s="210"/>
      <c r="E443" s="210"/>
      <c r="G443" s="55"/>
      <c r="H443" s="56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</row>
    <row r="444" spans="1:30" x14ac:dyDescent="0.2">
      <c r="A444" s="232"/>
      <c r="B444" s="210"/>
      <c r="C444" s="210"/>
      <c r="D444" s="210"/>
      <c r="E444" s="210"/>
      <c r="G444" s="55"/>
      <c r="H444" s="56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</row>
    <row r="445" spans="1:30" x14ac:dyDescent="0.2">
      <c r="A445" s="232"/>
      <c r="B445" s="210"/>
      <c r="C445" s="210"/>
      <c r="D445" s="210"/>
      <c r="E445" s="210"/>
      <c r="G445" s="55"/>
      <c r="H445" s="56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</row>
    <row r="446" spans="1:30" x14ac:dyDescent="0.2">
      <c r="A446" s="232"/>
      <c r="B446" s="210"/>
      <c r="C446" s="210"/>
      <c r="D446" s="210"/>
      <c r="E446" s="210"/>
      <c r="G446" s="55"/>
      <c r="H446" s="56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</row>
    <row r="447" spans="1:30" x14ac:dyDescent="0.2">
      <c r="A447" s="232"/>
      <c r="B447" s="210"/>
      <c r="C447" s="210"/>
      <c r="D447" s="210"/>
      <c r="E447" s="210"/>
      <c r="G447" s="55"/>
      <c r="H447" s="56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</row>
    <row r="448" spans="1:30" x14ac:dyDescent="0.2">
      <c r="A448" s="232"/>
      <c r="B448" s="210"/>
      <c r="C448" s="210"/>
      <c r="D448" s="210"/>
      <c r="E448" s="210"/>
      <c r="G448" s="55"/>
      <c r="H448" s="56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</row>
    <row r="449" spans="1:30" x14ac:dyDescent="0.2">
      <c r="A449" s="232"/>
      <c r="B449" s="210"/>
      <c r="C449" s="210"/>
      <c r="D449" s="210"/>
      <c r="E449" s="210"/>
      <c r="G449" s="55"/>
      <c r="H449" s="56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</row>
    <row r="450" spans="1:30" x14ac:dyDescent="0.2">
      <c r="A450" s="232"/>
      <c r="B450" s="210"/>
      <c r="C450" s="210"/>
      <c r="D450" s="210"/>
      <c r="E450" s="210"/>
      <c r="G450" s="55"/>
      <c r="H450" s="56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</row>
    <row r="451" spans="1:30" x14ac:dyDescent="0.2">
      <c r="A451" s="232"/>
      <c r="B451" s="210"/>
      <c r="C451" s="210"/>
      <c r="D451" s="210"/>
      <c r="E451" s="210"/>
      <c r="G451" s="55"/>
      <c r="H451" s="56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</row>
    <row r="452" spans="1:30" x14ac:dyDescent="0.2">
      <c r="A452" s="232"/>
      <c r="B452" s="210"/>
      <c r="C452" s="210"/>
      <c r="D452" s="210"/>
      <c r="E452" s="210"/>
      <c r="G452" s="55"/>
      <c r="H452" s="56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</row>
    <row r="453" spans="1:30" x14ac:dyDescent="0.2">
      <c r="A453" s="232"/>
      <c r="B453" s="210"/>
      <c r="C453" s="210"/>
      <c r="D453" s="210"/>
      <c r="E453" s="210"/>
      <c r="G453" s="55"/>
      <c r="H453" s="56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</row>
    <row r="454" spans="1:30" x14ac:dyDescent="0.2">
      <c r="A454" s="232"/>
      <c r="B454" s="210"/>
      <c r="C454" s="210"/>
      <c r="D454" s="210"/>
      <c r="E454" s="210"/>
      <c r="G454" s="55"/>
      <c r="H454" s="56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</row>
    <row r="455" spans="1:30" x14ac:dyDescent="0.2">
      <c r="A455" s="232"/>
      <c r="B455" s="210"/>
      <c r="C455" s="210"/>
      <c r="D455" s="210"/>
      <c r="E455" s="210"/>
      <c r="G455" s="55"/>
      <c r="H455" s="56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</row>
    <row r="456" spans="1:30" x14ac:dyDescent="0.2">
      <c r="A456" s="232"/>
      <c r="B456" s="210"/>
      <c r="C456" s="210"/>
      <c r="D456" s="210"/>
      <c r="E456" s="210"/>
      <c r="G456" s="55"/>
      <c r="H456" s="56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</row>
    <row r="457" spans="1:30" x14ac:dyDescent="0.2">
      <c r="A457" s="232"/>
      <c r="B457" s="210"/>
      <c r="C457" s="210"/>
      <c r="D457" s="210"/>
      <c r="E457" s="210"/>
      <c r="G457" s="55"/>
      <c r="H457" s="56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</row>
    <row r="458" spans="1:30" x14ac:dyDescent="0.2">
      <c r="A458" s="232"/>
      <c r="B458" s="210"/>
      <c r="C458" s="210"/>
      <c r="D458" s="210"/>
      <c r="E458" s="210"/>
      <c r="G458" s="55"/>
      <c r="H458" s="56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</row>
    <row r="459" spans="1:30" x14ac:dyDescent="0.2">
      <c r="A459" s="232"/>
      <c r="B459" s="210"/>
      <c r="C459" s="210"/>
      <c r="D459" s="210"/>
      <c r="E459" s="210"/>
      <c r="G459" s="55"/>
      <c r="H459" s="56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</row>
    <row r="460" spans="1:30" x14ac:dyDescent="0.2">
      <c r="A460" s="232"/>
      <c r="B460" s="210"/>
      <c r="C460" s="210"/>
      <c r="D460" s="210"/>
      <c r="E460" s="210"/>
      <c r="G460" s="55"/>
      <c r="H460" s="56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</row>
    <row r="461" spans="1:30" x14ac:dyDescent="0.2">
      <c r="A461" s="232"/>
      <c r="B461" s="210"/>
      <c r="C461" s="210"/>
      <c r="D461" s="210"/>
      <c r="E461" s="210"/>
      <c r="G461" s="55"/>
      <c r="H461" s="56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</row>
    <row r="462" spans="1:30" x14ac:dyDescent="0.2">
      <c r="A462" s="232"/>
      <c r="B462" s="210"/>
      <c r="C462" s="210"/>
      <c r="D462" s="210"/>
      <c r="E462" s="210"/>
      <c r="G462" s="55"/>
      <c r="H462" s="56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</row>
    <row r="463" spans="1:30" x14ac:dyDescent="0.2">
      <c r="A463" s="232"/>
      <c r="B463" s="210"/>
      <c r="C463" s="210"/>
      <c r="D463" s="210"/>
      <c r="E463" s="210"/>
      <c r="G463" s="55"/>
      <c r="H463" s="56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</row>
    <row r="464" spans="1:30" x14ac:dyDescent="0.2">
      <c r="A464" s="232"/>
      <c r="B464" s="210"/>
      <c r="C464" s="210"/>
      <c r="D464" s="210"/>
      <c r="E464" s="210"/>
      <c r="G464" s="55"/>
      <c r="H464" s="56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</row>
    <row r="465" spans="1:30" x14ac:dyDescent="0.2">
      <c r="A465" s="232"/>
      <c r="B465" s="210"/>
      <c r="C465" s="210"/>
      <c r="D465" s="210"/>
      <c r="E465" s="210"/>
      <c r="G465" s="55"/>
      <c r="H465" s="56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</row>
    <row r="466" spans="1:30" x14ac:dyDescent="0.2">
      <c r="A466" s="232"/>
      <c r="B466" s="210"/>
      <c r="C466" s="210"/>
      <c r="D466" s="210"/>
      <c r="E466" s="210"/>
      <c r="G466" s="55"/>
      <c r="H466" s="56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</row>
    <row r="467" spans="1:30" x14ac:dyDescent="0.2">
      <c r="A467" s="232"/>
      <c r="B467" s="210"/>
      <c r="C467" s="210"/>
      <c r="D467" s="210"/>
      <c r="E467" s="210"/>
      <c r="G467" s="55"/>
      <c r="H467" s="56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</row>
    <row r="468" spans="1:30" x14ac:dyDescent="0.2">
      <c r="A468" s="232"/>
      <c r="B468" s="210"/>
      <c r="C468" s="210"/>
      <c r="D468" s="210"/>
      <c r="E468" s="210"/>
      <c r="G468" s="55"/>
      <c r="H468" s="56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</row>
    <row r="469" spans="1:30" x14ac:dyDescent="0.2">
      <c r="A469" s="232"/>
      <c r="B469" s="210"/>
      <c r="C469" s="210"/>
      <c r="D469" s="210"/>
      <c r="E469" s="210"/>
      <c r="G469" s="55"/>
      <c r="H469" s="56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</row>
    <row r="470" spans="1:30" x14ac:dyDescent="0.2">
      <c r="A470" s="232"/>
      <c r="B470" s="210"/>
      <c r="C470" s="210"/>
      <c r="D470" s="210"/>
      <c r="E470" s="210"/>
      <c r="G470" s="55"/>
      <c r="H470" s="56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</row>
    <row r="471" spans="1:30" x14ac:dyDescent="0.2">
      <c r="A471" s="232"/>
      <c r="B471" s="210"/>
      <c r="C471" s="210"/>
      <c r="D471" s="210"/>
      <c r="E471" s="210"/>
      <c r="G471" s="55"/>
      <c r="H471" s="56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</row>
    <row r="472" spans="1:30" x14ac:dyDescent="0.2">
      <c r="A472" s="232"/>
      <c r="B472" s="210"/>
      <c r="C472" s="210"/>
      <c r="D472" s="210"/>
      <c r="E472" s="210"/>
      <c r="G472" s="55"/>
      <c r="H472" s="56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</row>
    <row r="473" spans="1:30" x14ac:dyDescent="0.2">
      <c r="A473" s="232"/>
      <c r="B473" s="210"/>
      <c r="C473" s="210"/>
      <c r="D473" s="210"/>
      <c r="E473" s="210"/>
      <c r="G473" s="55"/>
      <c r="H473" s="56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</row>
    <row r="474" spans="1:30" x14ac:dyDescent="0.2">
      <c r="A474" s="232"/>
      <c r="B474" s="210"/>
      <c r="C474" s="210"/>
      <c r="D474" s="210"/>
      <c r="E474" s="210"/>
      <c r="G474" s="55"/>
      <c r="H474" s="56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</row>
    <row r="475" spans="1:30" x14ac:dyDescent="0.2">
      <c r="A475" s="232"/>
      <c r="B475" s="210"/>
      <c r="C475" s="210"/>
      <c r="D475" s="210"/>
      <c r="E475" s="210"/>
      <c r="G475" s="55"/>
      <c r="H475" s="56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</row>
    <row r="476" spans="1:30" x14ac:dyDescent="0.2">
      <c r="A476" s="232"/>
      <c r="B476" s="210"/>
      <c r="C476" s="210"/>
      <c r="D476" s="210"/>
      <c r="E476" s="210"/>
      <c r="G476" s="55"/>
      <c r="H476" s="56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</row>
    <row r="477" spans="1:30" x14ac:dyDescent="0.2">
      <c r="A477" s="232"/>
      <c r="B477" s="210"/>
      <c r="C477" s="210"/>
      <c r="D477" s="210"/>
      <c r="E477" s="210"/>
      <c r="G477" s="55"/>
      <c r="H477" s="56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</row>
    <row r="478" spans="1:30" x14ac:dyDescent="0.2">
      <c r="A478" s="232"/>
      <c r="B478" s="210"/>
      <c r="C478" s="210"/>
      <c r="D478" s="210"/>
      <c r="E478" s="210"/>
      <c r="G478" s="55"/>
      <c r="H478" s="56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</row>
    <row r="479" spans="1:30" x14ac:dyDescent="0.2">
      <c r="A479" s="232"/>
      <c r="B479" s="210"/>
      <c r="C479" s="210"/>
      <c r="D479" s="210"/>
      <c r="E479" s="210"/>
      <c r="G479" s="55"/>
      <c r="H479" s="56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</row>
    <row r="480" spans="1:30" x14ac:dyDescent="0.2">
      <c r="A480" s="232"/>
      <c r="B480" s="210"/>
      <c r="C480" s="210"/>
      <c r="D480" s="210"/>
      <c r="E480" s="210"/>
      <c r="G480" s="55"/>
      <c r="H480" s="56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</row>
    <row r="481" spans="1:30" x14ac:dyDescent="0.2">
      <c r="A481" s="232"/>
      <c r="B481" s="210"/>
      <c r="C481" s="210"/>
      <c r="D481" s="210"/>
      <c r="E481" s="210"/>
      <c r="G481" s="55"/>
      <c r="H481" s="56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</row>
    <row r="482" spans="1:30" x14ac:dyDescent="0.2">
      <c r="A482" s="232"/>
      <c r="B482" s="210"/>
      <c r="C482" s="210"/>
      <c r="D482" s="210"/>
      <c r="E482" s="210"/>
      <c r="G482" s="55"/>
      <c r="H482" s="56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</row>
    <row r="483" spans="1:30" x14ac:dyDescent="0.2">
      <c r="A483" s="232"/>
      <c r="B483" s="210"/>
      <c r="C483" s="210"/>
      <c r="D483" s="210"/>
      <c r="E483" s="210"/>
      <c r="G483" s="55"/>
      <c r="H483" s="56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</row>
    <row r="484" spans="1:30" x14ac:dyDescent="0.2">
      <c r="A484" s="232"/>
      <c r="B484" s="210"/>
      <c r="C484" s="210"/>
      <c r="D484" s="210"/>
      <c r="E484" s="210"/>
      <c r="G484" s="55"/>
      <c r="H484" s="56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</row>
    <row r="485" spans="1:30" x14ac:dyDescent="0.2">
      <c r="A485" s="232"/>
      <c r="B485" s="210"/>
      <c r="C485" s="210"/>
      <c r="D485" s="210"/>
      <c r="E485" s="210"/>
      <c r="G485" s="55"/>
      <c r="H485" s="56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</row>
    <row r="486" spans="1:30" x14ac:dyDescent="0.2">
      <c r="A486" s="232"/>
      <c r="B486" s="210"/>
      <c r="C486" s="210"/>
      <c r="D486" s="210"/>
      <c r="E486" s="210"/>
      <c r="G486" s="55"/>
      <c r="H486" s="56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</row>
    <row r="487" spans="1:30" x14ac:dyDescent="0.2">
      <c r="A487" s="232"/>
      <c r="B487" s="210"/>
      <c r="C487" s="210"/>
      <c r="D487" s="210"/>
      <c r="E487" s="210"/>
      <c r="G487" s="55"/>
      <c r="H487" s="56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</row>
    <row r="488" spans="1:30" x14ac:dyDescent="0.2">
      <c r="A488" s="232"/>
      <c r="B488" s="210"/>
      <c r="C488" s="210"/>
      <c r="D488" s="210"/>
      <c r="E488" s="210"/>
      <c r="G488" s="55"/>
      <c r="H488" s="56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</row>
    <row r="489" spans="1:30" x14ac:dyDescent="0.2">
      <c r="A489" s="232"/>
      <c r="B489" s="210"/>
      <c r="C489" s="210"/>
      <c r="D489" s="210"/>
      <c r="E489" s="210"/>
      <c r="G489" s="55"/>
      <c r="H489" s="56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</row>
    <row r="490" spans="1:30" x14ac:dyDescent="0.2">
      <c r="A490" s="232"/>
      <c r="B490" s="210"/>
      <c r="C490" s="210"/>
      <c r="D490" s="210"/>
      <c r="E490" s="210"/>
      <c r="G490" s="55"/>
      <c r="H490" s="56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</row>
    <row r="491" spans="1:30" x14ac:dyDescent="0.2">
      <c r="A491" s="232"/>
      <c r="B491" s="210"/>
      <c r="C491" s="210"/>
      <c r="D491" s="210"/>
      <c r="E491" s="210"/>
      <c r="G491" s="55"/>
      <c r="H491" s="56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</row>
    <row r="492" spans="1:30" x14ac:dyDescent="0.2">
      <c r="A492" s="232"/>
      <c r="B492" s="210"/>
      <c r="C492" s="210"/>
      <c r="D492" s="210"/>
      <c r="E492" s="210"/>
      <c r="G492" s="55"/>
      <c r="H492" s="56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</row>
    <row r="493" spans="1:30" x14ac:dyDescent="0.2">
      <c r="A493" s="232"/>
      <c r="B493" s="210"/>
      <c r="C493" s="210"/>
      <c r="D493" s="210"/>
      <c r="E493" s="210"/>
      <c r="G493" s="55"/>
      <c r="H493" s="56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</row>
    <row r="494" spans="1:30" x14ac:dyDescent="0.2">
      <c r="A494" s="232"/>
      <c r="B494" s="210"/>
      <c r="C494" s="210"/>
      <c r="D494" s="210"/>
      <c r="E494" s="210"/>
      <c r="G494" s="55"/>
      <c r="H494" s="56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</row>
    <row r="495" spans="1:30" x14ac:dyDescent="0.2">
      <c r="A495" s="232"/>
      <c r="B495" s="210"/>
      <c r="C495" s="210"/>
      <c r="D495" s="210"/>
      <c r="E495" s="210"/>
      <c r="G495" s="55"/>
      <c r="H495" s="56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</row>
    <row r="496" spans="1:30" x14ac:dyDescent="0.2">
      <c r="A496" s="232"/>
      <c r="B496" s="210"/>
      <c r="C496" s="210"/>
      <c r="D496" s="210"/>
      <c r="E496" s="210"/>
      <c r="G496" s="55"/>
      <c r="H496" s="56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</row>
    <row r="497" spans="1:30" x14ac:dyDescent="0.2">
      <c r="A497" s="232"/>
      <c r="B497" s="210"/>
      <c r="C497" s="210"/>
      <c r="D497" s="210"/>
      <c r="E497" s="210"/>
      <c r="G497" s="55"/>
      <c r="H497" s="56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</row>
    <row r="498" spans="1:30" x14ac:dyDescent="0.2">
      <c r="A498" s="232"/>
      <c r="B498" s="210"/>
      <c r="C498" s="210"/>
      <c r="D498" s="210"/>
      <c r="E498" s="210"/>
      <c r="G498" s="55"/>
      <c r="H498" s="56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</row>
    <row r="499" spans="1:30" x14ac:dyDescent="0.2">
      <c r="A499" s="232"/>
      <c r="B499" s="210"/>
      <c r="C499" s="210"/>
      <c r="D499" s="210"/>
      <c r="E499" s="210"/>
      <c r="G499" s="55"/>
      <c r="H499" s="56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</row>
    <row r="500" spans="1:30" x14ac:dyDescent="0.2">
      <c r="A500" s="232"/>
      <c r="B500" s="210"/>
      <c r="C500" s="210"/>
      <c r="D500" s="210"/>
      <c r="E500" s="210"/>
      <c r="G500" s="55"/>
      <c r="H500" s="56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</row>
    <row r="501" spans="1:30" x14ac:dyDescent="0.2">
      <c r="A501" s="232"/>
      <c r="B501" s="210"/>
      <c r="C501" s="210"/>
      <c r="D501" s="210"/>
      <c r="E501" s="210"/>
      <c r="G501" s="55"/>
      <c r="H501" s="56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</row>
    <row r="502" spans="1:30" x14ac:dyDescent="0.2">
      <c r="A502" s="232"/>
      <c r="B502" s="210"/>
      <c r="C502" s="210"/>
      <c r="D502" s="210"/>
      <c r="E502" s="210"/>
      <c r="G502" s="55"/>
      <c r="H502" s="56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</row>
    <row r="503" spans="1:30" x14ac:dyDescent="0.2">
      <c r="A503" s="232"/>
      <c r="B503" s="210"/>
      <c r="C503" s="210"/>
      <c r="D503" s="210"/>
      <c r="E503" s="210"/>
      <c r="G503" s="55"/>
      <c r="H503" s="56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</row>
    <row r="504" spans="1:30" x14ac:dyDescent="0.2">
      <c r="A504" s="232"/>
      <c r="B504" s="210"/>
      <c r="C504" s="210"/>
      <c r="D504" s="210"/>
      <c r="E504" s="210"/>
      <c r="G504" s="55"/>
      <c r="H504" s="56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</row>
    <row r="505" spans="1:30" x14ac:dyDescent="0.2">
      <c r="A505" s="232"/>
      <c r="B505" s="210"/>
      <c r="C505" s="210"/>
      <c r="D505" s="210"/>
      <c r="E505" s="210"/>
      <c r="G505" s="55"/>
      <c r="H505" s="56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</row>
    <row r="506" spans="1:30" x14ac:dyDescent="0.2">
      <c r="A506" s="232"/>
      <c r="B506" s="210"/>
      <c r="C506" s="210"/>
      <c r="D506" s="210"/>
      <c r="E506" s="210"/>
      <c r="G506" s="55"/>
      <c r="H506" s="56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</row>
    <row r="507" spans="1:30" x14ac:dyDescent="0.2">
      <c r="A507" s="232"/>
      <c r="B507" s="210"/>
      <c r="C507" s="210"/>
      <c r="D507" s="210"/>
      <c r="E507" s="210"/>
      <c r="G507" s="55"/>
      <c r="H507" s="56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</row>
    <row r="508" spans="1:30" x14ac:dyDescent="0.2">
      <c r="A508" s="232"/>
      <c r="B508" s="210"/>
      <c r="C508" s="210"/>
      <c r="D508" s="210"/>
      <c r="E508" s="210"/>
      <c r="G508" s="55"/>
      <c r="H508" s="56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</row>
    <row r="509" spans="1:30" x14ac:dyDescent="0.2">
      <c r="A509" s="232"/>
      <c r="B509" s="210"/>
      <c r="C509" s="210"/>
      <c r="D509" s="210"/>
      <c r="E509" s="210"/>
      <c r="G509" s="55"/>
      <c r="H509" s="56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</row>
    <row r="510" spans="1:30" x14ac:dyDescent="0.2">
      <c r="A510" s="232"/>
      <c r="B510" s="210"/>
      <c r="C510" s="210"/>
      <c r="D510" s="210"/>
      <c r="E510" s="210"/>
      <c r="G510" s="55"/>
      <c r="H510" s="56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</row>
    <row r="511" spans="1:30" x14ac:dyDescent="0.2">
      <c r="A511" s="232"/>
      <c r="B511" s="210"/>
      <c r="C511" s="210"/>
      <c r="D511" s="210"/>
      <c r="E511" s="210"/>
      <c r="G511" s="55"/>
      <c r="H511" s="56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</row>
    <row r="512" spans="1:30" x14ac:dyDescent="0.2">
      <c r="A512" s="232"/>
      <c r="B512" s="210"/>
      <c r="C512" s="210"/>
      <c r="D512" s="210"/>
      <c r="E512" s="210"/>
      <c r="G512" s="55"/>
      <c r="H512" s="56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</row>
    <row r="513" spans="1:30" x14ac:dyDescent="0.2">
      <c r="A513" s="232"/>
      <c r="B513" s="210"/>
      <c r="C513" s="210"/>
      <c r="D513" s="210"/>
      <c r="E513" s="210"/>
      <c r="G513" s="55"/>
      <c r="H513" s="56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</row>
    <row r="514" spans="1:30" x14ac:dyDescent="0.2">
      <c r="A514" s="232"/>
      <c r="B514" s="210"/>
      <c r="C514" s="210"/>
      <c r="D514" s="210"/>
      <c r="E514" s="210"/>
      <c r="G514" s="55"/>
      <c r="H514" s="56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</row>
    <row r="515" spans="1:30" x14ac:dyDescent="0.2">
      <c r="A515" s="232"/>
      <c r="B515" s="210"/>
      <c r="C515" s="210"/>
      <c r="D515" s="210"/>
      <c r="E515" s="210"/>
      <c r="G515" s="55"/>
      <c r="H515" s="56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</row>
    <row r="516" spans="1:30" x14ac:dyDescent="0.2">
      <c r="A516" s="232"/>
      <c r="B516" s="210"/>
      <c r="C516" s="210"/>
      <c r="D516" s="210"/>
      <c r="E516" s="210"/>
      <c r="G516" s="55"/>
      <c r="H516" s="56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</row>
    <row r="517" spans="1:30" x14ac:dyDescent="0.2">
      <c r="A517" s="232"/>
      <c r="B517" s="210"/>
      <c r="C517" s="210"/>
      <c r="D517" s="210"/>
      <c r="E517" s="210"/>
      <c r="G517" s="55"/>
      <c r="H517" s="56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</row>
    <row r="518" spans="1:30" x14ac:dyDescent="0.2">
      <c r="A518" s="232"/>
      <c r="B518" s="210"/>
      <c r="C518" s="210"/>
      <c r="D518" s="210"/>
      <c r="E518" s="210"/>
      <c r="G518" s="55"/>
      <c r="H518" s="56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</row>
    <row r="519" spans="1:30" x14ac:dyDescent="0.2">
      <c r="A519" s="232"/>
      <c r="B519" s="210"/>
      <c r="C519" s="210"/>
      <c r="D519" s="210"/>
      <c r="E519" s="210"/>
      <c r="G519" s="55"/>
      <c r="H519" s="56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</row>
    <row r="520" spans="1:30" x14ac:dyDescent="0.2">
      <c r="A520" s="232"/>
      <c r="B520" s="210"/>
      <c r="C520" s="210"/>
      <c r="D520" s="210"/>
      <c r="E520" s="210"/>
      <c r="G520" s="55"/>
      <c r="H520" s="56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</row>
    <row r="521" spans="1:30" x14ac:dyDescent="0.2">
      <c r="A521" s="232"/>
      <c r="B521" s="210"/>
      <c r="C521" s="210"/>
      <c r="D521" s="210"/>
      <c r="E521" s="210"/>
      <c r="G521" s="55"/>
      <c r="H521" s="56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</row>
    <row r="522" spans="1:30" x14ac:dyDescent="0.2">
      <c r="A522" s="232"/>
      <c r="B522" s="210"/>
      <c r="C522" s="210"/>
      <c r="D522" s="210"/>
      <c r="E522" s="210"/>
      <c r="G522" s="55"/>
      <c r="H522" s="56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</row>
    <row r="523" spans="1:30" x14ac:dyDescent="0.2">
      <c r="A523" s="232"/>
      <c r="B523" s="210"/>
      <c r="C523" s="210"/>
      <c r="D523" s="210"/>
      <c r="E523" s="210"/>
      <c r="G523" s="55"/>
      <c r="H523" s="56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</row>
    <row r="524" spans="1:30" x14ac:dyDescent="0.2">
      <c r="A524" s="232"/>
      <c r="B524" s="210"/>
      <c r="C524" s="210"/>
      <c r="D524" s="210"/>
      <c r="E524" s="210"/>
      <c r="G524" s="55"/>
      <c r="H524" s="56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</row>
    <row r="525" spans="1:30" x14ac:dyDescent="0.2">
      <c r="A525" s="232"/>
      <c r="B525" s="210"/>
      <c r="C525" s="210"/>
      <c r="D525" s="210"/>
      <c r="E525" s="210"/>
      <c r="G525" s="55"/>
      <c r="H525" s="56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</row>
    <row r="526" spans="1:30" x14ac:dyDescent="0.2">
      <c r="A526" s="232"/>
      <c r="B526" s="210"/>
      <c r="C526" s="210"/>
      <c r="D526" s="210"/>
      <c r="E526" s="210"/>
      <c r="G526" s="55"/>
      <c r="H526" s="56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</row>
    <row r="527" spans="1:30" x14ac:dyDescent="0.2">
      <c r="A527" s="232"/>
      <c r="B527" s="210"/>
      <c r="C527" s="210"/>
      <c r="D527" s="210"/>
      <c r="E527" s="210"/>
      <c r="G527" s="55"/>
      <c r="H527" s="56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</row>
    <row r="528" spans="1:30" x14ac:dyDescent="0.2">
      <c r="A528" s="232"/>
      <c r="B528" s="210"/>
      <c r="C528" s="210"/>
      <c r="D528" s="210"/>
      <c r="E528" s="210"/>
      <c r="G528" s="55"/>
      <c r="H528" s="56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</row>
    <row r="529" spans="1:30" x14ac:dyDescent="0.2">
      <c r="A529" s="232"/>
      <c r="B529" s="210"/>
      <c r="C529" s="210"/>
      <c r="D529" s="210"/>
      <c r="E529" s="210"/>
      <c r="G529" s="55"/>
      <c r="H529" s="56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</row>
    <row r="530" spans="1:30" x14ac:dyDescent="0.2">
      <c r="A530" s="232"/>
      <c r="B530" s="210"/>
      <c r="C530" s="210"/>
      <c r="D530" s="210"/>
      <c r="E530" s="210"/>
      <c r="G530" s="55"/>
      <c r="H530" s="56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</row>
    <row r="531" spans="1:30" x14ac:dyDescent="0.2">
      <c r="A531" s="232"/>
      <c r="B531" s="210"/>
      <c r="C531" s="210"/>
      <c r="D531" s="210"/>
      <c r="E531" s="210"/>
      <c r="G531" s="55"/>
      <c r="H531" s="56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</row>
    <row r="532" spans="1:30" x14ac:dyDescent="0.2">
      <c r="A532" s="232"/>
      <c r="B532" s="210"/>
      <c r="C532" s="210"/>
      <c r="D532" s="210"/>
      <c r="E532" s="210"/>
      <c r="G532" s="55"/>
      <c r="H532" s="56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</row>
    <row r="533" spans="1:30" x14ac:dyDescent="0.2">
      <c r="A533" s="232"/>
      <c r="B533" s="210"/>
      <c r="C533" s="210"/>
      <c r="D533" s="210"/>
      <c r="E533" s="210"/>
      <c r="G533" s="55"/>
      <c r="H533" s="56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</row>
    <row r="534" spans="1:30" x14ac:dyDescent="0.2">
      <c r="A534" s="232"/>
      <c r="B534" s="210"/>
      <c r="C534" s="210"/>
      <c r="D534" s="210"/>
      <c r="E534" s="210"/>
      <c r="G534" s="55"/>
      <c r="H534" s="56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</row>
    <row r="535" spans="1:30" x14ac:dyDescent="0.2">
      <c r="A535" s="232"/>
      <c r="B535" s="210"/>
      <c r="C535" s="210"/>
      <c r="D535" s="210"/>
      <c r="E535" s="210"/>
      <c r="G535" s="55"/>
      <c r="H535" s="56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</row>
    <row r="536" spans="1:30" x14ac:dyDescent="0.2">
      <c r="A536" s="232"/>
      <c r="B536" s="210"/>
      <c r="C536" s="210"/>
      <c r="D536" s="210"/>
      <c r="E536" s="210"/>
      <c r="G536" s="55"/>
      <c r="H536" s="56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</row>
    <row r="537" spans="1:30" x14ac:dyDescent="0.2">
      <c r="A537" s="232"/>
      <c r="B537" s="210"/>
      <c r="C537" s="210"/>
      <c r="D537" s="210"/>
      <c r="E537" s="210"/>
      <c r="G537" s="55"/>
      <c r="H537" s="56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</row>
    <row r="538" spans="1:30" x14ac:dyDescent="0.2">
      <c r="A538" s="232"/>
      <c r="B538" s="210"/>
      <c r="C538" s="210"/>
      <c r="D538" s="210"/>
      <c r="E538" s="210"/>
      <c r="G538" s="55"/>
      <c r="H538" s="56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</row>
    <row r="539" spans="1:30" x14ac:dyDescent="0.2">
      <c r="A539" s="232"/>
      <c r="B539" s="210"/>
      <c r="C539" s="210"/>
      <c r="D539" s="210"/>
      <c r="E539" s="210"/>
      <c r="G539" s="55"/>
      <c r="H539" s="56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</row>
    <row r="540" spans="1:30" x14ac:dyDescent="0.2">
      <c r="A540" s="232"/>
      <c r="B540" s="210"/>
      <c r="C540" s="210"/>
      <c r="D540" s="210"/>
      <c r="E540" s="210"/>
      <c r="G540" s="55"/>
      <c r="H540" s="56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</row>
    <row r="541" spans="1:30" x14ac:dyDescent="0.2">
      <c r="A541" s="232"/>
      <c r="B541" s="210"/>
      <c r="C541" s="210"/>
      <c r="D541" s="210"/>
      <c r="E541" s="210"/>
      <c r="G541" s="55"/>
      <c r="H541" s="56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</row>
    <row r="542" spans="1:30" x14ac:dyDescent="0.2">
      <c r="A542" s="232"/>
      <c r="B542" s="210"/>
      <c r="C542" s="210"/>
      <c r="D542" s="210"/>
      <c r="E542" s="210"/>
      <c r="G542" s="55"/>
      <c r="H542" s="56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</row>
    <row r="543" spans="1:30" x14ac:dyDescent="0.2">
      <c r="A543" s="232"/>
      <c r="B543" s="210"/>
      <c r="C543" s="210"/>
      <c r="D543" s="210"/>
      <c r="E543" s="210"/>
      <c r="G543" s="55"/>
      <c r="H543" s="56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</row>
    <row r="544" spans="1:30" x14ac:dyDescent="0.2">
      <c r="A544" s="232"/>
      <c r="B544" s="210"/>
      <c r="C544" s="210"/>
      <c r="D544" s="210"/>
      <c r="E544" s="210"/>
      <c r="G544" s="55"/>
      <c r="H544" s="56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</row>
    <row r="545" spans="1:30" x14ac:dyDescent="0.2">
      <c r="A545" s="232"/>
      <c r="B545" s="210"/>
      <c r="C545" s="210"/>
      <c r="D545" s="210"/>
      <c r="E545" s="210"/>
      <c r="G545" s="55"/>
      <c r="H545" s="56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</row>
    <row r="546" spans="1:30" x14ac:dyDescent="0.2">
      <c r="A546" s="232"/>
      <c r="B546" s="210"/>
      <c r="C546" s="210"/>
      <c r="D546" s="210"/>
      <c r="E546" s="210"/>
      <c r="G546" s="55"/>
      <c r="H546" s="56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</row>
    <row r="547" spans="1:30" x14ac:dyDescent="0.2">
      <c r="A547" s="232"/>
      <c r="B547" s="210"/>
      <c r="C547" s="210"/>
      <c r="D547" s="210"/>
      <c r="E547" s="210"/>
      <c r="G547" s="55"/>
      <c r="H547" s="56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</row>
    <row r="548" spans="1:30" x14ac:dyDescent="0.2">
      <c r="A548" s="232"/>
      <c r="B548" s="210"/>
      <c r="C548" s="210"/>
      <c r="D548" s="210"/>
      <c r="E548" s="210"/>
      <c r="G548" s="55"/>
      <c r="H548" s="56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</row>
    <row r="549" spans="1:30" x14ac:dyDescent="0.2">
      <c r="A549" s="232"/>
      <c r="B549" s="210"/>
      <c r="C549" s="210"/>
      <c r="D549" s="210"/>
      <c r="E549" s="210"/>
      <c r="G549" s="55"/>
      <c r="H549" s="56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</row>
    <row r="550" spans="1:30" x14ac:dyDescent="0.2">
      <c r="A550" s="232"/>
      <c r="B550" s="210"/>
      <c r="C550" s="210"/>
      <c r="D550" s="210"/>
      <c r="E550" s="210"/>
      <c r="G550" s="55"/>
      <c r="H550" s="56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</row>
    <row r="551" spans="1:30" x14ac:dyDescent="0.2">
      <c r="A551" s="232"/>
      <c r="B551" s="210"/>
      <c r="C551" s="210"/>
      <c r="D551" s="210"/>
      <c r="E551" s="210"/>
      <c r="G551" s="55"/>
      <c r="H551" s="56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</row>
    <row r="552" spans="1:30" x14ac:dyDescent="0.2">
      <c r="A552" s="232"/>
      <c r="B552" s="210"/>
      <c r="C552" s="210"/>
      <c r="D552" s="210"/>
      <c r="E552" s="210"/>
      <c r="G552" s="55"/>
      <c r="H552" s="56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</row>
    <row r="553" spans="1:30" x14ac:dyDescent="0.2">
      <c r="A553" s="232"/>
      <c r="B553" s="210"/>
      <c r="C553" s="210"/>
      <c r="D553" s="210"/>
      <c r="E553" s="210"/>
      <c r="G553" s="55"/>
      <c r="H553" s="56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</row>
    <row r="554" spans="1:30" x14ac:dyDescent="0.2">
      <c r="A554" s="232"/>
      <c r="B554" s="210"/>
      <c r="C554" s="210"/>
      <c r="D554" s="210"/>
      <c r="E554" s="210"/>
      <c r="G554" s="55"/>
      <c r="H554" s="56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</row>
    <row r="555" spans="1:30" x14ac:dyDescent="0.2">
      <c r="A555" s="232"/>
      <c r="B555" s="210"/>
      <c r="C555" s="210"/>
      <c r="D555" s="210"/>
      <c r="E555" s="210"/>
      <c r="G555" s="55"/>
      <c r="H555" s="56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</row>
    <row r="556" spans="1:30" x14ac:dyDescent="0.2">
      <c r="A556" s="232"/>
      <c r="B556" s="210"/>
      <c r="C556" s="210"/>
      <c r="D556" s="210"/>
      <c r="E556" s="210"/>
      <c r="G556" s="55"/>
      <c r="H556" s="56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</row>
    <row r="557" spans="1:30" x14ac:dyDescent="0.2">
      <c r="A557" s="232"/>
      <c r="B557" s="210"/>
      <c r="C557" s="210"/>
      <c r="D557" s="210"/>
      <c r="E557" s="210"/>
      <c r="G557" s="55"/>
      <c r="H557" s="56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</row>
    <row r="558" spans="1:30" x14ac:dyDescent="0.2">
      <c r="A558" s="232"/>
      <c r="B558" s="210"/>
      <c r="C558" s="210"/>
      <c r="D558" s="210"/>
      <c r="E558" s="210"/>
      <c r="G558" s="55"/>
      <c r="H558" s="56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</row>
    <row r="559" spans="1:30" x14ac:dyDescent="0.2">
      <c r="A559" s="232"/>
      <c r="B559" s="210"/>
      <c r="C559" s="210"/>
      <c r="D559" s="210"/>
      <c r="E559" s="210"/>
      <c r="G559" s="55"/>
      <c r="H559" s="56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</row>
    <row r="560" spans="1:30" x14ac:dyDescent="0.2">
      <c r="A560" s="232"/>
      <c r="B560" s="210"/>
      <c r="C560" s="210"/>
      <c r="D560" s="210"/>
      <c r="E560" s="210"/>
      <c r="G560" s="55"/>
      <c r="H560" s="56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</row>
    <row r="561" spans="1:30" x14ac:dyDescent="0.2">
      <c r="A561" s="232"/>
      <c r="B561" s="210"/>
      <c r="C561" s="210"/>
      <c r="D561" s="210"/>
      <c r="E561" s="210"/>
      <c r="G561" s="55"/>
      <c r="H561" s="56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</row>
    <row r="562" spans="1:30" x14ac:dyDescent="0.2">
      <c r="A562" s="232"/>
      <c r="B562" s="210"/>
      <c r="C562" s="210"/>
      <c r="D562" s="210"/>
      <c r="E562" s="210"/>
      <c r="G562" s="55"/>
      <c r="H562" s="56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</row>
    <row r="563" spans="1:30" x14ac:dyDescent="0.2">
      <c r="A563" s="232"/>
      <c r="B563" s="210"/>
      <c r="C563" s="210"/>
      <c r="D563" s="210"/>
      <c r="E563" s="210"/>
      <c r="G563" s="55"/>
      <c r="H563" s="56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</row>
    <row r="564" spans="1:30" x14ac:dyDescent="0.2">
      <c r="A564" s="232"/>
      <c r="B564" s="210"/>
      <c r="C564" s="210"/>
      <c r="D564" s="210"/>
      <c r="E564" s="210"/>
      <c r="G564" s="55"/>
      <c r="H564" s="56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</row>
    <row r="565" spans="1:30" x14ac:dyDescent="0.2">
      <c r="A565" s="232"/>
      <c r="B565" s="210"/>
      <c r="C565" s="210"/>
      <c r="D565" s="210"/>
      <c r="E565" s="210"/>
      <c r="G565" s="55"/>
      <c r="H565" s="56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</row>
    <row r="566" spans="1:30" x14ac:dyDescent="0.2">
      <c r="A566" s="232"/>
      <c r="B566" s="210"/>
      <c r="C566" s="210"/>
      <c r="D566" s="210"/>
      <c r="E566" s="210"/>
      <c r="G566" s="55"/>
      <c r="H566" s="56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</row>
    <row r="567" spans="1:30" x14ac:dyDescent="0.2">
      <c r="A567" s="232"/>
      <c r="B567" s="210"/>
      <c r="C567" s="210"/>
      <c r="D567" s="210"/>
      <c r="E567" s="210"/>
      <c r="G567" s="55"/>
      <c r="H567" s="56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</row>
    <row r="568" spans="1:30" x14ac:dyDescent="0.2">
      <c r="A568" s="232"/>
      <c r="B568" s="210"/>
      <c r="C568" s="210"/>
      <c r="D568" s="210"/>
      <c r="E568" s="210"/>
      <c r="G568" s="55"/>
      <c r="H568" s="56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</row>
    <row r="569" spans="1:30" x14ac:dyDescent="0.2">
      <c r="A569" s="232"/>
      <c r="B569" s="210"/>
      <c r="C569" s="210"/>
      <c r="D569" s="210"/>
      <c r="E569" s="210"/>
      <c r="G569" s="55"/>
      <c r="H569" s="56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</row>
    <row r="570" spans="1:30" x14ac:dyDescent="0.2">
      <c r="A570" s="232"/>
      <c r="B570" s="210"/>
      <c r="C570" s="210"/>
      <c r="D570" s="210"/>
      <c r="E570" s="210"/>
      <c r="G570" s="55"/>
      <c r="H570" s="56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</row>
    <row r="571" spans="1:30" x14ac:dyDescent="0.2">
      <c r="A571" s="232"/>
      <c r="B571" s="210"/>
      <c r="C571" s="210"/>
      <c r="D571" s="210"/>
      <c r="E571" s="210"/>
      <c r="G571" s="55"/>
      <c r="H571" s="56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</row>
    <row r="572" spans="1:30" x14ac:dyDescent="0.2">
      <c r="A572" s="232"/>
      <c r="B572" s="210"/>
      <c r="C572" s="210"/>
      <c r="D572" s="210"/>
      <c r="E572" s="210"/>
      <c r="G572" s="55"/>
      <c r="H572" s="56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</row>
    <row r="573" spans="1:30" x14ac:dyDescent="0.2">
      <c r="A573" s="232"/>
      <c r="B573" s="210"/>
      <c r="C573" s="210"/>
      <c r="D573" s="210"/>
      <c r="E573" s="210"/>
      <c r="G573" s="55"/>
      <c r="H573" s="56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</row>
    <row r="574" spans="1:30" x14ac:dyDescent="0.2">
      <c r="A574" s="232"/>
      <c r="B574" s="210"/>
      <c r="C574" s="210"/>
      <c r="D574" s="210"/>
      <c r="E574" s="210"/>
      <c r="G574" s="55"/>
      <c r="H574" s="56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</row>
    <row r="575" spans="1:30" x14ac:dyDescent="0.2">
      <c r="A575" s="232"/>
      <c r="B575" s="210"/>
      <c r="C575" s="210"/>
      <c r="D575" s="210"/>
      <c r="E575" s="210"/>
      <c r="G575" s="55"/>
      <c r="H575" s="56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</row>
    <row r="576" spans="1:30" x14ac:dyDescent="0.2">
      <c r="A576" s="232"/>
      <c r="B576" s="210"/>
      <c r="C576" s="210"/>
      <c r="D576" s="210"/>
      <c r="E576" s="210"/>
      <c r="G576" s="55"/>
      <c r="H576" s="56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</row>
    <row r="577" spans="1:30" x14ac:dyDescent="0.2">
      <c r="A577" s="232"/>
      <c r="B577" s="210"/>
      <c r="C577" s="210"/>
      <c r="D577" s="210"/>
      <c r="E577" s="210"/>
      <c r="G577" s="55"/>
      <c r="H577" s="56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</row>
    <row r="578" spans="1:30" x14ac:dyDescent="0.2">
      <c r="A578" s="232"/>
      <c r="B578" s="210"/>
      <c r="C578" s="210"/>
      <c r="D578" s="210"/>
      <c r="E578" s="210"/>
      <c r="G578" s="55"/>
      <c r="H578" s="56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</row>
    <row r="579" spans="1:30" x14ac:dyDescent="0.2">
      <c r="A579" s="232"/>
      <c r="B579" s="210"/>
      <c r="C579" s="210"/>
      <c r="D579" s="210"/>
      <c r="E579" s="210"/>
      <c r="G579" s="55"/>
      <c r="H579" s="56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</row>
    <row r="580" spans="1:30" x14ac:dyDescent="0.2">
      <c r="A580" s="232"/>
      <c r="B580" s="210"/>
      <c r="C580" s="210"/>
      <c r="D580" s="210"/>
      <c r="E580" s="210"/>
      <c r="G580" s="55"/>
      <c r="H580" s="56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</row>
    <row r="581" spans="1:30" x14ac:dyDescent="0.2">
      <c r="A581" s="232"/>
      <c r="B581" s="210"/>
      <c r="C581" s="210"/>
      <c r="D581" s="210"/>
      <c r="E581" s="210"/>
      <c r="G581" s="55"/>
      <c r="H581" s="56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</row>
    <row r="582" spans="1:30" x14ac:dyDescent="0.2">
      <c r="A582" s="232"/>
      <c r="B582" s="210"/>
      <c r="C582" s="210"/>
      <c r="D582" s="210"/>
      <c r="E582" s="210"/>
      <c r="G582" s="55"/>
      <c r="H582" s="56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</row>
    <row r="583" spans="1:30" x14ac:dyDescent="0.2">
      <c r="A583" s="232"/>
      <c r="B583" s="210"/>
      <c r="C583" s="210"/>
      <c r="D583" s="210"/>
      <c r="E583" s="210"/>
      <c r="G583" s="55"/>
      <c r="H583" s="56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</row>
    <row r="584" spans="1:30" x14ac:dyDescent="0.2">
      <c r="A584" s="232"/>
      <c r="B584" s="210"/>
      <c r="C584" s="210"/>
      <c r="D584" s="210"/>
      <c r="E584" s="210"/>
      <c r="G584" s="55"/>
      <c r="H584" s="56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</row>
    <row r="585" spans="1:30" x14ac:dyDescent="0.2">
      <c r="A585" s="232"/>
      <c r="B585" s="210"/>
      <c r="C585" s="210"/>
      <c r="D585" s="210"/>
      <c r="E585" s="210"/>
      <c r="G585" s="55"/>
      <c r="H585" s="56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</row>
    <row r="586" spans="1:30" x14ac:dyDescent="0.2">
      <c r="A586" s="232"/>
      <c r="B586" s="210"/>
      <c r="C586" s="210"/>
      <c r="D586" s="210"/>
      <c r="E586" s="210"/>
      <c r="G586" s="55"/>
      <c r="H586" s="56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</row>
    <row r="587" spans="1:30" x14ac:dyDescent="0.2">
      <c r="A587" s="232"/>
      <c r="B587" s="210"/>
      <c r="C587" s="210"/>
      <c r="D587" s="210"/>
      <c r="E587" s="210"/>
      <c r="G587" s="55"/>
      <c r="H587" s="56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</row>
    <row r="588" spans="1:30" x14ac:dyDescent="0.2">
      <c r="A588" s="232"/>
      <c r="B588" s="210"/>
      <c r="C588" s="210"/>
      <c r="D588" s="210"/>
      <c r="E588" s="210"/>
      <c r="G588" s="55"/>
      <c r="H588" s="56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</row>
    <row r="589" spans="1:30" x14ac:dyDescent="0.2">
      <c r="A589" s="232"/>
      <c r="B589" s="210"/>
      <c r="C589" s="210"/>
      <c r="D589" s="210"/>
      <c r="E589" s="210"/>
      <c r="G589" s="55"/>
      <c r="H589" s="56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</row>
    <row r="590" spans="1:30" x14ac:dyDescent="0.2">
      <c r="A590" s="232"/>
      <c r="B590" s="210"/>
      <c r="C590" s="210"/>
      <c r="D590" s="210"/>
      <c r="E590" s="210"/>
      <c r="G590" s="55"/>
      <c r="H590" s="56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</row>
    <row r="591" spans="1:30" x14ac:dyDescent="0.2">
      <c r="A591" s="232"/>
      <c r="B591" s="210"/>
      <c r="C591" s="210"/>
      <c r="D591" s="210"/>
      <c r="E591" s="210"/>
      <c r="G591" s="55"/>
      <c r="H591" s="56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</row>
    <row r="592" spans="1:30" x14ac:dyDescent="0.2">
      <c r="A592" s="232"/>
      <c r="B592" s="210"/>
      <c r="C592" s="210"/>
      <c r="D592" s="210"/>
      <c r="E592" s="210"/>
      <c r="G592" s="55"/>
      <c r="H592" s="56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</row>
    <row r="593" spans="1:30" x14ac:dyDescent="0.2">
      <c r="A593" s="232"/>
      <c r="B593" s="210"/>
      <c r="C593" s="210"/>
      <c r="D593" s="210"/>
      <c r="E593" s="210"/>
      <c r="G593" s="55"/>
      <c r="H593" s="56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</row>
    <row r="594" spans="1:30" x14ac:dyDescent="0.2">
      <c r="A594" s="232"/>
      <c r="B594" s="210"/>
      <c r="C594" s="210"/>
      <c r="D594" s="210"/>
      <c r="E594" s="210"/>
      <c r="G594" s="55"/>
      <c r="H594" s="56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</row>
    <row r="595" spans="1:30" x14ac:dyDescent="0.2">
      <c r="A595" s="232"/>
      <c r="B595" s="210"/>
      <c r="C595" s="210"/>
      <c r="D595" s="210"/>
      <c r="E595" s="210"/>
      <c r="G595" s="55"/>
      <c r="H595" s="56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</row>
    <row r="596" spans="1:30" x14ac:dyDescent="0.2">
      <c r="A596" s="232"/>
      <c r="B596" s="210"/>
      <c r="C596" s="210"/>
      <c r="D596" s="210"/>
      <c r="E596" s="210"/>
      <c r="G596" s="55"/>
      <c r="H596" s="56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</row>
    <row r="597" spans="1:30" x14ac:dyDescent="0.2">
      <c r="A597" s="232"/>
      <c r="B597" s="210"/>
      <c r="C597" s="210"/>
      <c r="D597" s="210"/>
      <c r="E597" s="210"/>
      <c r="G597" s="55"/>
      <c r="H597" s="56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</row>
    <row r="598" spans="1:30" x14ac:dyDescent="0.2">
      <c r="A598" s="232"/>
      <c r="B598" s="210"/>
      <c r="C598" s="210"/>
      <c r="D598" s="210"/>
      <c r="E598" s="210"/>
      <c r="G598" s="55"/>
      <c r="H598" s="56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</row>
    <row r="599" spans="1:30" x14ac:dyDescent="0.2">
      <c r="A599" s="232"/>
      <c r="B599" s="210"/>
      <c r="C599" s="210"/>
      <c r="D599" s="210"/>
      <c r="E599" s="210"/>
      <c r="G599" s="55"/>
      <c r="H599" s="56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</row>
    <row r="600" spans="1:30" x14ac:dyDescent="0.2">
      <c r="A600" s="232"/>
      <c r="B600" s="210"/>
      <c r="C600" s="210"/>
      <c r="D600" s="210"/>
      <c r="E600" s="210"/>
      <c r="G600" s="55"/>
      <c r="H600" s="56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</row>
    <row r="601" spans="1:30" x14ac:dyDescent="0.2">
      <c r="A601" s="232"/>
      <c r="B601" s="210"/>
      <c r="C601" s="210"/>
      <c r="D601" s="210"/>
      <c r="E601" s="210"/>
      <c r="G601" s="55"/>
      <c r="H601" s="56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</row>
    <row r="602" spans="1:30" x14ac:dyDescent="0.2">
      <c r="A602" s="232"/>
      <c r="B602" s="210"/>
      <c r="C602" s="210"/>
      <c r="D602" s="210"/>
      <c r="E602" s="210"/>
      <c r="G602" s="55"/>
      <c r="H602" s="56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</row>
    <row r="603" spans="1:30" x14ac:dyDescent="0.2">
      <c r="A603" s="232"/>
      <c r="B603" s="210"/>
      <c r="C603" s="210"/>
      <c r="D603" s="210"/>
      <c r="E603" s="210"/>
      <c r="G603" s="55"/>
      <c r="H603" s="56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</row>
    <row r="604" spans="1:30" x14ac:dyDescent="0.2">
      <c r="A604" s="232"/>
      <c r="B604" s="210"/>
      <c r="C604" s="210"/>
      <c r="D604" s="210"/>
      <c r="E604" s="210"/>
      <c r="G604" s="55"/>
      <c r="H604" s="56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</row>
    <row r="605" spans="1:30" x14ac:dyDescent="0.2">
      <c r="A605" s="232"/>
      <c r="B605" s="210"/>
      <c r="C605" s="210"/>
      <c r="D605" s="210"/>
      <c r="E605" s="210"/>
      <c r="G605" s="55"/>
      <c r="H605" s="56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</row>
    <row r="606" spans="1:30" x14ac:dyDescent="0.2">
      <c r="A606" s="232"/>
      <c r="B606" s="210"/>
      <c r="C606" s="210"/>
      <c r="D606" s="210"/>
      <c r="E606" s="210"/>
      <c r="G606" s="55"/>
      <c r="H606" s="56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</row>
    <row r="607" spans="1:30" x14ac:dyDescent="0.2">
      <c r="A607" s="232"/>
      <c r="B607" s="210"/>
      <c r="C607" s="210"/>
      <c r="D607" s="210"/>
      <c r="E607" s="210"/>
      <c r="G607" s="55"/>
      <c r="H607" s="56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</row>
    <row r="608" spans="1:30" x14ac:dyDescent="0.2">
      <c r="A608" s="232"/>
      <c r="B608" s="210"/>
      <c r="C608" s="210"/>
      <c r="D608" s="210"/>
      <c r="E608" s="210"/>
      <c r="G608" s="55"/>
      <c r="H608" s="56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</row>
    <row r="609" spans="1:30" x14ac:dyDescent="0.2">
      <c r="A609" s="232"/>
      <c r="B609" s="210"/>
      <c r="C609" s="210"/>
      <c r="D609" s="210"/>
      <c r="E609" s="210"/>
      <c r="G609" s="55"/>
      <c r="H609" s="56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</row>
    <row r="610" spans="1:30" x14ac:dyDescent="0.2">
      <c r="A610" s="232"/>
      <c r="B610" s="210"/>
      <c r="C610" s="210"/>
      <c r="D610" s="210"/>
      <c r="E610" s="210"/>
      <c r="G610" s="55"/>
      <c r="H610" s="56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</row>
    <row r="611" spans="1:30" x14ac:dyDescent="0.2">
      <c r="A611" s="232"/>
      <c r="B611" s="210"/>
      <c r="C611" s="210"/>
      <c r="D611" s="210"/>
      <c r="E611" s="210"/>
      <c r="G611" s="55"/>
      <c r="H611" s="56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</row>
    <row r="612" spans="1:30" x14ac:dyDescent="0.2">
      <c r="A612" s="232"/>
      <c r="B612" s="210"/>
      <c r="C612" s="210"/>
      <c r="D612" s="210"/>
      <c r="E612" s="210"/>
      <c r="G612" s="55"/>
      <c r="H612" s="56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</row>
    <row r="613" spans="1:30" x14ac:dyDescent="0.2">
      <c r="A613" s="232"/>
      <c r="B613" s="210"/>
      <c r="C613" s="210"/>
      <c r="D613" s="210"/>
      <c r="E613" s="210"/>
      <c r="G613" s="55"/>
      <c r="H613" s="56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</row>
    <row r="614" spans="1:30" x14ac:dyDescent="0.2">
      <c r="A614" s="232"/>
      <c r="B614" s="210"/>
      <c r="C614" s="210"/>
      <c r="D614" s="210"/>
      <c r="E614" s="210"/>
      <c r="G614" s="55"/>
      <c r="H614" s="56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</row>
    <row r="615" spans="1:30" x14ac:dyDescent="0.2">
      <c r="A615" s="232"/>
      <c r="B615" s="210"/>
      <c r="C615" s="210"/>
      <c r="D615" s="210"/>
      <c r="E615" s="210"/>
      <c r="G615" s="55"/>
      <c r="H615" s="56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</row>
    <row r="616" spans="1:30" x14ac:dyDescent="0.2">
      <c r="A616" s="232"/>
      <c r="B616" s="210"/>
      <c r="C616" s="210"/>
      <c r="D616" s="210"/>
      <c r="E616" s="210"/>
      <c r="G616" s="55"/>
      <c r="H616" s="56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</row>
    <row r="617" spans="1:30" x14ac:dyDescent="0.2">
      <c r="A617" s="232"/>
      <c r="B617" s="210"/>
      <c r="C617" s="210"/>
      <c r="D617" s="210"/>
      <c r="E617" s="210"/>
      <c r="G617" s="55"/>
      <c r="H617" s="56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</row>
    <row r="618" spans="1:30" x14ac:dyDescent="0.2">
      <c r="A618" s="232"/>
      <c r="B618" s="210"/>
      <c r="C618" s="210"/>
      <c r="D618" s="210"/>
      <c r="E618" s="210"/>
      <c r="G618" s="55"/>
      <c r="H618" s="56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</row>
    <row r="619" spans="1:30" x14ac:dyDescent="0.2">
      <c r="A619" s="232"/>
      <c r="B619" s="210"/>
      <c r="C619" s="210"/>
      <c r="D619" s="210"/>
      <c r="E619" s="210"/>
      <c r="G619" s="55"/>
      <c r="H619" s="56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</row>
    <row r="620" spans="1:30" x14ac:dyDescent="0.2">
      <c r="A620" s="232"/>
      <c r="B620" s="210"/>
      <c r="C620" s="210"/>
      <c r="D620" s="210"/>
      <c r="E620" s="210"/>
      <c r="G620" s="55"/>
      <c r="H620" s="56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</row>
    <row r="621" spans="1:30" x14ac:dyDescent="0.2">
      <c r="A621" s="232"/>
      <c r="B621" s="210"/>
      <c r="C621" s="210"/>
      <c r="D621" s="210"/>
      <c r="E621" s="210"/>
      <c r="G621" s="55"/>
      <c r="H621" s="56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</row>
    <row r="622" spans="1:30" x14ac:dyDescent="0.2">
      <c r="A622" s="232"/>
      <c r="B622" s="210"/>
      <c r="C622" s="210"/>
      <c r="D622" s="210"/>
      <c r="E622" s="210"/>
      <c r="G622" s="55"/>
      <c r="H622" s="56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</row>
    <row r="623" spans="1:30" x14ac:dyDescent="0.2">
      <c r="A623" s="232"/>
      <c r="B623" s="210"/>
      <c r="C623" s="210"/>
      <c r="D623" s="210"/>
      <c r="E623" s="210"/>
      <c r="G623" s="55"/>
      <c r="H623" s="56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</row>
    <row r="624" spans="1:30" x14ac:dyDescent="0.2">
      <c r="A624" s="232"/>
      <c r="B624" s="210"/>
      <c r="C624" s="210"/>
      <c r="D624" s="210"/>
      <c r="E624" s="210"/>
      <c r="G624" s="55"/>
      <c r="H624" s="56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</row>
    <row r="625" spans="1:30" x14ac:dyDescent="0.2">
      <c r="A625" s="232"/>
      <c r="B625" s="210"/>
      <c r="C625" s="210"/>
      <c r="D625" s="210"/>
      <c r="E625" s="210"/>
      <c r="G625" s="55"/>
      <c r="H625" s="56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</row>
    <row r="626" spans="1:30" x14ac:dyDescent="0.2">
      <c r="A626" s="232"/>
      <c r="B626" s="210"/>
      <c r="C626" s="210"/>
      <c r="D626" s="210"/>
      <c r="E626" s="210"/>
      <c r="G626" s="55"/>
      <c r="H626" s="56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</row>
    <row r="627" spans="1:30" x14ac:dyDescent="0.2">
      <c r="A627" s="232"/>
      <c r="B627" s="210"/>
      <c r="C627" s="210"/>
      <c r="D627" s="210"/>
      <c r="E627" s="210"/>
      <c r="G627" s="55"/>
      <c r="H627" s="56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</row>
    <row r="628" spans="1:30" x14ac:dyDescent="0.2">
      <c r="A628" s="232"/>
      <c r="B628" s="210"/>
      <c r="C628" s="210"/>
      <c r="D628" s="210"/>
      <c r="E628" s="210"/>
      <c r="G628" s="55"/>
      <c r="H628" s="56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</row>
    <row r="629" spans="1:30" x14ac:dyDescent="0.2">
      <c r="A629" s="232"/>
      <c r="B629" s="210"/>
      <c r="C629" s="210"/>
      <c r="D629" s="210"/>
      <c r="E629" s="210"/>
      <c r="G629" s="55"/>
      <c r="H629" s="56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</row>
    <row r="630" spans="1:30" x14ac:dyDescent="0.2">
      <c r="A630" s="232"/>
      <c r="B630" s="210"/>
      <c r="C630" s="210"/>
      <c r="D630" s="210"/>
      <c r="E630" s="210"/>
      <c r="G630" s="55"/>
      <c r="H630" s="56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</row>
    <row r="631" spans="1:30" x14ac:dyDescent="0.2">
      <c r="A631" s="232"/>
      <c r="B631" s="210"/>
      <c r="C631" s="210"/>
      <c r="D631" s="210"/>
      <c r="E631" s="210"/>
      <c r="G631" s="55"/>
      <c r="H631" s="56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</row>
    <row r="632" spans="1:30" x14ac:dyDescent="0.2">
      <c r="A632" s="232"/>
      <c r="B632" s="210"/>
      <c r="C632" s="210"/>
      <c r="D632" s="210"/>
      <c r="E632" s="210"/>
      <c r="G632" s="55"/>
      <c r="H632" s="56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</row>
    <row r="633" spans="1:30" x14ac:dyDescent="0.2">
      <c r="A633" s="232"/>
      <c r="B633" s="210"/>
      <c r="C633" s="210"/>
      <c r="D633" s="210"/>
      <c r="E633" s="210"/>
      <c r="G633" s="55"/>
      <c r="H633" s="56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</row>
    <row r="634" spans="1:30" x14ac:dyDescent="0.2">
      <c r="A634" s="232"/>
      <c r="B634" s="210"/>
      <c r="C634" s="210"/>
      <c r="D634" s="210"/>
      <c r="E634" s="210"/>
      <c r="G634" s="55"/>
      <c r="H634" s="56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</row>
    <row r="635" spans="1:30" x14ac:dyDescent="0.2">
      <c r="A635" s="232"/>
      <c r="B635" s="210"/>
      <c r="C635" s="210"/>
      <c r="D635" s="210"/>
      <c r="E635" s="210"/>
      <c r="G635" s="55"/>
      <c r="H635" s="56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</row>
    <row r="636" spans="1:30" x14ac:dyDescent="0.2">
      <c r="A636" s="232"/>
      <c r="B636" s="210"/>
      <c r="C636" s="210"/>
      <c r="D636" s="210"/>
      <c r="E636" s="210"/>
      <c r="G636" s="55"/>
      <c r="H636" s="56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</row>
    <row r="637" spans="1:30" x14ac:dyDescent="0.2">
      <c r="A637" s="232"/>
      <c r="B637" s="210"/>
      <c r="C637" s="210"/>
      <c r="D637" s="210"/>
      <c r="E637" s="210"/>
      <c r="G637" s="55"/>
      <c r="H637" s="56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</row>
    <row r="638" spans="1:30" x14ac:dyDescent="0.2">
      <c r="A638" s="232"/>
      <c r="B638" s="210"/>
      <c r="C638" s="210"/>
      <c r="D638" s="210"/>
      <c r="E638" s="210"/>
      <c r="G638" s="55"/>
      <c r="H638" s="56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</row>
    <row r="639" spans="1:30" x14ac:dyDescent="0.2">
      <c r="A639" s="232"/>
      <c r="B639" s="210"/>
      <c r="C639" s="210"/>
      <c r="D639" s="210"/>
      <c r="E639" s="210"/>
      <c r="G639" s="55"/>
      <c r="H639" s="56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</row>
    <row r="640" spans="1:30" x14ac:dyDescent="0.2">
      <c r="A640" s="232"/>
      <c r="B640" s="210"/>
      <c r="C640" s="210"/>
      <c r="D640" s="210"/>
      <c r="E640" s="210"/>
      <c r="G640" s="55"/>
      <c r="H640" s="56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</row>
    <row r="641" spans="1:30" x14ac:dyDescent="0.2">
      <c r="A641" s="232"/>
      <c r="B641" s="210"/>
      <c r="C641" s="210"/>
      <c r="D641" s="210"/>
      <c r="E641" s="210"/>
      <c r="G641" s="55"/>
      <c r="H641" s="56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</row>
    <row r="642" spans="1:30" x14ac:dyDescent="0.2">
      <c r="A642" s="232"/>
      <c r="B642" s="210"/>
      <c r="C642" s="210"/>
      <c r="D642" s="210"/>
      <c r="E642" s="210"/>
      <c r="G642" s="55"/>
      <c r="H642" s="56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</row>
    <row r="643" spans="1:30" x14ac:dyDescent="0.2">
      <c r="A643" s="232"/>
      <c r="B643" s="210"/>
      <c r="C643" s="210"/>
      <c r="D643" s="210"/>
      <c r="E643" s="210"/>
      <c r="G643" s="55"/>
      <c r="H643" s="56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</row>
    <row r="644" spans="1:30" x14ac:dyDescent="0.2">
      <c r="A644" s="232"/>
      <c r="B644" s="210"/>
      <c r="C644" s="210"/>
      <c r="D644" s="210"/>
      <c r="E644" s="210"/>
      <c r="G644" s="55"/>
      <c r="H644" s="56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</row>
    <row r="645" spans="1:30" x14ac:dyDescent="0.2">
      <c r="A645" s="232"/>
      <c r="B645" s="210"/>
      <c r="C645" s="210"/>
      <c r="D645" s="210"/>
      <c r="E645" s="210"/>
      <c r="G645" s="55"/>
      <c r="H645" s="56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</row>
    <row r="646" spans="1:30" x14ac:dyDescent="0.2">
      <c r="A646" s="232"/>
      <c r="B646" s="210"/>
      <c r="C646" s="210"/>
      <c r="D646" s="210"/>
      <c r="E646" s="210"/>
      <c r="G646" s="55"/>
      <c r="H646" s="56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</row>
    <row r="647" spans="1:30" x14ac:dyDescent="0.2">
      <c r="A647" s="232"/>
      <c r="B647" s="210"/>
      <c r="C647" s="210"/>
      <c r="D647" s="210"/>
      <c r="E647" s="210"/>
      <c r="G647" s="55"/>
      <c r="H647" s="56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</row>
    <row r="648" spans="1:30" x14ac:dyDescent="0.2">
      <c r="A648" s="232"/>
      <c r="B648" s="210"/>
      <c r="C648" s="210"/>
      <c r="D648" s="210"/>
      <c r="E648" s="210"/>
      <c r="G648" s="55"/>
      <c r="H648" s="56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</row>
    <row r="649" spans="1:30" x14ac:dyDescent="0.2">
      <c r="A649" s="232"/>
      <c r="B649" s="210"/>
      <c r="C649" s="210"/>
      <c r="D649" s="210"/>
      <c r="E649" s="210"/>
      <c r="G649" s="55"/>
      <c r="H649" s="56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</row>
    <row r="650" spans="1:30" x14ac:dyDescent="0.2">
      <c r="A650" s="232"/>
      <c r="B650" s="210"/>
      <c r="C650" s="210"/>
      <c r="D650" s="210"/>
      <c r="E650" s="210"/>
      <c r="G650" s="55"/>
      <c r="H650" s="56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</row>
    <row r="651" spans="1:30" x14ac:dyDescent="0.2">
      <c r="A651" s="232"/>
      <c r="B651" s="210"/>
      <c r="C651" s="210"/>
      <c r="D651" s="210"/>
      <c r="E651" s="210"/>
      <c r="G651" s="55"/>
      <c r="H651" s="56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</row>
    <row r="652" spans="1:30" x14ac:dyDescent="0.2">
      <c r="A652" s="232"/>
      <c r="B652" s="210"/>
      <c r="C652" s="210"/>
      <c r="D652" s="210"/>
      <c r="E652" s="210"/>
      <c r="G652" s="55"/>
      <c r="H652" s="56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</row>
    <row r="653" spans="1:30" x14ac:dyDescent="0.2">
      <c r="A653" s="232"/>
      <c r="B653" s="210"/>
      <c r="C653" s="210"/>
      <c r="D653" s="210"/>
      <c r="E653" s="210"/>
      <c r="G653" s="55"/>
      <c r="H653" s="56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</row>
    <row r="654" spans="1:30" x14ac:dyDescent="0.2">
      <c r="A654" s="232"/>
      <c r="B654" s="210"/>
      <c r="C654" s="210"/>
      <c r="D654" s="210"/>
      <c r="E654" s="210"/>
      <c r="G654" s="55"/>
      <c r="H654" s="56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</row>
    <row r="655" spans="1:30" x14ac:dyDescent="0.2">
      <c r="A655" s="232"/>
      <c r="B655" s="210"/>
      <c r="C655" s="210"/>
      <c r="D655" s="210"/>
      <c r="E655" s="210"/>
      <c r="G655" s="55"/>
      <c r="H655" s="56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</row>
    <row r="656" spans="1:30" x14ac:dyDescent="0.2">
      <c r="A656" s="232"/>
      <c r="B656" s="210"/>
      <c r="C656" s="210"/>
      <c r="D656" s="210"/>
      <c r="E656" s="210"/>
      <c r="G656" s="55"/>
      <c r="H656" s="56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</row>
    <row r="657" spans="1:30" x14ac:dyDescent="0.2">
      <c r="A657" s="232"/>
      <c r="B657" s="210"/>
      <c r="C657" s="210"/>
      <c r="D657" s="210"/>
      <c r="E657" s="210"/>
      <c r="G657" s="55"/>
      <c r="H657" s="56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</row>
    <row r="658" spans="1:30" x14ac:dyDescent="0.2">
      <c r="A658" s="232"/>
      <c r="B658" s="210"/>
      <c r="C658" s="210"/>
      <c r="D658" s="210"/>
      <c r="E658" s="210"/>
      <c r="G658" s="55"/>
      <c r="H658" s="56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</row>
    <row r="659" spans="1:30" x14ac:dyDescent="0.2">
      <c r="A659" s="232"/>
      <c r="B659" s="210"/>
      <c r="C659" s="210"/>
      <c r="D659" s="210"/>
      <c r="E659" s="210"/>
      <c r="G659" s="55"/>
      <c r="H659" s="56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</row>
    <row r="660" spans="1:30" x14ac:dyDescent="0.2">
      <c r="A660" s="232"/>
      <c r="B660" s="210"/>
      <c r="C660" s="210"/>
      <c r="D660" s="210"/>
      <c r="E660" s="210"/>
      <c r="G660" s="55"/>
      <c r="H660" s="56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</row>
    <row r="661" spans="1:30" x14ac:dyDescent="0.2">
      <c r="A661" s="232"/>
      <c r="B661" s="210"/>
      <c r="C661" s="210"/>
      <c r="D661" s="210"/>
      <c r="E661" s="210"/>
      <c r="G661" s="55"/>
      <c r="H661" s="56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</row>
    <row r="662" spans="1:30" x14ac:dyDescent="0.2">
      <c r="A662" s="232"/>
      <c r="B662" s="210"/>
      <c r="C662" s="210"/>
      <c r="D662" s="210"/>
      <c r="E662" s="210"/>
      <c r="G662" s="55"/>
      <c r="H662" s="56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</row>
    <row r="663" spans="1:30" x14ac:dyDescent="0.2">
      <c r="A663" s="232"/>
      <c r="B663" s="210"/>
      <c r="C663" s="210"/>
      <c r="D663" s="210"/>
      <c r="E663" s="210"/>
      <c r="G663" s="55"/>
      <c r="H663" s="56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</row>
    <row r="664" spans="1:30" x14ac:dyDescent="0.2">
      <c r="A664" s="232"/>
      <c r="B664" s="210"/>
      <c r="C664" s="210"/>
      <c r="D664" s="210"/>
      <c r="E664" s="210"/>
      <c r="G664" s="55"/>
      <c r="H664" s="56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</row>
    <row r="665" spans="1:30" x14ac:dyDescent="0.2">
      <c r="A665" s="232"/>
      <c r="B665" s="210"/>
      <c r="C665" s="210"/>
      <c r="D665" s="210"/>
      <c r="E665" s="210"/>
      <c r="G665" s="55"/>
      <c r="H665" s="56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</row>
    <row r="666" spans="1:30" x14ac:dyDescent="0.2">
      <c r="A666" s="232"/>
      <c r="B666" s="210"/>
      <c r="C666" s="210"/>
      <c r="D666" s="210"/>
      <c r="E666" s="210"/>
      <c r="G666" s="55"/>
      <c r="H666" s="56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</row>
    <row r="667" spans="1:30" x14ac:dyDescent="0.2">
      <c r="A667" s="232"/>
      <c r="B667" s="210"/>
      <c r="C667" s="210"/>
      <c r="D667" s="210"/>
      <c r="E667" s="210"/>
      <c r="G667" s="55"/>
      <c r="H667" s="56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</row>
    <row r="668" spans="1:30" x14ac:dyDescent="0.2">
      <c r="A668" s="232"/>
      <c r="B668" s="210"/>
      <c r="C668" s="210"/>
      <c r="D668" s="210"/>
      <c r="E668" s="210"/>
      <c r="G668" s="55"/>
      <c r="H668" s="56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</row>
    <row r="669" spans="1:30" x14ac:dyDescent="0.2">
      <c r="A669" s="232"/>
      <c r="B669" s="210"/>
      <c r="C669" s="210"/>
      <c r="D669" s="210"/>
      <c r="E669" s="210"/>
      <c r="G669" s="55"/>
      <c r="H669" s="56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</row>
    <row r="670" spans="1:30" x14ac:dyDescent="0.2">
      <c r="A670" s="232"/>
      <c r="B670" s="210"/>
      <c r="C670" s="210"/>
      <c r="D670" s="210"/>
      <c r="E670" s="210"/>
      <c r="G670" s="55"/>
      <c r="H670" s="56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</row>
    <row r="671" spans="1:30" x14ac:dyDescent="0.2">
      <c r="A671" s="232"/>
      <c r="B671" s="210"/>
      <c r="C671" s="210"/>
      <c r="D671" s="210"/>
      <c r="E671" s="210"/>
      <c r="G671" s="55"/>
      <c r="H671" s="56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</row>
    <row r="672" spans="1:30" x14ac:dyDescent="0.2">
      <c r="A672" s="232"/>
      <c r="B672" s="210"/>
      <c r="C672" s="210"/>
      <c r="D672" s="210"/>
      <c r="E672" s="210"/>
      <c r="G672" s="55"/>
      <c r="H672" s="56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</row>
    <row r="673" spans="1:30" x14ac:dyDescent="0.2">
      <c r="A673" s="232"/>
      <c r="B673" s="210"/>
      <c r="C673" s="210"/>
      <c r="D673" s="210"/>
      <c r="E673" s="210"/>
      <c r="G673" s="55"/>
      <c r="H673" s="56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</row>
    <row r="674" spans="1:30" x14ac:dyDescent="0.2">
      <c r="A674" s="232"/>
      <c r="B674" s="210"/>
      <c r="C674" s="210"/>
      <c r="D674" s="210"/>
      <c r="E674" s="210"/>
      <c r="G674" s="55"/>
      <c r="H674" s="56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</row>
    <row r="675" spans="1:30" x14ac:dyDescent="0.2">
      <c r="A675" s="232"/>
      <c r="B675" s="210"/>
      <c r="C675" s="210"/>
      <c r="D675" s="210"/>
      <c r="E675" s="210"/>
      <c r="G675" s="55"/>
      <c r="H675" s="56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</row>
    <row r="676" spans="1:30" x14ac:dyDescent="0.2">
      <c r="A676" s="232"/>
      <c r="B676" s="210"/>
      <c r="C676" s="210"/>
      <c r="D676" s="210"/>
      <c r="E676" s="210"/>
      <c r="G676" s="55"/>
      <c r="H676" s="56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</row>
    <row r="677" spans="1:30" x14ac:dyDescent="0.2">
      <c r="A677" s="232"/>
      <c r="B677" s="210"/>
      <c r="C677" s="210"/>
      <c r="D677" s="210"/>
      <c r="E677" s="210"/>
      <c r="G677" s="55"/>
      <c r="H677" s="56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</row>
    <row r="678" spans="1:30" x14ac:dyDescent="0.2">
      <c r="A678" s="232"/>
      <c r="B678" s="210"/>
      <c r="C678" s="210"/>
      <c r="D678" s="210"/>
      <c r="E678" s="210"/>
      <c r="G678" s="55"/>
      <c r="H678" s="56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</row>
    <row r="679" spans="1:30" x14ac:dyDescent="0.2">
      <c r="A679" s="232"/>
      <c r="B679" s="210"/>
      <c r="C679" s="210"/>
      <c r="D679" s="210"/>
      <c r="E679" s="210"/>
      <c r="G679" s="55"/>
      <c r="H679" s="56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</row>
    <row r="680" spans="1:30" x14ac:dyDescent="0.2">
      <c r="A680" s="232"/>
      <c r="B680" s="210"/>
      <c r="C680" s="210"/>
      <c r="D680" s="210"/>
      <c r="E680" s="210"/>
      <c r="G680" s="55"/>
      <c r="H680" s="56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</row>
    <row r="681" spans="1:30" x14ac:dyDescent="0.2">
      <c r="A681" s="232"/>
      <c r="B681" s="210"/>
      <c r="C681" s="210"/>
      <c r="D681" s="210"/>
      <c r="E681" s="210"/>
      <c r="G681" s="55"/>
      <c r="H681" s="56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</row>
    <row r="682" spans="1:30" x14ac:dyDescent="0.2">
      <c r="A682" s="232"/>
      <c r="B682" s="210"/>
      <c r="C682" s="210"/>
      <c r="D682" s="210"/>
      <c r="E682" s="210"/>
      <c r="G682" s="55"/>
      <c r="H682" s="56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</row>
    <row r="683" spans="1:30" x14ac:dyDescent="0.2">
      <c r="A683" s="232"/>
      <c r="B683" s="210"/>
      <c r="C683" s="210"/>
      <c r="D683" s="210"/>
      <c r="E683" s="210"/>
      <c r="G683" s="55"/>
      <c r="H683" s="56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</row>
    <row r="684" spans="1:30" x14ac:dyDescent="0.2">
      <c r="A684" s="232"/>
      <c r="B684" s="210"/>
      <c r="C684" s="210"/>
      <c r="D684" s="210"/>
      <c r="E684" s="210"/>
      <c r="G684" s="55"/>
      <c r="H684" s="56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</row>
    <row r="685" spans="1:30" x14ac:dyDescent="0.2">
      <c r="A685" s="232"/>
      <c r="B685" s="210"/>
      <c r="C685" s="210"/>
      <c r="D685" s="210"/>
      <c r="E685" s="210"/>
      <c r="G685" s="55"/>
      <c r="H685" s="56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</row>
    <row r="686" spans="1:30" x14ac:dyDescent="0.2">
      <c r="A686" s="232"/>
      <c r="B686" s="210"/>
      <c r="C686" s="210"/>
      <c r="D686" s="210"/>
      <c r="E686" s="210"/>
      <c r="G686" s="55"/>
      <c r="H686" s="56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</row>
    <row r="687" spans="1:30" x14ac:dyDescent="0.2">
      <c r="A687" s="232"/>
      <c r="B687" s="210"/>
      <c r="C687" s="210"/>
      <c r="D687" s="210"/>
      <c r="E687" s="210"/>
      <c r="G687" s="55"/>
      <c r="H687" s="56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</row>
    <row r="688" spans="1:30" x14ac:dyDescent="0.2">
      <c r="A688" s="232"/>
      <c r="B688" s="210"/>
      <c r="C688" s="210"/>
      <c r="D688" s="210"/>
      <c r="E688" s="210"/>
      <c r="G688" s="55"/>
      <c r="H688" s="56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</row>
    <row r="689" spans="1:30" x14ac:dyDescent="0.2">
      <c r="A689" s="232"/>
      <c r="B689" s="210"/>
      <c r="C689" s="210"/>
      <c r="D689" s="210"/>
      <c r="E689" s="210"/>
      <c r="G689" s="55"/>
      <c r="H689" s="56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</row>
    <row r="690" spans="1:30" x14ac:dyDescent="0.2">
      <c r="A690" s="232"/>
      <c r="B690" s="210"/>
      <c r="C690" s="210"/>
      <c r="D690" s="210"/>
      <c r="E690" s="210"/>
      <c r="G690" s="55"/>
      <c r="H690" s="56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</row>
    <row r="691" spans="1:30" x14ac:dyDescent="0.2">
      <c r="A691" s="232"/>
      <c r="B691" s="210"/>
      <c r="C691" s="210"/>
      <c r="D691" s="210"/>
      <c r="E691" s="210"/>
      <c r="G691" s="55"/>
      <c r="H691" s="56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</row>
    <row r="692" spans="1:30" x14ac:dyDescent="0.2">
      <c r="A692" s="232"/>
      <c r="B692" s="210"/>
      <c r="C692" s="210"/>
      <c r="D692" s="210"/>
      <c r="E692" s="210"/>
      <c r="G692" s="55"/>
      <c r="H692" s="56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</row>
    <row r="693" spans="1:30" x14ac:dyDescent="0.2">
      <c r="A693" s="232"/>
      <c r="B693" s="210"/>
      <c r="C693" s="210"/>
      <c r="D693" s="210"/>
      <c r="E693" s="210"/>
      <c r="G693" s="55"/>
      <c r="H693" s="56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</row>
    <row r="694" spans="1:30" x14ac:dyDescent="0.2">
      <c r="A694" s="232"/>
      <c r="B694" s="210"/>
      <c r="C694" s="210"/>
      <c r="D694" s="210"/>
      <c r="E694" s="210"/>
      <c r="G694" s="55"/>
      <c r="H694" s="56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</row>
    <row r="695" spans="1:30" x14ac:dyDescent="0.2">
      <c r="A695" s="232"/>
      <c r="B695" s="210"/>
      <c r="C695" s="210"/>
      <c r="D695" s="210"/>
      <c r="E695" s="210"/>
      <c r="G695" s="55"/>
      <c r="H695" s="56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</row>
    <row r="696" spans="1:30" x14ac:dyDescent="0.2">
      <c r="A696" s="232"/>
      <c r="B696" s="210"/>
      <c r="C696" s="210"/>
      <c r="D696" s="210"/>
      <c r="E696" s="210"/>
      <c r="G696" s="55"/>
      <c r="H696" s="56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</row>
    <row r="697" spans="1:30" x14ac:dyDescent="0.2">
      <c r="A697" s="232"/>
      <c r="B697" s="210"/>
      <c r="C697" s="210"/>
      <c r="D697" s="210"/>
      <c r="E697" s="210"/>
      <c r="G697" s="55"/>
      <c r="H697" s="56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</row>
    <row r="698" spans="1:30" x14ac:dyDescent="0.2">
      <c r="A698" s="232"/>
      <c r="B698" s="210"/>
      <c r="C698" s="210"/>
      <c r="D698" s="210"/>
      <c r="E698" s="210"/>
      <c r="G698" s="55"/>
      <c r="H698" s="56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</row>
    <row r="699" spans="1:30" x14ac:dyDescent="0.2">
      <c r="A699" s="232"/>
      <c r="B699" s="210"/>
      <c r="C699" s="210"/>
      <c r="D699" s="210"/>
      <c r="E699" s="210"/>
      <c r="G699" s="55"/>
      <c r="H699" s="56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</row>
    <row r="700" spans="1:30" x14ac:dyDescent="0.2">
      <c r="A700" s="232"/>
      <c r="B700" s="210"/>
      <c r="C700" s="210"/>
      <c r="D700" s="210"/>
      <c r="E700" s="210"/>
      <c r="G700" s="55"/>
      <c r="H700" s="56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</row>
    <row r="701" spans="1:30" x14ac:dyDescent="0.2">
      <c r="A701" s="232"/>
      <c r="B701" s="210"/>
      <c r="C701" s="210"/>
      <c r="D701" s="210"/>
      <c r="E701" s="210"/>
      <c r="G701" s="55"/>
      <c r="H701" s="56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</row>
    <row r="702" spans="1:30" x14ac:dyDescent="0.2">
      <c r="A702" s="232"/>
      <c r="B702" s="210"/>
      <c r="C702" s="210"/>
      <c r="D702" s="210"/>
      <c r="E702" s="210"/>
      <c r="G702" s="55"/>
      <c r="H702" s="56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</row>
    <row r="703" spans="1:30" x14ac:dyDescent="0.2">
      <c r="A703" s="232"/>
      <c r="B703" s="210"/>
      <c r="C703" s="210"/>
      <c r="D703" s="210"/>
      <c r="E703" s="210"/>
      <c r="G703" s="55"/>
      <c r="H703" s="56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</row>
    <row r="704" spans="1:30" x14ac:dyDescent="0.2">
      <c r="A704" s="232"/>
      <c r="B704" s="210"/>
      <c r="C704" s="210"/>
      <c r="D704" s="210"/>
      <c r="E704" s="210"/>
      <c r="G704" s="55"/>
      <c r="H704" s="56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</row>
    <row r="705" spans="1:30" x14ac:dyDescent="0.2">
      <c r="A705" s="232"/>
      <c r="B705" s="210"/>
      <c r="C705" s="210"/>
      <c r="D705" s="210"/>
      <c r="E705" s="210"/>
      <c r="G705" s="55"/>
      <c r="H705" s="56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</row>
    <row r="706" spans="1:30" x14ac:dyDescent="0.2">
      <c r="A706" s="232"/>
      <c r="B706" s="210"/>
      <c r="C706" s="210"/>
      <c r="D706" s="210"/>
      <c r="E706" s="210"/>
      <c r="G706" s="55"/>
      <c r="H706" s="56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</row>
    <row r="707" spans="1:30" x14ac:dyDescent="0.2">
      <c r="A707" s="232"/>
      <c r="B707" s="210"/>
      <c r="C707" s="210"/>
      <c r="D707" s="210"/>
      <c r="E707" s="210"/>
      <c r="G707" s="55"/>
      <c r="H707" s="56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</row>
    <row r="708" spans="1:30" x14ac:dyDescent="0.2">
      <c r="A708" s="232"/>
      <c r="B708" s="210"/>
      <c r="C708" s="210"/>
      <c r="D708" s="210"/>
      <c r="E708" s="210"/>
      <c r="G708" s="55"/>
      <c r="H708" s="56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</row>
    <row r="709" spans="1:30" x14ac:dyDescent="0.2">
      <c r="A709" s="232"/>
      <c r="B709" s="210"/>
      <c r="C709" s="210"/>
      <c r="D709" s="210"/>
      <c r="E709" s="210"/>
      <c r="G709" s="55"/>
      <c r="H709" s="56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</row>
    <row r="710" spans="1:30" x14ac:dyDescent="0.2">
      <c r="A710" s="232"/>
      <c r="B710" s="210"/>
      <c r="C710" s="210"/>
      <c r="D710" s="210"/>
      <c r="E710" s="210"/>
      <c r="G710" s="55"/>
      <c r="H710" s="56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</row>
    <row r="711" spans="1:30" x14ac:dyDescent="0.2">
      <c r="A711" s="232"/>
      <c r="B711" s="210"/>
      <c r="C711" s="210"/>
      <c r="D711" s="210"/>
      <c r="E711" s="210"/>
      <c r="G711" s="55"/>
      <c r="H711" s="56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</row>
    <row r="712" spans="1:30" x14ac:dyDescent="0.2">
      <c r="A712" s="232"/>
      <c r="B712" s="210"/>
      <c r="C712" s="210"/>
      <c r="D712" s="210"/>
      <c r="E712" s="210"/>
      <c r="G712" s="55"/>
      <c r="H712" s="56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</row>
    <row r="713" spans="1:30" x14ac:dyDescent="0.2">
      <c r="A713" s="232"/>
      <c r="B713" s="210"/>
      <c r="C713" s="210"/>
      <c r="D713" s="210"/>
      <c r="E713" s="210"/>
      <c r="G713" s="55"/>
      <c r="H713" s="56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</row>
    <row r="714" spans="1:30" x14ac:dyDescent="0.2">
      <c r="A714" s="232"/>
      <c r="B714" s="210"/>
      <c r="C714" s="210"/>
      <c r="D714" s="210"/>
      <c r="E714" s="210"/>
      <c r="G714" s="55"/>
      <c r="H714" s="56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</row>
    <row r="715" spans="1:30" x14ac:dyDescent="0.2">
      <c r="A715" s="232"/>
      <c r="B715" s="210"/>
      <c r="C715" s="210"/>
      <c r="D715" s="210"/>
      <c r="E715" s="210"/>
      <c r="G715" s="55"/>
      <c r="H715" s="56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</row>
    <row r="716" spans="1:30" x14ac:dyDescent="0.2">
      <c r="A716" s="232"/>
      <c r="B716" s="210"/>
      <c r="C716" s="210"/>
      <c r="D716" s="210"/>
      <c r="E716" s="210"/>
      <c r="G716" s="55"/>
      <c r="H716" s="56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</row>
    <row r="717" spans="1:30" x14ac:dyDescent="0.2">
      <c r="A717" s="232"/>
      <c r="B717" s="210"/>
      <c r="C717" s="210"/>
      <c r="D717" s="210"/>
      <c r="E717" s="210"/>
      <c r="G717" s="55"/>
      <c r="H717" s="56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</row>
    <row r="718" spans="1:30" x14ac:dyDescent="0.2">
      <c r="A718" s="232"/>
      <c r="B718" s="210"/>
      <c r="C718" s="210"/>
      <c r="D718" s="210"/>
      <c r="E718" s="210"/>
      <c r="G718" s="55"/>
      <c r="H718" s="56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</row>
    <row r="719" spans="1:30" x14ac:dyDescent="0.2">
      <c r="A719" s="232"/>
      <c r="B719" s="210"/>
      <c r="C719" s="210"/>
      <c r="D719" s="210"/>
      <c r="E719" s="210"/>
      <c r="G719" s="55"/>
      <c r="H719" s="56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</row>
    <row r="720" spans="1:30" x14ac:dyDescent="0.2">
      <c r="A720" s="232"/>
      <c r="B720" s="210"/>
      <c r="C720" s="210"/>
      <c r="D720" s="210"/>
      <c r="E720" s="210"/>
      <c r="G720" s="55"/>
      <c r="H720" s="56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</row>
    <row r="721" spans="1:30" x14ac:dyDescent="0.2">
      <c r="A721" s="232"/>
      <c r="B721" s="210"/>
      <c r="C721" s="210"/>
      <c r="D721" s="210"/>
      <c r="E721" s="210"/>
      <c r="G721" s="55"/>
      <c r="H721" s="56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</row>
    <row r="722" spans="1:30" x14ac:dyDescent="0.2">
      <c r="A722" s="232"/>
      <c r="B722" s="210"/>
      <c r="C722" s="210"/>
      <c r="D722" s="210"/>
      <c r="E722" s="210"/>
      <c r="G722" s="55"/>
      <c r="H722" s="56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</row>
    <row r="723" spans="1:30" x14ac:dyDescent="0.2">
      <c r="A723" s="232"/>
      <c r="B723" s="210"/>
      <c r="C723" s="210"/>
      <c r="D723" s="210"/>
      <c r="E723" s="210"/>
      <c r="G723" s="55"/>
      <c r="H723" s="56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</row>
    <row r="724" spans="1:30" x14ac:dyDescent="0.2">
      <c r="A724" s="232"/>
      <c r="B724" s="210"/>
      <c r="C724" s="210"/>
      <c r="D724" s="210"/>
      <c r="E724" s="210"/>
      <c r="G724" s="55"/>
      <c r="H724" s="56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</row>
    <row r="725" spans="1:30" x14ac:dyDescent="0.2">
      <c r="A725" s="232"/>
      <c r="B725" s="210"/>
      <c r="C725" s="210"/>
      <c r="D725" s="210"/>
      <c r="E725" s="210"/>
      <c r="G725" s="55"/>
      <c r="H725" s="56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</row>
    <row r="726" spans="1:30" x14ac:dyDescent="0.2">
      <c r="A726" s="232"/>
      <c r="B726" s="210"/>
      <c r="C726" s="210"/>
      <c r="D726" s="210"/>
      <c r="E726" s="210"/>
      <c r="G726" s="55"/>
      <c r="H726" s="56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</row>
    <row r="727" spans="1:30" x14ac:dyDescent="0.2">
      <c r="A727" s="232"/>
      <c r="B727" s="210"/>
      <c r="C727" s="210"/>
      <c r="D727" s="210"/>
      <c r="E727" s="210"/>
      <c r="G727" s="55"/>
      <c r="H727" s="56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</row>
    <row r="728" spans="1:30" x14ac:dyDescent="0.2">
      <c r="A728" s="232"/>
      <c r="B728" s="210"/>
      <c r="C728" s="210"/>
      <c r="D728" s="210"/>
      <c r="E728" s="210"/>
      <c r="G728" s="55"/>
      <c r="H728" s="56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</row>
    <row r="729" spans="1:30" x14ac:dyDescent="0.2">
      <c r="A729" s="232"/>
      <c r="B729" s="210"/>
      <c r="C729" s="210"/>
      <c r="D729" s="210"/>
      <c r="E729" s="210"/>
      <c r="G729" s="55"/>
      <c r="H729" s="56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</row>
    <row r="730" spans="1:30" x14ac:dyDescent="0.2">
      <c r="A730" s="232"/>
      <c r="B730" s="210"/>
      <c r="C730" s="210"/>
      <c r="D730" s="210"/>
      <c r="E730" s="210"/>
      <c r="G730" s="55"/>
      <c r="H730" s="56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</row>
    <row r="731" spans="1:30" x14ac:dyDescent="0.2">
      <c r="A731" s="232"/>
      <c r="B731" s="210"/>
      <c r="C731" s="210"/>
      <c r="D731" s="210"/>
      <c r="E731" s="210"/>
      <c r="G731" s="55"/>
      <c r="H731" s="56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</row>
    <row r="732" spans="1:30" x14ac:dyDescent="0.2">
      <c r="A732" s="232"/>
      <c r="B732" s="210"/>
      <c r="C732" s="210"/>
      <c r="D732" s="210"/>
      <c r="E732" s="210"/>
      <c r="G732" s="55"/>
      <c r="H732" s="56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</row>
    <row r="733" spans="1:30" x14ac:dyDescent="0.2">
      <c r="A733" s="232"/>
      <c r="B733" s="210"/>
      <c r="C733" s="210"/>
      <c r="D733" s="210"/>
      <c r="E733" s="210"/>
      <c r="G733" s="55"/>
      <c r="H733" s="56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</row>
    <row r="734" spans="1:30" x14ac:dyDescent="0.2">
      <c r="A734" s="232"/>
      <c r="B734" s="210"/>
      <c r="C734" s="210"/>
      <c r="D734" s="210"/>
      <c r="E734" s="210"/>
      <c r="G734" s="55"/>
      <c r="H734" s="56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</row>
    <row r="735" spans="1:30" x14ac:dyDescent="0.2">
      <c r="A735" s="232"/>
      <c r="B735" s="210"/>
      <c r="C735" s="210"/>
      <c r="D735" s="210"/>
      <c r="E735" s="210"/>
      <c r="G735" s="55"/>
      <c r="H735" s="56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</row>
    <row r="736" spans="1:30" x14ac:dyDescent="0.2">
      <c r="A736" s="232"/>
      <c r="B736" s="210"/>
      <c r="C736" s="210"/>
      <c r="D736" s="210"/>
      <c r="E736" s="210"/>
      <c r="G736" s="55"/>
      <c r="H736" s="56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</row>
    <row r="737" spans="1:30" x14ac:dyDescent="0.2">
      <c r="A737" s="232"/>
      <c r="B737" s="210"/>
      <c r="C737" s="210"/>
      <c r="D737" s="210"/>
      <c r="E737" s="210"/>
      <c r="G737" s="55"/>
      <c r="H737" s="56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</row>
    <row r="738" spans="1:30" x14ac:dyDescent="0.2">
      <c r="A738" s="232"/>
      <c r="B738" s="210"/>
      <c r="C738" s="210"/>
      <c r="D738" s="210"/>
      <c r="E738" s="210"/>
      <c r="G738" s="55"/>
      <c r="H738" s="56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</row>
    <row r="739" spans="1:30" x14ac:dyDescent="0.2">
      <c r="A739" s="232"/>
      <c r="B739" s="210"/>
      <c r="C739" s="210"/>
      <c r="D739" s="210"/>
      <c r="E739" s="210"/>
      <c r="G739" s="55"/>
      <c r="H739" s="56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</row>
    <row r="740" spans="1:30" x14ac:dyDescent="0.2">
      <c r="A740" s="232"/>
      <c r="B740" s="210"/>
      <c r="C740" s="210"/>
      <c r="D740" s="210"/>
      <c r="E740" s="210"/>
      <c r="G740" s="55"/>
      <c r="H740" s="56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</row>
    <row r="741" spans="1:30" x14ac:dyDescent="0.2">
      <c r="A741" s="232"/>
      <c r="B741" s="210"/>
      <c r="C741" s="210"/>
      <c r="D741" s="210"/>
      <c r="E741" s="210"/>
      <c r="G741" s="55"/>
      <c r="H741" s="56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</row>
    <row r="742" spans="1:30" x14ac:dyDescent="0.2">
      <c r="A742" s="232"/>
      <c r="B742" s="210"/>
      <c r="C742" s="210"/>
      <c r="D742" s="210"/>
      <c r="E742" s="210"/>
      <c r="G742" s="55"/>
      <c r="H742" s="56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</row>
    <row r="743" spans="1:30" x14ac:dyDescent="0.2">
      <c r="A743" s="232"/>
      <c r="B743" s="210"/>
      <c r="C743" s="210"/>
      <c r="D743" s="210"/>
      <c r="E743" s="210"/>
      <c r="G743" s="55"/>
      <c r="H743" s="56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</row>
    <row r="744" spans="1:30" x14ac:dyDescent="0.2">
      <c r="A744" s="232"/>
      <c r="B744" s="210"/>
      <c r="C744" s="210"/>
      <c r="D744" s="210"/>
      <c r="E744" s="210"/>
      <c r="G744" s="55"/>
      <c r="H744" s="56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</row>
    <row r="745" spans="1:30" x14ac:dyDescent="0.2">
      <c r="A745" s="232"/>
      <c r="B745" s="210"/>
      <c r="C745" s="210"/>
      <c r="D745" s="210"/>
      <c r="E745" s="210"/>
      <c r="G745" s="55"/>
      <c r="H745" s="56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</row>
    <row r="746" spans="1:30" x14ac:dyDescent="0.2">
      <c r="A746" s="232"/>
      <c r="B746" s="210"/>
      <c r="C746" s="210"/>
      <c r="D746" s="210"/>
      <c r="E746" s="210"/>
      <c r="G746" s="55"/>
      <c r="H746" s="56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</row>
    <row r="747" spans="1:30" x14ac:dyDescent="0.2">
      <c r="A747" s="232"/>
      <c r="B747" s="210"/>
      <c r="C747" s="210"/>
      <c r="D747" s="210"/>
      <c r="E747" s="210"/>
      <c r="G747" s="55"/>
      <c r="H747" s="56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</row>
    <row r="748" spans="1:30" x14ac:dyDescent="0.2">
      <c r="A748" s="232"/>
      <c r="B748" s="210"/>
      <c r="C748" s="210"/>
      <c r="D748" s="210"/>
      <c r="E748" s="210"/>
      <c r="G748" s="55"/>
      <c r="H748" s="56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</row>
    <row r="749" spans="1:30" x14ac:dyDescent="0.2">
      <c r="A749" s="232"/>
      <c r="B749" s="210"/>
      <c r="C749" s="210"/>
      <c r="D749" s="210"/>
      <c r="E749" s="210"/>
      <c r="G749" s="55"/>
      <c r="H749" s="56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</row>
    <row r="750" spans="1:30" x14ac:dyDescent="0.2">
      <c r="A750" s="232"/>
      <c r="B750" s="210"/>
      <c r="C750" s="210"/>
      <c r="D750" s="210"/>
      <c r="E750" s="210"/>
      <c r="G750" s="55"/>
      <c r="H750" s="56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</row>
    <row r="751" spans="1:30" x14ac:dyDescent="0.2">
      <c r="A751" s="232"/>
      <c r="B751" s="210"/>
      <c r="C751" s="210"/>
      <c r="D751" s="210"/>
      <c r="E751" s="210"/>
      <c r="G751" s="55"/>
      <c r="H751" s="56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</row>
    <row r="752" spans="1:30" x14ac:dyDescent="0.2">
      <c r="A752" s="232"/>
      <c r="B752" s="210"/>
      <c r="C752" s="210"/>
      <c r="D752" s="210"/>
      <c r="E752" s="210"/>
      <c r="G752" s="55"/>
      <c r="H752" s="56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</row>
    <row r="753" spans="1:30" x14ac:dyDescent="0.2">
      <c r="A753" s="232"/>
      <c r="B753" s="210"/>
      <c r="C753" s="210"/>
      <c r="D753" s="210"/>
      <c r="E753" s="210"/>
      <c r="G753" s="55"/>
      <c r="H753" s="56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</row>
    <row r="754" spans="1:30" x14ac:dyDescent="0.2">
      <c r="A754" s="232"/>
      <c r="B754" s="210"/>
      <c r="C754" s="210"/>
      <c r="D754" s="210"/>
      <c r="E754" s="210"/>
      <c r="G754" s="55"/>
      <c r="H754" s="56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</row>
    <row r="755" spans="1:30" x14ac:dyDescent="0.2">
      <c r="A755" s="232"/>
      <c r="B755" s="210"/>
      <c r="C755" s="210"/>
      <c r="D755" s="210"/>
      <c r="E755" s="210"/>
      <c r="G755" s="55"/>
      <c r="H755" s="56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</row>
    <row r="756" spans="1:30" x14ac:dyDescent="0.2">
      <c r="A756" s="232"/>
      <c r="B756" s="210"/>
      <c r="C756" s="210"/>
      <c r="D756" s="210"/>
      <c r="E756" s="210"/>
      <c r="G756" s="55"/>
      <c r="H756" s="56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</row>
    <row r="757" spans="1:30" x14ac:dyDescent="0.2">
      <c r="A757" s="232"/>
      <c r="B757" s="210"/>
      <c r="C757" s="210"/>
      <c r="D757" s="210"/>
      <c r="E757" s="210"/>
      <c r="G757" s="55"/>
      <c r="H757" s="56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</row>
    <row r="758" spans="1:30" x14ac:dyDescent="0.2">
      <c r="A758" s="232"/>
      <c r="B758" s="210"/>
      <c r="C758" s="210"/>
      <c r="D758" s="210"/>
      <c r="E758" s="210"/>
      <c r="G758" s="55"/>
      <c r="H758" s="56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</row>
    <row r="759" spans="1:30" x14ac:dyDescent="0.2">
      <c r="A759" s="232"/>
      <c r="B759" s="210"/>
      <c r="C759" s="210"/>
      <c r="D759" s="210"/>
      <c r="E759" s="210"/>
      <c r="G759" s="55"/>
      <c r="H759" s="56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</row>
    <row r="760" spans="1:30" x14ac:dyDescent="0.2">
      <c r="A760" s="232"/>
      <c r="B760" s="210"/>
      <c r="C760" s="210"/>
      <c r="D760" s="210"/>
      <c r="E760" s="210"/>
      <c r="G760" s="55"/>
      <c r="H760" s="56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</row>
    <row r="761" spans="1:30" x14ac:dyDescent="0.2">
      <c r="A761" s="232"/>
      <c r="B761" s="210"/>
      <c r="C761" s="210"/>
      <c r="D761" s="210"/>
      <c r="E761" s="210"/>
      <c r="G761" s="55"/>
      <c r="H761" s="56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</row>
    <row r="762" spans="1:30" x14ac:dyDescent="0.2">
      <c r="A762" s="232"/>
      <c r="B762" s="210"/>
      <c r="C762" s="210"/>
      <c r="D762" s="210"/>
      <c r="E762" s="210"/>
      <c r="G762" s="55"/>
      <c r="H762" s="56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</row>
    <row r="763" spans="1:30" x14ac:dyDescent="0.2">
      <c r="A763" s="232"/>
      <c r="B763" s="210"/>
      <c r="C763" s="210"/>
      <c r="D763" s="210"/>
      <c r="E763" s="210"/>
      <c r="G763" s="55"/>
      <c r="H763" s="56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</row>
    <row r="764" spans="1:30" x14ac:dyDescent="0.2">
      <c r="A764" s="232"/>
      <c r="B764" s="210"/>
      <c r="C764" s="210"/>
      <c r="D764" s="210"/>
      <c r="E764" s="210"/>
      <c r="G764" s="55"/>
      <c r="H764" s="56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</row>
    <row r="765" spans="1:30" x14ac:dyDescent="0.2">
      <c r="A765" s="232"/>
      <c r="B765" s="210"/>
      <c r="C765" s="210"/>
      <c r="D765" s="210"/>
      <c r="E765" s="210"/>
      <c r="G765" s="55"/>
      <c r="H765" s="56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</row>
    <row r="766" spans="1:30" x14ac:dyDescent="0.2">
      <c r="A766" s="232"/>
      <c r="B766" s="210"/>
      <c r="C766" s="210"/>
      <c r="D766" s="210"/>
      <c r="E766" s="210"/>
      <c r="G766" s="55"/>
      <c r="H766" s="56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</row>
    <row r="767" spans="1:30" x14ac:dyDescent="0.2">
      <c r="A767" s="232"/>
      <c r="B767" s="210"/>
      <c r="C767" s="210"/>
      <c r="D767" s="210"/>
      <c r="E767" s="210"/>
      <c r="G767" s="55"/>
      <c r="H767" s="56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</row>
    <row r="768" spans="1:30" x14ac:dyDescent="0.2">
      <c r="A768" s="232"/>
      <c r="B768" s="210"/>
      <c r="C768" s="210"/>
      <c r="D768" s="210"/>
      <c r="E768" s="210"/>
      <c r="G768" s="55"/>
      <c r="H768" s="56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</row>
    <row r="769" spans="1:30" x14ac:dyDescent="0.2">
      <c r="A769" s="232"/>
      <c r="B769" s="210"/>
      <c r="C769" s="210"/>
      <c r="D769" s="210"/>
      <c r="E769" s="210"/>
      <c r="G769" s="55"/>
      <c r="H769" s="56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</row>
    <row r="770" spans="1:30" x14ac:dyDescent="0.2">
      <c r="A770" s="232"/>
      <c r="B770" s="210"/>
      <c r="C770" s="210"/>
      <c r="D770" s="210"/>
      <c r="E770" s="210"/>
      <c r="G770" s="55"/>
      <c r="H770" s="56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</row>
    <row r="771" spans="1:30" x14ac:dyDescent="0.2">
      <c r="A771" s="232"/>
      <c r="B771" s="210"/>
      <c r="C771" s="210"/>
      <c r="D771" s="210"/>
      <c r="E771" s="210"/>
      <c r="G771" s="55"/>
      <c r="H771" s="56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</row>
    <row r="772" spans="1:30" x14ac:dyDescent="0.2">
      <c r="A772" s="232"/>
      <c r="B772" s="210"/>
      <c r="C772" s="210"/>
      <c r="D772" s="210"/>
      <c r="E772" s="210"/>
      <c r="G772" s="55"/>
      <c r="H772" s="56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</row>
    <row r="773" spans="1:30" x14ac:dyDescent="0.2">
      <c r="A773" s="232"/>
      <c r="B773" s="210"/>
      <c r="C773" s="210"/>
      <c r="D773" s="210"/>
      <c r="E773" s="210"/>
      <c r="G773" s="55"/>
      <c r="H773" s="56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</row>
    <row r="774" spans="1:30" x14ac:dyDescent="0.2">
      <c r="A774" s="232"/>
      <c r="B774" s="210"/>
      <c r="C774" s="210"/>
      <c r="D774" s="210"/>
      <c r="E774" s="210"/>
      <c r="G774" s="55"/>
      <c r="H774" s="56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</row>
    <row r="775" spans="1:30" x14ac:dyDescent="0.2">
      <c r="A775" s="232"/>
      <c r="B775" s="210"/>
      <c r="C775" s="210"/>
      <c r="D775" s="210"/>
      <c r="E775" s="210"/>
      <c r="G775" s="55"/>
      <c r="H775" s="56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</row>
    <row r="776" spans="1:30" x14ac:dyDescent="0.2">
      <c r="A776" s="232"/>
      <c r="B776" s="210"/>
      <c r="C776" s="210"/>
      <c r="D776" s="210"/>
      <c r="E776" s="210"/>
      <c r="G776" s="55"/>
      <c r="H776" s="56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</row>
    <row r="777" spans="1:30" x14ac:dyDescent="0.2">
      <c r="A777" s="232"/>
      <c r="B777" s="210"/>
      <c r="C777" s="210"/>
      <c r="D777" s="210"/>
      <c r="E777" s="210"/>
      <c r="G777" s="55"/>
      <c r="H777" s="56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</row>
    <row r="778" spans="1:30" x14ac:dyDescent="0.2">
      <c r="A778" s="232"/>
      <c r="B778" s="210"/>
      <c r="C778" s="210"/>
      <c r="D778" s="210"/>
      <c r="E778" s="210"/>
      <c r="G778" s="55"/>
      <c r="H778" s="56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</row>
    <row r="779" spans="1:30" x14ac:dyDescent="0.2">
      <c r="A779" s="232"/>
      <c r="B779" s="210"/>
      <c r="C779" s="210"/>
      <c r="D779" s="210"/>
      <c r="E779" s="210"/>
      <c r="G779" s="55"/>
      <c r="H779" s="56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</row>
    <row r="780" spans="1:30" x14ac:dyDescent="0.2">
      <c r="A780" s="232"/>
      <c r="B780" s="210"/>
      <c r="C780" s="210"/>
      <c r="D780" s="210"/>
      <c r="E780" s="210"/>
      <c r="G780" s="55"/>
      <c r="H780" s="56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</row>
    <row r="781" spans="1:30" x14ac:dyDescent="0.2">
      <c r="A781" s="232"/>
      <c r="B781" s="210"/>
      <c r="C781" s="210"/>
      <c r="D781" s="210"/>
      <c r="E781" s="210"/>
      <c r="G781" s="55"/>
      <c r="H781" s="56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</row>
    <row r="782" spans="1:30" x14ac:dyDescent="0.2">
      <c r="A782" s="232"/>
      <c r="B782" s="210"/>
      <c r="C782" s="210"/>
      <c r="D782" s="210"/>
      <c r="E782" s="210"/>
      <c r="G782" s="55"/>
      <c r="H782" s="56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</row>
    <row r="783" spans="1:30" x14ac:dyDescent="0.2">
      <c r="A783" s="232"/>
      <c r="B783" s="210"/>
      <c r="C783" s="210"/>
      <c r="D783" s="210"/>
      <c r="E783" s="210"/>
      <c r="G783" s="55"/>
      <c r="H783" s="56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</row>
    <row r="784" spans="1:30" x14ac:dyDescent="0.2">
      <c r="A784" s="232"/>
      <c r="B784" s="210"/>
      <c r="C784" s="210"/>
      <c r="D784" s="210"/>
      <c r="E784" s="210"/>
      <c r="G784" s="55"/>
      <c r="H784" s="56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</row>
    <row r="785" spans="1:30" x14ac:dyDescent="0.2">
      <c r="A785" s="232"/>
      <c r="B785" s="210"/>
      <c r="C785" s="210"/>
      <c r="D785" s="210"/>
      <c r="E785" s="210"/>
      <c r="G785" s="55"/>
      <c r="H785" s="56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</row>
    <row r="786" spans="1:30" x14ac:dyDescent="0.2">
      <c r="A786" s="232"/>
      <c r="B786" s="210"/>
      <c r="C786" s="210"/>
      <c r="D786" s="210"/>
      <c r="E786" s="210"/>
      <c r="G786" s="55"/>
      <c r="H786" s="56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</row>
    <row r="787" spans="1:30" x14ac:dyDescent="0.2">
      <c r="A787" s="232"/>
      <c r="B787" s="210"/>
      <c r="C787" s="210"/>
      <c r="D787" s="210"/>
      <c r="E787" s="210"/>
      <c r="G787" s="55"/>
      <c r="H787" s="56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</row>
    <row r="788" spans="1:30" x14ac:dyDescent="0.2">
      <c r="A788" s="232"/>
      <c r="B788" s="210"/>
      <c r="C788" s="210"/>
      <c r="D788" s="210"/>
      <c r="E788" s="210"/>
      <c r="G788" s="55"/>
      <c r="H788" s="56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</row>
    <row r="789" spans="1:30" x14ac:dyDescent="0.2">
      <c r="A789" s="232"/>
      <c r="B789" s="210"/>
      <c r="C789" s="210"/>
      <c r="D789" s="210"/>
      <c r="E789" s="210"/>
      <c r="G789" s="55"/>
      <c r="H789" s="56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</row>
    <row r="790" spans="1:30" x14ac:dyDescent="0.2">
      <c r="A790" s="232"/>
      <c r="B790" s="210"/>
      <c r="C790" s="210"/>
      <c r="D790" s="210"/>
      <c r="E790" s="210"/>
      <c r="G790" s="55"/>
      <c r="H790" s="56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</row>
    <row r="791" spans="1:30" x14ac:dyDescent="0.2">
      <c r="A791" s="232"/>
      <c r="B791" s="210"/>
      <c r="C791" s="210"/>
      <c r="D791" s="210"/>
      <c r="E791" s="210"/>
      <c r="G791" s="55"/>
      <c r="H791" s="56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</row>
    <row r="792" spans="1:30" x14ac:dyDescent="0.2">
      <c r="A792" s="232"/>
      <c r="B792" s="210"/>
      <c r="C792" s="210"/>
      <c r="D792" s="210"/>
      <c r="E792" s="210"/>
      <c r="G792" s="55"/>
      <c r="H792" s="56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</row>
    <row r="793" spans="1:30" x14ac:dyDescent="0.2">
      <c r="A793" s="232"/>
      <c r="B793" s="210"/>
      <c r="C793" s="210"/>
      <c r="D793" s="210"/>
      <c r="E793" s="210"/>
      <c r="G793" s="55"/>
      <c r="H793" s="56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</row>
    <row r="794" spans="1:30" x14ac:dyDescent="0.2">
      <c r="A794" s="232"/>
      <c r="B794" s="210"/>
      <c r="C794" s="210"/>
      <c r="D794" s="210"/>
      <c r="E794" s="210"/>
      <c r="G794" s="55"/>
      <c r="H794" s="56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</row>
    <row r="795" spans="1:30" x14ac:dyDescent="0.2">
      <c r="A795" s="232"/>
      <c r="B795" s="210"/>
      <c r="C795" s="210"/>
      <c r="D795" s="210"/>
      <c r="E795" s="210"/>
      <c r="G795" s="55"/>
      <c r="H795" s="56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</row>
    <row r="796" spans="1:30" x14ac:dyDescent="0.2">
      <c r="A796" s="232"/>
      <c r="B796" s="210"/>
      <c r="C796" s="210"/>
      <c r="D796" s="210"/>
      <c r="E796" s="210"/>
      <c r="G796" s="55"/>
      <c r="H796" s="56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</row>
    <row r="797" spans="1:30" x14ac:dyDescent="0.2">
      <c r="A797" s="232"/>
      <c r="B797" s="210"/>
      <c r="C797" s="210"/>
      <c r="D797" s="210"/>
      <c r="E797" s="210"/>
      <c r="G797" s="55"/>
      <c r="H797" s="56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</row>
    <row r="798" spans="1:30" x14ac:dyDescent="0.2">
      <c r="A798" s="232"/>
      <c r="B798" s="210"/>
      <c r="C798" s="210"/>
      <c r="D798" s="210"/>
      <c r="E798" s="210"/>
      <c r="G798" s="55"/>
      <c r="H798" s="56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</row>
    <row r="799" spans="1:30" x14ac:dyDescent="0.2">
      <c r="A799" s="232"/>
      <c r="B799" s="210"/>
      <c r="C799" s="210"/>
      <c r="D799" s="210"/>
      <c r="E799" s="210"/>
      <c r="G799" s="55"/>
      <c r="H799" s="56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</row>
    <row r="800" spans="1:30" x14ac:dyDescent="0.2">
      <c r="A800" s="232"/>
      <c r="B800" s="210"/>
      <c r="C800" s="210"/>
      <c r="D800" s="210"/>
      <c r="E800" s="210"/>
      <c r="G800" s="55"/>
      <c r="H800" s="56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</row>
    <row r="801" spans="1:30" x14ac:dyDescent="0.2">
      <c r="A801" s="232"/>
      <c r="B801" s="210"/>
      <c r="C801" s="210"/>
      <c r="D801" s="210"/>
      <c r="E801" s="210"/>
      <c r="G801" s="55"/>
      <c r="H801" s="56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</row>
    <row r="802" spans="1:30" x14ac:dyDescent="0.2">
      <c r="A802" s="232"/>
      <c r="B802" s="210"/>
      <c r="C802" s="210"/>
      <c r="D802" s="210"/>
      <c r="E802" s="210"/>
      <c r="G802" s="55"/>
      <c r="H802" s="56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</row>
    <row r="803" spans="1:30" x14ac:dyDescent="0.2">
      <c r="A803" s="232"/>
      <c r="B803" s="210"/>
      <c r="C803" s="210"/>
      <c r="D803" s="210"/>
      <c r="E803" s="210"/>
      <c r="G803" s="55"/>
      <c r="H803" s="56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</row>
    <row r="804" spans="1:30" x14ac:dyDescent="0.2">
      <c r="A804" s="232"/>
      <c r="B804" s="210"/>
      <c r="C804" s="210"/>
      <c r="D804" s="210"/>
      <c r="E804" s="210"/>
      <c r="G804" s="55"/>
      <c r="H804" s="56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</row>
    <row r="805" spans="1:30" x14ac:dyDescent="0.2">
      <c r="A805" s="232"/>
      <c r="B805" s="210"/>
      <c r="C805" s="210"/>
      <c r="D805" s="210"/>
      <c r="E805" s="210"/>
      <c r="G805" s="55"/>
      <c r="H805" s="56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</row>
    <row r="806" spans="1:30" x14ac:dyDescent="0.2">
      <c r="A806" s="232"/>
      <c r="B806" s="210"/>
      <c r="C806" s="210"/>
      <c r="D806" s="210"/>
      <c r="E806" s="210"/>
      <c r="G806" s="55"/>
      <c r="H806" s="56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</row>
    <row r="807" spans="1:30" x14ac:dyDescent="0.2">
      <c r="A807" s="232"/>
      <c r="B807" s="210"/>
      <c r="C807" s="210"/>
      <c r="D807" s="210"/>
      <c r="E807" s="210"/>
      <c r="G807" s="55"/>
      <c r="H807" s="56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</row>
    <row r="808" spans="1:30" x14ac:dyDescent="0.2">
      <c r="A808" s="232"/>
      <c r="B808" s="210"/>
      <c r="C808" s="210"/>
      <c r="D808" s="210"/>
      <c r="E808" s="210"/>
      <c r="G808" s="55"/>
      <c r="H808" s="56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</row>
    <row r="809" spans="1:30" x14ac:dyDescent="0.2">
      <c r="A809" s="232"/>
      <c r="B809" s="210"/>
      <c r="C809" s="210"/>
      <c r="D809" s="210"/>
      <c r="E809" s="210"/>
      <c r="G809" s="55"/>
      <c r="H809" s="56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</row>
    <row r="810" spans="1:30" x14ac:dyDescent="0.2">
      <c r="A810" s="232"/>
      <c r="B810" s="210"/>
      <c r="C810" s="210"/>
      <c r="D810" s="210"/>
      <c r="E810" s="210"/>
      <c r="G810" s="55"/>
      <c r="H810" s="56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</row>
    <row r="811" spans="1:30" x14ac:dyDescent="0.2">
      <c r="A811" s="232"/>
      <c r="B811" s="210"/>
      <c r="C811" s="210"/>
      <c r="D811" s="210"/>
      <c r="E811" s="210"/>
      <c r="G811" s="55"/>
      <c r="H811" s="56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</row>
    <row r="812" spans="1:30" x14ac:dyDescent="0.2">
      <c r="A812" s="232"/>
      <c r="B812" s="210"/>
      <c r="C812" s="210"/>
      <c r="D812" s="210"/>
      <c r="E812" s="210"/>
      <c r="G812" s="55"/>
      <c r="H812" s="56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</row>
    <row r="813" spans="1:30" x14ac:dyDescent="0.2">
      <c r="A813" s="232"/>
      <c r="B813" s="210"/>
      <c r="C813" s="210"/>
      <c r="D813" s="210"/>
      <c r="E813" s="210"/>
      <c r="G813" s="55"/>
      <c r="H813" s="56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</row>
    <row r="814" spans="1:30" x14ac:dyDescent="0.2">
      <c r="A814" s="232"/>
      <c r="B814" s="210"/>
      <c r="C814" s="210"/>
      <c r="D814" s="210"/>
      <c r="E814" s="210"/>
      <c r="G814" s="55"/>
      <c r="H814" s="56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</row>
    <row r="815" spans="1:30" x14ac:dyDescent="0.2">
      <c r="A815" s="232"/>
      <c r="B815" s="210"/>
      <c r="C815" s="210"/>
      <c r="D815" s="210"/>
      <c r="E815" s="210"/>
      <c r="G815" s="55"/>
      <c r="H815" s="56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</row>
    <row r="816" spans="1:30" x14ac:dyDescent="0.2">
      <c r="A816" s="232"/>
      <c r="B816" s="210"/>
      <c r="C816" s="210"/>
      <c r="D816" s="210"/>
      <c r="E816" s="210"/>
      <c r="G816" s="55"/>
      <c r="H816" s="56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</row>
    <row r="817" spans="1:30" x14ac:dyDescent="0.2">
      <c r="A817" s="232"/>
      <c r="B817" s="210"/>
      <c r="C817" s="210"/>
      <c r="D817" s="210"/>
      <c r="E817" s="210"/>
      <c r="G817" s="55"/>
      <c r="H817" s="56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</row>
    <row r="818" spans="1:30" x14ac:dyDescent="0.2">
      <c r="A818" s="232"/>
      <c r="B818" s="210"/>
      <c r="C818" s="210"/>
      <c r="D818" s="210"/>
      <c r="E818" s="210"/>
      <c r="G818" s="55"/>
      <c r="H818" s="56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</row>
    <row r="819" spans="1:30" x14ac:dyDescent="0.2">
      <c r="A819" s="232"/>
      <c r="B819" s="210"/>
      <c r="C819" s="210"/>
      <c r="D819" s="210"/>
      <c r="E819" s="210"/>
      <c r="G819" s="55"/>
      <c r="H819" s="56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</row>
    <row r="820" spans="1:30" x14ac:dyDescent="0.2">
      <c r="A820" s="232"/>
      <c r="B820" s="210"/>
      <c r="C820" s="210"/>
      <c r="D820" s="210"/>
      <c r="E820" s="210"/>
      <c r="G820" s="55"/>
      <c r="H820" s="56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</row>
    <row r="821" spans="1:30" x14ac:dyDescent="0.2">
      <c r="A821" s="232"/>
      <c r="B821" s="210"/>
      <c r="C821" s="210"/>
      <c r="D821" s="210"/>
      <c r="E821" s="210"/>
      <c r="G821" s="55"/>
      <c r="H821" s="56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</row>
    <row r="822" spans="1:30" x14ac:dyDescent="0.2">
      <c r="A822" s="232"/>
      <c r="B822" s="210"/>
      <c r="C822" s="210"/>
      <c r="D822" s="210"/>
      <c r="E822" s="210"/>
      <c r="G822" s="55"/>
      <c r="H822" s="56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</row>
    <row r="823" spans="1:30" x14ac:dyDescent="0.2">
      <c r="A823" s="232"/>
      <c r="B823" s="210"/>
      <c r="C823" s="210"/>
      <c r="D823" s="210"/>
      <c r="E823" s="210"/>
      <c r="G823" s="55"/>
      <c r="H823" s="56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</row>
    <row r="824" spans="1:30" x14ac:dyDescent="0.2">
      <c r="A824" s="232"/>
      <c r="B824" s="210"/>
      <c r="C824" s="210"/>
      <c r="D824" s="210"/>
      <c r="E824" s="210"/>
      <c r="G824" s="55"/>
      <c r="H824" s="56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</row>
    <row r="825" spans="1:30" x14ac:dyDescent="0.2">
      <c r="A825" s="232"/>
      <c r="B825" s="210"/>
      <c r="C825" s="210"/>
      <c r="D825" s="210"/>
      <c r="E825" s="210"/>
      <c r="G825" s="55"/>
      <c r="H825" s="56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</row>
    <row r="826" spans="1:30" x14ac:dyDescent="0.2">
      <c r="A826" s="232"/>
      <c r="B826" s="210"/>
      <c r="C826" s="210"/>
      <c r="D826" s="210"/>
      <c r="E826" s="210"/>
      <c r="G826" s="55"/>
      <c r="H826" s="56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</row>
    <row r="827" spans="1:30" x14ac:dyDescent="0.2">
      <c r="A827" s="232"/>
      <c r="B827" s="210"/>
      <c r="C827" s="210"/>
      <c r="D827" s="210"/>
      <c r="E827" s="210"/>
      <c r="G827" s="55"/>
      <c r="H827" s="56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</row>
    <row r="828" spans="1:30" x14ac:dyDescent="0.2">
      <c r="A828" s="232"/>
      <c r="B828" s="210"/>
      <c r="C828" s="210"/>
      <c r="D828" s="210"/>
      <c r="E828" s="210"/>
      <c r="G828" s="55"/>
      <c r="H828" s="56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</row>
    <row r="829" spans="1:30" x14ac:dyDescent="0.2">
      <c r="A829" s="232"/>
      <c r="B829" s="210"/>
      <c r="C829" s="210"/>
      <c r="D829" s="210"/>
      <c r="E829" s="210"/>
      <c r="G829" s="55"/>
      <c r="H829" s="56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</row>
    <row r="830" spans="1:30" x14ac:dyDescent="0.2">
      <c r="A830" s="232"/>
      <c r="B830" s="210"/>
      <c r="C830" s="210"/>
      <c r="D830" s="210"/>
      <c r="E830" s="210"/>
      <c r="G830" s="55"/>
      <c r="H830" s="56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</row>
    <row r="831" spans="1:30" x14ac:dyDescent="0.2">
      <c r="A831" s="232"/>
      <c r="B831" s="210"/>
      <c r="C831" s="210"/>
      <c r="D831" s="210"/>
      <c r="E831" s="210"/>
      <c r="G831" s="55"/>
      <c r="H831" s="56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</row>
    <row r="832" spans="1:30" x14ac:dyDescent="0.2">
      <c r="A832" s="232"/>
      <c r="B832" s="210"/>
      <c r="C832" s="210"/>
      <c r="D832" s="210"/>
      <c r="E832" s="210"/>
      <c r="G832" s="55"/>
      <c r="H832" s="56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</row>
    <row r="833" spans="1:30" x14ac:dyDescent="0.2">
      <c r="A833" s="232"/>
      <c r="B833" s="210"/>
      <c r="C833" s="210"/>
      <c r="D833" s="210"/>
      <c r="E833" s="210"/>
      <c r="G833" s="55"/>
      <c r="H833" s="56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</row>
    <row r="834" spans="1:30" x14ac:dyDescent="0.2">
      <c r="A834" s="232"/>
      <c r="B834" s="210"/>
      <c r="C834" s="210"/>
      <c r="D834" s="210"/>
      <c r="E834" s="210"/>
      <c r="G834" s="55"/>
      <c r="H834" s="56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</row>
    <row r="835" spans="1:30" x14ac:dyDescent="0.2">
      <c r="A835" s="232"/>
      <c r="B835" s="210"/>
      <c r="C835" s="210"/>
      <c r="D835" s="210"/>
      <c r="E835" s="210"/>
      <c r="G835" s="55"/>
      <c r="H835" s="56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</row>
    <row r="836" spans="1:30" x14ac:dyDescent="0.2">
      <c r="A836" s="232"/>
      <c r="B836" s="210"/>
      <c r="C836" s="210"/>
      <c r="D836" s="210"/>
      <c r="E836" s="210"/>
      <c r="G836" s="55"/>
      <c r="H836" s="56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</row>
    <row r="837" spans="1:30" x14ac:dyDescent="0.2">
      <c r="A837" s="232"/>
      <c r="B837" s="210"/>
      <c r="C837" s="210"/>
      <c r="D837" s="210"/>
      <c r="E837" s="210"/>
      <c r="G837" s="55"/>
      <c r="H837" s="56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</row>
    <row r="838" spans="1:30" x14ac:dyDescent="0.2">
      <c r="A838" s="232"/>
      <c r="B838" s="210"/>
      <c r="C838" s="210"/>
      <c r="D838" s="210"/>
      <c r="E838" s="210"/>
      <c r="G838" s="55"/>
      <c r="H838" s="56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</row>
    <row r="839" spans="1:30" x14ac:dyDescent="0.2">
      <c r="A839" s="232"/>
      <c r="B839" s="210"/>
      <c r="C839" s="210"/>
      <c r="D839" s="210"/>
      <c r="E839" s="210"/>
      <c r="G839" s="55"/>
      <c r="H839" s="56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</row>
    <row r="840" spans="1:30" x14ac:dyDescent="0.2">
      <c r="A840" s="232"/>
      <c r="B840" s="210"/>
      <c r="C840" s="210"/>
      <c r="D840" s="210"/>
      <c r="E840" s="210"/>
      <c r="G840" s="55"/>
      <c r="H840" s="56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</row>
    <row r="841" spans="1:30" x14ac:dyDescent="0.2">
      <c r="A841" s="232"/>
      <c r="B841" s="210"/>
      <c r="C841" s="210"/>
      <c r="D841" s="210"/>
      <c r="E841" s="210"/>
      <c r="G841" s="55"/>
      <c r="H841" s="56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</row>
    <row r="842" spans="1:30" x14ac:dyDescent="0.2">
      <c r="A842" s="232"/>
      <c r="B842" s="210"/>
      <c r="C842" s="210"/>
      <c r="D842" s="210"/>
      <c r="E842" s="210"/>
      <c r="G842" s="55"/>
      <c r="H842" s="56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</row>
    <row r="843" spans="1:30" x14ac:dyDescent="0.2">
      <c r="A843" s="232"/>
      <c r="B843" s="210"/>
      <c r="C843" s="210"/>
      <c r="D843" s="210"/>
      <c r="E843" s="210"/>
      <c r="G843" s="55"/>
      <c r="H843" s="56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</row>
    <row r="844" spans="1:30" x14ac:dyDescent="0.2">
      <c r="A844" s="232"/>
      <c r="B844" s="210"/>
      <c r="C844" s="210"/>
      <c r="D844" s="210"/>
      <c r="E844" s="210"/>
      <c r="G844" s="55"/>
      <c r="H844" s="56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</row>
    <row r="845" spans="1:30" x14ac:dyDescent="0.2">
      <c r="A845" s="232"/>
      <c r="B845" s="210"/>
      <c r="C845" s="210"/>
      <c r="D845" s="210"/>
      <c r="E845" s="210"/>
      <c r="G845" s="55"/>
      <c r="H845" s="56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</row>
    <row r="846" spans="1:30" x14ac:dyDescent="0.2">
      <c r="A846" s="232"/>
      <c r="B846" s="210"/>
      <c r="C846" s="210"/>
      <c r="D846" s="210"/>
      <c r="E846" s="210"/>
      <c r="G846" s="55"/>
      <c r="H846" s="56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</row>
    <row r="847" spans="1:30" x14ac:dyDescent="0.2">
      <c r="A847" s="232"/>
      <c r="B847" s="210"/>
      <c r="C847" s="210"/>
      <c r="D847" s="210"/>
      <c r="E847" s="210"/>
      <c r="G847" s="55"/>
      <c r="H847" s="56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</row>
    <row r="848" spans="1:30" x14ac:dyDescent="0.2">
      <c r="A848" s="232"/>
      <c r="B848" s="210"/>
      <c r="C848" s="210"/>
      <c r="D848" s="210"/>
      <c r="E848" s="210"/>
      <c r="G848" s="55"/>
      <c r="H848" s="56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</row>
    <row r="849" spans="1:30" x14ac:dyDescent="0.2">
      <c r="A849" s="232"/>
      <c r="B849" s="210"/>
      <c r="C849" s="210"/>
      <c r="D849" s="210"/>
      <c r="E849" s="210"/>
      <c r="G849" s="55"/>
      <c r="H849" s="56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</row>
    <row r="850" spans="1:30" x14ac:dyDescent="0.2">
      <c r="A850" s="232"/>
      <c r="B850" s="210"/>
      <c r="C850" s="210"/>
      <c r="D850" s="210"/>
      <c r="E850" s="210"/>
      <c r="G850" s="55"/>
      <c r="H850" s="56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</row>
    <row r="851" spans="1:30" x14ac:dyDescent="0.2">
      <c r="A851" s="232"/>
      <c r="B851" s="210"/>
      <c r="C851" s="210"/>
      <c r="D851" s="210"/>
      <c r="E851" s="210"/>
      <c r="G851" s="55"/>
      <c r="H851" s="56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</row>
    <row r="852" spans="1:30" x14ac:dyDescent="0.2">
      <c r="A852" s="232"/>
      <c r="B852" s="210"/>
      <c r="C852" s="210"/>
      <c r="D852" s="210"/>
      <c r="E852" s="210"/>
      <c r="G852" s="55"/>
      <c r="H852" s="56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</row>
    <row r="853" spans="1:30" x14ac:dyDescent="0.2">
      <c r="A853" s="232"/>
      <c r="B853" s="210"/>
      <c r="C853" s="210"/>
      <c r="D853" s="210"/>
      <c r="E853" s="210"/>
      <c r="G853" s="55"/>
      <c r="H853" s="56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</row>
    <row r="854" spans="1:30" x14ac:dyDescent="0.2">
      <c r="A854" s="232"/>
      <c r="B854" s="210"/>
      <c r="C854" s="210"/>
      <c r="D854" s="210"/>
      <c r="E854" s="210"/>
      <c r="G854" s="55"/>
      <c r="H854" s="56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</row>
    <row r="855" spans="1:30" x14ac:dyDescent="0.2">
      <c r="A855" s="232"/>
      <c r="B855" s="210"/>
      <c r="C855" s="210"/>
      <c r="D855" s="210"/>
      <c r="E855" s="210"/>
      <c r="G855" s="55"/>
      <c r="H855" s="56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</row>
    <row r="856" spans="1:30" x14ac:dyDescent="0.2">
      <c r="A856" s="232"/>
      <c r="B856" s="210"/>
      <c r="C856" s="210"/>
      <c r="D856" s="210"/>
      <c r="E856" s="210"/>
      <c r="G856" s="55"/>
      <c r="H856" s="56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</row>
    <row r="857" spans="1:30" x14ac:dyDescent="0.2">
      <c r="A857" s="232"/>
      <c r="B857" s="210"/>
      <c r="C857" s="210"/>
      <c r="D857" s="210"/>
      <c r="E857" s="210"/>
      <c r="G857" s="55"/>
      <c r="H857" s="56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</row>
    <row r="858" spans="1:30" x14ac:dyDescent="0.2">
      <c r="A858" s="232"/>
      <c r="B858" s="210"/>
      <c r="C858" s="210"/>
      <c r="D858" s="210"/>
      <c r="E858" s="210"/>
      <c r="G858" s="55"/>
      <c r="H858" s="56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</row>
    <row r="859" spans="1:30" x14ac:dyDescent="0.2">
      <c r="A859" s="232"/>
      <c r="B859" s="210"/>
      <c r="C859" s="210"/>
      <c r="D859" s="210"/>
      <c r="E859" s="210"/>
      <c r="G859" s="55"/>
      <c r="H859" s="56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</row>
    <row r="860" spans="1:30" x14ac:dyDescent="0.2">
      <c r="A860" s="232"/>
      <c r="B860" s="210"/>
      <c r="C860" s="210"/>
      <c r="D860" s="210"/>
      <c r="E860" s="210"/>
      <c r="G860" s="55"/>
      <c r="H860" s="56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</row>
    <row r="861" spans="1:30" x14ac:dyDescent="0.2">
      <c r="A861" s="232"/>
      <c r="B861" s="210"/>
      <c r="C861" s="210"/>
      <c r="D861" s="210"/>
      <c r="E861" s="210"/>
      <c r="G861" s="55"/>
      <c r="H861" s="56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</row>
    <row r="862" spans="1:30" x14ac:dyDescent="0.2">
      <c r="A862" s="232"/>
      <c r="B862" s="210"/>
      <c r="C862" s="210"/>
      <c r="D862" s="210"/>
      <c r="E862" s="210"/>
      <c r="G862" s="55"/>
      <c r="H862" s="56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</row>
    <row r="863" spans="1:30" x14ac:dyDescent="0.2">
      <c r="A863" s="232"/>
      <c r="B863" s="210"/>
      <c r="C863" s="210"/>
      <c r="D863" s="210"/>
      <c r="E863" s="210"/>
      <c r="G863" s="55"/>
      <c r="H863" s="56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</row>
    <row r="864" spans="1:30" x14ac:dyDescent="0.2">
      <c r="A864" s="232"/>
      <c r="B864" s="210"/>
      <c r="C864" s="210"/>
      <c r="D864" s="210"/>
      <c r="E864" s="210"/>
      <c r="G864" s="55"/>
      <c r="H864" s="56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</row>
    <row r="865" spans="1:30" x14ac:dyDescent="0.2">
      <c r="A865" s="232"/>
      <c r="B865" s="210"/>
      <c r="C865" s="210"/>
      <c r="D865" s="210"/>
      <c r="E865" s="210"/>
      <c r="G865" s="55"/>
      <c r="H865" s="56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</row>
    <row r="866" spans="1:30" x14ac:dyDescent="0.2">
      <c r="A866" s="232"/>
      <c r="B866" s="210"/>
      <c r="C866" s="210"/>
      <c r="D866" s="210"/>
      <c r="E866" s="210"/>
      <c r="G866" s="55"/>
      <c r="H866" s="56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</row>
    <row r="867" spans="1:30" x14ac:dyDescent="0.2">
      <c r="A867" s="232"/>
      <c r="B867" s="210"/>
      <c r="C867" s="210"/>
      <c r="D867" s="210"/>
      <c r="E867" s="210"/>
      <c r="G867" s="55"/>
      <c r="H867" s="56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</row>
    <row r="868" spans="1:30" x14ac:dyDescent="0.2">
      <c r="A868" s="232"/>
      <c r="B868" s="210"/>
      <c r="C868" s="210"/>
      <c r="D868" s="210"/>
      <c r="E868" s="210"/>
      <c r="G868" s="55"/>
      <c r="H868" s="56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</row>
    <row r="869" spans="1:30" x14ac:dyDescent="0.2">
      <c r="A869" s="232"/>
      <c r="B869" s="210"/>
      <c r="C869" s="210"/>
      <c r="D869" s="210"/>
      <c r="E869" s="210"/>
      <c r="G869" s="55"/>
      <c r="H869" s="56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</row>
    <row r="870" spans="1:30" x14ac:dyDescent="0.2">
      <c r="A870" s="232"/>
      <c r="B870" s="210"/>
      <c r="C870" s="210"/>
      <c r="D870" s="210"/>
      <c r="E870" s="210"/>
      <c r="G870" s="55"/>
      <c r="H870" s="56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</row>
    <row r="871" spans="1:30" x14ac:dyDescent="0.2">
      <c r="A871" s="232"/>
      <c r="B871" s="210"/>
      <c r="C871" s="210"/>
      <c r="D871" s="210"/>
      <c r="E871" s="210"/>
      <c r="G871" s="55"/>
      <c r="H871" s="56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</row>
    <row r="872" spans="1:30" x14ac:dyDescent="0.2">
      <c r="A872" s="232"/>
      <c r="B872" s="210"/>
      <c r="C872" s="210"/>
      <c r="D872" s="210"/>
      <c r="E872" s="210"/>
      <c r="G872" s="55"/>
      <c r="H872" s="56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</row>
    <row r="873" spans="1:30" x14ac:dyDescent="0.2">
      <c r="A873" s="232"/>
      <c r="B873" s="210"/>
      <c r="C873" s="210"/>
      <c r="D873" s="210"/>
      <c r="E873" s="210"/>
      <c r="G873" s="55"/>
      <c r="H873" s="56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</row>
    <row r="874" spans="1:30" x14ac:dyDescent="0.2">
      <c r="A874" s="232"/>
      <c r="B874" s="210"/>
      <c r="C874" s="210"/>
      <c r="D874" s="210"/>
      <c r="E874" s="210"/>
      <c r="G874" s="55"/>
      <c r="H874" s="56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</row>
    <row r="875" spans="1:30" x14ac:dyDescent="0.2">
      <c r="A875" s="232"/>
      <c r="B875" s="210"/>
      <c r="C875" s="210"/>
      <c r="D875" s="210"/>
      <c r="E875" s="210"/>
      <c r="G875" s="55"/>
      <c r="H875" s="56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</row>
    <row r="876" spans="1:30" x14ac:dyDescent="0.2">
      <c r="A876" s="232"/>
      <c r="B876" s="210"/>
      <c r="C876" s="210"/>
      <c r="D876" s="210"/>
      <c r="E876" s="210"/>
      <c r="G876" s="55"/>
      <c r="H876" s="56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</row>
    <row r="877" spans="1:30" x14ac:dyDescent="0.2">
      <c r="A877" s="232"/>
      <c r="B877" s="210"/>
      <c r="C877" s="210"/>
      <c r="D877" s="210"/>
      <c r="E877" s="210"/>
      <c r="G877" s="55"/>
      <c r="H877" s="56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</row>
    <row r="878" spans="1:30" x14ac:dyDescent="0.2">
      <c r="A878" s="232"/>
      <c r="B878" s="210"/>
      <c r="C878" s="210"/>
      <c r="D878" s="210"/>
      <c r="E878" s="210"/>
      <c r="G878" s="55"/>
      <c r="H878" s="56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</row>
    <row r="879" spans="1:30" x14ac:dyDescent="0.2">
      <c r="A879" s="232"/>
      <c r="B879" s="210"/>
      <c r="C879" s="210"/>
      <c r="D879" s="210"/>
      <c r="E879" s="210"/>
      <c r="G879" s="55"/>
      <c r="H879" s="56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</row>
    <row r="880" spans="1:30" x14ac:dyDescent="0.2">
      <c r="A880" s="232"/>
      <c r="B880" s="210"/>
      <c r="C880" s="210"/>
      <c r="D880" s="210"/>
      <c r="E880" s="210"/>
      <c r="G880" s="55"/>
      <c r="H880" s="56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</row>
    <row r="881" spans="1:30" x14ac:dyDescent="0.2">
      <c r="A881" s="232"/>
      <c r="B881" s="210"/>
      <c r="C881" s="210"/>
      <c r="D881" s="210"/>
      <c r="E881" s="210"/>
      <c r="G881" s="55"/>
      <c r="H881" s="56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</row>
    <row r="882" spans="1:30" x14ac:dyDescent="0.2">
      <c r="A882" s="232"/>
      <c r="B882" s="210"/>
      <c r="C882" s="210"/>
      <c r="D882" s="210"/>
      <c r="E882" s="210"/>
      <c r="G882" s="55"/>
      <c r="H882" s="56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</row>
    <row r="883" spans="1:30" x14ac:dyDescent="0.2">
      <c r="A883" s="232"/>
      <c r="B883" s="210"/>
      <c r="C883" s="210"/>
      <c r="D883" s="210"/>
      <c r="E883" s="210"/>
      <c r="G883" s="55"/>
      <c r="H883" s="56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</row>
    <row r="884" spans="1:30" x14ac:dyDescent="0.2">
      <c r="A884" s="232"/>
      <c r="B884" s="210"/>
      <c r="C884" s="210"/>
      <c r="D884" s="210"/>
      <c r="E884" s="210"/>
      <c r="G884" s="55"/>
      <c r="H884" s="56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</row>
    <row r="885" spans="1:30" x14ac:dyDescent="0.2">
      <c r="A885" s="232"/>
      <c r="B885" s="210"/>
      <c r="C885" s="210"/>
      <c r="D885" s="210"/>
      <c r="E885" s="210"/>
      <c r="G885" s="55"/>
      <c r="H885" s="56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</row>
    <row r="886" spans="1:30" x14ac:dyDescent="0.2">
      <c r="A886" s="232"/>
      <c r="B886" s="210"/>
      <c r="C886" s="210"/>
      <c r="D886" s="210"/>
      <c r="E886" s="210"/>
      <c r="G886" s="55"/>
      <c r="H886" s="56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</row>
    <row r="887" spans="1:30" x14ac:dyDescent="0.2">
      <c r="A887" s="232"/>
      <c r="B887" s="210"/>
      <c r="C887" s="210"/>
      <c r="D887" s="210"/>
      <c r="E887" s="210"/>
      <c r="G887" s="55"/>
      <c r="H887" s="56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</row>
    <row r="888" spans="1:30" x14ac:dyDescent="0.2">
      <c r="A888" s="232"/>
      <c r="B888" s="210"/>
      <c r="C888" s="210"/>
      <c r="D888" s="210"/>
      <c r="E888" s="210"/>
      <c r="G888" s="55"/>
      <c r="H888" s="56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</row>
    <row r="889" spans="1:30" x14ac:dyDescent="0.2">
      <c r="A889" s="232"/>
      <c r="B889" s="210"/>
      <c r="C889" s="210"/>
      <c r="D889" s="210"/>
      <c r="E889" s="210"/>
      <c r="G889" s="55"/>
      <c r="H889" s="56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</row>
    <row r="890" spans="1:30" x14ac:dyDescent="0.2">
      <c r="A890" s="232"/>
      <c r="B890" s="210"/>
      <c r="C890" s="210"/>
      <c r="D890" s="210"/>
      <c r="E890" s="210"/>
      <c r="G890" s="55"/>
      <c r="H890" s="56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</row>
    <row r="891" spans="1:30" x14ac:dyDescent="0.2">
      <c r="A891" s="232"/>
      <c r="B891" s="210"/>
      <c r="C891" s="210"/>
      <c r="D891" s="210"/>
      <c r="E891" s="210"/>
      <c r="G891" s="55"/>
      <c r="H891" s="56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</row>
    <row r="892" spans="1:30" x14ac:dyDescent="0.2">
      <c r="A892" s="232"/>
      <c r="B892" s="210"/>
      <c r="C892" s="210"/>
      <c r="D892" s="210"/>
      <c r="E892" s="210"/>
      <c r="G892" s="55"/>
      <c r="H892" s="56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</row>
    <row r="893" spans="1:30" x14ac:dyDescent="0.2">
      <c r="A893" s="232"/>
      <c r="B893" s="210"/>
      <c r="C893" s="210"/>
      <c r="D893" s="210"/>
      <c r="E893" s="210"/>
      <c r="G893" s="55"/>
      <c r="H893" s="56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</row>
    <row r="894" spans="1:30" x14ac:dyDescent="0.2">
      <c r="A894" s="232"/>
      <c r="B894" s="210"/>
      <c r="C894" s="210"/>
      <c r="D894" s="210"/>
      <c r="E894" s="210"/>
      <c r="G894" s="55"/>
      <c r="H894" s="56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</row>
    <row r="895" spans="1:30" x14ac:dyDescent="0.2">
      <c r="A895" s="232"/>
      <c r="B895" s="210"/>
      <c r="C895" s="210"/>
      <c r="D895" s="210"/>
      <c r="E895" s="210"/>
      <c r="G895" s="55"/>
      <c r="H895" s="56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</row>
    <row r="896" spans="1:30" x14ac:dyDescent="0.2">
      <c r="A896" s="232"/>
      <c r="B896" s="210"/>
      <c r="C896" s="210"/>
      <c r="D896" s="210"/>
      <c r="E896" s="210"/>
      <c r="G896" s="55"/>
      <c r="H896" s="56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</row>
    <row r="897" spans="1:30" x14ac:dyDescent="0.2">
      <c r="A897" s="232"/>
      <c r="B897" s="210"/>
      <c r="C897" s="210"/>
      <c r="D897" s="210"/>
      <c r="E897" s="210"/>
      <c r="G897" s="55"/>
      <c r="H897" s="56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</row>
    <row r="898" spans="1:30" x14ac:dyDescent="0.2">
      <c r="A898" s="232"/>
      <c r="B898" s="210"/>
      <c r="C898" s="210"/>
      <c r="D898" s="210"/>
      <c r="E898" s="210"/>
      <c r="G898" s="55"/>
      <c r="H898" s="56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</row>
    <row r="899" spans="1:30" x14ac:dyDescent="0.2">
      <c r="A899" s="232"/>
      <c r="B899" s="210"/>
      <c r="C899" s="210"/>
      <c r="D899" s="210"/>
      <c r="E899" s="210"/>
      <c r="G899" s="55"/>
      <c r="H899" s="56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</row>
    <row r="900" spans="1:30" x14ac:dyDescent="0.2">
      <c r="A900" s="232"/>
      <c r="B900" s="210"/>
      <c r="C900" s="210"/>
      <c r="D900" s="210"/>
      <c r="E900" s="210"/>
      <c r="G900" s="55"/>
      <c r="H900" s="56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</row>
    <row r="901" spans="1:30" x14ac:dyDescent="0.2">
      <c r="A901" s="232"/>
      <c r="B901" s="210"/>
      <c r="C901" s="210"/>
      <c r="D901" s="210"/>
      <c r="E901" s="210"/>
      <c r="G901" s="55"/>
      <c r="H901" s="56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</row>
    <row r="902" spans="1:30" x14ac:dyDescent="0.2">
      <c r="A902" s="232"/>
      <c r="B902" s="210"/>
      <c r="C902" s="210"/>
      <c r="D902" s="210"/>
      <c r="E902" s="210"/>
      <c r="G902" s="55"/>
      <c r="H902" s="56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</row>
    <row r="903" spans="1:30" x14ac:dyDescent="0.2">
      <c r="A903" s="232"/>
      <c r="B903" s="210"/>
      <c r="C903" s="210"/>
      <c r="D903" s="210"/>
      <c r="E903" s="210"/>
      <c r="G903" s="55"/>
      <c r="H903" s="56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</row>
    <row r="904" spans="1:30" x14ac:dyDescent="0.2">
      <c r="A904" s="232"/>
      <c r="B904" s="210"/>
      <c r="C904" s="210"/>
      <c r="D904" s="210"/>
      <c r="E904" s="210"/>
      <c r="G904" s="55"/>
      <c r="H904" s="56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</row>
    <row r="905" spans="1:30" x14ac:dyDescent="0.2">
      <c r="A905" s="232"/>
      <c r="B905" s="210"/>
      <c r="C905" s="210"/>
      <c r="D905" s="210"/>
      <c r="E905" s="210"/>
      <c r="G905" s="55"/>
      <c r="H905" s="56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</row>
    <row r="906" spans="1:30" x14ac:dyDescent="0.2">
      <c r="A906" s="232"/>
      <c r="B906" s="210"/>
      <c r="C906" s="210"/>
      <c r="D906" s="210"/>
      <c r="E906" s="210"/>
      <c r="G906" s="55"/>
      <c r="H906" s="56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</row>
    <row r="907" spans="1:30" x14ac:dyDescent="0.2">
      <c r="A907" s="232"/>
      <c r="B907" s="210"/>
      <c r="C907" s="210"/>
      <c r="D907" s="210"/>
      <c r="E907" s="210"/>
      <c r="G907" s="55"/>
      <c r="H907" s="56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</row>
    <row r="908" spans="1:30" x14ac:dyDescent="0.2">
      <c r="A908" s="232"/>
      <c r="B908" s="210"/>
      <c r="C908" s="210"/>
      <c r="D908" s="210"/>
      <c r="E908" s="210"/>
      <c r="G908" s="55"/>
      <c r="H908" s="56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</row>
    <row r="909" spans="1:30" x14ac:dyDescent="0.2">
      <c r="A909" s="232"/>
      <c r="B909" s="210"/>
      <c r="C909" s="210"/>
      <c r="D909" s="210"/>
      <c r="E909" s="210"/>
      <c r="G909" s="55"/>
      <c r="H909" s="56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</row>
    <row r="910" spans="1:30" x14ac:dyDescent="0.2">
      <c r="A910" s="232"/>
      <c r="B910" s="210"/>
      <c r="C910" s="210"/>
      <c r="D910" s="210"/>
      <c r="E910" s="210"/>
      <c r="G910" s="55"/>
      <c r="H910" s="56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</row>
    <row r="911" spans="1:30" x14ac:dyDescent="0.2">
      <c r="A911" s="232"/>
      <c r="B911" s="210"/>
      <c r="C911" s="210"/>
      <c r="D911" s="210"/>
      <c r="E911" s="210"/>
      <c r="G911" s="55"/>
      <c r="H911" s="56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</row>
    <row r="912" spans="1:30" x14ac:dyDescent="0.2">
      <c r="A912" s="232"/>
      <c r="B912" s="210"/>
      <c r="C912" s="210"/>
      <c r="D912" s="210"/>
      <c r="E912" s="210"/>
      <c r="G912" s="55"/>
      <c r="H912" s="56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</row>
    <row r="913" spans="1:30" x14ac:dyDescent="0.2">
      <c r="A913" s="232"/>
      <c r="B913" s="210"/>
      <c r="C913" s="210"/>
      <c r="D913" s="210"/>
      <c r="E913" s="210"/>
      <c r="G913" s="55"/>
      <c r="H913" s="56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</row>
    <row r="914" spans="1:30" x14ac:dyDescent="0.2">
      <c r="A914" s="232"/>
      <c r="B914" s="210"/>
      <c r="C914" s="210"/>
      <c r="D914" s="210"/>
      <c r="E914" s="210"/>
      <c r="G914" s="55"/>
      <c r="H914" s="56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</row>
    <row r="915" spans="1:30" x14ac:dyDescent="0.2">
      <c r="A915" s="232"/>
      <c r="B915" s="210"/>
      <c r="C915" s="210"/>
      <c r="D915" s="210"/>
      <c r="E915" s="210"/>
      <c r="G915" s="55"/>
      <c r="H915" s="56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</row>
    <row r="916" spans="1:30" x14ac:dyDescent="0.2">
      <c r="A916" s="232"/>
      <c r="B916" s="210"/>
      <c r="C916" s="210"/>
      <c r="D916" s="210"/>
      <c r="E916" s="210"/>
      <c r="G916" s="55"/>
      <c r="H916" s="56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</row>
    <row r="917" spans="1:30" x14ac:dyDescent="0.2">
      <c r="A917" s="232"/>
      <c r="B917" s="210"/>
      <c r="C917" s="210"/>
      <c r="D917" s="210"/>
      <c r="E917" s="210"/>
      <c r="G917" s="55"/>
      <c r="H917" s="56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</row>
    <row r="918" spans="1:30" x14ac:dyDescent="0.2">
      <c r="A918" s="232"/>
      <c r="B918" s="210"/>
      <c r="C918" s="210"/>
      <c r="D918" s="210"/>
      <c r="E918" s="210"/>
      <c r="G918" s="55"/>
      <c r="H918" s="56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</row>
    <row r="919" spans="1:30" x14ac:dyDescent="0.2">
      <c r="A919" s="232"/>
      <c r="B919" s="210"/>
      <c r="C919" s="210"/>
      <c r="D919" s="210"/>
      <c r="E919" s="210"/>
      <c r="G919" s="55"/>
      <c r="H919" s="56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</row>
    <row r="920" spans="1:30" x14ac:dyDescent="0.2">
      <c r="A920" s="232"/>
      <c r="B920" s="210"/>
      <c r="C920" s="210"/>
      <c r="D920" s="210"/>
      <c r="E920" s="210"/>
      <c r="G920" s="55"/>
      <c r="H920" s="56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</row>
    <row r="921" spans="1:30" x14ac:dyDescent="0.2">
      <c r="A921" s="232"/>
      <c r="B921" s="210"/>
      <c r="C921" s="210"/>
      <c r="D921" s="210"/>
      <c r="E921" s="210"/>
      <c r="G921" s="55"/>
      <c r="H921" s="56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</row>
    <row r="922" spans="1:30" x14ac:dyDescent="0.2">
      <c r="A922" s="232"/>
      <c r="B922" s="210"/>
      <c r="C922" s="210"/>
      <c r="D922" s="210"/>
      <c r="E922" s="210"/>
      <c r="G922" s="55"/>
      <c r="H922" s="56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</row>
    <row r="923" spans="1:30" x14ac:dyDescent="0.2">
      <c r="A923" s="232"/>
      <c r="B923" s="210"/>
      <c r="C923" s="210"/>
      <c r="D923" s="210"/>
      <c r="E923" s="210"/>
      <c r="G923" s="55"/>
      <c r="H923" s="56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</row>
    <row r="924" spans="1:30" x14ac:dyDescent="0.2">
      <c r="A924" s="232"/>
      <c r="B924" s="210"/>
      <c r="C924" s="210"/>
      <c r="D924" s="210"/>
      <c r="E924" s="210"/>
      <c r="G924" s="55"/>
      <c r="H924" s="56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</row>
    <row r="925" spans="1:30" x14ac:dyDescent="0.2">
      <c r="A925" s="232"/>
      <c r="B925" s="210"/>
      <c r="C925" s="210"/>
      <c r="D925" s="210"/>
      <c r="E925" s="210"/>
      <c r="G925" s="55"/>
      <c r="H925" s="56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</row>
    <row r="926" spans="1:30" x14ac:dyDescent="0.2">
      <c r="A926" s="232"/>
      <c r="B926" s="210"/>
      <c r="C926" s="210"/>
      <c r="D926" s="210"/>
      <c r="E926" s="210"/>
      <c r="G926" s="55"/>
      <c r="H926" s="56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</row>
    <row r="927" spans="1:30" x14ac:dyDescent="0.2">
      <c r="A927" s="232"/>
      <c r="B927" s="210"/>
      <c r="C927" s="210"/>
      <c r="D927" s="210"/>
      <c r="E927" s="210"/>
      <c r="G927" s="55"/>
      <c r="H927" s="56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</row>
    <row r="928" spans="1:30" x14ac:dyDescent="0.2">
      <c r="A928" s="232"/>
      <c r="B928" s="210"/>
      <c r="C928" s="210"/>
      <c r="D928" s="210"/>
      <c r="E928" s="210"/>
      <c r="G928" s="55"/>
      <c r="H928" s="56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</row>
    <row r="929" spans="1:30" x14ac:dyDescent="0.2">
      <c r="A929" s="232"/>
      <c r="B929" s="210"/>
      <c r="C929" s="210"/>
      <c r="D929" s="210"/>
      <c r="E929" s="210"/>
      <c r="G929" s="55"/>
      <c r="H929" s="56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</row>
    <row r="930" spans="1:30" x14ac:dyDescent="0.2">
      <c r="A930" s="232"/>
      <c r="B930" s="210"/>
      <c r="C930" s="210"/>
      <c r="D930" s="210"/>
      <c r="E930" s="210"/>
      <c r="G930" s="55"/>
      <c r="H930" s="56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</row>
    <row r="931" spans="1:30" x14ac:dyDescent="0.2">
      <c r="A931" s="232"/>
      <c r="B931" s="210"/>
      <c r="C931" s="210"/>
      <c r="D931" s="210"/>
      <c r="E931" s="210"/>
      <c r="G931" s="55"/>
      <c r="H931" s="56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</row>
    <row r="932" spans="1:30" x14ac:dyDescent="0.2">
      <c r="A932" s="232"/>
      <c r="B932" s="210"/>
      <c r="C932" s="210"/>
      <c r="D932" s="210"/>
      <c r="E932" s="210"/>
      <c r="G932" s="55"/>
      <c r="H932" s="56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</row>
    <row r="933" spans="1:30" x14ac:dyDescent="0.2">
      <c r="A933" s="232"/>
      <c r="B933" s="210"/>
      <c r="C933" s="210"/>
      <c r="D933" s="210"/>
      <c r="E933" s="210"/>
      <c r="G933" s="55"/>
      <c r="H933" s="56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</row>
    <row r="934" spans="1:30" x14ac:dyDescent="0.2">
      <c r="A934" s="232"/>
      <c r="B934" s="210"/>
      <c r="C934" s="210"/>
      <c r="D934" s="210"/>
      <c r="E934" s="210"/>
      <c r="G934" s="55"/>
      <c r="H934" s="56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</row>
    <row r="935" spans="1:30" x14ac:dyDescent="0.2">
      <c r="A935" s="232"/>
      <c r="B935" s="210"/>
      <c r="C935" s="210"/>
      <c r="D935" s="210"/>
      <c r="E935" s="210"/>
      <c r="G935" s="55"/>
      <c r="H935" s="56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</row>
    <row r="936" spans="1:30" x14ac:dyDescent="0.2">
      <c r="A936" s="232"/>
      <c r="B936" s="210"/>
      <c r="C936" s="210"/>
      <c r="D936" s="210"/>
      <c r="E936" s="210"/>
      <c r="G936" s="55"/>
      <c r="H936" s="56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</row>
    <row r="937" spans="1:30" x14ac:dyDescent="0.2">
      <c r="A937" s="232"/>
      <c r="B937" s="210"/>
      <c r="C937" s="210"/>
      <c r="D937" s="210"/>
      <c r="E937" s="210"/>
      <c r="G937" s="55"/>
      <c r="H937" s="56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</row>
    <row r="938" spans="1:30" x14ac:dyDescent="0.2">
      <c r="A938" s="232"/>
      <c r="B938" s="210"/>
      <c r="C938" s="210"/>
      <c r="D938" s="210"/>
      <c r="E938" s="210"/>
      <c r="G938" s="55"/>
      <c r="H938" s="56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</row>
    <row r="939" spans="1:30" x14ac:dyDescent="0.2">
      <c r="A939" s="232"/>
      <c r="B939" s="210"/>
      <c r="C939" s="210"/>
      <c r="D939" s="210"/>
      <c r="E939" s="210"/>
      <c r="G939" s="55"/>
      <c r="H939" s="56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</row>
    <row r="940" spans="1:30" x14ac:dyDescent="0.2">
      <c r="A940" s="232"/>
      <c r="B940" s="210"/>
      <c r="C940" s="210"/>
      <c r="D940" s="210"/>
      <c r="E940" s="210"/>
      <c r="G940" s="55"/>
      <c r="H940" s="56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</row>
    <row r="941" spans="1:30" x14ac:dyDescent="0.2">
      <c r="A941" s="232"/>
      <c r="B941" s="210"/>
      <c r="C941" s="210"/>
      <c r="D941" s="210"/>
      <c r="E941" s="210"/>
      <c r="G941" s="55"/>
      <c r="H941" s="56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</row>
    <row r="942" spans="1:30" x14ac:dyDescent="0.2">
      <c r="A942" s="232"/>
      <c r="B942" s="210"/>
      <c r="C942" s="210"/>
      <c r="D942" s="210"/>
      <c r="E942" s="210"/>
      <c r="G942" s="55"/>
      <c r="H942" s="56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</row>
    <row r="943" spans="1:30" x14ac:dyDescent="0.2">
      <c r="A943" s="232"/>
      <c r="B943" s="210"/>
      <c r="C943" s="210"/>
      <c r="D943" s="210"/>
      <c r="E943" s="210"/>
      <c r="G943" s="55"/>
      <c r="H943" s="56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</row>
    <row r="944" spans="1:30" x14ac:dyDescent="0.2">
      <c r="A944" s="232"/>
      <c r="B944" s="210"/>
      <c r="C944" s="210"/>
      <c r="D944" s="210"/>
      <c r="E944" s="210"/>
      <c r="G944" s="55"/>
      <c r="H944" s="56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</row>
    <row r="945" spans="1:30" x14ac:dyDescent="0.2">
      <c r="A945" s="232"/>
      <c r="B945" s="210"/>
      <c r="C945" s="210"/>
      <c r="D945" s="210"/>
      <c r="E945" s="210"/>
      <c r="G945" s="55"/>
      <c r="H945" s="56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17"/>
      <c r="AD945" s="217"/>
    </row>
    <row r="946" spans="1:30" x14ac:dyDescent="0.2">
      <c r="A946" s="232"/>
      <c r="B946" s="210"/>
      <c r="C946" s="210"/>
      <c r="D946" s="210"/>
      <c r="E946" s="210"/>
      <c r="G946" s="55"/>
      <c r="H946" s="56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17"/>
      <c r="AD946" s="217"/>
    </row>
    <row r="947" spans="1:30" x14ac:dyDescent="0.2">
      <c r="A947" s="232"/>
      <c r="B947" s="210"/>
      <c r="C947" s="210"/>
      <c r="D947" s="210"/>
      <c r="E947" s="210"/>
      <c r="G947" s="55"/>
      <c r="H947" s="56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17"/>
      <c r="AD947" s="217"/>
    </row>
    <row r="948" spans="1:30" x14ac:dyDescent="0.2">
      <c r="A948" s="232"/>
      <c r="B948" s="210"/>
      <c r="C948" s="210"/>
      <c r="D948" s="210"/>
      <c r="E948" s="210"/>
      <c r="G948" s="55"/>
      <c r="H948" s="56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17"/>
      <c r="AD948" s="217"/>
    </row>
    <row r="949" spans="1:30" x14ac:dyDescent="0.2">
      <c r="A949" s="232"/>
      <c r="B949" s="210"/>
      <c r="C949" s="210"/>
      <c r="D949" s="210"/>
      <c r="E949" s="210"/>
      <c r="G949" s="55"/>
      <c r="H949" s="56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17"/>
      <c r="AD949" s="217"/>
    </row>
    <row r="950" spans="1:30" x14ac:dyDescent="0.2">
      <c r="A950" s="232"/>
      <c r="B950" s="210"/>
      <c r="C950" s="210"/>
      <c r="D950" s="210"/>
      <c r="E950" s="210"/>
      <c r="G950" s="55"/>
      <c r="H950" s="56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17"/>
      <c r="AD950" s="217"/>
    </row>
    <row r="951" spans="1:30" x14ac:dyDescent="0.2">
      <c r="A951" s="232"/>
      <c r="B951" s="210"/>
      <c r="C951" s="210"/>
      <c r="D951" s="210"/>
      <c r="E951" s="210"/>
      <c r="G951" s="55"/>
      <c r="H951" s="56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17"/>
      <c r="AD951" s="217"/>
    </row>
    <row r="952" spans="1:30" x14ac:dyDescent="0.2">
      <c r="A952" s="232"/>
      <c r="B952" s="210"/>
      <c r="C952" s="210"/>
      <c r="D952" s="210"/>
      <c r="E952" s="210"/>
      <c r="G952" s="55"/>
      <c r="H952" s="56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17"/>
      <c r="AD952" s="217"/>
    </row>
    <row r="953" spans="1:30" x14ac:dyDescent="0.2">
      <c r="A953" s="232"/>
      <c r="B953" s="210"/>
      <c r="C953" s="210"/>
      <c r="D953" s="210"/>
      <c r="E953" s="210"/>
      <c r="G953" s="55"/>
      <c r="H953" s="56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17"/>
      <c r="AD953" s="217"/>
    </row>
    <row r="954" spans="1:30" x14ac:dyDescent="0.2">
      <c r="A954" s="232"/>
      <c r="B954" s="210"/>
      <c r="C954" s="210"/>
      <c r="D954" s="210"/>
      <c r="E954" s="210"/>
      <c r="G954" s="55"/>
      <c r="H954" s="56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17"/>
      <c r="AD954" s="217"/>
    </row>
    <row r="955" spans="1:30" x14ac:dyDescent="0.2">
      <c r="A955" s="232"/>
      <c r="B955" s="210"/>
      <c r="C955" s="210"/>
      <c r="D955" s="210"/>
      <c r="E955" s="210"/>
      <c r="G955" s="55"/>
      <c r="H955" s="56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17"/>
      <c r="AD955" s="217"/>
    </row>
    <row r="956" spans="1:30" x14ac:dyDescent="0.2">
      <c r="A956" s="232"/>
      <c r="B956" s="210"/>
      <c r="C956" s="210"/>
      <c r="D956" s="210"/>
      <c r="E956" s="210"/>
      <c r="G956" s="55"/>
      <c r="H956" s="56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17"/>
      <c r="AD956" s="217"/>
    </row>
    <row r="957" spans="1:30" x14ac:dyDescent="0.2">
      <c r="A957" s="232"/>
      <c r="B957" s="210"/>
      <c r="C957" s="210"/>
      <c r="D957" s="210"/>
      <c r="E957" s="210"/>
      <c r="G957" s="55"/>
      <c r="H957" s="56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17"/>
      <c r="AD957" s="217"/>
    </row>
    <row r="958" spans="1:30" x14ac:dyDescent="0.2">
      <c r="A958" s="232"/>
      <c r="B958" s="210"/>
      <c r="C958" s="210"/>
      <c r="D958" s="210"/>
      <c r="E958" s="210"/>
      <c r="G958" s="55"/>
      <c r="H958" s="56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17"/>
      <c r="AD958" s="217"/>
    </row>
    <row r="959" spans="1:30" x14ac:dyDescent="0.2">
      <c r="A959" s="232"/>
      <c r="B959" s="210"/>
      <c r="C959" s="210"/>
      <c r="D959" s="210"/>
      <c r="E959" s="210"/>
      <c r="G959" s="55"/>
      <c r="H959" s="56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17"/>
      <c r="AD959" s="217"/>
    </row>
    <row r="960" spans="1:30" x14ac:dyDescent="0.2">
      <c r="A960" s="232"/>
      <c r="B960" s="210"/>
      <c r="C960" s="210"/>
      <c r="D960" s="210"/>
      <c r="E960" s="210"/>
      <c r="G960" s="55"/>
      <c r="H960" s="56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17"/>
      <c r="AD960" s="217"/>
    </row>
    <row r="961" spans="1:30" x14ac:dyDescent="0.2">
      <c r="A961" s="232"/>
      <c r="B961" s="210"/>
      <c r="C961" s="210"/>
      <c r="D961" s="210"/>
      <c r="E961" s="210"/>
      <c r="G961" s="55"/>
      <c r="H961" s="56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17"/>
      <c r="AD961" s="217"/>
    </row>
    <row r="962" spans="1:30" x14ac:dyDescent="0.2">
      <c r="A962" s="232"/>
      <c r="B962" s="210"/>
      <c r="C962" s="210"/>
      <c r="D962" s="210"/>
      <c r="E962" s="210"/>
      <c r="G962" s="55"/>
      <c r="H962" s="56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17"/>
      <c r="AD962" s="217"/>
    </row>
    <row r="963" spans="1:30" x14ac:dyDescent="0.2">
      <c r="A963" s="232"/>
      <c r="B963" s="210"/>
      <c r="C963" s="210"/>
      <c r="D963" s="210"/>
      <c r="E963" s="210"/>
      <c r="G963" s="55"/>
      <c r="H963" s="56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17"/>
      <c r="AD963" s="217"/>
    </row>
    <row r="964" spans="1:30" x14ac:dyDescent="0.2">
      <c r="A964" s="232"/>
      <c r="B964" s="210"/>
      <c r="C964" s="210"/>
      <c r="D964" s="210"/>
      <c r="E964" s="210"/>
      <c r="G964" s="55"/>
      <c r="H964" s="56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17"/>
      <c r="AD964" s="217"/>
    </row>
    <row r="965" spans="1:30" x14ac:dyDescent="0.2">
      <c r="A965" s="232"/>
      <c r="B965" s="210"/>
      <c r="C965" s="210"/>
      <c r="D965" s="210"/>
      <c r="E965" s="210"/>
      <c r="G965" s="55"/>
      <c r="H965" s="56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17"/>
      <c r="AD965" s="217"/>
    </row>
    <row r="966" spans="1:30" x14ac:dyDescent="0.2">
      <c r="A966" s="232"/>
      <c r="B966" s="210"/>
      <c r="C966" s="210"/>
      <c r="D966" s="210"/>
      <c r="E966" s="210"/>
      <c r="G966" s="55"/>
      <c r="H966" s="56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17"/>
      <c r="AD966" s="217"/>
    </row>
    <row r="967" spans="1:30" x14ac:dyDescent="0.2">
      <c r="A967" s="232"/>
      <c r="B967" s="210"/>
      <c r="C967" s="210"/>
      <c r="D967" s="210"/>
      <c r="E967" s="210"/>
      <c r="G967" s="55"/>
      <c r="H967" s="56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17"/>
      <c r="AD967" s="217"/>
    </row>
    <row r="968" spans="1:30" x14ac:dyDescent="0.2">
      <c r="A968" s="232"/>
      <c r="B968" s="210"/>
      <c r="C968" s="210"/>
      <c r="D968" s="210"/>
      <c r="E968" s="210"/>
      <c r="G968" s="55"/>
      <c r="H968" s="56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17"/>
      <c r="AD968" s="217"/>
    </row>
    <row r="969" spans="1:30" x14ac:dyDescent="0.2">
      <c r="A969" s="232"/>
      <c r="B969" s="210"/>
      <c r="C969" s="210"/>
      <c r="D969" s="210"/>
      <c r="E969" s="210"/>
      <c r="G969" s="55"/>
      <c r="H969" s="56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17"/>
      <c r="AD969" s="217"/>
    </row>
    <row r="970" spans="1:30" x14ac:dyDescent="0.2">
      <c r="A970" s="232"/>
      <c r="B970" s="210"/>
      <c r="C970" s="210"/>
      <c r="D970" s="210"/>
      <c r="E970" s="210"/>
      <c r="G970" s="55"/>
      <c r="H970" s="56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17"/>
      <c r="AD970" s="217"/>
    </row>
    <row r="971" spans="1:30" x14ac:dyDescent="0.2">
      <c r="A971" s="232"/>
      <c r="B971" s="210"/>
      <c r="C971" s="210"/>
      <c r="D971" s="210"/>
      <c r="E971" s="210"/>
      <c r="G971" s="55"/>
      <c r="H971" s="56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17"/>
      <c r="AD971" s="217"/>
    </row>
    <row r="972" spans="1:30" x14ac:dyDescent="0.2">
      <c r="A972" s="232"/>
      <c r="B972" s="210"/>
      <c r="C972" s="210"/>
      <c r="D972" s="210"/>
      <c r="E972" s="210"/>
      <c r="G972" s="55"/>
      <c r="H972" s="56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17"/>
      <c r="AD972" s="217"/>
    </row>
    <row r="973" spans="1:30" x14ac:dyDescent="0.2">
      <c r="A973" s="232"/>
      <c r="B973" s="210"/>
      <c r="C973" s="210"/>
      <c r="D973" s="210"/>
      <c r="E973" s="210"/>
      <c r="G973" s="55"/>
      <c r="H973" s="56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17"/>
      <c r="AD973" s="217"/>
    </row>
    <row r="974" spans="1:30" x14ac:dyDescent="0.2">
      <c r="A974" s="232"/>
      <c r="B974" s="210"/>
      <c r="C974" s="210"/>
      <c r="D974" s="210"/>
      <c r="E974" s="210"/>
      <c r="G974" s="55"/>
      <c r="H974" s="56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17"/>
      <c r="AD974" s="217"/>
    </row>
    <row r="975" spans="1:30" x14ac:dyDescent="0.2">
      <c r="A975" s="232"/>
      <c r="B975" s="210"/>
      <c r="C975" s="210"/>
      <c r="D975" s="210"/>
      <c r="E975" s="210"/>
      <c r="G975" s="55"/>
      <c r="H975" s="56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17"/>
      <c r="AD975" s="217"/>
    </row>
    <row r="976" spans="1:30" x14ac:dyDescent="0.2">
      <c r="A976" s="232"/>
      <c r="B976" s="210"/>
      <c r="C976" s="210"/>
      <c r="D976" s="210"/>
      <c r="E976" s="210"/>
      <c r="G976" s="55"/>
      <c r="H976" s="56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17"/>
      <c r="AD976" s="217"/>
    </row>
    <row r="977" spans="1:30" x14ac:dyDescent="0.2">
      <c r="A977" s="232"/>
      <c r="B977" s="210"/>
      <c r="C977" s="210"/>
      <c r="D977" s="210"/>
      <c r="E977" s="210"/>
      <c r="G977" s="55"/>
      <c r="H977" s="56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17"/>
      <c r="AD977" s="217"/>
    </row>
    <row r="978" spans="1:30" x14ac:dyDescent="0.2">
      <c r="A978" s="232"/>
      <c r="B978" s="210"/>
      <c r="C978" s="210"/>
      <c r="D978" s="210"/>
      <c r="E978" s="210"/>
      <c r="G978" s="55"/>
      <c r="H978" s="56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17"/>
      <c r="AD978" s="217"/>
    </row>
    <row r="979" spans="1:30" x14ac:dyDescent="0.2">
      <c r="A979" s="232"/>
      <c r="B979" s="210"/>
      <c r="C979" s="210"/>
      <c r="D979" s="210"/>
      <c r="E979" s="210"/>
      <c r="G979" s="55"/>
      <c r="H979" s="56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17"/>
      <c r="AD979" s="217"/>
    </row>
    <row r="980" spans="1:30" x14ac:dyDescent="0.2">
      <c r="A980" s="232"/>
      <c r="B980" s="210"/>
      <c r="C980" s="210"/>
      <c r="D980" s="210"/>
      <c r="E980" s="210"/>
      <c r="G980" s="55"/>
      <c r="H980" s="56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17"/>
      <c r="AD980" s="217"/>
    </row>
    <row r="981" spans="1:30" x14ac:dyDescent="0.2">
      <c r="A981" s="232"/>
      <c r="B981" s="210"/>
      <c r="C981" s="210"/>
      <c r="D981" s="210"/>
      <c r="E981" s="210"/>
      <c r="G981" s="55"/>
      <c r="H981" s="56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17"/>
      <c r="AD981" s="217"/>
    </row>
    <row r="982" spans="1:30" x14ac:dyDescent="0.2">
      <c r="A982" s="232"/>
      <c r="B982" s="210"/>
      <c r="C982" s="210"/>
      <c r="D982" s="210"/>
      <c r="E982" s="210"/>
      <c r="G982" s="55"/>
      <c r="H982" s="56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17"/>
      <c r="AD982" s="217"/>
    </row>
    <row r="983" spans="1:30" x14ac:dyDescent="0.2">
      <c r="A983" s="232"/>
      <c r="B983" s="210"/>
      <c r="C983" s="210"/>
      <c r="D983" s="210"/>
      <c r="E983" s="210"/>
      <c r="G983" s="55"/>
      <c r="H983" s="56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17"/>
      <c r="AD983" s="217"/>
    </row>
    <row r="984" spans="1:30" x14ac:dyDescent="0.2">
      <c r="A984" s="232"/>
      <c r="B984" s="210"/>
      <c r="C984" s="210"/>
      <c r="D984" s="210"/>
      <c r="E984" s="210"/>
      <c r="G984" s="55"/>
      <c r="H984" s="56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17"/>
      <c r="AD984" s="217"/>
    </row>
    <row r="985" spans="1:30" x14ac:dyDescent="0.2">
      <c r="A985" s="232"/>
      <c r="B985" s="210"/>
      <c r="C985" s="210"/>
      <c r="D985" s="210"/>
      <c r="E985" s="210"/>
      <c r="G985" s="55"/>
      <c r="H985" s="56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17"/>
      <c r="AD985" s="217"/>
    </row>
    <row r="986" spans="1:30" x14ac:dyDescent="0.2">
      <c r="A986" s="232"/>
      <c r="B986" s="210"/>
      <c r="C986" s="210"/>
      <c r="D986" s="210"/>
      <c r="E986" s="210"/>
      <c r="G986" s="55"/>
      <c r="H986" s="56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17"/>
      <c r="AD986" s="217"/>
    </row>
    <row r="987" spans="1:30" x14ac:dyDescent="0.2">
      <c r="A987" s="232"/>
      <c r="B987" s="210"/>
      <c r="C987" s="210"/>
      <c r="D987" s="210"/>
      <c r="E987" s="210"/>
      <c r="G987" s="55"/>
      <c r="H987" s="56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17"/>
      <c r="AD987" s="217"/>
    </row>
    <row r="988" spans="1:30" x14ac:dyDescent="0.2">
      <c r="A988" s="232"/>
      <c r="B988" s="210"/>
      <c r="C988" s="210"/>
      <c r="D988" s="210"/>
      <c r="E988" s="210"/>
      <c r="G988" s="55"/>
      <c r="H988" s="56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17"/>
      <c r="AD988" s="217"/>
    </row>
    <row r="989" spans="1:30" x14ac:dyDescent="0.2">
      <c r="A989" s="232"/>
      <c r="B989" s="210"/>
      <c r="C989" s="210"/>
      <c r="D989" s="210"/>
      <c r="E989" s="210"/>
      <c r="G989" s="55"/>
      <c r="H989" s="56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17"/>
      <c r="AD989" s="217"/>
    </row>
    <row r="990" spans="1:30" x14ac:dyDescent="0.2">
      <c r="A990" s="232"/>
      <c r="B990" s="210"/>
      <c r="C990" s="210"/>
      <c r="D990" s="210"/>
      <c r="E990" s="210"/>
      <c r="G990" s="55"/>
      <c r="H990" s="56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17"/>
      <c r="AD990" s="217"/>
    </row>
    <row r="991" spans="1:30" x14ac:dyDescent="0.2">
      <c r="A991" s="232"/>
      <c r="B991" s="210"/>
      <c r="C991" s="210"/>
      <c r="D991" s="210"/>
      <c r="E991" s="210"/>
      <c r="G991" s="55"/>
      <c r="H991" s="56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17"/>
      <c r="AD991" s="217"/>
    </row>
    <row r="992" spans="1:30" x14ac:dyDescent="0.2">
      <c r="A992" s="232"/>
      <c r="B992" s="210"/>
      <c r="C992" s="210"/>
      <c r="D992" s="210"/>
      <c r="E992" s="210"/>
      <c r="G992" s="55"/>
      <c r="H992" s="56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17"/>
      <c r="AD992" s="217"/>
    </row>
    <row r="993" spans="1:30" x14ac:dyDescent="0.2">
      <c r="A993" s="232"/>
      <c r="B993" s="210"/>
      <c r="C993" s="210"/>
      <c r="D993" s="210"/>
      <c r="E993" s="210"/>
      <c r="G993" s="55"/>
      <c r="H993" s="56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17"/>
      <c r="AD993" s="217"/>
    </row>
    <row r="994" spans="1:30" x14ac:dyDescent="0.2">
      <c r="A994" s="232"/>
      <c r="B994" s="210"/>
      <c r="C994" s="210"/>
      <c r="D994" s="210"/>
      <c r="E994" s="210"/>
      <c r="G994" s="55"/>
      <c r="H994" s="56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17"/>
      <c r="AD994" s="217"/>
    </row>
    <row r="995" spans="1:30" x14ac:dyDescent="0.2">
      <c r="A995" s="232"/>
      <c r="B995" s="210"/>
      <c r="C995" s="210"/>
      <c r="D995" s="210"/>
      <c r="E995" s="210"/>
      <c r="G995" s="55"/>
      <c r="H995" s="56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17"/>
      <c r="AD995" s="217"/>
    </row>
    <row r="996" spans="1:30" x14ac:dyDescent="0.2">
      <c r="A996" s="232"/>
      <c r="B996" s="210"/>
      <c r="C996" s="210"/>
      <c r="D996" s="210"/>
      <c r="E996" s="210"/>
      <c r="G996" s="55"/>
      <c r="H996" s="56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17"/>
      <c r="AD996" s="217"/>
    </row>
    <row r="997" spans="1:30" x14ac:dyDescent="0.2">
      <c r="A997" s="232"/>
      <c r="B997" s="210"/>
      <c r="C997" s="210"/>
      <c r="D997" s="210"/>
      <c r="E997" s="210"/>
      <c r="G997" s="55"/>
      <c r="H997" s="56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17"/>
      <c r="AD997" s="217"/>
    </row>
    <row r="998" spans="1:30" x14ac:dyDescent="0.2">
      <c r="A998" s="232"/>
      <c r="B998" s="210"/>
      <c r="C998" s="210"/>
      <c r="D998" s="210"/>
      <c r="E998" s="210"/>
      <c r="G998" s="55"/>
      <c r="H998" s="56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17"/>
      <c r="AD998" s="217"/>
    </row>
    <row r="999" spans="1:30" x14ac:dyDescent="0.2">
      <c r="A999" s="232"/>
      <c r="B999" s="210"/>
      <c r="C999" s="210"/>
      <c r="D999" s="210"/>
      <c r="E999" s="210"/>
      <c r="G999" s="55"/>
      <c r="H999" s="56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17"/>
      <c r="AD999" s="217"/>
    </row>
    <row r="1000" spans="1:30" x14ac:dyDescent="0.2">
      <c r="A1000" s="232"/>
      <c r="B1000" s="210"/>
      <c r="C1000" s="210"/>
      <c r="D1000" s="210"/>
      <c r="E1000" s="210"/>
      <c r="G1000" s="55"/>
      <c r="H1000" s="56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  <c r="AA1000" s="217"/>
      <c r="AB1000" s="217"/>
      <c r="AC1000" s="217"/>
      <c r="AD1000" s="217"/>
    </row>
    <row r="1001" spans="1:30" x14ac:dyDescent="0.2">
      <c r="A1001" s="232"/>
      <c r="B1001" s="210"/>
      <c r="C1001" s="210"/>
      <c r="D1001" s="210"/>
      <c r="E1001" s="210"/>
      <c r="G1001" s="55"/>
      <c r="H1001" s="56"/>
      <c r="I1001" s="217"/>
      <c r="J1001" s="217"/>
      <c r="K1001" s="217"/>
      <c r="L1001" s="217"/>
      <c r="M1001" s="217"/>
      <c r="N1001" s="217"/>
      <c r="O1001" s="217"/>
      <c r="P1001" s="217"/>
      <c r="Q1001" s="217"/>
      <c r="R1001" s="217"/>
      <c r="S1001" s="217"/>
      <c r="T1001" s="217"/>
      <c r="U1001" s="217"/>
      <c r="V1001" s="217"/>
      <c r="W1001" s="217"/>
      <c r="X1001" s="217"/>
      <c r="Y1001" s="217"/>
      <c r="Z1001" s="217"/>
      <c r="AA1001" s="217"/>
      <c r="AB1001" s="217"/>
      <c r="AC1001" s="217"/>
      <c r="AD1001" s="217"/>
    </row>
    <row r="1002" spans="1:30" x14ac:dyDescent="0.2">
      <c r="A1002" s="232"/>
      <c r="B1002" s="210"/>
      <c r="C1002" s="210"/>
      <c r="D1002" s="210"/>
      <c r="E1002" s="210"/>
      <c r="G1002" s="55"/>
      <c r="H1002" s="56"/>
      <c r="I1002" s="217"/>
      <c r="J1002" s="217"/>
      <c r="K1002" s="217"/>
      <c r="L1002" s="217"/>
      <c r="M1002" s="217"/>
      <c r="N1002" s="217"/>
      <c r="O1002" s="217"/>
      <c r="P1002" s="217"/>
      <c r="Q1002" s="217"/>
      <c r="R1002" s="217"/>
      <c r="S1002" s="217"/>
      <c r="T1002" s="217"/>
      <c r="U1002" s="217"/>
      <c r="V1002" s="217"/>
      <c r="W1002" s="217"/>
      <c r="X1002" s="217"/>
      <c r="Y1002" s="217"/>
      <c r="Z1002" s="217"/>
      <c r="AA1002" s="217"/>
      <c r="AB1002" s="217"/>
      <c r="AC1002" s="217"/>
      <c r="AD1002" s="217"/>
    </row>
    <row r="1003" spans="1:30" x14ac:dyDescent="0.2">
      <c r="A1003" s="232"/>
      <c r="B1003" s="210"/>
      <c r="C1003" s="210"/>
      <c r="D1003" s="210"/>
      <c r="E1003" s="210"/>
      <c r="G1003" s="55"/>
      <c r="H1003" s="56"/>
      <c r="I1003" s="217"/>
      <c r="J1003" s="217"/>
      <c r="K1003" s="217"/>
      <c r="L1003" s="217"/>
      <c r="M1003" s="217"/>
      <c r="N1003" s="217"/>
      <c r="O1003" s="217"/>
      <c r="P1003" s="217"/>
      <c r="Q1003" s="217"/>
      <c r="R1003" s="217"/>
      <c r="S1003" s="217"/>
      <c r="T1003" s="217"/>
      <c r="U1003" s="217"/>
      <c r="V1003" s="217"/>
      <c r="W1003" s="217"/>
      <c r="X1003" s="217"/>
      <c r="Y1003" s="217"/>
      <c r="Z1003" s="217"/>
      <c r="AA1003" s="217"/>
      <c r="AB1003" s="217"/>
      <c r="AC1003" s="217"/>
      <c r="AD1003" s="217"/>
    </row>
    <row r="1004" spans="1:30" x14ac:dyDescent="0.2">
      <c r="A1004" s="232"/>
      <c r="B1004" s="210"/>
      <c r="C1004" s="210"/>
      <c r="D1004" s="210"/>
      <c r="E1004" s="210"/>
      <c r="G1004" s="55"/>
      <c r="H1004" s="56"/>
      <c r="I1004" s="217"/>
      <c r="J1004" s="217"/>
      <c r="K1004" s="217"/>
      <c r="L1004" s="217"/>
      <c r="M1004" s="217"/>
      <c r="N1004" s="217"/>
      <c r="O1004" s="217"/>
      <c r="P1004" s="217"/>
      <c r="Q1004" s="217"/>
      <c r="R1004" s="217"/>
      <c r="S1004" s="217"/>
      <c r="T1004" s="217"/>
      <c r="U1004" s="217"/>
      <c r="V1004" s="217"/>
      <c r="W1004" s="217"/>
      <c r="X1004" s="217"/>
      <c r="Y1004" s="217"/>
      <c r="Z1004" s="217"/>
      <c r="AA1004" s="217"/>
      <c r="AB1004" s="217"/>
      <c r="AC1004" s="217"/>
      <c r="AD1004" s="217"/>
    </row>
    <row r="1005" spans="1:30" x14ac:dyDescent="0.2">
      <c r="A1005" s="232"/>
      <c r="B1005" s="210"/>
      <c r="C1005" s="210"/>
      <c r="D1005" s="210"/>
      <c r="E1005" s="210"/>
      <c r="G1005" s="55"/>
      <c r="H1005" s="56"/>
      <c r="I1005" s="217"/>
      <c r="J1005" s="217"/>
      <c r="K1005" s="217"/>
      <c r="L1005" s="217"/>
      <c r="M1005" s="217"/>
      <c r="N1005" s="217"/>
      <c r="O1005" s="217"/>
      <c r="P1005" s="217"/>
      <c r="Q1005" s="217"/>
      <c r="R1005" s="217"/>
      <c r="S1005" s="217"/>
      <c r="T1005" s="217"/>
      <c r="U1005" s="217"/>
      <c r="V1005" s="217"/>
      <c r="W1005" s="217"/>
      <c r="X1005" s="217"/>
      <c r="Y1005" s="217"/>
      <c r="Z1005" s="217"/>
      <c r="AA1005" s="217"/>
      <c r="AB1005" s="217"/>
      <c r="AC1005" s="217"/>
      <c r="AD1005" s="217"/>
    </row>
    <row r="1006" spans="1:30" x14ac:dyDescent="0.2">
      <c r="A1006" s="232"/>
      <c r="B1006" s="210"/>
      <c r="C1006" s="210"/>
      <c r="D1006" s="210"/>
      <c r="E1006" s="210"/>
      <c r="G1006" s="55"/>
      <c r="H1006" s="56"/>
      <c r="I1006" s="217"/>
      <c r="J1006" s="217"/>
      <c r="K1006" s="217"/>
      <c r="L1006" s="217"/>
      <c r="M1006" s="217"/>
      <c r="N1006" s="217"/>
      <c r="O1006" s="217"/>
      <c r="P1006" s="217"/>
      <c r="Q1006" s="217"/>
      <c r="R1006" s="217"/>
      <c r="S1006" s="217"/>
      <c r="T1006" s="217"/>
      <c r="U1006" s="217"/>
      <c r="V1006" s="217"/>
      <c r="W1006" s="217"/>
      <c r="X1006" s="217"/>
      <c r="Y1006" s="217"/>
      <c r="Z1006" s="217"/>
      <c r="AA1006" s="217"/>
      <c r="AB1006" s="217"/>
      <c r="AC1006" s="217"/>
      <c r="AD1006" s="217"/>
    </row>
    <row r="1007" spans="1:30" x14ac:dyDescent="0.2">
      <c r="A1007" s="232"/>
      <c r="B1007" s="210"/>
      <c r="C1007" s="210"/>
      <c r="D1007" s="210"/>
      <c r="E1007" s="210"/>
      <c r="G1007" s="55"/>
      <c r="H1007" s="56"/>
      <c r="I1007" s="217"/>
      <c r="J1007" s="217"/>
      <c r="K1007" s="217"/>
      <c r="L1007" s="217"/>
      <c r="M1007" s="217"/>
      <c r="N1007" s="217"/>
      <c r="O1007" s="217"/>
      <c r="P1007" s="217"/>
      <c r="Q1007" s="217"/>
      <c r="R1007" s="217"/>
      <c r="S1007" s="217"/>
      <c r="T1007" s="217"/>
      <c r="U1007" s="217"/>
      <c r="V1007" s="217"/>
      <c r="W1007" s="217"/>
      <c r="X1007" s="217"/>
      <c r="Y1007" s="217"/>
      <c r="Z1007" s="217"/>
      <c r="AA1007" s="217"/>
      <c r="AB1007" s="217"/>
      <c r="AC1007" s="217"/>
      <c r="AD1007" s="217"/>
    </row>
    <row r="1008" spans="1:30" x14ac:dyDescent="0.2">
      <c r="A1008" s="232"/>
      <c r="B1008" s="210"/>
      <c r="C1008" s="210"/>
      <c r="D1008" s="210"/>
      <c r="E1008" s="210"/>
      <c r="G1008" s="55"/>
      <c r="H1008" s="56"/>
      <c r="I1008" s="217"/>
      <c r="J1008" s="217"/>
      <c r="K1008" s="217"/>
      <c r="L1008" s="217"/>
      <c r="M1008" s="217"/>
      <c r="N1008" s="217"/>
      <c r="O1008" s="217"/>
      <c r="P1008" s="217"/>
      <c r="Q1008" s="217"/>
      <c r="R1008" s="217"/>
      <c r="S1008" s="217"/>
      <c r="T1008" s="217"/>
      <c r="U1008" s="217"/>
      <c r="V1008" s="217"/>
      <c r="W1008" s="217"/>
      <c r="X1008" s="217"/>
      <c r="Y1008" s="217"/>
      <c r="Z1008" s="217"/>
      <c r="AA1008" s="217"/>
      <c r="AB1008" s="217"/>
      <c r="AC1008" s="217"/>
      <c r="AD1008" s="217"/>
    </row>
    <row r="1009" spans="1:30" x14ac:dyDescent="0.2">
      <c r="A1009" s="232"/>
      <c r="B1009" s="210"/>
      <c r="C1009" s="210"/>
      <c r="D1009" s="210"/>
      <c r="E1009" s="210"/>
      <c r="G1009" s="55"/>
      <c r="H1009" s="56"/>
      <c r="I1009" s="217"/>
      <c r="J1009" s="217"/>
      <c r="K1009" s="217"/>
      <c r="L1009" s="217"/>
      <c r="M1009" s="217"/>
      <c r="N1009" s="217"/>
      <c r="O1009" s="217"/>
      <c r="P1009" s="217"/>
      <c r="Q1009" s="217"/>
      <c r="R1009" s="217"/>
      <c r="S1009" s="217"/>
      <c r="T1009" s="217"/>
      <c r="U1009" s="217"/>
      <c r="V1009" s="217"/>
      <c r="W1009" s="217"/>
      <c r="X1009" s="217"/>
      <c r="Y1009" s="217"/>
      <c r="Z1009" s="217"/>
      <c r="AA1009" s="217"/>
      <c r="AB1009" s="217"/>
      <c r="AC1009" s="217"/>
      <c r="AD1009" s="217"/>
    </row>
    <row r="1010" spans="1:30" x14ac:dyDescent="0.2">
      <c r="A1010" s="232"/>
      <c r="B1010" s="210"/>
      <c r="C1010" s="210"/>
      <c r="D1010" s="210"/>
      <c r="E1010" s="210"/>
      <c r="G1010" s="55"/>
      <c r="H1010" s="56"/>
      <c r="I1010" s="217"/>
      <c r="J1010" s="217"/>
      <c r="K1010" s="217"/>
      <c r="L1010" s="217"/>
      <c r="M1010" s="217"/>
      <c r="N1010" s="217"/>
      <c r="O1010" s="217"/>
      <c r="P1010" s="217"/>
      <c r="Q1010" s="217"/>
      <c r="R1010" s="217"/>
      <c r="S1010" s="217"/>
      <c r="T1010" s="217"/>
      <c r="U1010" s="217"/>
      <c r="V1010" s="217"/>
      <c r="W1010" s="217"/>
      <c r="X1010" s="217"/>
      <c r="Y1010" s="217"/>
      <c r="Z1010" s="217"/>
      <c r="AA1010" s="217"/>
      <c r="AB1010" s="217"/>
      <c r="AC1010" s="217"/>
      <c r="AD1010" s="217"/>
    </row>
    <row r="1011" spans="1:30" x14ac:dyDescent="0.2">
      <c r="A1011" s="232"/>
      <c r="B1011" s="210"/>
      <c r="C1011" s="210"/>
      <c r="D1011" s="210"/>
      <c r="E1011" s="210"/>
      <c r="G1011" s="55"/>
      <c r="H1011" s="56"/>
      <c r="I1011" s="217"/>
      <c r="J1011" s="217"/>
      <c r="K1011" s="217"/>
      <c r="L1011" s="217"/>
      <c r="M1011" s="217"/>
      <c r="N1011" s="217"/>
      <c r="O1011" s="217"/>
      <c r="P1011" s="217"/>
      <c r="Q1011" s="217"/>
      <c r="R1011" s="217"/>
      <c r="S1011" s="217"/>
      <c r="T1011" s="217"/>
      <c r="U1011" s="217"/>
      <c r="V1011" s="217"/>
      <c r="W1011" s="217"/>
      <c r="X1011" s="217"/>
      <c r="Y1011" s="217"/>
      <c r="Z1011" s="217"/>
      <c r="AA1011" s="217"/>
      <c r="AB1011" s="217"/>
      <c r="AC1011" s="217"/>
      <c r="AD1011" s="217"/>
    </row>
    <row r="1012" spans="1:30" x14ac:dyDescent="0.2">
      <c r="A1012" s="232"/>
      <c r="B1012" s="210"/>
      <c r="C1012" s="210"/>
      <c r="D1012" s="210"/>
      <c r="E1012" s="210"/>
      <c r="G1012" s="55"/>
      <c r="H1012" s="56"/>
      <c r="I1012" s="217"/>
      <c r="J1012" s="217"/>
      <c r="K1012" s="217"/>
      <c r="L1012" s="217"/>
      <c r="M1012" s="217"/>
      <c r="N1012" s="217"/>
      <c r="O1012" s="217"/>
      <c r="P1012" s="217"/>
      <c r="Q1012" s="217"/>
      <c r="R1012" s="217"/>
      <c r="S1012" s="217"/>
      <c r="T1012" s="217"/>
      <c r="U1012" s="217"/>
      <c r="V1012" s="217"/>
      <c r="W1012" s="217"/>
      <c r="X1012" s="217"/>
      <c r="Y1012" s="217"/>
      <c r="Z1012" s="217"/>
      <c r="AA1012" s="217"/>
      <c r="AB1012" s="217"/>
      <c r="AC1012" s="217"/>
      <c r="AD1012" s="217"/>
    </row>
    <row r="1013" spans="1:30" x14ac:dyDescent="0.2">
      <c r="A1013" s="232"/>
      <c r="B1013" s="210"/>
      <c r="C1013" s="210"/>
      <c r="D1013" s="210"/>
      <c r="E1013" s="210"/>
      <c r="G1013" s="55"/>
      <c r="H1013" s="56"/>
      <c r="I1013" s="217"/>
      <c r="J1013" s="217"/>
      <c r="K1013" s="217"/>
      <c r="L1013" s="217"/>
      <c r="M1013" s="217"/>
      <c r="N1013" s="217"/>
      <c r="O1013" s="217"/>
      <c r="P1013" s="217"/>
      <c r="Q1013" s="217"/>
      <c r="R1013" s="217"/>
      <c r="S1013" s="217"/>
      <c r="T1013" s="217"/>
      <c r="U1013" s="217"/>
      <c r="V1013" s="217"/>
      <c r="W1013" s="217"/>
      <c r="X1013" s="217"/>
      <c r="Y1013" s="217"/>
      <c r="Z1013" s="217"/>
      <c r="AA1013" s="217"/>
      <c r="AB1013" s="217"/>
      <c r="AC1013" s="217"/>
      <c r="AD1013" s="217"/>
    </row>
    <row r="1014" spans="1:30" x14ac:dyDescent="0.2">
      <c r="A1014" s="232"/>
      <c r="B1014" s="210"/>
      <c r="C1014" s="210"/>
      <c r="D1014" s="210"/>
      <c r="E1014" s="210"/>
      <c r="G1014" s="55"/>
      <c r="H1014" s="56"/>
      <c r="I1014" s="217"/>
      <c r="J1014" s="217"/>
      <c r="K1014" s="217"/>
      <c r="L1014" s="217"/>
      <c r="M1014" s="217"/>
      <c r="N1014" s="217"/>
      <c r="O1014" s="217"/>
      <c r="P1014" s="217"/>
      <c r="Q1014" s="217"/>
      <c r="R1014" s="217"/>
      <c r="S1014" s="217"/>
      <c r="T1014" s="217"/>
      <c r="U1014" s="217"/>
      <c r="V1014" s="217"/>
      <c r="W1014" s="217"/>
      <c r="X1014" s="217"/>
      <c r="Y1014" s="217"/>
      <c r="Z1014" s="217"/>
      <c r="AA1014" s="217"/>
      <c r="AB1014" s="217"/>
      <c r="AC1014" s="217"/>
      <c r="AD1014" s="217"/>
    </row>
    <row r="1015" spans="1:30" x14ac:dyDescent="0.2">
      <c r="A1015" s="232"/>
      <c r="B1015" s="210"/>
      <c r="C1015" s="210"/>
      <c r="D1015" s="210"/>
      <c r="E1015" s="210"/>
      <c r="G1015" s="55"/>
      <c r="H1015" s="56"/>
      <c r="I1015" s="217"/>
      <c r="J1015" s="217"/>
      <c r="K1015" s="217"/>
      <c r="L1015" s="217"/>
      <c r="M1015" s="217"/>
      <c r="N1015" s="217"/>
      <c r="O1015" s="217"/>
      <c r="P1015" s="217"/>
      <c r="Q1015" s="217"/>
      <c r="R1015" s="217"/>
      <c r="S1015" s="217"/>
      <c r="T1015" s="217"/>
      <c r="U1015" s="217"/>
      <c r="V1015" s="217"/>
      <c r="W1015" s="217"/>
      <c r="X1015" s="217"/>
      <c r="Y1015" s="217"/>
      <c r="Z1015" s="217"/>
      <c r="AA1015" s="217"/>
      <c r="AB1015" s="217"/>
      <c r="AC1015" s="217"/>
      <c r="AD1015" s="217"/>
    </row>
    <row r="1016" spans="1:30" x14ac:dyDescent="0.2">
      <c r="A1016" s="232"/>
      <c r="B1016" s="210"/>
      <c r="C1016" s="210"/>
      <c r="D1016" s="210"/>
      <c r="E1016" s="210"/>
      <c r="G1016" s="55"/>
      <c r="H1016" s="56"/>
      <c r="I1016" s="217"/>
      <c r="J1016" s="217"/>
      <c r="K1016" s="217"/>
      <c r="L1016" s="217"/>
      <c r="M1016" s="217"/>
      <c r="N1016" s="217"/>
      <c r="O1016" s="217"/>
      <c r="P1016" s="217"/>
      <c r="Q1016" s="217"/>
      <c r="R1016" s="217"/>
      <c r="S1016" s="217"/>
      <c r="T1016" s="217"/>
      <c r="U1016" s="217"/>
      <c r="V1016" s="217"/>
      <c r="W1016" s="217"/>
      <c r="X1016" s="217"/>
      <c r="Y1016" s="217"/>
      <c r="Z1016" s="217"/>
      <c r="AA1016" s="217"/>
      <c r="AB1016" s="217"/>
      <c r="AC1016" s="217"/>
      <c r="AD1016" s="217"/>
    </row>
    <row r="1017" spans="1:30" x14ac:dyDescent="0.2">
      <c r="A1017" s="232"/>
      <c r="B1017" s="210"/>
      <c r="C1017" s="210"/>
      <c r="D1017" s="210"/>
      <c r="E1017" s="210"/>
      <c r="G1017" s="55"/>
      <c r="H1017" s="56"/>
      <c r="I1017" s="217"/>
      <c r="J1017" s="217"/>
      <c r="K1017" s="217"/>
      <c r="L1017" s="217"/>
      <c r="M1017" s="217"/>
      <c r="N1017" s="217"/>
      <c r="O1017" s="217"/>
      <c r="P1017" s="217"/>
      <c r="Q1017" s="217"/>
      <c r="R1017" s="217"/>
      <c r="S1017" s="217"/>
      <c r="T1017" s="217"/>
      <c r="U1017" s="217"/>
      <c r="V1017" s="217"/>
      <c r="W1017" s="217"/>
      <c r="X1017" s="217"/>
      <c r="Y1017" s="217"/>
      <c r="Z1017" s="217"/>
      <c r="AA1017" s="217"/>
      <c r="AB1017" s="217"/>
      <c r="AC1017" s="217"/>
      <c r="AD1017" s="217"/>
    </row>
    <row r="1018" spans="1:30" x14ac:dyDescent="0.2">
      <c r="A1018" s="232"/>
      <c r="B1018" s="210"/>
      <c r="C1018" s="210"/>
      <c r="D1018" s="210"/>
      <c r="E1018" s="210"/>
      <c r="G1018" s="55"/>
      <c r="H1018" s="56"/>
      <c r="I1018" s="217"/>
      <c r="J1018" s="217"/>
      <c r="K1018" s="217"/>
      <c r="L1018" s="217"/>
      <c r="M1018" s="217"/>
      <c r="N1018" s="217"/>
      <c r="O1018" s="217"/>
      <c r="P1018" s="217"/>
      <c r="Q1018" s="217"/>
      <c r="R1018" s="217"/>
      <c r="S1018" s="217"/>
      <c r="T1018" s="217"/>
      <c r="U1018" s="217"/>
      <c r="V1018" s="217"/>
      <c r="W1018" s="217"/>
      <c r="X1018" s="217"/>
      <c r="Y1018" s="217"/>
      <c r="Z1018" s="217"/>
      <c r="AA1018" s="217"/>
      <c r="AB1018" s="217"/>
      <c r="AC1018" s="217"/>
      <c r="AD1018" s="217"/>
    </row>
    <row r="1019" spans="1:30" x14ac:dyDescent="0.2">
      <c r="A1019" s="232"/>
      <c r="B1019" s="210"/>
      <c r="C1019" s="210"/>
      <c r="D1019" s="210"/>
      <c r="E1019" s="210"/>
      <c r="G1019" s="55"/>
      <c r="H1019" s="56"/>
      <c r="I1019" s="217"/>
      <c r="J1019" s="217"/>
      <c r="K1019" s="217"/>
      <c r="L1019" s="217"/>
      <c r="M1019" s="217"/>
      <c r="N1019" s="217"/>
      <c r="O1019" s="217"/>
      <c r="P1019" s="217"/>
      <c r="Q1019" s="217"/>
      <c r="R1019" s="217"/>
      <c r="S1019" s="217"/>
      <c r="T1019" s="217"/>
      <c r="U1019" s="217"/>
      <c r="V1019" s="217"/>
      <c r="W1019" s="217"/>
      <c r="X1019" s="217"/>
      <c r="Y1019" s="217"/>
      <c r="Z1019" s="217"/>
      <c r="AA1019" s="217"/>
      <c r="AB1019" s="217"/>
      <c r="AC1019" s="217"/>
      <c r="AD1019" s="217"/>
    </row>
    <row r="1020" spans="1:30" x14ac:dyDescent="0.2">
      <c r="A1020" s="232"/>
      <c r="B1020" s="210"/>
      <c r="C1020" s="210"/>
      <c r="D1020" s="210"/>
      <c r="E1020" s="210"/>
      <c r="G1020" s="55"/>
      <c r="H1020" s="56"/>
      <c r="I1020" s="217"/>
      <c r="J1020" s="217"/>
      <c r="K1020" s="217"/>
      <c r="L1020" s="217"/>
      <c r="M1020" s="217"/>
      <c r="N1020" s="217"/>
      <c r="O1020" s="217"/>
      <c r="P1020" s="217"/>
      <c r="Q1020" s="217"/>
      <c r="R1020" s="217"/>
      <c r="S1020" s="217"/>
      <c r="T1020" s="217"/>
      <c r="U1020" s="217"/>
      <c r="V1020" s="217"/>
      <c r="W1020" s="217"/>
      <c r="X1020" s="217"/>
      <c r="Y1020" s="217"/>
      <c r="Z1020" s="217"/>
      <c r="AA1020" s="217"/>
      <c r="AB1020" s="217"/>
      <c r="AC1020" s="217"/>
      <c r="AD1020" s="217"/>
    </row>
    <row r="1021" spans="1:30" x14ac:dyDescent="0.2">
      <c r="A1021" s="232"/>
      <c r="B1021" s="210"/>
      <c r="C1021" s="210"/>
      <c r="D1021" s="210"/>
      <c r="E1021" s="210"/>
      <c r="G1021" s="55"/>
      <c r="H1021" s="56"/>
      <c r="I1021" s="217"/>
      <c r="J1021" s="217"/>
      <c r="K1021" s="217"/>
      <c r="L1021" s="217"/>
      <c r="M1021" s="217"/>
      <c r="N1021" s="217"/>
      <c r="O1021" s="217"/>
      <c r="P1021" s="217"/>
      <c r="Q1021" s="217"/>
      <c r="R1021" s="217"/>
      <c r="S1021" s="217"/>
      <c r="T1021" s="217"/>
      <c r="U1021" s="217"/>
      <c r="V1021" s="217"/>
      <c r="W1021" s="217"/>
      <c r="X1021" s="217"/>
      <c r="Y1021" s="217"/>
      <c r="Z1021" s="217"/>
      <c r="AA1021" s="217"/>
      <c r="AB1021" s="217"/>
      <c r="AC1021" s="217"/>
      <c r="AD1021" s="217"/>
    </row>
    <row r="1022" spans="1:30" x14ac:dyDescent="0.2">
      <c r="A1022" s="232"/>
      <c r="B1022" s="210"/>
      <c r="C1022" s="210"/>
      <c r="D1022" s="210"/>
      <c r="E1022" s="210"/>
      <c r="G1022" s="55"/>
      <c r="H1022" s="56"/>
      <c r="I1022" s="217"/>
      <c r="J1022" s="217"/>
      <c r="K1022" s="217"/>
      <c r="L1022" s="217"/>
      <c r="M1022" s="217"/>
      <c r="N1022" s="217"/>
      <c r="O1022" s="217"/>
      <c r="P1022" s="217"/>
      <c r="Q1022" s="217"/>
      <c r="R1022" s="217"/>
      <c r="S1022" s="217"/>
      <c r="T1022" s="217"/>
      <c r="U1022" s="217"/>
      <c r="V1022" s="217"/>
      <c r="W1022" s="217"/>
      <c r="X1022" s="217"/>
      <c r="Y1022" s="217"/>
      <c r="Z1022" s="217"/>
      <c r="AA1022" s="217"/>
      <c r="AB1022" s="217"/>
      <c r="AC1022" s="217"/>
      <c r="AD1022" s="217"/>
    </row>
    <row r="1023" spans="1:30" x14ac:dyDescent="0.2">
      <c r="A1023" s="232"/>
      <c r="B1023" s="210"/>
      <c r="C1023" s="210"/>
      <c r="D1023" s="210"/>
      <c r="E1023" s="210"/>
      <c r="G1023" s="55"/>
      <c r="H1023" s="56"/>
      <c r="I1023" s="217"/>
      <c r="J1023" s="217"/>
      <c r="K1023" s="217"/>
      <c r="L1023" s="217"/>
      <c r="M1023" s="217"/>
      <c r="N1023" s="217"/>
      <c r="O1023" s="217"/>
      <c r="P1023" s="217"/>
      <c r="Q1023" s="217"/>
      <c r="R1023" s="217"/>
      <c r="S1023" s="217"/>
      <c r="T1023" s="217"/>
      <c r="U1023" s="217"/>
      <c r="V1023" s="217"/>
      <c r="W1023" s="217"/>
      <c r="X1023" s="217"/>
      <c r="Y1023" s="217"/>
      <c r="Z1023" s="217"/>
      <c r="AA1023" s="217"/>
      <c r="AB1023" s="217"/>
      <c r="AC1023" s="217"/>
      <c r="AD1023" s="217"/>
    </row>
    <row r="1024" spans="1:30" x14ac:dyDescent="0.2">
      <c r="A1024" s="232"/>
      <c r="B1024" s="210"/>
      <c r="C1024" s="210"/>
      <c r="D1024" s="210"/>
      <c r="E1024" s="210"/>
      <c r="G1024" s="55"/>
      <c r="H1024" s="56"/>
      <c r="I1024" s="217"/>
      <c r="J1024" s="217"/>
      <c r="K1024" s="217"/>
      <c r="L1024" s="217"/>
      <c r="M1024" s="217"/>
      <c r="N1024" s="217"/>
      <c r="O1024" s="217"/>
      <c r="P1024" s="217"/>
      <c r="Q1024" s="217"/>
      <c r="R1024" s="217"/>
      <c r="S1024" s="217"/>
      <c r="T1024" s="217"/>
      <c r="U1024" s="217"/>
      <c r="V1024" s="217"/>
      <c r="W1024" s="217"/>
      <c r="X1024" s="217"/>
      <c r="Y1024" s="217"/>
      <c r="Z1024" s="217"/>
      <c r="AA1024" s="217"/>
      <c r="AB1024" s="217"/>
      <c r="AC1024" s="217"/>
      <c r="AD1024" s="217"/>
    </row>
    <row r="1025" spans="1:30" x14ac:dyDescent="0.2">
      <c r="A1025" s="232"/>
      <c r="B1025" s="210"/>
      <c r="C1025" s="210"/>
      <c r="D1025" s="210"/>
      <c r="E1025" s="210"/>
      <c r="G1025" s="55"/>
      <c r="H1025" s="56"/>
      <c r="I1025" s="217"/>
      <c r="J1025" s="217"/>
      <c r="K1025" s="217"/>
      <c r="L1025" s="217"/>
      <c r="M1025" s="217"/>
      <c r="N1025" s="217"/>
      <c r="O1025" s="217"/>
      <c r="P1025" s="217"/>
      <c r="Q1025" s="217"/>
      <c r="R1025" s="217"/>
      <c r="S1025" s="217"/>
      <c r="T1025" s="217"/>
      <c r="U1025" s="217"/>
      <c r="V1025" s="217"/>
      <c r="W1025" s="217"/>
      <c r="X1025" s="217"/>
      <c r="Y1025" s="217"/>
      <c r="Z1025" s="217"/>
      <c r="AA1025" s="217"/>
      <c r="AB1025" s="217"/>
      <c r="AC1025" s="217"/>
      <c r="AD1025" s="217"/>
    </row>
    <row r="1026" spans="1:30" x14ac:dyDescent="0.2">
      <c r="A1026" s="232"/>
      <c r="B1026" s="210"/>
      <c r="C1026" s="210"/>
      <c r="D1026" s="210"/>
      <c r="E1026" s="210"/>
      <c r="G1026" s="55"/>
      <c r="H1026" s="56"/>
      <c r="I1026" s="217"/>
      <c r="J1026" s="217"/>
      <c r="K1026" s="217"/>
      <c r="L1026" s="217"/>
      <c r="M1026" s="217"/>
      <c r="N1026" s="217"/>
      <c r="O1026" s="217"/>
      <c r="P1026" s="217"/>
      <c r="Q1026" s="217"/>
      <c r="R1026" s="217"/>
      <c r="S1026" s="217"/>
      <c r="T1026" s="217"/>
      <c r="U1026" s="217"/>
      <c r="V1026" s="217"/>
      <c r="W1026" s="217"/>
      <c r="X1026" s="217"/>
      <c r="Y1026" s="217"/>
      <c r="Z1026" s="217"/>
      <c r="AA1026" s="217"/>
      <c r="AB1026" s="217"/>
      <c r="AC1026" s="217"/>
      <c r="AD1026" s="217"/>
    </row>
    <row r="1027" spans="1:30" x14ac:dyDescent="0.2">
      <c r="A1027" s="232"/>
      <c r="B1027" s="210"/>
      <c r="C1027" s="210"/>
      <c r="D1027" s="210"/>
      <c r="E1027" s="210"/>
      <c r="G1027" s="55"/>
      <c r="H1027" s="56"/>
      <c r="I1027" s="217"/>
      <c r="J1027" s="217"/>
      <c r="K1027" s="217"/>
      <c r="L1027" s="217"/>
      <c r="M1027" s="217"/>
      <c r="N1027" s="217"/>
      <c r="O1027" s="217"/>
      <c r="P1027" s="217"/>
      <c r="Q1027" s="217"/>
      <c r="R1027" s="217"/>
      <c r="S1027" s="217"/>
      <c r="T1027" s="217"/>
      <c r="U1027" s="217"/>
      <c r="V1027" s="217"/>
      <c r="W1027" s="217"/>
      <c r="X1027" s="217"/>
      <c r="Y1027" s="217"/>
      <c r="Z1027" s="217"/>
      <c r="AA1027" s="217"/>
      <c r="AB1027" s="217"/>
      <c r="AC1027" s="217"/>
      <c r="AD1027" s="217"/>
    </row>
    <row r="1028" spans="1:30" x14ac:dyDescent="0.2">
      <c r="A1028" s="232"/>
      <c r="B1028" s="210"/>
      <c r="C1028" s="210"/>
      <c r="D1028" s="210"/>
      <c r="E1028" s="210"/>
      <c r="G1028" s="55"/>
      <c r="H1028" s="56"/>
      <c r="I1028" s="217"/>
      <c r="J1028" s="217"/>
      <c r="K1028" s="217"/>
      <c r="L1028" s="217"/>
      <c r="M1028" s="217"/>
      <c r="N1028" s="217"/>
      <c r="O1028" s="217"/>
      <c r="P1028" s="217"/>
      <c r="Q1028" s="217"/>
      <c r="R1028" s="217"/>
      <c r="S1028" s="217"/>
      <c r="T1028" s="217"/>
      <c r="U1028" s="217"/>
      <c r="V1028" s="217"/>
      <c r="W1028" s="217"/>
      <c r="X1028" s="217"/>
      <c r="Y1028" s="217"/>
      <c r="Z1028" s="217"/>
      <c r="AA1028" s="217"/>
      <c r="AB1028" s="217"/>
      <c r="AC1028" s="217"/>
      <c r="AD1028" s="217"/>
    </row>
    <row r="1029" spans="1:30" x14ac:dyDescent="0.2">
      <c r="A1029" s="232"/>
      <c r="B1029" s="210"/>
      <c r="C1029" s="210"/>
      <c r="D1029" s="210"/>
      <c r="E1029" s="210"/>
      <c r="G1029" s="55"/>
      <c r="H1029" s="56"/>
      <c r="I1029" s="217"/>
      <c r="J1029" s="217"/>
      <c r="K1029" s="217"/>
      <c r="L1029" s="217"/>
      <c r="M1029" s="217"/>
      <c r="N1029" s="217"/>
      <c r="O1029" s="217"/>
      <c r="P1029" s="217"/>
      <c r="Q1029" s="217"/>
      <c r="R1029" s="217"/>
      <c r="S1029" s="217"/>
      <c r="T1029" s="217"/>
      <c r="U1029" s="217"/>
      <c r="V1029" s="217"/>
      <c r="W1029" s="217"/>
      <c r="X1029" s="217"/>
      <c r="Y1029" s="217"/>
      <c r="Z1029" s="217"/>
      <c r="AA1029" s="217"/>
      <c r="AB1029" s="217"/>
      <c r="AC1029" s="217"/>
      <c r="AD1029" s="217"/>
    </row>
    <row r="1030" spans="1:30" x14ac:dyDescent="0.2">
      <c r="A1030" s="232"/>
      <c r="B1030" s="210"/>
      <c r="C1030" s="210"/>
      <c r="D1030" s="210"/>
      <c r="E1030" s="210"/>
      <c r="G1030" s="55"/>
      <c r="H1030" s="56"/>
      <c r="I1030" s="217"/>
      <c r="J1030" s="217"/>
      <c r="K1030" s="217"/>
      <c r="L1030" s="217"/>
      <c r="M1030" s="217"/>
      <c r="N1030" s="217"/>
      <c r="O1030" s="217"/>
      <c r="P1030" s="217"/>
      <c r="Q1030" s="217"/>
      <c r="R1030" s="217"/>
      <c r="S1030" s="217"/>
      <c r="T1030" s="217"/>
      <c r="U1030" s="217"/>
      <c r="V1030" s="217"/>
      <c r="W1030" s="217"/>
      <c r="X1030" s="217"/>
      <c r="Y1030" s="217"/>
      <c r="Z1030" s="217"/>
      <c r="AA1030" s="217"/>
      <c r="AB1030" s="217"/>
      <c r="AC1030" s="217"/>
      <c r="AD1030" s="217"/>
    </row>
    <row r="1031" spans="1:30" x14ac:dyDescent="0.2">
      <c r="A1031" s="232"/>
      <c r="B1031" s="210"/>
      <c r="C1031" s="210"/>
      <c r="D1031" s="210"/>
      <c r="E1031" s="210"/>
      <c r="G1031" s="55"/>
      <c r="H1031" s="56"/>
      <c r="I1031" s="217"/>
      <c r="J1031" s="217"/>
      <c r="K1031" s="217"/>
      <c r="L1031" s="217"/>
      <c r="M1031" s="217"/>
      <c r="N1031" s="217"/>
      <c r="O1031" s="217"/>
      <c r="P1031" s="217"/>
      <c r="Q1031" s="217"/>
      <c r="R1031" s="217"/>
      <c r="S1031" s="217"/>
      <c r="T1031" s="217"/>
      <c r="U1031" s="217"/>
      <c r="V1031" s="217"/>
      <c r="W1031" s="217"/>
      <c r="X1031" s="217"/>
      <c r="Y1031" s="217"/>
      <c r="Z1031" s="217"/>
      <c r="AA1031" s="217"/>
      <c r="AB1031" s="217"/>
      <c r="AC1031" s="217"/>
      <c r="AD1031" s="217"/>
    </row>
    <row r="1032" spans="1:30" x14ac:dyDescent="0.2">
      <c r="A1032" s="232"/>
      <c r="B1032" s="210"/>
      <c r="C1032" s="210"/>
      <c r="D1032" s="210"/>
      <c r="E1032" s="210"/>
      <c r="G1032" s="55"/>
      <c r="H1032" s="56"/>
      <c r="I1032" s="217"/>
      <c r="J1032" s="217"/>
      <c r="K1032" s="217"/>
      <c r="L1032" s="217"/>
      <c r="M1032" s="217"/>
      <c r="N1032" s="217"/>
      <c r="O1032" s="217"/>
      <c r="P1032" s="217"/>
      <c r="Q1032" s="217"/>
      <c r="R1032" s="217"/>
      <c r="S1032" s="217"/>
      <c r="T1032" s="217"/>
      <c r="U1032" s="217"/>
      <c r="V1032" s="217"/>
      <c r="W1032" s="217"/>
      <c r="X1032" s="217"/>
      <c r="Y1032" s="217"/>
      <c r="Z1032" s="217"/>
      <c r="AA1032" s="217"/>
      <c r="AB1032" s="217"/>
      <c r="AC1032" s="217"/>
      <c r="AD1032" s="217"/>
    </row>
    <row r="1033" spans="1:30" x14ac:dyDescent="0.2">
      <c r="A1033" s="232"/>
      <c r="B1033" s="210"/>
      <c r="C1033" s="210"/>
      <c r="D1033" s="210"/>
      <c r="E1033" s="210"/>
      <c r="G1033" s="55"/>
      <c r="H1033" s="56"/>
      <c r="I1033" s="217"/>
      <c r="J1033" s="217"/>
      <c r="K1033" s="217"/>
      <c r="L1033" s="217"/>
      <c r="M1033" s="217"/>
      <c r="N1033" s="217"/>
      <c r="O1033" s="217"/>
      <c r="P1033" s="217"/>
      <c r="Q1033" s="217"/>
      <c r="R1033" s="217"/>
      <c r="S1033" s="217"/>
      <c r="T1033" s="217"/>
      <c r="U1033" s="217"/>
      <c r="V1033" s="217"/>
      <c r="W1033" s="217"/>
      <c r="X1033" s="217"/>
      <c r="Y1033" s="217"/>
      <c r="Z1033" s="217"/>
      <c r="AA1033" s="217"/>
      <c r="AB1033" s="217"/>
      <c r="AC1033" s="217"/>
      <c r="AD1033" s="217"/>
    </row>
    <row r="1034" spans="1:30" x14ac:dyDescent="0.2">
      <c r="A1034" s="232"/>
      <c r="B1034" s="210"/>
      <c r="C1034" s="210"/>
      <c r="D1034" s="210"/>
      <c r="E1034" s="210"/>
      <c r="G1034" s="55"/>
      <c r="H1034" s="56"/>
      <c r="I1034" s="217"/>
      <c r="J1034" s="217"/>
      <c r="K1034" s="217"/>
      <c r="L1034" s="217"/>
      <c r="M1034" s="217"/>
      <c r="N1034" s="217"/>
      <c r="O1034" s="217"/>
      <c r="P1034" s="217"/>
      <c r="Q1034" s="217"/>
      <c r="R1034" s="217"/>
      <c r="S1034" s="217"/>
      <c r="T1034" s="217"/>
      <c r="U1034" s="217"/>
      <c r="V1034" s="217"/>
      <c r="W1034" s="217"/>
      <c r="X1034" s="217"/>
      <c r="Y1034" s="217"/>
      <c r="Z1034" s="217"/>
      <c r="AA1034" s="217"/>
      <c r="AB1034" s="217"/>
      <c r="AC1034" s="217"/>
      <c r="AD1034" s="217"/>
    </row>
    <row r="1035" spans="1:30" x14ac:dyDescent="0.2">
      <c r="A1035" s="232"/>
      <c r="B1035" s="210"/>
      <c r="C1035" s="210"/>
      <c r="D1035" s="210"/>
      <c r="E1035" s="210"/>
      <c r="G1035" s="55"/>
      <c r="H1035" s="56"/>
      <c r="I1035" s="217"/>
      <c r="J1035" s="217"/>
      <c r="K1035" s="217"/>
      <c r="L1035" s="217"/>
      <c r="M1035" s="217"/>
      <c r="N1035" s="217"/>
      <c r="O1035" s="217"/>
      <c r="P1035" s="217"/>
      <c r="Q1035" s="217"/>
      <c r="R1035" s="217"/>
      <c r="S1035" s="217"/>
      <c r="T1035" s="217"/>
      <c r="U1035" s="217"/>
      <c r="V1035" s="217"/>
      <c r="W1035" s="217"/>
      <c r="X1035" s="217"/>
      <c r="Y1035" s="217"/>
      <c r="Z1035" s="217"/>
      <c r="AA1035" s="217"/>
      <c r="AB1035" s="217"/>
      <c r="AC1035" s="217"/>
      <c r="AD1035" s="217"/>
    </row>
    <row r="1036" spans="1:30" x14ac:dyDescent="0.2">
      <c r="A1036" s="232"/>
      <c r="B1036" s="210"/>
      <c r="C1036" s="210"/>
      <c r="D1036" s="210"/>
      <c r="E1036" s="210"/>
      <c r="G1036" s="55"/>
      <c r="H1036" s="56"/>
      <c r="I1036" s="217"/>
      <c r="J1036" s="217"/>
      <c r="K1036" s="217"/>
      <c r="L1036" s="217"/>
      <c r="M1036" s="217"/>
      <c r="N1036" s="217"/>
      <c r="O1036" s="217"/>
      <c r="P1036" s="217"/>
      <c r="Q1036" s="217"/>
      <c r="R1036" s="217"/>
      <c r="S1036" s="217"/>
      <c r="T1036" s="217"/>
      <c r="U1036" s="217"/>
      <c r="V1036" s="217"/>
      <c r="W1036" s="217"/>
      <c r="X1036" s="217"/>
      <c r="Y1036" s="217"/>
      <c r="Z1036" s="217"/>
      <c r="AA1036" s="217"/>
      <c r="AB1036" s="217"/>
      <c r="AC1036" s="217"/>
      <c r="AD1036" s="217"/>
    </row>
    <row r="1037" spans="1:30" x14ac:dyDescent="0.2">
      <c r="A1037" s="232"/>
      <c r="B1037" s="210"/>
      <c r="C1037" s="210"/>
      <c r="D1037" s="210"/>
      <c r="E1037" s="210"/>
      <c r="G1037" s="55"/>
      <c r="H1037" s="56"/>
      <c r="I1037" s="217"/>
      <c r="J1037" s="217"/>
      <c r="K1037" s="217"/>
      <c r="L1037" s="217"/>
      <c r="M1037" s="217"/>
      <c r="N1037" s="217"/>
      <c r="O1037" s="217"/>
      <c r="P1037" s="217"/>
      <c r="Q1037" s="217"/>
      <c r="R1037" s="217"/>
      <c r="S1037" s="217"/>
      <c r="T1037" s="217"/>
      <c r="U1037" s="217"/>
      <c r="V1037" s="217"/>
      <c r="W1037" s="217"/>
      <c r="X1037" s="217"/>
      <c r="Y1037" s="217"/>
      <c r="Z1037" s="217"/>
      <c r="AA1037" s="217"/>
      <c r="AB1037" s="217"/>
      <c r="AC1037" s="217"/>
      <c r="AD1037" s="217"/>
    </row>
    <row r="1038" spans="1:30" x14ac:dyDescent="0.2">
      <c r="A1038" s="232"/>
      <c r="B1038" s="210"/>
      <c r="C1038" s="210"/>
      <c r="D1038" s="210"/>
      <c r="E1038" s="210"/>
      <c r="G1038" s="55"/>
      <c r="H1038" s="56"/>
      <c r="I1038" s="217"/>
      <c r="J1038" s="217"/>
      <c r="K1038" s="217"/>
      <c r="L1038" s="217"/>
      <c r="M1038" s="217"/>
      <c r="N1038" s="217"/>
      <c r="O1038" s="217"/>
      <c r="P1038" s="217"/>
      <c r="Q1038" s="217"/>
      <c r="R1038" s="217"/>
      <c r="S1038" s="217"/>
      <c r="T1038" s="217"/>
      <c r="U1038" s="217"/>
      <c r="V1038" s="217"/>
      <c r="W1038" s="217"/>
      <c r="X1038" s="217"/>
      <c r="Y1038" s="217"/>
      <c r="Z1038" s="217"/>
      <c r="AA1038" s="217"/>
      <c r="AB1038" s="217"/>
      <c r="AC1038" s="217"/>
      <c r="AD1038" s="217"/>
    </row>
    <row r="1039" spans="1:30" x14ac:dyDescent="0.2">
      <c r="A1039" s="232"/>
      <c r="B1039" s="210"/>
      <c r="C1039" s="210"/>
      <c r="D1039" s="210"/>
      <c r="E1039" s="210"/>
      <c r="G1039" s="55"/>
      <c r="H1039" s="56"/>
      <c r="I1039" s="217"/>
      <c r="J1039" s="217"/>
      <c r="K1039" s="217"/>
      <c r="L1039" s="217"/>
      <c r="M1039" s="217"/>
      <c r="N1039" s="217"/>
      <c r="O1039" s="217"/>
      <c r="P1039" s="217"/>
      <c r="Q1039" s="217"/>
      <c r="R1039" s="217"/>
      <c r="S1039" s="217"/>
      <c r="T1039" s="217"/>
      <c r="U1039" s="217"/>
      <c r="V1039" s="217"/>
      <c r="W1039" s="217"/>
      <c r="X1039" s="217"/>
      <c r="Y1039" s="217"/>
      <c r="Z1039" s="217"/>
      <c r="AA1039" s="217"/>
      <c r="AB1039" s="217"/>
      <c r="AC1039" s="217"/>
      <c r="AD1039" s="217"/>
    </row>
    <row r="1040" spans="1:30" x14ac:dyDescent="0.2">
      <c r="A1040" s="232"/>
      <c r="B1040" s="210"/>
      <c r="C1040" s="210"/>
      <c r="D1040" s="210"/>
      <c r="E1040" s="210"/>
      <c r="G1040" s="55"/>
      <c r="H1040" s="56"/>
      <c r="I1040" s="217"/>
      <c r="J1040" s="217"/>
      <c r="K1040" s="217"/>
      <c r="L1040" s="217"/>
      <c r="M1040" s="217"/>
      <c r="N1040" s="217"/>
      <c r="O1040" s="217"/>
      <c r="P1040" s="217"/>
      <c r="Q1040" s="217"/>
      <c r="R1040" s="217"/>
      <c r="S1040" s="217"/>
      <c r="T1040" s="217"/>
      <c r="U1040" s="217"/>
      <c r="V1040" s="217"/>
      <c r="W1040" s="217"/>
      <c r="X1040" s="217"/>
      <c r="Y1040" s="217"/>
      <c r="Z1040" s="217"/>
      <c r="AA1040" s="217"/>
      <c r="AB1040" s="217"/>
      <c r="AC1040" s="217"/>
      <c r="AD1040" s="217"/>
    </row>
    <row r="1041" spans="1:30" x14ac:dyDescent="0.2">
      <c r="A1041" s="232"/>
      <c r="B1041" s="210"/>
      <c r="C1041" s="210"/>
      <c r="D1041" s="210"/>
      <c r="E1041" s="210"/>
      <c r="G1041" s="55"/>
      <c r="H1041" s="56"/>
      <c r="I1041" s="217"/>
      <c r="J1041" s="217"/>
      <c r="K1041" s="217"/>
      <c r="L1041" s="217"/>
      <c r="M1041" s="217"/>
      <c r="N1041" s="217"/>
      <c r="O1041" s="217"/>
      <c r="P1041" s="217"/>
      <c r="Q1041" s="217"/>
      <c r="R1041" s="217"/>
      <c r="S1041" s="217"/>
      <c r="T1041" s="217"/>
      <c r="U1041" s="217"/>
      <c r="V1041" s="217"/>
      <c r="W1041" s="217"/>
      <c r="X1041" s="217"/>
      <c r="Y1041" s="217"/>
      <c r="Z1041" s="217"/>
      <c r="AA1041" s="217"/>
      <c r="AB1041" s="217"/>
      <c r="AC1041" s="217"/>
      <c r="AD1041" s="217"/>
    </row>
    <row r="1042" spans="1:30" x14ac:dyDescent="0.2">
      <c r="A1042" s="232"/>
      <c r="B1042" s="210"/>
      <c r="C1042" s="210"/>
      <c r="D1042" s="210"/>
      <c r="E1042" s="210"/>
      <c r="G1042" s="55"/>
      <c r="H1042" s="56"/>
      <c r="I1042" s="217"/>
      <c r="J1042" s="217"/>
      <c r="K1042" s="217"/>
      <c r="L1042" s="217"/>
      <c r="M1042" s="217"/>
      <c r="N1042" s="217"/>
      <c r="O1042" s="217"/>
      <c r="P1042" s="217"/>
      <c r="Q1042" s="217"/>
      <c r="R1042" s="217"/>
      <c r="S1042" s="217"/>
      <c r="T1042" s="217"/>
      <c r="U1042" s="217"/>
      <c r="V1042" s="217"/>
      <c r="W1042" s="217"/>
      <c r="X1042" s="217"/>
      <c r="Y1042" s="217"/>
      <c r="Z1042" s="217"/>
      <c r="AA1042" s="217"/>
      <c r="AB1042" s="217"/>
      <c r="AC1042" s="217"/>
      <c r="AD1042" s="217"/>
    </row>
    <row r="1043" spans="1:30" x14ac:dyDescent="0.2">
      <c r="A1043" s="232"/>
      <c r="B1043" s="210"/>
      <c r="C1043" s="210"/>
      <c r="D1043" s="210"/>
      <c r="E1043" s="210"/>
      <c r="G1043" s="55"/>
      <c r="H1043" s="56"/>
      <c r="I1043" s="217"/>
      <c r="J1043" s="217"/>
      <c r="K1043" s="217"/>
      <c r="L1043" s="217"/>
      <c r="M1043" s="217"/>
      <c r="N1043" s="217"/>
      <c r="O1043" s="217"/>
      <c r="P1043" s="217"/>
      <c r="Q1043" s="217"/>
      <c r="R1043" s="217"/>
      <c r="S1043" s="217"/>
      <c r="T1043" s="217"/>
      <c r="U1043" s="217"/>
      <c r="V1043" s="217"/>
      <c r="W1043" s="217"/>
      <c r="X1043" s="217"/>
      <c r="Y1043" s="217"/>
      <c r="Z1043" s="217"/>
      <c r="AA1043" s="217"/>
      <c r="AB1043" s="217"/>
      <c r="AC1043" s="217"/>
      <c r="AD1043" s="217"/>
    </row>
    <row r="1044" spans="1:30" x14ac:dyDescent="0.2">
      <c r="A1044" s="232"/>
      <c r="B1044" s="210"/>
      <c r="C1044" s="210"/>
      <c r="D1044" s="210"/>
      <c r="E1044" s="210"/>
      <c r="G1044" s="55"/>
      <c r="H1044" s="56"/>
      <c r="I1044" s="217"/>
      <c r="J1044" s="217"/>
      <c r="K1044" s="217"/>
      <c r="L1044" s="217"/>
      <c r="M1044" s="217"/>
      <c r="N1044" s="217"/>
      <c r="O1044" s="217"/>
      <c r="P1044" s="217"/>
      <c r="Q1044" s="217"/>
      <c r="R1044" s="217"/>
      <c r="S1044" s="217"/>
      <c r="T1044" s="217"/>
      <c r="U1044" s="217"/>
      <c r="V1044" s="217"/>
      <c r="W1044" s="217"/>
      <c r="X1044" s="217"/>
      <c r="Y1044" s="217"/>
      <c r="Z1044" s="217"/>
      <c r="AA1044" s="217"/>
      <c r="AB1044" s="217"/>
      <c r="AC1044" s="217"/>
      <c r="AD1044" s="217"/>
    </row>
    <row r="1045" spans="1:30" x14ac:dyDescent="0.2">
      <c r="A1045" s="232"/>
      <c r="B1045" s="210"/>
      <c r="C1045" s="210"/>
      <c r="D1045" s="210"/>
      <c r="E1045" s="210"/>
      <c r="G1045" s="55"/>
      <c r="H1045" s="56"/>
      <c r="I1045" s="217"/>
      <c r="J1045" s="217"/>
      <c r="K1045" s="217"/>
      <c r="L1045" s="217"/>
      <c r="M1045" s="217"/>
      <c r="N1045" s="217"/>
      <c r="O1045" s="217"/>
      <c r="P1045" s="217"/>
      <c r="Q1045" s="217"/>
      <c r="R1045" s="217"/>
      <c r="S1045" s="217"/>
      <c r="T1045" s="217"/>
      <c r="U1045" s="217"/>
      <c r="V1045" s="217"/>
      <c r="W1045" s="217"/>
      <c r="X1045" s="217"/>
      <c r="Y1045" s="217"/>
      <c r="Z1045" s="217"/>
      <c r="AA1045" s="217"/>
      <c r="AB1045" s="217"/>
      <c r="AC1045" s="217"/>
      <c r="AD1045" s="217"/>
    </row>
    <row r="1046" spans="1:30" x14ac:dyDescent="0.2">
      <c r="A1046" s="232"/>
      <c r="B1046" s="210"/>
      <c r="C1046" s="210"/>
      <c r="D1046" s="210"/>
      <c r="E1046" s="210"/>
      <c r="G1046" s="55"/>
      <c r="H1046" s="56"/>
      <c r="I1046" s="217"/>
      <c r="J1046" s="217"/>
      <c r="K1046" s="217"/>
      <c r="L1046" s="217"/>
      <c r="M1046" s="217"/>
      <c r="N1046" s="217"/>
      <c r="O1046" s="217"/>
      <c r="P1046" s="217"/>
      <c r="Q1046" s="217"/>
      <c r="R1046" s="217"/>
      <c r="S1046" s="217"/>
      <c r="T1046" s="217"/>
      <c r="U1046" s="217"/>
      <c r="V1046" s="217"/>
      <c r="W1046" s="217"/>
      <c r="X1046" s="217"/>
      <c r="Y1046" s="217"/>
      <c r="Z1046" s="217"/>
      <c r="AA1046" s="217"/>
      <c r="AB1046" s="217"/>
      <c r="AC1046" s="217"/>
      <c r="AD1046" s="217"/>
    </row>
    <row r="1047" spans="1:30" x14ac:dyDescent="0.2">
      <c r="A1047" s="232"/>
      <c r="B1047" s="210"/>
      <c r="C1047" s="210"/>
      <c r="D1047" s="210"/>
      <c r="E1047" s="210"/>
      <c r="G1047" s="55"/>
      <c r="H1047" s="56"/>
      <c r="I1047" s="217"/>
      <c r="J1047" s="217"/>
      <c r="K1047" s="217"/>
      <c r="L1047" s="217"/>
      <c r="M1047" s="217"/>
      <c r="N1047" s="217"/>
      <c r="O1047" s="217"/>
      <c r="P1047" s="217"/>
      <c r="Q1047" s="217"/>
      <c r="R1047" s="217"/>
      <c r="S1047" s="217"/>
      <c r="T1047" s="217"/>
      <c r="U1047" s="217"/>
      <c r="V1047" s="217"/>
      <c r="W1047" s="217"/>
      <c r="X1047" s="217"/>
      <c r="Y1047" s="217"/>
      <c r="Z1047" s="217"/>
      <c r="AA1047" s="217"/>
      <c r="AB1047" s="217"/>
      <c r="AC1047" s="217"/>
      <c r="AD1047" s="217"/>
    </row>
    <row r="1048" spans="1:30" x14ac:dyDescent="0.2">
      <c r="A1048" s="232"/>
      <c r="B1048" s="210"/>
      <c r="C1048" s="210"/>
      <c r="D1048" s="210"/>
      <c r="E1048" s="210"/>
      <c r="G1048" s="55"/>
      <c r="H1048" s="56"/>
      <c r="I1048" s="217"/>
      <c r="J1048" s="217"/>
      <c r="K1048" s="217"/>
      <c r="L1048" s="217"/>
      <c r="M1048" s="217"/>
      <c r="N1048" s="217"/>
      <c r="O1048" s="217"/>
      <c r="P1048" s="217"/>
      <c r="Q1048" s="217"/>
      <c r="R1048" s="217"/>
      <c r="S1048" s="217"/>
      <c r="T1048" s="217"/>
      <c r="U1048" s="217"/>
      <c r="V1048" s="217"/>
      <c r="W1048" s="217"/>
      <c r="X1048" s="217"/>
      <c r="Y1048" s="217"/>
      <c r="Z1048" s="217"/>
      <c r="AA1048" s="217"/>
      <c r="AB1048" s="217"/>
      <c r="AC1048" s="217"/>
      <c r="AD1048" s="217"/>
    </row>
    <row r="1049" spans="1:30" x14ac:dyDescent="0.2">
      <c r="A1049" s="232"/>
      <c r="B1049" s="210"/>
      <c r="C1049" s="210"/>
      <c r="D1049" s="210"/>
      <c r="E1049" s="210"/>
      <c r="G1049" s="55"/>
      <c r="H1049" s="56"/>
      <c r="I1049" s="217"/>
      <c r="J1049" s="217"/>
      <c r="K1049" s="217"/>
      <c r="L1049" s="217"/>
      <c r="M1049" s="217"/>
      <c r="N1049" s="217"/>
      <c r="O1049" s="217"/>
      <c r="P1049" s="217"/>
      <c r="Q1049" s="217"/>
      <c r="R1049" s="217"/>
      <c r="S1049" s="217"/>
      <c r="T1049" s="217"/>
      <c r="U1049" s="217"/>
      <c r="V1049" s="217"/>
      <c r="W1049" s="217"/>
      <c r="X1049" s="217"/>
      <c r="Y1049" s="217"/>
      <c r="Z1049" s="217"/>
      <c r="AA1049" s="217"/>
      <c r="AB1049" s="217"/>
      <c r="AC1049" s="217"/>
      <c r="AD1049" s="217"/>
    </row>
    <row r="1050" spans="1:30" x14ac:dyDescent="0.2">
      <c r="A1050" s="232"/>
      <c r="B1050" s="210"/>
      <c r="C1050" s="210"/>
      <c r="D1050" s="210"/>
      <c r="E1050" s="210"/>
      <c r="G1050" s="55"/>
      <c r="H1050" s="56"/>
      <c r="I1050" s="217"/>
      <c r="J1050" s="217"/>
      <c r="K1050" s="217"/>
      <c r="L1050" s="217"/>
      <c r="M1050" s="217"/>
      <c r="N1050" s="217"/>
      <c r="O1050" s="217"/>
      <c r="P1050" s="217"/>
      <c r="Q1050" s="217"/>
      <c r="R1050" s="217"/>
      <c r="S1050" s="217"/>
      <c r="T1050" s="217"/>
      <c r="U1050" s="217"/>
      <c r="V1050" s="217"/>
      <c r="W1050" s="217"/>
      <c r="X1050" s="217"/>
      <c r="Y1050" s="217"/>
      <c r="Z1050" s="217"/>
      <c r="AA1050" s="217"/>
      <c r="AB1050" s="217"/>
      <c r="AC1050" s="217"/>
      <c r="AD1050" s="217"/>
    </row>
    <row r="1051" spans="1:30" x14ac:dyDescent="0.2">
      <c r="A1051" s="232"/>
      <c r="B1051" s="210"/>
      <c r="C1051" s="210"/>
      <c r="D1051" s="210"/>
      <c r="E1051" s="210"/>
      <c r="G1051" s="55"/>
      <c r="H1051" s="56"/>
      <c r="I1051" s="217"/>
      <c r="J1051" s="217"/>
      <c r="K1051" s="217"/>
      <c r="L1051" s="217"/>
      <c r="M1051" s="217"/>
      <c r="N1051" s="217"/>
      <c r="O1051" s="217"/>
      <c r="P1051" s="217"/>
      <c r="Q1051" s="217"/>
      <c r="R1051" s="217"/>
      <c r="S1051" s="217"/>
      <c r="T1051" s="217"/>
      <c r="U1051" s="217"/>
      <c r="V1051" s="217"/>
      <c r="W1051" s="217"/>
      <c r="X1051" s="217"/>
      <c r="Y1051" s="217"/>
      <c r="Z1051" s="217"/>
      <c r="AA1051" s="217"/>
      <c r="AB1051" s="217"/>
      <c r="AC1051" s="217"/>
      <c r="AD1051" s="217"/>
    </row>
    <row r="1052" spans="1:30" x14ac:dyDescent="0.2">
      <c r="A1052" s="232"/>
      <c r="B1052" s="210"/>
      <c r="C1052" s="210"/>
      <c r="D1052" s="210"/>
      <c r="E1052" s="210"/>
      <c r="G1052" s="55"/>
      <c r="H1052" s="56"/>
      <c r="I1052" s="217"/>
      <c r="J1052" s="217"/>
      <c r="K1052" s="217"/>
      <c r="L1052" s="217"/>
      <c r="M1052" s="217"/>
      <c r="N1052" s="217"/>
      <c r="O1052" s="217"/>
      <c r="P1052" s="217"/>
      <c r="Q1052" s="217"/>
      <c r="R1052" s="217"/>
      <c r="S1052" s="217"/>
      <c r="T1052" s="217"/>
      <c r="U1052" s="217"/>
      <c r="V1052" s="217"/>
      <c r="W1052" s="217"/>
      <c r="X1052" s="217"/>
      <c r="Y1052" s="217"/>
      <c r="Z1052" s="217"/>
      <c r="AA1052" s="217"/>
      <c r="AB1052" s="217"/>
      <c r="AC1052" s="217"/>
      <c r="AD1052" s="217"/>
    </row>
    <row r="1053" spans="1:30" x14ac:dyDescent="0.2">
      <c r="A1053" s="232"/>
      <c r="B1053" s="210"/>
      <c r="C1053" s="210"/>
      <c r="D1053" s="210"/>
      <c r="E1053" s="210"/>
      <c r="G1053" s="55"/>
      <c r="H1053" s="56"/>
      <c r="I1053" s="217"/>
      <c r="J1053" s="217"/>
      <c r="K1053" s="217"/>
      <c r="L1053" s="217"/>
      <c r="M1053" s="217"/>
      <c r="N1053" s="217"/>
      <c r="O1053" s="217"/>
      <c r="P1053" s="217"/>
      <c r="Q1053" s="217"/>
      <c r="R1053" s="217"/>
      <c r="S1053" s="217"/>
      <c r="T1053" s="217"/>
      <c r="U1053" s="217"/>
      <c r="V1053" s="217"/>
      <c r="W1053" s="217"/>
      <c r="X1053" s="217"/>
      <c r="Y1053" s="217"/>
      <c r="Z1053" s="217"/>
      <c r="AA1053" s="217"/>
      <c r="AB1053" s="217"/>
      <c r="AC1053" s="217"/>
      <c r="AD1053" s="217"/>
    </row>
    <row r="1054" spans="1:30" x14ac:dyDescent="0.2">
      <c r="A1054" s="232"/>
      <c r="B1054" s="210"/>
      <c r="C1054" s="210"/>
      <c r="D1054" s="210"/>
      <c r="E1054" s="210"/>
      <c r="G1054" s="55"/>
      <c r="H1054" s="56"/>
      <c r="I1054" s="217"/>
      <c r="J1054" s="217"/>
      <c r="K1054" s="217"/>
      <c r="L1054" s="217"/>
      <c r="M1054" s="217"/>
      <c r="N1054" s="217"/>
      <c r="O1054" s="217"/>
      <c r="P1054" s="217"/>
      <c r="Q1054" s="217"/>
      <c r="R1054" s="217"/>
      <c r="S1054" s="217"/>
      <c r="T1054" s="217"/>
      <c r="U1054" s="217"/>
      <c r="V1054" s="217"/>
      <c r="W1054" s="217"/>
      <c r="X1054" s="217"/>
      <c r="Y1054" s="217"/>
      <c r="Z1054" s="217"/>
      <c r="AA1054" s="217"/>
      <c r="AB1054" s="217"/>
      <c r="AC1054" s="217"/>
      <c r="AD1054" s="217"/>
    </row>
    <row r="1055" spans="1:30" x14ac:dyDescent="0.2">
      <c r="A1055" s="232"/>
      <c r="B1055" s="210"/>
      <c r="C1055" s="210"/>
      <c r="D1055" s="210"/>
      <c r="E1055" s="210"/>
      <c r="G1055" s="55"/>
      <c r="H1055" s="56"/>
      <c r="I1055" s="217"/>
      <c r="J1055" s="217"/>
      <c r="K1055" s="217"/>
      <c r="L1055" s="217"/>
      <c r="M1055" s="217"/>
      <c r="N1055" s="217"/>
      <c r="O1055" s="217"/>
      <c r="P1055" s="217"/>
      <c r="Q1055" s="217"/>
      <c r="R1055" s="217"/>
      <c r="S1055" s="217"/>
      <c r="T1055" s="217"/>
      <c r="U1055" s="217"/>
      <c r="V1055" s="217"/>
      <c r="W1055" s="217"/>
      <c r="X1055" s="217"/>
      <c r="Y1055" s="217"/>
      <c r="Z1055" s="217"/>
      <c r="AA1055" s="217"/>
      <c r="AB1055" s="217"/>
      <c r="AC1055" s="217"/>
      <c r="AD1055" s="217"/>
    </row>
    <row r="1056" spans="1:30" x14ac:dyDescent="0.2">
      <c r="A1056" s="232"/>
      <c r="B1056" s="210"/>
      <c r="C1056" s="210"/>
      <c r="D1056" s="210"/>
      <c r="E1056" s="210"/>
      <c r="G1056" s="55"/>
      <c r="H1056" s="56"/>
      <c r="I1056" s="217"/>
      <c r="J1056" s="217"/>
      <c r="K1056" s="217"/>
      <c r="L1056" s="217"/>
      <c r="M1056" s="217"/>
      <c r="N1056" s="217"/>
      <c r="O1056" s="217"/>
      <c r="P1056" s="217"/>
      <c r="Q1056" s="217"/>
      <c r="R1056" s="217"/>
      <c r="S1056" s="217"/>
      <c r="T1056" s="217"/>
      <c r="U1056" s="217"/>
      <c r="V1056" s="217"/>
      <c r="W1056" s="217"/>
      <c r="X1056" s="217"/>
      <c r="Y1056" s="217"/>
      <c r="Z1056" s="217"/>
      <c r="AA1056" s="217"/>
      <c r="AB1056" s="217"/>
      <c r="AC1056" s="217"/>
      <c r="AD1056" s="217"/>
    </row>
    <row r="1057" spans="1:30" x14ac:dyDescent="0.2">
      <c r="A1057" s="232"/>
      <c r="B1057" s="210"/>
      <c r="C1057" s="210"/>
      <c r="D1057" s="210"/>
      <c r="E1057" s="210"/>
      <c r="G1057" s="55"/>
      <c r="H1057" s="56"/>
      <c r="I1057" s="217"/>
      <c r="J1057" s="217"/>
      <c r="K1057" s="217"/>
      <c r="L1057" s="217"/>
      <c r="M1057" s="217"/>
      <c r="N1057" s="217"/>
      <c r="O1057" s="217"/>
      <c r="P1057" s="217"/>
      <c r="Q1057" s="217"/>
      <c r="R1057" s="217"/>
      <c r="S1057" s="217"/>
      <c r="T1057" s="217"/>
      <c r="U1057" s="217"/>
      <c r="V1057" s="217"/>
      <c r="W1057" s="217"/>
      <c r="X1057" s="217"/>
      <c r="Y1057" s="217"/>
      <c r="Z1057" s="217"/>
      <c r="AA1057" s="217"/>
      <c r="AB1057" s="217"/>
      <c r="AC1057" s="217"/>
      <c r="AD1057" s="217"/>
    </row>
    <row r="1058" spans="1:30" x14ac:dyDescent="0.2">
      <c r="A1058" s="232"/>
      <c r="B1058" s="210"/>
      <c r="C1058" s="210"/>
      <c r="D1058" s="210"/>
      <c r="E1058" s="210"/>
      <c r="G1058" s="55"/>
      <c r="H1058" s="56"/>
      <c r="I1058" s="217"/>
      <c r="J1058" s="217"/>
      <c r="K1058" s="217"/>
      <c r="L1058" s="217"/>
      <c r="M1058" s="217"/>
      <c r="N1058" s="217"/>
      <c r="O1058" s="217"/>
      <c r="P1058" s="217"/>
      <c r="Q1058" s="217"/>
      <c r="R1058" s="217"/>
      <c r="S1058" s="217"/>
      <c r="T1058" s="217"/>
      <c r="U1058" s="217"/>
      <c r="V1058" s="217"/>
      <c r="W1058" s="217"/>
      <c r="X1058" s="217"/>
      <c r="Y1058" s="217"/>
      <c r="Z1058" s="217"/>
      <c r="AA1058" s="217"/>
      <c r="AB1058" s="217"/>
      <c r="AC1058" s="217"/>
      <c r="AD1058" s="217"/>
    </row>
    <row r="1059" spans="1:30" x14ac:dyDescent="0.2">
      <c r="A1059" s="232"/>
      <c r="B1059" s="210"/>
      <c r="C1059" s="210"/>
      <c r="D1059" s="210"/>
      <c r="E1059" s="210"/>
      <c r="G1059" s="55"/>
      <c r="H1059" s="56"/>
      <c r="I1059" s="217"/>
      <c r="J1059" s="217"/>
      <c r="K1059" s="217"/>
      <c r="L1059" s="217"/>
      <c r="M1059" s="217"/>
      <c r="N1059" s="217"/>
      <c r="O1059" s="217"/>
      <c r="P1059" s="217"/>
      <c r="Q1059" s="217"/>
      <c r="R1059" s="217"/>
      <c r="S1059" s="217"/>
      <c r="T1059" s="217"/>
      <c r="U1059" s="217"/>
      <c r="V1059" s="217"/>
      <c r="W1059" s="217"/>
      <c r="X1059" s="217"/>
      <c r="Y1059" s="217"/>
      <c r="Z1059" s="217"/>
      <c r="AA1059" s="217"/>
      <c r="AB1059" s="217"/>
      <c r="AC1059" s="217"/>
      <c r="AD1059" s="217"/>
    </row>
    <row r="1060" spans="1:30" x14ac:dyDescent="0.2">
      <c r="A1060" s="232"/>
      <c r="B1060" s="210"/>
      <c r="C1060" s="210"/>
      <c r="D1060" s="210"/>
      <c r="E1060" s="210"/>
      <c r="G1060" s="55"/>
      <c r="H1060" s="56"/>
      <c r="I1060" s="217"/>
      <c r="J1060" s="217"/>
      <c r="K1060" s="217"/>
      <c r="L1060" s="217"/>
      <c r="M1060" s="217"/>
      <c r="N1060" s="217"/>
      <c r="O1060" s="217"/>
      <c r="P1060" s="217"/>
      <c r="Q1060" s="217"/>
      <c r="R1060" s="217"/>
      <c r="S1060" s="217"/>
      <c r="T1060" s="217"/>
      <c r="U1060" s="217"/>
      <c r="V1060" s="217"/>
      <c r="W1060" s="217"/>
      <c r="X1060" s="217"/>
      <c r="Y1060" s="217"/>
      <c r="Z1060" s="217"/>
      <c r="AA1060" s="217"/>
      <c r="AB1060" s="217"/>
      <c r="AC1060" s="217"/>
      <c r="AD1060" s="217"/>
    </row>
    <row r="1061" spans="1:30" x14ac:dyDescent="0.2">
      <c r="A1061" s="232"/>
      <c r="B1061" s="210"/>
      <c r="C1061" s="210"/>
      <c r="D1061" s="210"/>
      <c r="E1061" s="210"/>
      <c r="G1061" s="55"/>
      <c r="H1061" s="56"/>
      <c r="I1061" s="217"/>
      <c r="J1061" s="217"/>
      <c r="K1061" s="217"/>
      <c r="L1061" s="217"/>
      <c r="M1061" s="217"/>
      <c r="N1061" s="217"/>
      <c r="O1061" s="217"/>
      <c r="P1061" s="217"/>
      <c r="Q1061" s="217"/>
      <c r="R1061" s="217"/>
      <c r="S1061" s="217"/>
      <c r="T1061" s="217"/>
      <c r="U1061" s="217"/>
      <c r="V1061" s="217"/>
      <c r="W1061" s="217"/>
      <c r="X1061" s="217"/>
      <c r="Y1061" s="217"/>
      <c r="Z1061" s="217"/>
      <c r="AA1061" s="217"/>
      <c r="AB1061" s="217"/>
      <c r="AC1061" s="217"/>
      <c r="AD1061" s="217"/>
    </row>
    <row r="1062" spans="1:30" x14ac:dyDescent="0.2">
      <c r="A1062" s="232"/>
      <c r="B1062" s="210"/>
      <c r="C1062" s="210"/>
      <c r="D1062" s="210"/>
      <c r="E1062" s="210"/>
      <c r="G1062" s="55"/>
      <c r="H1062" s="56"/>
      <c r="I1062" s="217"/>
      <c r="J1062" s="217"/>
      <c r="K1062" s="217"/>
      <c r="L1062" s="217"/>
      <c r="M1062" s="217"/>
      <c r="N1062" s="217"/>
      <c r="O1062" s="217"/>
      <c r="P1062" s="217"/>
      <c r="Q1062" s="217"/>
      <c r="R1062" s="217"/>
      <c r="S1062" s="217"/>
      <c r="T1062" s="217"/>
      <c r="U1062" s="217"/>
      <c r="V1062" s="217"/>
      <c r="W1062" s="217"/>
      <c r="X1062" s="217"/>
      <c r="Y1062" s="217"/>
      <c r="Z1062" s="217"/>
      <c r="AA1062" s="217"/>
      <c r="AB1062" s="217"/>
      <c r="AC1062" s="217"/>
      <c r="AD1062" s="217"/>
    </row>
    <row r="1063" spans="1:30" x14ac:dyDescent="0.2">
      <c r="A1063" s="232"/>
      <c r="B1063" s="210"/>
      <c r="C1063" s="210"/>
      <c r="D1063" s="210"/>
      <c r="E1063" s="210"/>
      <c r="G1063" s="55"/>
      <c r="H1063" s="56"/>
      <c r="I1063" s="217"/>
      <c r="J1063" s="217"/>
      <c r="K1063" s="217"/>
      <c r="L1063" s="217"/>
      <c r="M1063" s="217"/>
      <c r="N1063" s="217"/>
      <c r="O1063" s="217"/>
      <c r="P1063" s="217"/>
      <c r="Q1063" s="217"/>
      <c r="R1063" s="217"/>
      <c r="S1063" s="217"/>
      <c r="T1063" s="217"/>
      <c r="U1063" s="217"/>
      <c r="V1063" s="217"/>
      <c r="W1063" s="217"/>
      <c r="X1063" s="217"/>
      <c r="Y1063" s="217"/>
      <c r="Z1063" s="217"/>
      <c r="AA1063" s="217"/>
      <c r="AB1063" s="217"/>
      <c r="AC1063" s="217"/>
      <c r="AD1063" s="217"/>
    </row>
    <row r="1064" spans="1:30" x14ac:dyDescent="0.2">
      <c r="A1064" s="232"/>
      <c r="B1064" s="210"/>
      <c r="C1064" s="210"/>
      <c r="D1064" s="210"/>
      <c r="E1064" s="210"/>
      <c r="G1064" s="55"/>
      <c r="H1064" s="56"/>
      <c r="I1064" s="217"/>
      <c r="J1064" s="217"/>
      <c r="K1064" s="217"/>
      <c r="L1064" s="217"/>
      <c r="M1064" s="217"/>
      <c r="N1064" s="217"/>
      <c r="O1064" s="217"/>
      <c r="P1064" s="217"/>
      <c r="Q1064" s="217"/>
      <c r="R1064" s="217"/>
      <c r="S1064" s="217"/>
      <c r="T1064" s="217"/>
      <c r="U1064" s="217"/>
      <c r="V1064" s="217"/>
      <c r="W1064" s="217"/>
      <c r="X1064" s="217"/>
      <c r="Y1064" s="217"/>
      <c r="Z1064" s="217"/>
      <c r="AA1064" s="217"/>
      <c r="AB1064" s="217"/>
      <c r="AC1064" s="217"/>
      <c r="AD1064" s="217"/>
    </row>
    <row r="1065" spans="1:30" x14ac:dyDescent="0.2">
      <c r="A1065" s="232"/>
      <c r="B1065" s="210"/>
      <c r="C1065" s="210"/>
      <c r="D1065" s="210"/>
      <c r="E1065" s="210"/>
      <c r="G1065" s="55"/>
      <c r="H1065" s="56"/>
      <c r="I1065" s="217"/>
      <c r="J1065" s="217"/>
      <c r="K1065" s="217"/>
      <c r="L1065" s="217"/>
      <c r="M1065" s="217"/>
      <c r="N1065" s="217"/>
      <c r="O1065" s="217"/>
      <c r="P1065" s="217"/>
      <c r="Q1065" s="217"/>
      <c r="R1065" s="217"/>
      <c r="S1065" s="217"/>
      <c r="T1065" s="217"/>
      <c r="U1065" s="217"/>
      <c r="V1065" s="217"/>
      <c r="W1065" s="217"/>
      <c r="X1065" s="217"/>
      <c r="Y1065" s="217"/>
      <c r="Z1065" s="217"/>
      <c r="AA1065" s="217"/>
      <c r="AB1065" s="217"/>
      <c r="AC1065" s="217"/>
      <c r="AD1065" s="217"/>
    </row>
    <row r="1066" spans="1:30" x14ac:dyDescent="0.2">
      <c r="A1066" s="232"/>
      <c r="B1066" s="210"/>
      <c r="C1066" s="210"/>
      <c r="D1066" s="210"/>
      <c r="E1066" s="210"/>
      <c r="G1066" s="55"/>
      <c r="H1066" s="56"/>
      <c r="I1066" s="217"/>
      <c r="J1066" s="217"/>
      <c r="K1066" s="217"/>
      <c r="L1066" s="217"/>
      <c r="M1066" s="217"/>
      <c r="N1066" s="217"/>
      <c r="O1066" s="217"/>
      <c r="P1066" s="217"/>
      <c r="Q1066" s="217"/>
      <c r="R1066" s="217"/>
      <c r="S1066" s="217"/>
      <c r="T1066" s="217"/>
      <c r="U1066" s="217"/>
      <c r="V1066" s="217"/>
      <c r="W1066" s="217"/>
      <c r="X1066" s="217"/>
      <c r="Y1066" s="217"/>
      <c r="Z1066" s="217"/>
      <c r="AA1066" s="217"/>
      <c r="AB1066" s="217"/>
      <c r="AC1066" s="217"/>
      <c r="AD1066" s="217"/>
    </row>
    <row r="1067" spans="1:30" x14ac:dyDescent="0.2">
      <c r="A1067" s="232"/>
      <c r="B1067" s="210"/>
      <c r="C1067" s="210"/>
      <c r="D1067" s="210"/>
      <c r="E1067" s="210"/>
      <c r="G1067" s="55"/>
      <c r="H1067" s="56"/>
      <c r="I1067" s="217"/>
      <c r="J1067" s="217"/>
      <c r="K1067" s="217"/>
      <c r="L1067" s="217"/>
      <c r="M1067" s="217"/>
      <c r="N1067" s="217"/>
      <c r="O1067" s="217"/>
      <c r="P1067" s="217"/>
      <c r="Q1067" s="217"/>
      <c r="R1067" s="217"/>
      <c r="S1067" s="217"/>
      <c r="T1067" s="217"/>
      <c r="U1067" s="217"/>
      <c r="V1067" s="217"/>
      <c r="W1067" s="217"/>
      <c r="X1067" s="217"/>
      <c r="Y1067" s="217"/>
      <c r="Z1067" s="217"/>
      <c r="AA1067" s="217"/>
      <c r="AB1067" s="217"/>
      <c r="AC1067" s="217"/>
      <c r="AD1067" s="217"/>
    </row>
    <row r="1068" spans="1:30" x14ac:dyDescent="0.2">
      <c r="A1068" s="232"/>
      <c r="B1068" s="210"/>
      <c r="C1068" s="210"/>
      <c r="D1068" s="210"/>
      <c r="E1068" s="210"/>
      <c r="G1068" s="55"/>
      <c r="H1068" s="56"/>
      <c r="I1068" s="217"/>
      <c r="J1068" s="217"/>
      <c r="K1068" s="217"/>
      <c r="L1068" s="217"/>
      <c r="M1068" s="217"/>
      <c r="N1068" s="217"/>
      <c r="O1068" s="217"/>
      <c r="P1068" s="217"/>
      <c r="Q1068" s="217"/>
      <c r="R1068" s="217"/>
      <c r="S1068" s="217"/>
      <c r="T1068" s="217"/>
      <c r="U1068" s="217"/>
      <c r="V1068" s="217"/>
      <c r="W1068" s="217"/>
      <c r="X1068" s="217"/>
      <c r="Y1068" s="217"/>
      <c r="Z1068" s="217"/>
      <c r="AA1068" s="217"/>
      <c r="AB1068" s="217"/>
      <c r="AC1068" s="217"/>
      <c r="AD1068" s="217"/>
    </row>
    <row r="1069" spans="1:30" x14ac:dyDescent="0.2">
      <c r="A1069" s="232"/>
      <c r="B1069" s="210"/>
      <c r="C1069" s="210"/>
      <c r="D1069" s="210"/>
      <c r="E1069" s="210"/>
      <c r="G1069" s="55"/>
      <c r="H1069" s="56"/>
      <c r="I1069" s="217"/>
      <c r="J1069" s="217"/>
      <c r="K1069" s="217"/>
      <c r="L1069" s="217"/>
      <c r="M1069" s="217"/>
      <c r="N1069" s="217"/>
      <c r="O1069" s="217"/>
      <c r="P1069" s="217"/>
      <c r="Q1069" s="217"/>
      <c r="R1069" s="217"/>
      <c r="S1069" s="217"/>
      <c r="T1069" s="217"/>
      <c r="U1069" s="217"/>
      <c r="V1069" s="217"/>
      <c r="W1069" s="217"/>
      <c r="X1069" s="217"/>
      <c r="Y1069" s="217"/>
      <c r="Z1069" s="217"/>
      <c r="AA1069" s="217"/>
      <c r="AB1069" s="217"/>
      <c r="AC1069" s="217"/>
      <c r="AD1069" s="217"/>
    </row>
    <row r="1070" spans="1:30" x14ac:dyDescent="0.2">
      <c r="A1070" s="232"/>
      <c r="B1070" s="210"/>
      <c r="C1070" s="210"/>
      <c r="D1070" s="210"/>
      <c r="E1070" s="210"/>
      <c r="G1070" s="55"/>
      <c r="H1070" s="56"/>
      <c r="I1070" s="217"/>
      <c r="J1070" s="217"/>
      <c r="K1070" s="217"/>
      <c r="L1070" s="217"/>
      <c r="M1070" s="217"/>
      <c r="N1070" s="217"/>
      <c r="O1070" s="217"/>
      <c r="P1070" s="217"/>
      <c r="Q1070" s="217"/>
      <c r="R1070" s="217"/>
      <c r="S1070" s="217"/>
      <c r="T1070" s="217"/>
      <c r="U1070" s="217"/>
      <c r="V1070" s="217"/>
      <c r="W1070" s="217"/>
      <c r="X1070" s="217"/>
      <c r="Y1070" s="217"/>
      <c r="Z1070" s="217"/>
      <c r="AA1070" s="217"/>
      <c r="AB1070" s="217"/>
      <c r="AC1070" s="217"/>
      <c r="AD1070" s="217"/>
    </row>
    <row r="1071" spans="1:30" x14ac:dyDescent="0.2">
      <c r="A1071" s="232"/>
      <c r="B1071" s="210"/>
      <c r="C1071" s="210"/>
      <c r="D1071" s="210"/>
      <c r="E1071" s="210"/>
      <c r="G1071" s="55"/>
      <c r="H1071" s="56"/>
      <c r="I1071" s="217"/>
      <c r="J1071" s="217"/>
      <c r="K1071" s="217"/>
      <c r="L1071" s="217"/>
      <c r="M1071" s="217"/>
      <c r="N1071" s="217"/>
      <c r="O1071" s="217"/>
      <c r="P1071" s="217"/>
      <c r="Q1071" s="217"/>
      <c r="R1071" s="217"/>
      <c r="S1071" s="217"/>
      <c r="T1071" s="217"/>
      <c r="U1071" s="217"/>
      <c r="V1071" s="217"/>
      <c r="W1071" s="217"/>
      <c r="X1071" s="217"/>
      <c r="Y1071" s="217"/>
      <c r="Z1071" s="217"/>
      <c r="AA1071" s="217"/>
      <c r="AB1071" s="217"/>
      <c r="AC1071" s="217"/>
      <c r="AD1071" s="217"/>
    </row>
    <row r="1072" spans="1:30" x14ac:dyDescent="0.2">
      <c r="A1072" s="232"/>
      <c r="B1072" s="210"/>
      <c r="C1072" s="210"/>
      <c r="D1072" s="210"/>
      <c r="E1072" s="210"/>
      <c r="G1072" s="55"/>
      <c r="H1072" s="56"/>
      <c r="I1072" s="217"/>
      <c r="J1072" s="217"/>
      <c r="K1072" s="217"/>
      <c r="L1072" s="217"/>
      <c r="M1072" s="217"/>
      <c r="N1072" s="217"/>
      <c r="O1072" s="217"/>
      <c r="P1072" s="217"/>
      <c r="Q1072" s="217"/>
      <c r="R1072" s="217"/>
      <c r="S1072" s="217"/>
      <c r="T1072" s="217"/>
      <c r="U1072" s="217"/>
      <c r="V1072" s="217"/>
      <c r="W1072" s="217"/>
      <c r="X1072" s="217"/>
      <c r="Y1072" s="217"/>
      <c r="Z1072" s="217"/>
      <c r="AA1072" s="217"/>
      <c r="AB1072" s="217"/>
      <c r="AC1072" s="217"/>
      <c r="AD1072" s="217"/>
    </row>
    <row r="1073" spans="1:30" x14ac:dyDescent="0.2">
      <c r="A1073" s="232"/>
      <c r="B1073" s="210"/>
      <c r="C1073" s="210"/>
      <c r="D1073" s="210"/>
      <c r="E1073" s="210"/>
      <c r="G1073" s="55"/>
      <c r="H1073" s="56"/>
      <c r="I1073" s="217"/>
      <c r="J1073" s="217"/>
      <c r="K1073" s="217"/>
      <c r="L1073" s="217"/>
      <c r="M1073" s="217"/>
      <c r="N1073" s="217"/>
      <c r="O1073" s="217"/>
      <c r="P1073" s="217"/>
      <c r="Q1073" s="217"/>
      <c r="R1073" s="217"/>
      <c r="S1073" s="217"/>
      <c r="T1073" s="217"/>
      <c r="U1073" s="217"/>
      <c r="V1073" s="217"/>
      <c r="W1073" s="217"/>
      <c r="X1073" s="217"/>
      <c r="Y1073" s="217"/>
      <c r="Z1073" s="217"/>
      <c r="AA1073" s="217"/>
      <c r="AB1073" s="217"/>
      <c r="AC1073" s="217"/>
      <c r="AD1073" s="217"/>
    </row>
    <row r="1074" spans="1:30" x14ac:dyDescent="0.2">
      <c r="A1074" s="232"/>
      <c r="B1074" s="210"/>
      <c r="C1074" s="210"/>
      <c r="D1074" s="210"/>
      <c r="E1074" s="210"/>
      <c r="G1074" s="55"/>
      <c r="H1074" s="56"/>
      <c r="I1074" s="217"/>
      <c r="J1074" s="217"/>
      <c r="K1074" s="217"/>
      <c r="L1074" s="217"/>
      <c r="M1074" s="217"/>
      <c r="N1074" s="217"/>
      <c r="O1074" s="217"/>
      <c r="P1074" s="217"/>
      <c r="Q1074" s="217"/>
      <c r="R1074" s="217"/>
      <c r="S1074" s="217"/>
      <c r="T1074" s="217"/>
      <c r="U1074" s="217"/>
      <c r="V1074" s="217"/>
      <c r="W1074" s="217"/>
      <c r="X1074" s="217"/>
      <c r="Y1074" s="217"/>
      <c r="Z1074" s="217"/>
      <c r="AA1074" s="217"/>
      <c r="AB1074" s="217"/>
      <c r="AC1074" s="217"/>
      <c r="AD1074" s="217"/>
    </row>
    <row r="1075" spans="1:30" x14ac:dyDescent="0.2">
      <c r="A1075" s="232"/>
      <c r="B1075" s="210"/>
      <c r="C1075" s="210"/>
      <c r="D1075" s="210"/>
      <c r="E1075" s="210"/>
      <c r="G1075" s="55"/>
      <c r="H1075" s="56"/>
      <c r="I1075" s="217"/>
      <c r="J1075" s="217"/>
      <c r="K1075" s="217"/>
      <c r="L1075" s="217"/>
      <c r="M1075" s="217"/>
      <c r="N1075" s="217"/>
      <c r="O1075" s="217"/>
      <c r="P1075" s="217"/>
      <c r="Q1075" s="217"/>
      <c r="R1075" s="217"/>
      <c r="S1075" s="217"/>
      <c r="T1075" s="217"/>
      <c r="U1075" s="217"/>
      <c r="V1075" s="217"/>
      <c r="W1075" s="217"/>
      <c r="X1075" s="217"/>
      <c r="Y1075" s="217"/>
      <c r="Z1075" s="217"/>
      <c r="AA1075" s="217"/>
      <c r="AB1075" s="217"/>
      <c r="AC1075" s="217"/>
      <c r="AD1075" s="217"/>
    </row>
    <row r="1076" spans="1:30" x14ac:dyDescent="0.2">
      <c r="A1076" s="232"/>
      <c r="B1076" s="210"/>
      <c r="C1076" s="210"/>
      <c r="D1076" s="210"/>
      <c r="E1076" s="210"/>
      <c r="G1076" s="55"/>
      <c r="H1076" s="56"/>
      <c r="I1076" s="217"/>
      <c r="J1076" s="217"/>
      <c r="K1076" s="217"/>
      <c r="L1076" s="217"/>
      <c r="M1076" s="217"/>
      <c r="N1076" s="217"/>
      <c r="O1076" s="217"/>
      <c r="P1076" s="217"/>
      <c r="Q1076" s="217"/>
      <c r="R1076" s="217"/>
      <c r="S1076" s="217"/>
      <c r="T1076" s="217"/>
      <c r="U1076" s="217"/>
      <c r="V1076" s="217"/>
      <c r="W1076" s="217"/>
      <c r="X1076" s="217"/>
      <c r="Y1076" s="217"/>
      <c r="Z1076" s="217"/>
      <c r="AA1076" s="217"/>
      <c r="AB1076" s="217"/>
      <c r="AC1076" s="217"/>
      <c r="AD1076" s="217"/>
    </row>
    <row r="1077" spans="1:30" x14ac:dyDescent="0.2">
      <c r="A1077" s="232"/>
      <c r="B1077" s="210"/>
      <c r="C1077" s="210"/>
      <c r="D1077" s="210"/>
      <c r="E1077" s="210"/>
      <c r="G1077" s="55"/>
      <c r="H1077" s="56"/>
      <c r="I1077" s="217"/>
      <c r="J1077" s="217"/>
      <c r="K1077" s="217"/>
      <c r="L1077" s="217"/>
      <c r="M1077" s="217"/>
      <c r="N1077" s="217"/>
      <c r="O1077" s="217"/>
      <c r="P1077" s="217"/>
      <c r="Q1077" s="217"/>
      <c r="R1077" s="217"/>
      <c r="S1077" s="217"/>
      <c r="T1077" s="217"/>
      <c r="U1077" s="217"/>
      <c r="V1077" s="217"/>
      <c r="W1077" s="217"/>
      <c r="X1077" s="217"/>
      <c r="Y1077" s="217"/>
      <c r="Z1077" s="217"/>
      <c r="AA1077" s="217"/>
      <c r="AB1077" s="217"/>
      <c r="AC1077" s="217"/>
      <c r="AD1077" s="217"/>
    </row>
    <row r="1078" spans="1:30" x14ac:dyDescent="0.2">
      <c r="A1078" s="232"/>
      <c r="B1078" s="210"/>
      <c r="C1078" s="210"/>
      <c r="D1078" s="210"/>
      <c r="E1078" s="210"/>
      <c r="G1078" s="55"/>
      <c r="H1078" s="56"/>
      <c r="I1078" s="217"/>
      <c r="J1078" s="217"/>
      <c r="K1078" s="217"/>
      <c r="L1078" s="217"/>
      <c r="M1078" s="217"/>
      <c r="N1078" s="217"/>
      <c r="O1078" s="217"/>
      <c r="P1078" s="217"/>
      <c r="Q1078" s="217"/>
      <c r="R1078" s="217"/>
      <c r="S1078" s="217"/>
      <c r="T1078" s="217"/>
      <c r="U1078" s="217"/>
      <c r="V1078" s="217"/>
      <c r="W1078" s="217"/>
      <c r="X1078" s="217"/>
      <c r="Y1078" s="217"/>
      <c r="Z1078" s="217"/>
      <c r="AA1078" s="217"/>
      <c r="AB1078" s="217"/>
      <c r="AC1078" s="217"/>
      <c r="AD1078" s="217"/>
    </row>
    <row r="1079" spans="1:30" x14ac:dyDescent="0.2">
      <c r="A1079" s="232"/>
      <c r="B1079" s="210"/>
      <c r="C1079" s="210"/>
      <c r="D1079" s="210"/>
      <c r="E1079" s="210"/>
      <c r="G1079" s="55"/>
      <c r="H1079" s="56"/>
      <c r="I1079" s="217"/>
      <c r="J1079" s="217"/>
      <c r="K1079" s="217"/>
      <c r="L1079" s="217"/>
      <c r="M1079" s="217"/>
      <c r="N1079" s="217"/>
      <c r="O1079" s="217"/>
      <c r="P1079" s="217"/>
      <c r="Q1079" s="217"/>
      <c r="R1079" s="217"/>
      <c r="S1079" s="217"/>
      <c r="T1079" s="217"/>
      <c r="U1079" s="217"/>
      <c r="V1079" s="217"/>
      <c r="W1079" s="217"/>
      <c r="X1079" s="217"/>
      <c r="Y1079" s="217"/>
      <c r="Z1079" s="217"/>
      <c r="AA1079" s="217"/>
      <c r="AB1079" s="217"/>
      <c r="AC1079" s="217"/>
      <c r="AD1079" s="217"/>
    </row>
    <row r="1080" spans="1:30" x14ac:dyDescent="0.2">
      <c r="A1080" s="232"/>
      <c r="B1080" s="210"/>
      <c r="C1080" s="210"/>
      <c r="D1080" s="210"/>
      <c r="E1080" s="210"/>
      <c r="G1080" s="55"/>
      <c r="H1080" s="56"/>
      <c r="I1080" s="217"/>
      <c r="J1080" s="217"/>
      <c r="K1080" s="217"/>
      <c r="L1080" s="217"/>
      <c r="M1080" s="217"/>
      <c r="N1080" s="217"/>
      <c r="O1080" s="217"/>
      <c r="P1080" s="217"/>
      <c r="Q1080" s="217"/>
      <c r="R1080" s="217"/>
      <c r="S1080" s="217"/>
      <c r="T1080" s="217"/>
      <c r="U1080" s="217"/>
      <c r="V1080" s="217"/>
      <c r="W1080" s="217"/>
      <c r="X1080" s="217"/>
      <c r="Y1080" s="217"/>
      <c r="Z1080" s="217"/>
      <c r="AA1080" s="217"/>
      <c r="AB1080" s="217"/>
      <c r="AC1080" s="217"/>
      <c r="AD1080" s="217"/>
    </row>
    <row r="1081" spans="1:30" x14ac:dyDescent="0.2">
      <c r="A1081" s="232"/>
      <c r="B1081" s="210"/>
      <c r="C1081" s="210"/>
      <c r="D1081" s="210"/>
      <c r="E1081" s="210"/>
      <c r="G1081" s="55"/>
      <c r="H1081" s="56"/>
      <c r="I1081" s="217"/>
      <c r="J1081" s="217"/>
      <c r="K1081" s="217"/>
      <c r="L1081" s="217"/>
      <c r="M1081" s="217"/>
      <c r="N1081" s="217"/>
      <c r="O1081" s="217"/>
      <c r="P1081" s="217"/>
      <c r="Q1081" s="217"/>
      <c r="R1081" s="217"/>
      <c r="S1081" s="217"/>
      <c r="T1081" s="217"/>
      <c r="U1081" s="217"/>
      <c r="V1081" s="217"/>
      <c r="W1081" s="217"/>
      <c r="X1081" s="217"/>
      <c r="Y1081" s="217"/>
      <c r="Z1081" s="217"/>
      <c r="AA1081" s="217"/>
      <c r="AB1081" s="217"/>
      <c r="AC1081" s="217"/>
      <c r="AD1081" s="217"/>
    </row>
    <row r="1082" spans="1:30" x14ac:dyDescent="0.2">
      <c r="A1082" s="232"/>
      <c r="B1082" s="210"/>
      <c r="C1082" s="210"/>
      <c r="D1082" s="210"/>
      <c r="E1082" s="210"/>
      <c r="G1082" s="55"/>
      <c r="H1082" s="56"/>
      <c r="I1082" s="217"/>
      <c r="J1082" s="217"/>
      <c r="K1082" s="217"/>
      <c r="L1082" s="217"/>
      <c r="M1082" s="217"/>
      <c r="N1082" s="217"/>
      <c r="O1082" s="217"/>
      <c r="P1082" s="217"/>
      <c r="Q1082" s="217"/>
      <c r="R1082" s="217"/>
      <c r="S1082" s="217"/>
      <c r="T1082" s="217"/>
      <c r="U1082" s="217"/>
      <c r="V1082" s="217"/>
      <c r="W1082" s="217"/>
      <c r="X1082" s="217"/>
      <c r="Y1082" s="217"/>
      <c r="Z1082" s="217"/>
      <c r="AA1082" s="217"/>
      <c r="AB1082" s="217"/>
      <c r="AC1082" s="217"/>
      <c r="AD1082" s="217"/>
    </row>
    <row r="1083" spans="1:30" x14ac:dyDescent="0.2">
      <c r="A1083" s="232"/>
      <c r="B1083" s="210"/>
      <c r="C1083" s="210"/>
      <c r="D1083" s="210"/>
      <c r="E1083" s="210"/>
      <c r="G1083" s="55"/>
      <c r="H1083" s="56"/>
      <c r="I1083" s="217"/>
      <c r="J1083" s="217"/>
      <c r="K1083" s="217"/>
      <c r="L1083" s="217"/>
      <c r="M1083" s="217"/>
      <c r="N1083" s="217"/>
      <c r="O1083" s="217"/>
      <c r="P1083" s="217"/>
      <c r="Q1083" s="217"/>
      <c r="R1083" s="217"/>
      <c r="S1083" s="217"/>
      <c r="T1083" s="217"/>
      <c r="U1083" s="217"/>
      <c r="V1083" s="217"/>
      <c r="W1083" s="217"/>
      <c r="X1083" s="217"/>
      <c r="Y1083" s="217"/>
      <c r="Z1083" s="217"/>
      <c r="AA1083" s="217"/>
      <c r="AB1083" s="217"/>
      <c r="AC1083" s="217"/>
      <c r="AD1083" s="217"/>
    </row>
    <row r="1084" spans="1:30" x14ac:dyDescent="0.2">
      <c r="A1084" s="232"/>
      <c r="B1084" s="210"/>
      <c r="C1084" s="210"/>
      <c r="D1084" s="210"/>
      <c r="E1084" s="210"/>
      <c r="G1084" s="55"/>
      <c r="H1084" s="56"/>
      <c r="I1084" s="217"/>
      <c r="J1084" s="217"/>
      <c r="K1084" s="217"/>
      <c r="L1084" s="217"/>
      <c r="M1084" s="217"/>
      <c r="N1084" s="217"/>
      <c r="O1084" s="217"/>
      <c r="P1084" s="217"/>
      <c r="Q1084" s="217"/>
      <c r="R1084" s="217"/>
      <c r="S1084" s="217"/>
      <c r="T1084" s="217"/>
      <c r="U1084" s="217"/>
      <c r="V1084" s="217"/>
      <c r="W1084" s="217"/>
      <c r="X1084" s="217"/>
      <c r="Y1084" s="217"/>
      <c r="Z1084" s="217"/>
      <c r="AA1084" s="217"/>
      <c r="AB1084" s="217"/>
      <c r="AC1084" s="217"/>
      <c r="AD1084" s="217"/>
    </row>
    <row r="1085" spans="1:30" x14ac:dyDescent="0.2">
      <c r="A1085" s="232"/>
      <c r="B1085" s="210"/>
      <c r="C1085" s="210"/>
      <c r="D1085" s="210"/>
      <c r="E1085" s="210"/>
      <c r="G1085" s="55"/>
      <c r="H1085" s="56"/>
      <c r="I1085" s="217"/>
      <c r="J1085" s="217"/>
      <c r="K1085" s="217"/>
      <c r="L1085" s="217"/>
      <c r="M1085" s="217"/>
      <c r="N1085" s="217"/>
      <c r="O1085" s="217"/>
      <c r="P1085" s="217"/>
      <c r="Q1085" s="217"/>
      <c r="R1085" s="217"/>
      <c r="S1085" s="217"/>
      <c r="T1085" s="217"/>
      <c r="U1085" s="217"/>
      <c r="V1085" s="217"/>
      <c r="W1085" s="217"/>
      <c r="X1085" s="217"/>
      <c r="Y1085" s="217"/>
      <c r="Z1085" s="217"/>
      <c r="AA1085" s="217"/>
      <c r="AB1085" s="217"/>
      <c r="AC1085" s="217"/>
      <c r="AD1085" s="217"/>
    </row>
    <row r="1086" spans="1:30" x14ac:dyDescent="0.2">
      <c r="A1086" s="232"/>
      <c r="B1086" s="210"/>
      <c r="C1086" s="210"/>
      <c r="D1086" s="210"/>
      <c r="E1086" s="210"/>
      <c r="G1086" s="55"/>
      <c r="H1086" s="56"/>
      <c r="I1086" s="217"/>
      <c r="J1086" s="217"/>
      <c r="K1086" s="217"/>
      <c r="L1086" s="217"/>
      <c r="M1086" s="217"/>
      <c r="N1086" s="217"/>
      <c r="O1086" s="217"/>
      <c r="P1086" s="217"/>
      <c r="Q1086" s="217"/>
      <c r="R1086" s="217"/>
      <c r="S1086" s="217"/>
      <c r="T1086" s="217"/>
      <c r="U1086" s="217"/>
      <c r="V1086" s="217"/>
      <c r="W1086" s="217"/>
      <c r="X1086" s="217"/>
      <c r="Y1086" s="217"/>
      <c r="Z1086" s="217"/>
      <c r="AA1086" s="217"/>
      <c r="AB1086" s="217"/>
      <c r="AC1086" s="217"/>
      <c r="AD1086" s="217"/>
    </row>
    <row r="1087" spans="1:30" x14ac:dyDescent="0.2">
      <c r="A1087" s="232"/>
      <c r="B1087" s="210"/>
      <c r="C1087" s="210"/>
      <c r="D1087" s="210"/>
      <c r="E1087" s="210"/>
      <c r="G1087" s="55"/>
      <c r="H1087" s="56"/>
      <c r="I1087" s="217"/>
      <c r="J1087" s="217"/>
      <c r="K1087" s="217"/>
      <c r="L1087" s="217"/>
      <c r="M1087" s="217"/>
      <c r="N1087" s="217"/>
      <c r="O1087" s="217"/>
      <c r="P1087" s="217"/>
      <c r="Q1087" s="217"/>
      <c r="R1087" s="217"/>
      <c r="S1087" s="217"/>
      <c r="T1087" s="217"/>
      <c r="U1087" s="217"/>
      <c r="V1087" s="217"/>
      <c r="W1087" s="217"/>
      <c r="X1087" s="217"/>
      <c r="Y1087" s="217"/>
      <c r="Z1087" s="217"/>
      <c r="AA1087" s="217"/>
      <c r="AB1087" s="217"/>
      <c r="AC1087" s="217"/>
      <c r="AD1087" s="217"/>
    </row>
    <row r="1088" spans="1:30" x14ac:dyDescent="0.2">
      <c r="A1088" s="232"/>
      <c r="B1088" s="210"/>
      <c r="C1088" s="210"/>
      <c r="D1088" s="210"/>
      <c r="E1088" s="210"/>
      <c r="G1088" s="55"/>
      <c r="H1088" s="56"/>
      <c r="I1088" s="217"/>
      <c r="J1088" s="217"/>
      <c r="K1088" s="217"/>
      <c r="L1088" s="217"/>
      <c r="M1088" s="217"/>
      <c r="N1088" s="217"/>
      <c r="O1088" s="217"/>
      <c r="P1088" s="217"/>
      <c r="Q1088" s="217"/>
      <c r="R1088" s="217"/>
      <c r="S1088" s="217"/>
      <c r="T1088" s="217"/>
      <c r="U1088" s="217"/>
      <c r="V1088" s="217"/>
      <c r="W1088" s="217"/>
      <c r="X1088" s="217"/>
      <c r="Y1088" s="217"/>
      <c r="Z1088" s="217"/>
      <c r="AA1088" s="217"/>
      <c r="AB1088" s="217"/>
      <c r="AC1088" s="217"/>
      <c r="AD1088" s="217"/>
    </row>
    <row r="1089" spans="1:30" x14ac:dyDescent="0.2">
      <c r="A1089" s="232"/>
      <c r="B1089" s="210"/>
      <c r="C1089" s="210"/>
      <c r="D1089" s="210"/>
      <c r="E1089" s="210"/>
      <c r="G1089" s="55"/>
      <c r="H1089" s="56"/>
      <c r="I1089" s="217"/>
      <c r="J1089" s="217"/>
      <c r="K1089" s="217"/>
      <c r="L1089" s="217"/>
      <c r="M1089" s="217"/>
      <c r="N1089" s="217"/>
      <c r="O1089" s="217"/>
      <c r="P1089" s="217"/>
      <c r="Q1089" s="217"/>
      <c r="R1089" s="217"/>
      <c r="S1089" s="217"/>
      <c r="T1089" s="217"/>
      <c r="U1089" s="217"/>
      <c r="V1089" s="217"/>
      <c r="W1089" s="217"/>
      <c r="X1089" s="217"/>
      <c r="Y1089" s="217"/>
      <c r="Z1089" s="217"/>
      <c r="AA1089" s="217"/>
      <c r="AB1089" s="217"/>
      <c r="AC1089" s="217"/>
      <c r="AD1089" s="217"/>
    </row>
    <row r="1090" spans="1:30" x14ac:dyDescent="0.2">
      <c r="A1090" s="232"/>
      <c r="B1090" s="210"/>
      <c r="C1090" s="210"/>
      <c r="D1090" s="210"/>
      <c r="E1090" s="210"/>
      <c r="G1090" s="55"/>
      <c r="H1090" s="56"/>
      <c r="I1090" s="217"/>
      <c r="J1090" s="217"/>
      <c r="K1090" s="217"/>
      <c r="L1090" s="217"/>
      <c r="M1090" s="217"/>
      <c r="N1090" s="217"/>
      <c r="O1090" s="217"/>
      <c r="P1090" s="217"/>
      <c r="Q1090" s="217"/>
      <c r="R1090" s="217"/>
      <c r="S1090" s="217"/>
      <c r="T1090" s="217"/>
      <c r="U1090" s="217"/>
      <c r="V1090" s="217"/>
      <c r="W1090" s="217"/>
      <c r="X1090" s="217"/>
      <c r="Y1090" s="217"/>
      <c r="Z1090" s="217"/>
      <c r="AA1090" s="217"/>
      <c r="AB1090" s="217"/>
      <c r="AC1090" s="217"/>
      <c r="AD1090" s="217"/>
    </row>
    <row r="1091" spans="1:30" x14ac:dyDescent="0.2">
      <c r="A1091" s="232"/>
      <c r="B1091" s="210"/>
      <c r="C1091" s="210"/>
      <c r="D1091" s="210"/>
      <c r="E1091" s="210"/>
      <c r="G1091" s="55"/>
      <c r="H1091" s="56"/>
      <c r="I1091" s="217"/>
      <c r="J1091" s="217"/>
      <c r="K1091" s="217"/>
      <c r="L1091" s="217"/>
      <c r="M1091" s="217"/>
      <c r="N1091" s="217"/>
      <c r="O1091" s="217"/>
      <c r="P1091" s="217"/>
      <c r="Q1091" s="217"/>
      <c r="R1091" s="217"/>
      <c r="S1091" s="217"/>
      <c r="T1091" s="217"/>
      <c r="U1091" s="217"/>
      <c r="V1091" s="217"/>
      <c r="W1091" s="217"/>
      <c r="X1091" s="217"/>
      <c r="Y1091" s="217"/>
      <c r="Z1091" s="217"/>
      <c r="AA1091" s="217"/>
      <c r="AB1091" s="217"/>
      <c r="AC1091" s="217"/>
      <c r="AD1091" s="217"/>
    </row>
    <row r="1092" spans="1:30" x14ac:dyDescent="0.2">
      <c r="A1092" s="232"/>
      <c r="B1092" s="210"/>
      <c r="C1092" s="210"/>
      <c r="D1092" s="210"/>
      <c r="E1092" s="210"/>
      <c r="G1092" s="55"/>
      <c r="H1092" s="56"/>
      <c r="I1092" s="217"/>
      <c r="J1092" s="217"/>
      <c r="K1092" s="217"/>
      <c r="L1092" s="217"/>
      <c r="M1092" s="217"/>
      <c r="N1092" s="217"/>
      <c r="O1092" s="217"/>
      <c r="P1092" s="217"/>
      <c r="Q1092" s="217"/>
      <c r="R1092" s="217"/>
      <c r="S1092" s="217"/>
      <c r="T1092" s="217"/>
      <c r="U1092" s="217"/>
      <c r="V1092" s="217"/>
      <c r="W1092" s="217"/>
      <c r="X1092" s="217"/>
      <c r="Y1092" s="217"/>
      <c r="Z1092" s="217"/>
      <c r="AA1092" s="217"/>
      <c r="AB1092" s="217"/>
      <c r="AC1092" s="217"/>
      <c r="AD1092" s="217"/>
    </row>
    <row r="1093" spans="1:30" x14ac:dyDescent="0.2">
      <c r="A1093" s="232"/>
      <c r="B1093" s="210"/>
      <c r="C1093" s="210"/>
      <c r="D1093" s="210"/>
      <c r="E1093" s="210"/>
      <c r="G1093" s="55"/>
      <c r="H1093" s="56"/>
      <c r="I1093" s="217"/>
      <c r="J1093" s="217"/>
      <c r="K1093" s="217"/>
      <c r="L1093" s="217"/>
      <c r="M1093" s="217"/>
      <c r="N1093" s="217"/>
      <c r="O1093" s="217"/>
      <c r="P1093" s="217"/>
      <c r="Q1093" s="217"/>
      <c r="R1093" s="217"/>
      <c r="S1093" s="217"/>
      <c r="T1093" s="217"/>
      <c r="U1093" s="217"/>
      <c r="V1093" s="217"/>
      <c r="W1093" s="217"/>
      <c r="X1093" s="217"/>
      <c r="Y1093" s="217"/>
      <c r="Z1093" s="217"/>
      <c r="AA1093" s="217"/>
      <c r="AB1093" s="217"/>
      <c r="AC1093" s="217"/>
      <c r="AD1093" s="217"/>
    </row>
    <row r="1094" spans="1:30" x14ac:dyDescent="0.2">
      <c r="A1094" s="232"/>
      <c r="B1094" s="210"/>
      <c r="C1094" s="210"/>
      <c r="D1094" s="210"/>
      <c r="E1094" s="210"/>
      <c r="G1094" s="55"/>
      <c r="H1094" s="56"/>
      <c r="I1094" s="217"/>
      <c r="J1094" s="217"/>
      <c r="K1094" s="217"/>
      <c r="L1094" s="217"/>
      <c r="M1094" s="217"/>
      <c r="N1094" s="217"/>
      <c r="O1094" s="217"/>
      <c r="P1094" s="217"/>
      <c r="Q1094" s="217"/>
      <c r="R1094" s="217"/>
      <c r="S1094" s="217"/>
      <c r="T1094" s="217"/>
      <c r="U1094" s="217"/>
      <c r="V1094" s="217"/>
      <c r="W1094" s="217"/>
      <c r="X1094" s="217"/>
      <c r="Y1094" s="217"/>
      <c r="Z1094" s="217"/>
      <c r="AA1094" s="217"/>
      <c r="AB1094" s="217"/>
      <c r="AC1094" s="217"/>
      <c r="AD1094" s="217"/>
    </row>
    <row r="1095" spans="1:30" x14ac:dyDescent="0.2">
      <c r="A1095" s="232"/>
      <c r="B1095" s="210"/>
      <c r="C1095" s="210"/>
      <c r="D1095" s="210"/>
      <c r="E1095" s="210"/>
      <c r="G1095" s="55"/>
      <c r="H1095" s="56"/>
      <c r="I1095" s="217"/>
      <c r="J1095" s="217"/>
      <c r="K1095" s="217"/>
      <c r="L1095" s="217"/>
      <c r="M1095" s="217"/>
      <c r="N1095" s="217"/>
      <c r="O1095" s="217"/>
      <c r="P1095" s="217"/>
      <c r="Q1095" s="217"/>
      <c r="R1095" s="217"/>
      <c r="S1095" s="217"/>
      <c r="T1095" s="217"/>
      <c r="U1095" s="217"/>
      <c r="V1095" s="217"/>
      <c r="W1095" s="217"/>
      <c r="X1095" s="217"/>
      <c r="Y1095" s="217"/>
      <c r="Z1095" s="217"/>
      <c r="AA1095" s="217"/>
      <c r="AB1095" s="217"/>
      <c r="AC1095" s="217"/>
      <c r="AD1095" s="217"/>
    </row>
    <row r="1096" spans="1:30" x14ac:dyDescent="0.2">
      <c r="A1096" s="232"/>
      <c r="B1096" s="210"/>
      <c r="C1096" s="210"/>
      <c r="D1096" s="210"/>
      <c r="E1096" s="210"/>
      <c r="G1096" s="55"/>
      <c r="H1096" s="56"/>
      <c r="I1096" s="217"/>
      <c r="J1096" s="217"/>
      <c r="K1096" s="217"/>
      <c r="L1096" s="217"/>
      <c r="M1096" s="217"/>
      <c r="N1096" s="217"/>
      <c r="O1096" s="217"/>
      <c r="P1096" s="217"/>
      <c r="Q1096" s="217"/>
      <c r="R1096" s="217"/>
      <c r="S1096" s="217"/>
      <c r="T1096" s="217"/>
      <c r="U1096" s="217"/>
      <c r="V1096" s="217"/>
      <c r="W1096" s="217"/>
      <c r="X1096" s="217"/>
      <c r="Y1096" s="217"/>
      <c r="Z1096" s="217"/>
      <c r="AA1096" s="217"/>
      <c r="AB1096" s="217"/>
      <c r="AC1096" s="217"/>
      <c r="AD1096" s="217"/>
    </row>
    <row r="1097" spans="1:30" x14ac:dyDescent="0.2">
      <c r="A1097" s="232"/>
      <c r="B1097" s="210"/>
      <c r="C1097" s="210"/>
      <c r="D1097" s="210"/>
      <c r="E1097" s="210"/>
      <c r="G1097" s="55"/>
      <c r="H1097" s="56"/>
      <c r="I1097" s="217"/>
      <c r="J1097" s="217"/>
      <c r="K1097" s="217"/>
      <c r="L1097" s="217"/>
      <c r="M1097" s="217"/>
      <c r="N1097" s="217"/>
      <c r="O1097" s="217"/>
      <c r="P1097" s="217"/>
      <c r="Q1097" s="217"/>
      <c r="R1097" s="217"/>
      <c r="S1097" s="217"/>
      <c r="T1097" s="217"/>
      <c r="U1097" s="217"/>
      <c r="V1097" s="217"/>
      <c r="W1097" s="217"/>
      <c r="X1097" s="217"/>
      <c r="Y1097" s="217"/>
      <c r="Z1097" s="217"/>
      <c r="AA1097" s="217"/>
      <c r="AB1097" s="217"/>
      <c r="AC1097" s="217"/>
      <c r="AD1097" s="217"/>
    </row>
    <row r="1098" spans="1:30" x14ac:dyDescent="0.2">
      <c r="A1098" s="232"/>
      <c r="B1098" s="210"/>
      <c r="C1098" s="210"/>
      <c r="D1098" s="210"/>
      <c r="E1098" s="210"/>
      <c r="G1098" s="55"/>
      <c r="H1098" s="56"/>
      <c r="I1098" s="217"/>
      <c r="J1098" s="217"/>
      <c r="K1098" s="217"/>
      <c r="L1098" s="217"/>
      <c r="M1098" s="217"/>
      <c r="N1098" s="217"/>
      <c r="O1098" s="217"/>
      <c r="P1098" s="217"/>
      <c r="Q1098" s="217"/>
      <c r="R1098" s="217"/>
      <c r="S1098" s="217"/>
      <c r="T1098" s="217"/>
      <c r="U1098" s="217"/>
      <c r="V1098" s="217"/>
      <c r="W1098" s="217"/>
      <c r="X1098" s="217"/>
      <c r="Y1098" s="217"/>
      <c r="Z1098" s="217"/>
      <c r="AA1098" s="217"/>
      <c r="AB1098" s="217"/>
      <c r="AC1098" s="217"/>
      <c r="AD1098" s="217"/>
    </row>
    <row r="1099" spans="1:30" x14ac:dyDescent="0.2">
      <c r="A1099" s="232"/>
      <c r="B1099" s="210"/>
      <c r="C1099" s="210"/>
      <c r="D1099" s="210"/>
      <c r="E1099" s="210"/>
      <c r="G1099" s="55"/>
      <c r="H1099" s="56"/>
      <c r="I1099" s="217"/>
      <c r="J1099" s="217"/>
      <c r="K1099" s="217"/>
      <c r="L1099" s="217"/>
      <c r="M1099" s="217"/>
      <c r="N1099" s="217"/>
      <c r="O1099" s="217"/>
      <c r="P1099" s="217"/>
      <c r="Q1099" s="217"/>
      <c r="R1099" s="217"/>
      <c r="S1099" s="217"/>
      <c r="T1099" s="217"/>
      <c r="U1099" s="217"/>
      <c r="V1099" s="217"/>
      <c r="W1099" s="217"/>
      <c r="X1099" s="217"/>
      <c r="Y1099" s="217"/>
      <c r="Z1099" s="217"/>
      <c r="AA1099" s="217"/>
      <c r="AB1099" s="217"/>
      <c r="AC1099" s="217"/>
      <c r="AD1099" s="217"/>
    </row>
    <row r="1100" spans="1:30" x14ac:dyDescent="0.2">
      <c r="A1100" s="232"/>
      <c r="B1100" s="210"/>
      <c r="C1100" s="210"/>
      <c r="D1100" s="210"/>
      <c r="E1100" s="210"/>
      <c r="G1100" s="55"/>
      <c r="H1100" s="56"/>
      <c r="I1100" s="217"/>
      <c r="J1100" s="217"/>
      <c r="K1100" s="217"/>
      <c r="L1100" s="217"/>
      <c r="M1100" s="217"/>
      <c r="N1100" s="217"/>
      <c r="O1100" s="217"/>
      <c r="P1100" s="217"/>
      <c r="Q1100" s="217"/>
      <c r="R1100" s="217"/>
      <c r="S1100" s="217"/>
      <c r="T1100" s="217"/>
      <c r="U1100" s="217"/>
      <c r="V1100" s="217"/>
      <c r="W1100" s="217"/>
      <c r="X1100" s="217"/>
      <c r="Y1100" s="217"/>
      <c r="Z1100" s="217"/>
      <c r="AA1100" s="217"/>
      <c r="AB1100" s="217"/>
      <c r="AC1100" s="217"/>
      <c r="AD1100" s="217"/>
    </row>
    <row r="1101" spans="1:30" x14ac:dyDescent="0.2">
      <c r="A1101" s="232"/>
      <c r="B1101" s="210"/>
      <c r="C1101" s="210"/>
      <c r="D1101" s="210"/>
      <c r="E1101" s="210"/>
      <c r="G1101" s="55"/>
      <c r="H1101" s="56"/>
      <c r="I1101" s="217"/>
      <c r="J1101" s="217"/>
      <c r="K1101" s="217"/>
      <c r="L1101" s="217"/>
      <c r="M1101" s="217"/>
      <c r="N1101" s="217"/>
      <c r="O1101" s="217"/>
      <c r="P1101" s="217"/>
      <c r="Q1101" s="217"/>
      <c r="R1101" s="217"/>
      <c r="S1101" s="217"/>
      <c r="T1101" s="217"/>
      <c r="U1101" s="217"/>
      <c r="V1101" s="217"/>
      <c r="W1101" s="217"/>
      <c r="X1101" s="217"/>
      <c r="Y1101" s="217"/>
      <c r="Z1101" s="217"/>
      <c r="AA1101" s="217"/>
      <c r="AB1101" s="217"/>
      <c r="AC1101" s="217"/>
      <c r="AD1101" s="217"/>
    </row>
    <row r="1102" spans="1:30" x14ac:dyDescent="0.2">
      <c r="A1102" s="232"/>
      <c r="B1102" s="210"/>
      <c r="C1102" s="210"/>
      <c r="D1102" s="210"/>
      <c r="E1102" s="210"/>
      <c r="G1102" s="55"/>
      <c r="H1102" s="56"/>
      <c r="I1102" s="217"/>
      <c r="J1102" s="217"/>
      <c r="K1102" s="217"/>
      <c r="L1102" s="217"/>
      <c r="M1102" s="217"/>
      <c r="N1102" s="217"/>
      <c r="O1102" s="217"/>
      <c r="P1102" s="217"/>
      <c r="Q1102" s="217"/>
      <c r="R1102" s="217"/>
      <c r="S1102" s="217"/>
      <c r="T1102" s="217"/>
      <c r="U1102" s="217"/>
      <c r="V1102" s="217"/>
      <c r="W1102" s="217"/>
      <c r="X1102" s="217"/>
      <c r="Y1102" s="217"/>
      <c r="Z1102" s="217"/>
      <c r="AA1102" s="217"/>
      <c r="AB1102" s="217"/>
      <c r="AC1102" s="217"/>
      <c r="AD1102" s="217"/>
    </row>
    <row r="1103" spans="1:30" x14ac:dyDescent="0.2">
      <c r="A1103" s="232"/>
      <c r="B1103" s="210"/>
      <c r="C1103" s="210"/>
      <c r="D1103" s="210"/>
      <c r="E1103" s="210"/>
      <c r="G1103" s="55"/>
      <c r="H1103" s="56"/>
      <c r="I1103" s="217"/>
      <c r="J1103" s="217"/>
      <c r="K1103" s="217"/>
      <c r="L1103" s="217"/>
      <c r="M1103" s="217"/>
      <c r="N1103" s="217"/>
      <c r="O1103" s="217"/>
      <c r="P1103" s="217"/>
      <c r="Q1103" s="217"/>
      <c r="R1103" s="217"/>
      <c r="S1103" s="217"/>
      <c r="T1103" s="217"/>
      <c r="U1103" s="217"/>
      <c r="V1103" s="217"/>
      <c r="W1103" s="217"/>
      <c r="X1103" s="217"/>
      <c r="Y1103" s="217"/>
      <c r="Z1103" s="217"/>
      <c r="AA1103" s="217"/>
      <c r="AB1103" s="217"/>
      <c r="AC1103" s="217"/>
      <c r="AD1103" s="217"/>
    </row>
    <row r="1104" spans="1:30" x14ac:dyDescent="0.2">
      <c r="A1104" s="232"/>
      <c r="B1104" s="210"/>
      <c r="C1104" s="210"/>
      <c r="D1104" s="210"/>
      <c r="E1104" s="210"/>
      <c r="G1104" s="55"/>
      <c r="H1104" s="56"/>
      <c r="I1104" s="217"/>
      <c r="J1104" s="217"/>
      <c r="K1104" s="217"/>
      <c r="L1104" s="217"/>
      <c r="M1104" s="217"/>
      <c r="N1104" s="217"/>
      <c r="O1104" s="217"/>
      <c r="P1104" s="217"/>
      <c r="Q1104" s="217"/>
      <c r="R1104" s="217"/>
      <c r="S1104" s="217"/>
      <c r="T1104" s="217"/>
      <c r="U1104" s="217"/>
      <c r="V1104" s="217"/>
      <c r="W1104" s="217"/>
      <c r="X1104" s="217"/>
      <c r="Y1104" s="217"/>
      <c r="Z1104" s="217"/>
      <c r="AA1104" s="217"/>
      <c r="AB1104" s="217"/>
      <c r="AC1104" s="217"/>
      <c r="AD1104" s="217"/>
    </row>
    <row r="1105" spans="1:30" x14ac:dyDescent="0.2">
      <c r="A1105" s="232"/>
      <c r="B1105" s="210"/>
      <c r="C1105" s="210"/>
      <c r="D1105" s="210"/>
      <c r="E1105" s="210"/>
      <c r="G1105" s="55"/>
      <c r="H1105" s="56"/>
      <c r="I1105" s="217"/>
      <c r="J1105" s="217"/>
      <c r="K1105" s="217"/>
      <c r="L1105" s="217"/>
      <c r="M1105" s="217"/>
      <c r="N1105" s="217"/>
      <c r="O1105" s="217"/>
      <c r="P1105" s="217"/>
      <c r="Q1105" s="217"/>
      <c r="R1105" s="217"/>
      <c r="S1105" s="217"/>
      <c r="T1105" s="217"/>
      <c r="U1105" s="217"/>
      <c r="V1105" s="217"/>
      <c r="W1105" s="217"/>
      <c r="X1105" s="217"/>
      <c r="Y1105" s="217"/>
      <c r="Z1105" s="217"/>
      <c r="AA1105" s="217"/>
      <c r="AB1105" s="217"/>
      <c r="AC1105" s="217"/>
      <c r="AD1105" s="217"/>
    </row>
    <row r="1106" spans="1:30" x14ac:dyDescent="0.2">
      <c r="A1106" s="232"/>
      <c r="B1106" s="210"/>
      <c r="C1106" s="210"/>
      <c r="D1106" s="210"/>
      <c r="E1106" s="210"/>
      <c r="G1106" s="55"/>
      <c r="H1106" s="56"/>
      <c r="I1106" s="217"/>
      <c r="J1106" s="217"/>
      <c r="K1106" s="217"/>
      <c r="L1106" s="217"/>
      <c r="M1106" s="217"/>
      <c r="N1106" s="217"/>
      <c r="O1106" s="217"/>
      <c r="P1106" s="217"/>
      <c r="Q1106" s="217"/>
      <c r="R1106" s="217"/>
      <c r="S1106" s="217"/>
      <c r="T1106" s="217"/>
      <c r="U1106" s="217"/>
      <c r="V1106" s="217"/>
      <c r="W1106" s="217"/>
      <c r="X1106" s="217"/>
      <c r="Y1106" s="217"/>
      <c r="Z1106" s="217"/>
      <c r="AA1106" s="217"/>
      <c r="AB1106" s="217"/>
      <c r="AC1106" s="217"/>
      <c r="AD1106" s="217"/>
    </row>
    <row r="1107" spans="1:30" x14ac:dyDescent="0.2">
      <c r="A1107" s="232"/>
      <c r="B1107" s="210"/>
      <c r="C1107" s="210"/>
      <c r="D1107" s="210"/>
      <c r="E1107" s="210"/>
      <c r="G1107" s="55"/>
      <c r="H1107" s="56"/>
      <c r="I1107" s="217"/>
      <c r="J1107" s="217"/>
      <c r="K1107" s="217"/>
      <c r="L1107" s="217"/>
      <c r="M1107" s="217"/>
      <c r="N1107" s="217"/>
      <c r="O1107" s="217"/>
      <c r="P1107" s="217"/>
      <c r="Q1107" s="217"/>
      <c r="R1107" s="217"/>
      <c r="S1107" s="217"/>
      <c r="T1107" s="217"/>
      <c r="U1107" s="217"/>
      <c r="V1107" s="217"/>
      <c r="W1107" s="217"/>
      <c r="X1107" s="217"/>
      <c r="Y1107" s="217"/>
      <c r="Z1107" s="217"/>
      <c r="AA1107" s="217"/>
      <c r="AB1107" s="217"/>
      <c r="AC1107" s="217"/>
      <c r="AD1107" s="217"/>
    </row>
    <row r="1108" spans="1:30" x14ac:dyDescent="0.2">
      <c r="A1108" s="232"/>
      <c r="B1108" s="210"/>
      <c r="C1108" s="210"/>
      <c r="D1108" s="210"/>
      <c r="E1108" s="210"/>
      <c r="G1108" s="55"/>
      <c r="H1108" s="56"/>
      <c r="I1108" s="217"/>
      <c r="J1108" s="217"/>
      <c r="K1108" s="217"/>
      <c r="L1108" s="217"/>
      <c r="M1108" s="217"/>
      <c r="N1108" s="217"/>
      <c r="O1108" s="217"/>
      <c r="P1108" s="217"/>
      <c r="Q1108" s="217"/>
      <c r="R1108" s="217"/>
      <c r="S1108" s="217"/>
      <c r="T1108" s="217"/>
      <c r="U1108" s="217"/>
      <c r="V1108" s="217"/>
      <c r="W1108" s="217"/>
      <c r="X1108" s="217"/>
      <c r="Y1108" s="217"/>
      <c r="Z1108" s="217"/>
      <c r="AA1108" s="217"/>
      <c r="AB1108" s="217"/>
      <c r="AC1108" s="217"/>
      <c r="AD1108" s="217"/>
    </row>
    <row r="1109" spans="1:30" x14ac:dyDescent="0.2">
      <c r="A1109" s="232"/>
      <c r="B1109" s="210"/>
      <c r="C1109" s="210"/>
      <c r="D1109" s="210"/>
      <c r="E1109" s="210"/>
      <c r="G1109" s="55"/>
      <c r="H1109" s="56"/>
      <c r="I1109" s="217"/>
      <c r="J1109" s="217"/>
      <c r="K1109" s="217"/>
      <c r="L1109" s="217"/>
      <c r="M1109" s="217"/>
      <c r="N1109" s="217"/>
      <c r="O1109" s="217"/>
      <c r="P1109" s="217"/>
      <c r="Q1109" s="217"/>
      <c r="R1109" s="217"/>
      <c r="S1109" s="217"/>
      <c r="T1109" s="217"/>
      <c r="U1109" s="217"/>
      <c r="V1109" s="217"/>
      <c r="W1109" s="217"/>
      <c r="X1109" s="217"/>
      <c r="Y1109" s="217"/>
      <c r="Z1109" s="217"/>
      <c r="AA1109" s="217"/>
      <c r="AB1109" s="217"/>
      <c r="AC1109" s="217"/>
      <c r="AD1109" s="217"/>
    </row>
    <row r="1110" spans="1:30" x14ac:dyDescent="0.2">
      <c r="A1110" s="232"/>
      <c r="B1110" s="210"/>
      <c r="C1110" s="210"/>
      <c r="D1110" s="210"/>
      <c r="E1110" s="210"/>
      <c r="G1110" s="55"/>
      <c r="H1110" s="56"/>
      <c r="I1110" s="217"/>
      <c r="J1110" s="217"/>
      <c r="K1110" s="217"/>
      <c r="L1110" s="217"/>
      <c r="M1110" s="217"/>
      <c r="N1110" s="217"/>
      <c r="O1110" s="217"/>
      <c r="P1110" s="217"/>
      <c r="Q1110" s="217"/>
      <c r="R1110" s="217"/>
      <c r="S1110" s="217"/>
      <c r="T1110" s="217"/>
      <c r="U1110" s="217"/>
      <c r="V1110" s="217"/>
      <c r="W1110" s="217"/>
      <c r="X1110" s="217"/>
      <c r="Y1110" s="217"/>
      <c r="Z1110" s="217"/>
      <c r="AA1110" s="217"/>
      <c r="AB1110" s="217"/>
      <c r="AC1110" s="217"/>
      <c r="AD1110" s="217"/>
    </row>
    <row r="1111" spans="1:30" x14ac:dyDescent="0.2">
      <c r="A1111" s="232"/>
      <c r="B1111" s="210"/>
      <c r="C1111" s="210"/>
      <c r="D1111" s="210"/>
      <c r="E1111" s="210"/>
      <c r="G1111" s="55"/>
      <c r="H1111" s="56"/>
      <c r="I1111" s="217"/>
      <c r="J1111" s="217"/>
      <c r="K1111" s="217"/>
      <c r="L1111" s="217"/>
      <c r="M1111" s="217"/>
      <c r="N1111" s="217"/>
      <c r="O1111" s="217"/>
      <c r="P1111" s="217"/>
      <c r="Q1111" s="217"/>
      <c r="R1111" s="217"/>
      <c r="S1111" s="217"/>
      <c r="T1111" s="217"/>
      <c r="U1111" s="217"/>
      <c r="V1111" s="217"/>
      <c r="W1111" s="217"/>
      <c r="X1111" s="217"/>
      <c r="Y1111" s="217"/>
      <c r="Z1111" s="217"/>
      <c r="AA1111" s="217"/>
      <c r="AB1111" s="217"/>
      <c r="AC1111" s="217"/>
      <c r="AD1111" s="217"/>
    </row>
    <row r="1112" spans="1:30" x14ac:dyDescent="0.2">
      <c r="A1112" s="232"/>
      <c r="B1112" s="210"/>
      <c r="C1112" s="210"/>
      <c r="D1112" s="210"/>
      <c r="E1112" s="210"/>
      <c r="G1112" s="55"/>
      <c r="H1112" s="56"/>
      <c r="I1112" s="217"/>
      <c r="J1112" s="217"/>
      <c r="K1112" s="217"/>
      <c r="L1112" s="217"/>
      <c r="M1112" s="217"/>
      <c r="N1112" s="217"/>
      <c r="O1112" s="217"/>
      <c r="P1112" s="217"/>
      <c r="Q1112" s="217"/>
      <c r="R1112" s="217"/>
      <c r="S1112" s="217"/>
      <c r="T1112" s="217"/>
      <c r="U1112" s="217"/>
      <c r="V1112" s="217"/>
      <c r="W1112" s="217"/>
      <c r="X1112" s="217"/>
      <c r="Y1112" s="217"/>
      <c r="Z1112" s="217"/>
      <c r="AA1112" s="217"/>
      <c r="AB1112" s="217"/>
      <c r="AC1112" s="217"/>
      <c r="AD1112" s="217"/>
    </row>
    <row r="1113" spans="1:30" x14ac:dyDescent="0.2">
      <c r="A1113" s="232"/>
      <c r="B1113" s="210"/>
      <c r="C1113" s="210"/>
      <c r="D1113" s="210"/>
      <c r="E1113" s="210"/>
      <c r="G1113" s="55"/>
      <c r="H1113" s="56"/>
      <c r="I1113" s="217"/>
      <c r="J1113" s="217"/>
      <c r="K1113" s="217"/>
      <c r="L1113" s="217"/>
      <c r="M1113" s="217"/>
      <c r="N1113" s="217"/>
      <c r="O1113" s="217"/>
      <c r="P1113" s="217"/>
      <c r="Q1113" s="217"/>
      <c r="R1113" s="217"/>
      <c r="S1113" s="217"/>
      <c r="T1113" s="217"/>
      <c r="U1113" s="217"/>
      <c r="V1113" s="217"/>
      <c r="W1113" s="217"/>
      <c r="X1113" s="217"/>
      <c r="Y1113" s="217"/>
      <c r="Z1113" s="217"/>
      <c r="AA1113" s="217"/>
      <c r="AB1113" s="217"/>
      <c r="AC1113" s="217"/>
      <c r="AD1113" s="217"/>
    </row>
    <row r="1114" spans="1:30" x14ac:dyDescent="0.2">
      <c r="A1114" s="232"/>
      <c r="B1114" s="210"/>
      <c r="C1114" s="210"/>
      <c r="D1114" s="210"/>
      <c r="E1114" s="210"/>
      <c r="G1114" s="55"/>
      <c r="H1114" s="56"/>
      <c r="I1114" s="217"/>
      <c r="J1114" s="217"/>
      <c r="K1114" s="217"/>
      <c r="L1114" s="217"/>
      <c r="M1114" s="217"/>
      <c r="N1114" s="217"/>
      <c r="O1114" s="217"/>
      <c r="P1114" s="217"/>
      <c r="Q1114" s="217"/>
      <c r="R1114" s="217"/>
      <c r="S1114" s="217"/>
      <c r="T1114" s="217"/>
      <c r="U1114" s="217"/>
      <c r="V1114" s="217"/>
      <c r="W1114" s="217"/>
      <c r="X1114" s="217"/>
      <c r="Y1114" s="217"/>
      <c r="Z1114" s="217"/>
      <c r="AA1114" s="217"/>
      <c r="AB1114" s="217"/>
      <c r="AC1114" s="217"/>
      <c r="AD1114" s="217"/>
    </row>
    <row r="1115" spans="1:30" x14ac:dyDescent="0.2">
      <c r="A1115" s="232"/>
      <c r="B1115" s="210"/>
      <c r="C1115" s="210"/>
      <c r="D1115" s="210"/>
      <c r="E1115" s="210"/>
      <c r="G1115" s="55"/>
      <c r="H1115" s="56"/>
      <c r="I1115" s="217"/>
      <c r="J1115" s="217"/>
      <c r="K1115" s="217"/>
      <c r="L1115" s="217"/>
      <c r="M1115" s="217"/>
      <c r="N1115" s="217"/>
      <c r="O1115" s="217"/>
      <c r="P1115" s="217"/>
      <c r="Q1115" s="217"/>
      <c r="R1115" s="217"/>
      <c r="S1115" s="217"/>
      <c r="T1115" s="217"/>
      <c r="U1115" s="217"/>
      <c r="V1115" s="217"/>
      <c r="W1115" s="217"/>
      <c r="X1115" s="217"/>
      <c r="Y1115" s="217"/>
      <c r="Z1115" s="217"/>
      <c r="AA1115" s="217"/>
      <c r="AB1115" s="217"/>
      <c r="AC1115" s="217"/>
      <c r="AD1115" s="217"/>
    </row>
    <row r="1116" spans="1:30" x14ac:dyDescent="0.2">
      <c r="A1116" s="232"/>
      <c r="B1116" s="210"/>
      <c r="C1116" s="210"/>
      <c r="D1116" s="210"/>
      <c r="E1116" s="210"/>
      <c r="G1116" s="55"/>
      <c r="H1116" s="56"/>
      <c r="I1116" s="217"/>
      <c r="J1116" s="217"/>
      <c r="K1116" s="217"/>
      <c r="L1116" s="217"/>
      <c r="M1116" s="217"/>
      <c r="N1116" s="217"/>
      <c r="O1116" s="217"/>
      <c r="P1116" s="217"/>
      <c r="Q1116" s="217"/>
      <c r="R1116" s="217"/>
      <c r="S1116" s="217"/>
      <c r="T1116" s="217"/>
      <c r="U1116" s="217"/>
      <c r="V1116" s="217"/>
      <c r="W1116" s="217"/>
      <c r="X1116" s="217"/>
      <c r="Y1116" s="217"/>
      <c r="Z1116" s="217"/>
      <c r="AA1116" s="217"/>
      <c r="AB1116" s="217"/>
      <c r="AC1116" s="217"/>
      <c r="AD1116" s="217"/>
    </row>
    <row r="1117" spans="1:30" x14ac:dyDescent="0.2">
      <c r="A1117" s="232"/>
      <c r="B1117" s="210"/>
      <c r="C1117" s="210"/>
      <c r="D1117" s="210"/>
      <c r="E1117" s="210"/>
      <c r="G1117" s="55"/>
      <c r="H1117" s="56"/>
      <c r="I1117" s="217"/>
      <c r="J1117" s="217"/>
      <c r="K1117" s="217"/>
      <c r="L1117" s="217"/>
      <c r="M1117" s="217"/>
      <c r="N1117" s="217"/>
      <c r="O1117" s="217"/>
      <c r="P1117" s="217"/>
      <c r="Q1117" s="217"/>
      <c r="R1117" s="217"/>
      <c r="S1117" s="217"/>
      <c r="T1117" s="217"/>
      <c r="U1117" s="217"/>
      <c r="V1117" s="217"/>
      <c r="W1117" s="217"/>
      <c r="X1117" s="217"/>
      <c r="Y1117" s="217"/>
      <c r="Z1117" s="217"/>
      <c r="AA1117" s="217"/>
      <c r="AB1117" s="217"/>
      <c r="AC1117" s="217"/>
      <c r="AD1117" s="217"/>
    </row>
    <row r="1118" spans="1:30" x14ac:dyDescent="0.2">
      <c r="A1118" s="232"/>
      <c r="B1118" s="210"/>
      <c r="C1118" s="210"/>
      <c r="D1118" s="210"/>
      <c r="E1118" s="210"/>
      <c r="G1118" s="55"/>
      <c r="H1118" s="56"/>
      <c r="I1118" s="217"/>
      <c r="J1118" s="217"/>
      <c r="K1118" s="217"/>
      <c r="L1118" s="217"/>
      <c r="M1118" s="217"/>
      <c r="N1118" s="217"/>
      <c r="O1118" s="217"/>
      <c r="P1118" s="217"/>
      <c r="Q1118" s="217"/>
      <c r="R1118" s="217"/>
      <c r="S1118" s="217"/>
      <c r="T1118" s="217"/>
      <c r="U1118" s="217"/>
      <c r="V1118" s="217"/>
      <c r="W1118" s="217"/>
      <c r="X1118" s="217"/>
      <c r="Y1118" s="217"/>
      <c r="Z1118" s="217"/>
      <c r="AA1118" s="217"/>
      <c r="AB1118" s="217"/>
      <c r="AC1118" s="217"/>
      <c r="AD1118" s="217"/>
    </row>
    <row r="1119" spans="1:30" x14ac:dyDescent="0.2">
      <c r="A1119" s="232"/>
      <c r="B1119" s="210"/>
      <c r="C1119" s="210"/>
      <c r="D1119" s="210"/>
      <c r="E1119" s="210"/>
      <c r="G1119" s="55"/>
      <c r="H1119" s="56"/>
      <c r="I1119" s="217"/>
      <c r="J1119" s="217"/>
      <c r="K1119" s="217"/>
      <c r="L1119" s="217"/>
      <c r="M1119" s="217"/>
      <c r="N1119" s="217"/>
      <c r="O1119" s="217"/>
      <c r="P1119" s="217"/>
      <c r="Q1119" s="217"/>
      <c r="R1119" s="217"/>
      <c r="S1119" s="217"/>
      <c r="T1119" s="217"/>
      <c r="U1119" s="217"/>
      <c r="V1119" s="217"/>
      <c r="W1119" s="217"/>
      <c r="X1119" s="217"/>
      <c r="Y1119" s="217"/>
      <c r="Z1119" s="217"/>
      <c r="AA1119" s="217"/>
      <c r="AB1119" s="217"/>
      <c r="AC1119" s="217"/>
      <c r="AD1119" s="217"/>
    </row>
    <row r="1120" spans="1:30" x14ac:dyDescent="0.2">
      <c r="A1120" s="232"/>
      <c r="B1120" s="210"/>
      <c r="C1120" s="210"/>
      <c r="D1120" s="210"/>
      <c r="E1120" s="210"/>
      <c r="G1120" s="55"/>
      <c r="H1120" s="56"/>
      <c r="I1120" s="217"/>
      <c r="J1120" s="217"/>
      <c r="K1120" s="217"/>
      <c r="L1120" s="217"/>
      <c r="M1120" s="217"/>
      <c r="N1120" s="217"/>
      <c r="O1120" s="217"/>
      <c r="P1120" s="217"/>
      <c r="Q1120" s="217"/>
      <c r="R1120" s="217"/>
      <c r="S1120" s="217"/>
      <c r="T1120" s="217"/>
      <c r="U1120" s="217"/>
      <c r="V1120" s="217"/>
      <c r="W1120" s="217"/>
      <c r="X1120" s="217"/>
      <c r="Y1120" s="217"/>
      <c r="Z1120" s="217"/>
      <c r="AA1120" s="217"/>
      <c r="AB1120" s="217"/>
      <c r="AC1120" s="217"/>
      <c r="AD1120" s="217"/>
    </row>
    <row r="1121" spans="1:30" x14ac:dyDescent="0.2">
      <c r="A1121" s="232"/>
      <c r="B1121" s="210"/>
      <c r="C1121" s="210"/>
      <c r="D1121" s="210"/>
      <c r="E1121" s="210"/>
      <c r="G1121" s="55"/>
      <c r="H1121" s="56"/>
      <c r="I1121" s="217"/>
      <c r="J1121" s="217"/>
      <c r="K1121" s="217"/>
      <c r="L1121" s="217"/>
      <c r="M1121" s="217"/>
      <c r="N1121" s="217"/>
      <c r="O1121" s="217"/>
      <c r="P1121" s="217"/>
      <c r="Q1121" s="217"/>
      <c r="R1121" s="217"/>
      <c r="S1121" s="217"/>
      <c r="T1121" s="217"/>
      <c r="U1121" s="217"/>
      <c r="V1121" s="217"/>
      <c r="W1121" s="217"/>
      <c r="X1121" s="217"/>
      <c r="Y1121" s="217"/>
      <c r="Z1121" s="217"/>
      <c r="AA1121" s="217"/>
      <c r="AB1121" s="217"/>
      <c r="AC1121" s="217"/>
      <c r="AD1121" s="217"/>
    </row>
    <row r="1122" spans="1:30" x14ac:dyDescent="0.2">
      <c r="A1122" s="232"/>
      <c r="B1122" s="210"/>
      <c r="C1122" s="210"/>
      <c r="D1122" s="210"/>
      <c r="E1122" s="210"/>
      <c r="G1122" s="55"/>
      <c r="H1122" s="56"/>
      <c r="I1122" s="217"/>
      <c r="J1122" s="217"/>
      <c r="K1122" s="217"/>
      <c r="L1122" s="217"/>
      <c r="M1122" s="217"/>
      <c r="N1122" s="217"/>
      <c r="O1122" s="217"/>
      <c r="P1122" s="217"/>
      <c r="Q1122" s="217"/>
      <c r="R1122" s="217"/>
      <c r="S1122" s="217"/>
      <c r="T1122" s="217"/>
      <c r="U1122" s="217"/>
      <c r="V1122" s="217"/>
      <c r="W1122" s="217"/>
      <c r="X1122" s="217"/>
      <c r="Y1122" s="217"/>
      <c r="Z1122" s="217"/>
      <c r="AA1122" s="217"/>
      <c r="AB1122" s="217"/>
      <c r="AC1122" s="217"/>
      <c r="AD1122" s="217"/>
    </row>
    <row r="1123" spans="1:30" x14ac:dyDescent="0.2">
      <c r="A1123" s="232"/>
      <c r="B1123" s="210"/>
      <c r="C1123" s="210"/>
      <c r="D1123" s="210"/>
      <c r="E1123" s="210"/>
      <c r="G1123" s="55"/>
      <c r="H1123" s="56"/>
      <c r="I1123" s="217"/>
      <c r="J1123" s="217"/>
      <c r="K1123" s="217"/>
      <c r="L1123" s="217"/>
      <c r="M1123" s="217"/>
      <c r="N1123" s="217"/>
      <c r="O1123" s="217"/>
      <c r="P1123" s="217"/>
      <c r="Q1123" s="217"/>
      <c r="R1123" s="217"/>
      <c r="S1123" s="217"/>
      <c r="T1123" s="217"/>
      <c r="U1123" s="217"/>
      <c r="V1123" s="217"/>
      <c r="W1123" s="217"/>
      <c r="X1123" s="217"/>
      <c r="Y1123" s="217"/>
      <c r="Z1123" s="217"/>
      <c r="AA1123" s="217"/>
      <c r="AB1123" s="217"/>
      <c r="AC1123" s="217"/>
      <c r="AD1123" s="217"/>
    </row>
    <row r="1124" spans="1:30" x14ac:dyDescent="0.2">
      <c r="A1124" s="232"/>
      <c r="B1124" s="210"/>
      <c r="C1124" s="210"/>
      <c r="D1124" s="210"/>
      <c r="E1124" s="210"/>
      <c r="G1124" s="55"/>
      <c r="H1124" s="56"/>
      <c r="I1124" s="217"/>
      <c r="J1124" s="217"/>
      <c r="K1124" s="217"/>
      <c r="L1124" s="217"/>
      <c r="M1124" s="217"/>
      <c r="N1124" s="217"/>
      <c r="O1124" s="217"/>
      <c r="P1124" s="217"/>
      <c r="Q1124" s="217"/>
      <c r="R1124" s="217"/>
      <c r="S1124" s="217"/>
      <c r="T1124" s="217"/>
      <c r="U1124" s="217"/>
      <c r="V1124" s="217"/>
      <c r="W1124" s="217"/>
      <c r="X1124" s="217"/>
      <c r="Y1124" s="217"/>
      <c r="Z1124" s="217"/>
      <c r="AA1124" s="217"/>
      <c r="AB1124" s="217"/>
      <c r="AC1124" s="217"/>
      <c r="AD1124" s="217"/>
    </row>
    <row r="1125" spans="1:30" x14ac:dyDescent="0.2">
      <c r="A1125" s="232"/>
      <c r="B1125" s="210"/>
      <c r="C1125" s="210"/>
      <c r="D1125" s="210"/>
      <c r="E1125" s="210"/>
      <c r="G1125" s="55"/>
      <c r="H1125" s="56"/>
      <c r="I1125" s="217"/>
      <c r="J1125" s="217"/>
      <c r="K1125" s="217"/>
      <c r="L1125" s="217"/>
      <c r="M1125" s="217"/>
      <c r="N1125" s="217"/>
      <c r="O1125" s="217"/>
      <c r="P1125" s="217"/>
      <c r="Q1125" s="217"/>
      <c r="R1125" s="217"/>
      <c r="S1125" s="217"/>
      <c r="T1125" s="217"/>
      <c r="U1125" s="217"/>
      <c r="V1125" s="217"/>
      <c r="W1125" s="217"/>
      <c r="X1125" s="217"/>
      <c r="Y1125" s="217"/>
      <c r="Z1125" s="217"/>
      <c r="AA1125" s="217"/>
      <c r="AB1125" s="217"/>
      <c r="AC1125" s="217"/>
      <c r="AD1125" s="217"/>
    </row>
    <row r="1126" spans="1:30" x14ac:dyDescent="0.2">
      <c r="A1126" s="232"/>
      <c r="B1126" s="210"/>
      <c r="C1126" s="210"/>
      <c r="D1126" s="210"/>
      <c r="E1126" s="210"/>
      <c r="G1126" s="55"/>
      <c r="H1126" s="56"/>
      <c r="I1126" s="217"/>
      <c r="J1126" s="217"/>
      <c r="K1126" s="217"/>
      <c r="L1126" s="217"/>
      <c r="M1126" s="217"/>
      <c r="N1126" s="217"/>
      <c r="O1126" s="217"/>
      <c r="P1126" s="217"/>
      <c r="Q1126" s="217"/>
      <c r="R1126" s="217"/>
      <c r="S1126" s="217"/>
      <c r="T1126" s="217"/>
      <c r="U1126" s="217"/>
      <c r="V1126" s="217"/>
      <c r="W1126" s="217"/>
      <c r="X1126" s="217"/>
      <c r="Y1126" s="217"/>
      <c r="Z1126" s="217"/>
      <c r="AA1126" s="217"/>
      <c r="AB1126" s="217"/>
      <c r="AC1126" s="217"/>
      <c r="AD1126" s="217"/>
    </row>
    <row r="1127" spans="1:30" x14ac:dyDescent="0.2">
      <c r="A1127" s="232"/>
      <c r="B1127" s="210"/>
      <c r="C1127" s="210"/>
      <c r="D1127" s="210"/>
      <c r="E1127" s="210"/>
      <c r="G1127" s="55"/>
      <c r="H1127" s="56"/>
      <c r="I1127" s="217"/>
      <c r="J1127" s="217"/>
      <c r="K1127" s="217"/>
      <c r="L1127" s="217"/>
      <c r="M1127" s="217"/>
      <c r="N1127" s="217"/>
      <c r="O1127" s="217"/>
      <c r="P1127" s="217"/>
      <c r="Q1127" s="217"/>
      <c r="R1127" s="217"/>
      <c r="S1127" s="217"/>
      <c r="T1127" s="217"/>
      <c r="U1127" s="217"/>
      <c r="V1127" s="217"/>
      <c r="W1127" s="217"/>
      <c r="X1127" s="217"/>
      <c r="Y1127" s="217"/>
      <c r="Z1127" s="217"/>
      <c r="AA1127" s="217"/>
      <c r="AB1127" s="217"/>
      <c r="AC1127" s="217"/>
      <c r="AD1127" s="217"/>
    </row>
    <row r="1128" spans="1:30" x14ac:dyDescent="0.2">
      <c r="A1128" s="232"/>
      <c r="B1128" s="210"/>
      <c r="C1128" s="210"/>
      <c r="D1128" s="210"/>
      <c r="E1128" s="210"/>
      <c r="G1128" s="55"/>
      <c r="H1128" s="56"/>
      <c r="I1128" s="217"/>
      <c r="J1128" s="217"/>
      <c r="K1128" s="217"/>
      <c r="L1128" s="217"/>
      <c r="M1128" s="217"/>
      <c r="N1128" s="217"/>
      <c r="O1128" s="217"/>
      <c r="P1128" s="217"/>
      <c r="Q1128" s="217"/>
      <c r="R1128" s="217"/>
      <c r="S1128" s="217"/>
      <c r="T1128" s="217"/>
      <c r="U1128" s="217"/>
      <c r="V1128" s="217"/>
      <c r="W1128" s="217"/>
      <c r="X1128" s="217"/>
      <c r="Y1128" s="217"/>
      <c r="Z1128" s="217"/>
      <c r="AA1128" s="217"/>
      <c r="AB1128" s="217"/>
      <c r="AC1128" s="217"/>
      <c r="AD1128" s="217"/>
    </row>
    <row r="1129" spans="1:30" x14ac:dyDescent="0.2">
      <c r="A1129" s="232"/>
      <c r="B1129" s="210"/>
      <c r="C1129" s="210"/>
      <c r="D1129" s="210"/>
      <c r="E1129" s="210"/>
      <c r="G1129" s="55"/>
      <c r="H1129" s="56"/>
      <c r="I1129" s="217"/>
      <c r="J1129" s="217"/>
      <c r="K1129" s="217"/>
      <c r="L1129" s="217"/>
      <c r="M1129" s="217"/>
      <c r="N1129" s="217"/>
      <c r="O1129" s="217"/>
      <c r="P1129" s="217"/>
      <c r="Q1129" s="217"/>
      <c r="R1129" s="217"/>
      <c r="S1129" s="217"/>
      <c r="T1129" s="217"/>
      <c r="U1129" s="217"/>
      <c r="V1129" s="217"/>
      <c r="W1129" s="217"/>
      <c r="X1129" s="217"/>
      <c r="Y1129" s="217"/>
      <c r="Z1129" s="217"/>
      <c r="AA1129" s="217"/>
      <c r="AB1129" s="217"/>
      <c r="AC1129" s="217"/>
      <c r="AD1129" s="217"/>
    </row>
    <row r="1130" spans="1:30" x14ac:dyDescent="0.2">
      <c r="A1130" s="232"/>
      <c r="B1130" s="210"/>
      <c r="C1130" s="210"/>
      <c r="D1130" s="210"/>
      <c r="E1130" s="210"/>
      <c r="G1130" s="55"/>
      <c r="H1130" s="56"/>
      <c r="I1130" s="217"/>
      <c r="J1130" s="217"/>
      <c r="K1130" s="217"/>
      <c r="L1130" s="217"/>
      <c r="M1130" s="217"/>
      <c r="N1130" s="217"/>
      <c r="O1130" s="217"/>
      <c r="P1130" s="217"/>
      <c r="Q1130" s="217"/>
      <c r="R1130" s="217"/>
      <c r="S1130" s="217"/>
      <c r="T1130" s="217"/>
      <c r="U1130" s="217"/>
      <c r="V1130" s="217"/>
      <c r="W1130" s="217"/>
      <c r="X1130" s="217"/>
      <c r="Y1130" s="217"/>
      <c r="Z1130" s="217"/>
      <c r="AA1130" s="217"/>
      <c r="AB1130" s="217"/>
      <c r="AC1130" s="217"/>
      <c r="AD1130" s="217"/>
    </row>
    <row r="1131" spans="1:30" x14ac:dyDescent="0.2">
      <c r="A1131" s="232"/>
      <c r="B1131" s="210"/>
      <c r="C1131" s="210"/>
      <c r="D1131" s="210"/>
      <c r="E1131" s="210"/>
      <c r="G1131" s="55"/>
      <c r="H1131" s="56"/>
      <c r="I1131" s="217"/>
      <c r="J1131" s="217"/>
      <c r="K1131" s="217"/>
      <c r="L1131" s="217"/>
      <c r="M1131" s="217"/>
      <c r="N1131" s="217"/>
      <c r="O1131" s="217"/>
      <c r="P1131" s="217"/>
      <c r="Q1131" s="217"/>
      <c r="R1131" s="217"/>
      <c r="S1131" s="217"/>
      <c r="T1131" s="217"/>
      <c r="U1131" s="217"/>
      <c r="V1131" s="217"/>
      <c r="W1131" s="217"/>
      <c r="X1131" s="217"/>
      <c r="Y1131" s="217"/>
      <c r="Z1131" s="217"/>
      <c r="AA1131" s="217"/>
      <c r="AB1131" s="217"/>
      <c r="AC1131" s="217"/>
      <c r="AD1131" s="217"/>
    </row>
    <row r="1132" spans="1:30" x14ac:dyDescent="0.2">
      <c r="A1132" s="232"/>
      <c r="B1132" s="210"/>
      <c r="C1132" s="210"/>
      <c r="D1132" s="210"/>
      <c r="E1132" s="210"/>
      <c r="G1132" s="55"/>
      <c r="H1132" s="56"/>
      <c r="I1132" s="217"/>
      <c r="J1132" s="217"/>
      <c r="K1132" s="217"/>
      <c r="L1132" s="217"/>
      <c r="M1132" s="217"/>
      <c r="N1132" s="217"/>
      <c r="O1132" s="217"/>
      <c r="P1132" s="217"/>
      <c r="Q1132" s="217"/>
      <c r="R1132" s="217"/>
      <c r="S1132" s="217"/>
      <c r="T1132" s="217"/>
      <c r="U1132" s="217"/>
      <c r="V1132" s="217"/>
      <c r="W1132" s="217"/>
      <c r="X1132" s="217"/>
      <c r="Y1132" s="217"/>
      <c r="Z1132" s="217"/>
      <c r="AA1132" s="217"/>
      <c r="AB1132" s="217"/>
      <c r="AC1132" s="217"/>
      <c r="AD1132" s="217"/>
    </row>
    <row r="1133" spans="1:30" x14ac:dyDescent="0.2">
      <c r="A1133" s="232"/>
      <c r="B1133" s="210"/>
      <c r="C1133" s="210"/>
      <c r="D1133" s="210"/>
      <c r="E1133" s="210"/>
      <c r="G1133" s="55"/>
      <c r="H1133" s="56"/>
      <c r="I1133" s="217"/>
      <c r="J1133" s="217"/>
      <c r="K1133" s="217"/>
      <c r="L1133" s="217"/>
      <c r="M1133" s="217"/>
      <c r="N1133" s="217"/>
      <c r="O1133" s="217"/>
      <c r="P1133" s="217"/>
      <c r="Q1133" s="217"/>
      <c r="R1133" s="217"/>
      <c r="S1133" s="217"/>
      <c r="T1133" s="217"/>
      <c r="U1133" s="217"/>
      <c r="V1133" s="217"/>
      <c r="W1133" s="217"/>
      <c r="X1133" s="217"/>
      <c r="Y1133" s="217"/>
      <c r="Z1133" s="217"/>
      <c r="AA1133" s="217"/>
      <c r="AB1133" s="217"/>
      <c r="AC1133" s="217"/>
      <c r="AD1133" s="217"/>
    </row>
    <row r="1134" spans="1:30" x14ac:dyDescent="0.2">
      <c r="A1134" s="232"/>
      <c r="B1134" s="210"/>
      <c r="C1134" s="210"/>
      <c r="D1134" s="210"/>
      <c r="E1134" s="210"/>
      <c r="G1134" s="55"/>
      <c r="H1134" s="56"/>
      <c r="I1134" s="217"/>
      <c r="J1134" s="217"/>
      <c r="K1134" s="217"/>
      <c r="L1134" s="217"/>
      <c r="M1134" s="217"/>
      <c r="N1134" s="217"/>
      <c r="O1134" s="217"/>
      <c r="P1134" s="217"/>
      <c r="Q1134" s="217"/>
      <c r="R1134" s="217"/>
      <c r="S1134" s="217"/>
      <c r="T1134" s="217"/>
      <c r="U1134" s="217"/>
      <c r="V1134" s="217"/>
      <c r="W1134" s="217"/>
      <c r="X1134" s="217"/>
      <c r="Y1134" s="217"/>
      <c r="Z1134" s="217"/>
      <c r="AA1134" s="217"/>
      <c r="AB1134" s="217"/>
      <c r="AC1134" s="217"/>
      <c r="AD1134" s="217"/>
    </row>
    <row r="1135" spans="1:30" x14ac:dyDescent="0.2">
      <c r="A1135" s="232"/>
      <c r="B1135" s="210"/>
      <c r="C1135" s="210"/>
      <c r="D1135" s="210"/>
      <c r="E1135" s="210"/>
      <c r="G1135" s="55"/>
      <c r="H1135" s="56"/>
      <c r="I1135" s="217"/>
      <c r="J1135" s="217"/>
      <c r="K1135" s="217"/>
      <c r="L1135" s="217"/>
      <c r="M1135" s="217"/>
      <c r="N1135" s="217"/>
      <c r="O1135" s="217"/>
      <c r="P1135" s="217"/>
      <c r="Q1135" s="217"/>
      <c r="R1135" s="217"/>
      <c r="S1135" s="217"/>
      <c r="T1135" s="217"/>
      <c r="U1135" s="217"/>
      <c r="V1135" s="217"/>
      <c r="W1135" s="217"/>
      <c r="X1135" s="217"/>
      <c r="Y1135" s="217"/>
      <c r="Z1135" s="217"/>
      <c r="AA1135" s="217"/>
      <c r="AB1135" s="217"/>
      <c r="AC1135" s="217"/>
      <c r="AD1135" s="217"/>
    </row>
    <row r="1136" spans="1:30" x14ac:dyDescent="0.2">
      <c r="A1136" s="232"/>
      <c r="B1136" s="210"/>
      <c r="C1136" s="210"/>
      <c r="D1136" s="210"/>
      <c r="E1136" s="210"/>
      <c r="G1136" s="55"/>
      <c r="H1136" s="56"/>
      <c r="I1136" s="217"/>
      <c r="J1136" s="217"/>
      <c r="K1136" s="217"/>
      <c r="L1136" s="217"/>
      <c r="M1136" s="217"/>
      <c r="N1136" s="217"/>
      <c r="O1136" s="217"/>
      <c r="P1136" s="217"/>
      <c r="Q1136" s="217"/>
      <c r="R1136" s="217"/>
      <c r="S1136" s="217"/>
      <c r="T1136" s="217"/>
      <c r="U1136" s="217"/>
      <c r="V1136" s="217"/>
      <c r="W1136" s="217"/>
      <c r="X1136" s="217"/>
      <c r="Y1136" s="217"/>
      <c r="Z1136" s="217"/>
      <c r="AA1136" s="217"/>
      <c r="AB1136" s="217"/>
      <c r="AC1136" s="217"/>
      <c r="AD1136" s="217"/>
    </row>
    <row r="1137" spans="1:30" x14ac:dyDescent="0.2">
      <c r="A1137" s="232"/>
      <c r="B1137" s="210"/>
      <c r="C1137" s="210"/>
      <c r="D1137" s="210"/>
      <c r="E1137" s="210"/>
      <c r="G1137" s="55"/>
      <c r="H1137" s="56"/>
      <c r="I1137" s="217"/>
      <c r="J1137" s="217"/>
      <c r="K1137" s="217"/>
      <c r="L1137" s="217"/>
      <c r="M1137" s="217"/>
      <c r="N1137" s="217"/>
      <c r="O1137" s="217"/>
      <c r="P1137" s="217"/>
      <c r="Q1137" s="217"/>
      <c r="R1137" s="217"/>
      <c r="S1137" s="217"/>
      <c r="T1137" s="217"/>
      <c r="U1137" s="217"/>
      <c r="V1137" s="217"/>
      <c r="W1137" s="217"/>
      <c r="X1137" s="217"/>
      <c r="Y1137" s="217"/>
      <c r="Z1137" s="217"/>
      <c r="AA1137" s="217"/>
      <c r="AB1137" s="217"/>
      <c r="AC1137" s="217"/>
      <c r="AD1137" s="217"/>
    </row>
    <row r="1138" spans="1:30" x14ac:dyDescent="0.2">
      <c r="A1138" s="232"/>
      <c r="B1138" s="210"/>
      <c r="C1138" s="210"/>
      <c r="D1138" s="210"/>
      <c r="E1138" s="210"/>
      <c r="G1138" s="55"/>
      <c r="H1138" s="56"/>
      <c r="I1138" s="217"/>
      <c r="J1138" s="217"/>
      <c r="K1138" s="217"/>
      <c r="L1138" s="217"/>
      <c r="M1138" s="217"/>
      <c r="N1138" s="217"/>
      <c r="O1138" s="217"/>
      <c r="P1138" s="217"/>
      <c r="Q1138" s="217"/>
      <c r="R1138" s="217"/>
      <c r="S1138" s="217"/>
      <c r="T1138" s="217"/>
      <c r="U1138" s="217"/>
      <c r="V1138" s="217"/>
      <c r="W1138" s="217"/>
      <c r="X1138" s="217"/>
      <c r="Y1138" s="217"/>
      <c r="Z1138" s="217"/>
      <c r="AA1138" s="217"/>
      <c r="AB1138" s="217"/>
      <c r="AC1138" s="217"/>
      <c r="AD1138" s="217"/>
    </row>
    <row r="1139" spans="1:30" x14ac:dyDescent="0.2">
      <c r="A1139" s="232"/>
      <c r="B1139" s="210"/>
      <c r="C1139" s="210"/>
      <c r="D1139" s="210"/>
      <c r="E1139" s="210"/>
      <c r="G1139" s="55"/>
      <c r="H1139" s="56"/>
      <c r="I1139" s="217"/>
      <c r="J1139" s="217"/>
      <c r="K1139" s="217"/>
      <c r="L1139" s="217"/>
      <c r="M1139" s="217"/>
      <c r="N1139" s="217"/>
      <c r="O1139" s="217"/>
      <c r="P1139" s="217"/>
      <c r="Q1139" s="217"/>
      <c r="R1139" s="217"/>
      <c r="S1139" s="217"/>
      <c r="T1139" s="217"/>
      <c r="U1139" s="217"/>
      <c r="V1139" s="217"/>
      <c r="W1139" s="217"/>
      <c r="X1139" s="217"/>
      <c r="Y1139" s="217"/>
      <c r="Z1139" s="217"/>
      <c r="AA1139" s="217"/>
      <c r="AB1139" s="217"/>
      <c r="AC1139" s="217"/>
      <c r="AD1139" s="217"/>
    </row>
    <row r="1140" spans="1:30" x14ac:dyDescent="0.2">
      <c r="A1140" s="232"/>
      <c r="B1140" s="210"/>
      <c r="C1140" s="210"/>
      <c r="D1140" s="210"/>
      <c r="E1140" s="210"/>
      <c r="G1140" s="55"/>
      <c r="H1140" s="56"/>
      <c r="I1140" s="217"/>
      <c r="J1140" s="217"/>
      <c r="K1140" s="217"/>
      <c r="L1140" s="217"/>
      <c r="M1140" s="217"/>
      <c r="N1140" s="217"/>
      <c r="O1140" s="217"/>
      <c r="P1140" s="217"/>
      <c r="Q1140" s="217"/>
      <c r="R1140" s="217"/>
      <c r="S1140" s="217"/>
      <c r="T1140" s="217"/>
      <c r="U1140" s="217"/>
      <c r="V1140" s="217"/>
      <c r="W1140" s="217"/>
      <c r="X1140" s="217"/>
      <c r="Y1140" s="217"/>
      <c r="Z1140" s="217"/>
      <c r="AA1140" s="217"/>
      <c r="AB1140" s="217"/>
      <c r="AC1140" s="217"/>
      <c r="AD1140" s="217"/>
    </row>
    <row r="1141" spans="1:30" x14ac:dyDescent="0.2">
      <c r="A1141" s="232"/>
      <c r="B1141" s="210"/>
      <c r="C1141" s="210"/>
      <c r="D1141" s="210"/>
      <c r="E1141" s="210"/>
      <c r="G1141" s="55"/>
      <c r="H1141" s="56"/>
      <c r="I1141" s="217"/>
      <c r="J1141" s="217"/>
      <c r="K1141" s="217"/>
      <c r="L1141" s="217"/>
      <c r="M1141" s="217"/>
      <c r="N1141" s="217"/>
      <c r="O1141" s="217"/>
      <c r="P1141" s="217"/>
      <c r="Q1141" s="217"/>
      <c r="R1141" s="217"/>
      <c r="S1141" s="217"/>
      <c r="T1141" s="217"/>
      <c r="U1141" s="217"/>
      <c r="V1141" s="217"/>
      <c r="W1141" s="217"/>
      <c r="X1141" s="217"/>
      <c r="Y1141" s="217"/>
      <c r="Z1141" s="217"/>
      <c r="AA1141" s="217"/>
      <c r="AB1141" s="217"/>
      <c r="AC1141" s="217"/>
      <c r="AD1141" s="217"/>
    </row>
    <row r="1142" spans="1:30" x14ac:dyDescent="0.2">
      <c r="A1142" s="232"/>
      <c r="B1142" s="210"/>
      <c r="C1142" s="210"/>
      <c r="D1142" s="210"/>
      <c r="E1142" s="210"/>
      <c r="G1142" s="55"/>
      <c r="H1142" s="56"/>
      <c r="I1142" s="217"/>
      <c r="J1142" s="217"/>
      <c r="K1142" s="217"/>
      <c r="L1142" s="217"/>
      <c r="M1142" s="217"/>
      <c r="N1142" s="217"/>
      <c r="O1142" s="217"/>
      <c r="P1142" s="217"/>
      <c r="Q1142" s="217"/>
      <c r="R1142" s="217"/>
      <c r="S1142" s="217"/>
      <c r="T1142" s="217"/>
      <c r="U1142" s="217"/>
      <c r="V1142" s="217"/>
      <c r="W1142" s="217"/>
      <c r="X1142" s="217"/>
      <c r="Y1142" s="217"/>
      <c r="Z1142" s="217"/>
      <c r="AA1142" s="217"/>
      <c r="AB1142" s="217"/>
      <c r="AC1142" s="217"/>
      <c r="AD1142" s="217"/>
    </row>
    <row r="1143" spans="1:30" x14ac:dyDescent="0.2">
      <c r="A1143" s="232"/>
      <c r="B1143" s="210"/>
      <c r="C1143" s="210"/>
      <c r="D1143" s="210"/>
      <c r="E1143" s="210"/>
      <c r="G1143" s="55"/>
      <c r="H1143" s="56"/>
      <c r="I1143" s="217"/>
      <c r="J1143" s="217"/>
      <c r="K1143" s="217"/>
      <c r="L1143" s="217"/>
      <c r="M1143" s="217"/>
      <c r="N1143" s="217"/>
      <c r="O1143" s="217"/>
      <c r="P1143" s="217"/>
      <c r="Q1143" s="217"/>
      <c r="R1143" s="217"/>
      <c r="S1143" s="217"/>
      <c r="T1143" s="217"/>
      <c r="U1143" s="217"/>
      <c r="V1143" s="217"/>
      <c r="W1143" s="217"/>
      <c r="X1143" s="217"/>
      <c r="Y1143" s="217"/>
      <c r="Z1143" s="217"/>
      <c r="AA1143" s="217"/>
      <c r="AB1143" s="217"/>
      <c r="AC1143" s="217"/>
      <c r="AD1143" s="217"/>
    </row>
    <row r="1144" spans="1:30" x14ac:dyDescent="0.2">
      <c r="A1144" s="232"/>
      <c r="B1144" s="210"/>
      <c r="C1144" s="210"/>
      <c r="D1144" s="210"/>
      <c r="E1144" s="210"/>
      <c r="G1144" s="55"/>
      <c r="H1144" s="56"/>
      <c r="I1144" s="217"/>
      <c r="J1144" s="217"/>
      <c r="K1144" s="217"/>
      <c r="L1144" s="217"/>
      <c r="M1144" s="217"/>
      <c r="N1144" s="217"/>
      <c r="O1144" s="217"/>
      <c r="P1144" s="217"/>
      <c r="Q1144" s="217"/>
      <c r="R1144" s="217"/>
      <c r="S1144" s="217"/>
      <c r="T1144" s="217"/>
      <c r="U1144" s="217"/>
      <c r="V1144" s="217"/>
      <c r="W1144" s="217"/>
      <c r="X1144" s="217"/>
      <c r="Y1144" s="217"/>
      <c r="Z1144" s="217"/>
      <c r="AA1144" s="217"/>
      <c r="AB1144" s="217"/>
      <c r="AC1144" s="217"/>
      <c r="AD1144" s="217"/>
    </row>
    <row r="1145" spans="1:30" x14ac:dyDescent="0.2">
      <c r="A1145" s="232"/>
      <c r="B1145" s="210"/>
      <c r="C1145" s="210"/>
      <c r="D1145" s="210"/>
      <c r="E1145" s="210"/>
      <c r="G1145" s="55"/>
      <c r="H1145" s="56"/>
      <c r="I1145" s="217"/>
      <c r="J1145" s="217"/>
      <c r="K1145" s="217"/>
      <c r="L1145" s="217"/>
      <c r="M1145" s="217"/>
      <c r="N1145" s="217"/>
      <c r="O1145" s="217"/>
      <c r="P1145" s="217"/>
      <c r="Q1145" s="217"/>
      <c r="R1145" s="217"/>
      <c r="S1145" s="217"/>
      <c r="T1145" s="217"/>
      <c r="U1145" s="217"/>
      <c r="V1145" s="217"/>
      <c r="W1145" s="217"/>
      <c r="X1145" s="217"/>
      <c r="Y1145" s="217"/>
      <c r="Z1145" s="217"/>
      <c r="AA1145" s="217"/>
      <c r="AB1145" s="217"/>
      <c r="AC1145" s="217"/>
      <c r="AD1145" s="217"/>
    </row>
    <row r="1146" spans="1:30" x14ac:dyDescent="0.2">
      <c r="A1146" s="232"/>
      <c r="B1146" s="210"/>
      <c r="C1146" s="210"/>
      <c r="D1146" s="210"/>
      <c r="E1146" s="210"/>
      <c r="G1146" s="55"/>
      <c r="H1146" s="56"/>
      <c r="I1146" s="217"/>
      <c r="J1146" s="217"/>
      <c r="K1146" s="217"/>
      <c r="L1146" s="217"/>
      <c r="M1146" s="217"/>
      <c r="N1146" s="217"/>
      <c r="O1146" s="217"/>
      <c r="P1146" s="217"/>
      <c r="Q1146" s="217"/>
      <c r="R1146" s="217"/>
      <c r="S1146" s="217"/>
      <c r="T1146" s="217"/>
      <c r="U1146" s="217"/>
      <c r="V1146" s="217"/>
      <c r="W1146" s="217"/>
      <c r="X1146" s="217"/>
      <c r="Y1146" s="217"/>
      <c r="Z1146" s="217"/>
      <c r="AA1146" s="217"/>
      <c r="AB1146" s="217"/>
      <c r="AC1146" s="217"/>
      <c r="AD1146" s="217"/>
    </row>
    <row r="1147" spans="1:30" x14ac:dyDescent="0.2">
      <c r="A1147" s="232"/>
      <c r="B1147" s="210"/>
      <c r="C1147" s="210"/>
      <c r="D1147" s="210"/>
      <c r="E1147" s="210"/>
      <c r="G1147" s="55"/>
      <c r="H1147" s="56"/>
      <c r="I1147" s="217"/>
      <c r="J1147" s="217"/>
      <c r="K1147" s="217"/>
      <c r="L1147" s="217"/>
      <c r="M1147" s="217"/>
      <c r="N1147" s="217"/>
      <c r="O1147" s="217"/>
      <c r="P1147" s="217"/>
      <c r="Q1147" s="217"/>
      <c r="R1147" s="217"/>
      <c r="S1147" s="217"/>
      <c r="T1147" s="217"/>
      <c r="U1147" s="217"/>
      <c r="V1147" s="217"/>
      <c r="W1147" s="217"/>
      <c r="X1147" s="217"/>
      <c r="Y1147" s="217"/>
      <c r="Z1147" s="217"/>
      <c r="AA1147" s="217"/>
      <c r="AB1147" s="217"/>
      <c r="AC1147" s="217"/>
      <c r="AD1147" s="217"/>
    </row>
    <row r="1148" spans="1:30" x14ac:dyDescent="0.2">
      <c r="A1148" s="232"/>
      <c r="B1148" s="210"/>
      <c r="C1148" s="210"/>
      <c r="D1148" s="210"/>
      <c r="E1148" s="210"/>
      <c r="G1148" s="55"/>
      <c r="H1148" s="56"/>
      <c r="I1148" s="217"/>
      <c r="J1148" s="217"/>
      <c r="K1148" s="217"/>
      <c r="L1148" s="217"/>
      <c r="M1148" s="217"/>
      <c r="N1148" s="217"/>
      <c r="O1148" s="217"/>
      <c r="P1148" s="217"/>
      <c r="Q1148" s="217"/>
      <c r="R1148" s="217"/>
      <c r="S1148" s="217"/>
      <c r="T1148" s="217"/>
      <c r="U1148" s="217"/>
      <c r="V1148" s="217"/>
      <c r="W1148" s="217"/>
      <c r="X1148" s="217"/>
      <c r="Y1148" s="217"/>
      <c r="Z1148" s="217"/>
      <c r="AA1148" s="217"/>
      <c r="AB1148" s="217"/>
      <c r="AC1148" s="217"/>
      <c r="AD1148" s="217"/>
    </row>
    <row r="1149" spans="1:30" x14ac:dyDescent="0.2">
      <c r="A1149" s="232"/>
      <c r="B1149" s="210"/>
      <c r="C1149" s="210"/>
      <c r="D1149" s="210"/>
      <c r="E1149" s="210"/>
      <c r="G1149" s="55"/>
      <c r="H1149" s="56"/>
      <c r="I1149" s="217"/>
      <c r="J1149" s="217"/>
      <c r="K1149" s="217"/>
      <c r="L1149" s="217"/>
      <c r="M1149" s="217"/>
      <c r="N1149" s="217"/>
      <c r="O1149" s="217"/>
      <c r="P1149" s="217"/>
      <c r="Q1149" s="217"/>
      <c r="R1149" s="217"/>
      <c r="S1149" s="217"/>
      <c r="T1149" s="217"/>
      <c r="U1149" s="217"/>
      <c r="V1149" s="217"/>
      <c r="W1149" s="217"/>
      <c r="X1149" s="217"/>
      <c r="Y1149" s="217"/>
      <c r="Z1149" s="217"/>
      <c r="AA1149" s="217"/>
      <c r="AB1149" s="217"/>
      <c r="AC1149" s="217"/>
      <c r="AD1149" s="217"/>
    </row>
    <row r="1150" spans="1:30" x14ac:dyDescent="0.2">
      <c r="A1150" s="232"/>
      <c r="B1150" s="210"/>
      <c r="C1150" s="210"/>
      <c r="D1150" s="210"/>
      <c r="E1150" s="210"/>
      <c r="G1150" s="55"/>
      <c r="H1150" s="56"/>
      <c r="I1150" s="217"/>
      <c r="J1150" s="217"/>
      <c r="K1150" s="217"/>
      <c r="L1150" s="217"/>
      <c r="M1150" s="217"/>
      <c r="N1150" s="217"/>
      <c r="O1150" s="217"/>
      <c r="P1150" s="217"/>
      <c r="Q1150" s="217"/>
      <c r="R1150" s="217"/>
      <c r="S1150" s="217"/>
      <c r="T1150" s="217"/>
      <c r="U1150" s="217"/>
      <c r="V1150" s="217"/>
      <c r="W1150" s="217"/>
      <c r="X1150" s="217"/>
      <c r="Y1150" s="217"/>
      <c r="Z1150" s="217"/>
      <c r="AA1150" s="217"/>
      <c r="AB1150" s="217"/>
      <c r="AC1150" s="217"/>
      <c r="AD1150" s="217"/>
    </row>
    <row r="1151" spans="1:30" x14ac:dyDescent="0.2">
      <c r="A1151" s="232"/>
      <c r="B1151" s="210"/>
      <c r="C1151" s="210"/>
      <c r="D1151" s="210"/>
      <c r="E1151" s="210"/>
      <c r="G1151" s="55"/>
      <c r="H1151" s="56"/>
      <c r="I1151" s="217"/>
      <c r="J1151" s="217"/>
      <c r="K1151" s="217"/>
      <c r="L1151" s="217"/>
      <c r="M1151" s="217"/>
      <c r="N1151" s="217"/>
      <c r="O1151" s="217"/>
      <c r="P1151" s="217"/>
      <c r="Q1151" s="217"/>
      <c r="R1151" s="217"/>
      <c r="S1151" s="217"/>
      <c r="T1151" s="217"/>
      <c r="U1151" s="217"/>
      <c r="V1151" s="217"/>
      <c r="W1151" s="217"/>
      <c r="X1151" s="217"/>
      <c r="Y1151" s="217"/>
      <c r="Z1151" s="217"/>
      <c r="AA1151" s="217"/>
      <c r="AB1151" s="217"/>
      <c r="AC1151" s="217"/>
      <c r="AD1151" s="217"/>
    </row>
    <row r="1152" spans="1:30" x14ac:dyDescent="0.2">
      <c r="A1152" s="232"/>
      <c r="B1152" s="210"/>
      <c r="C1152" s="210"/>
      <c r="D1152" s="210"/>
      <c r="E1152" s="210"/>
      <c r="G1152" s="55"/>
      <c r="H1152" s="56"/>
      <c r="I1152" s="217"/>
      <c r="J1152" s="217"/>
      <c r="K1152" s="217"/>
      <c r="L1152" s="217"/>
      <c r="M1152" s="217"/>
      <c r="N1152" s="217"/>
      <c r="O1152" s="217"/>
      <c r="P1152" s="217"/>
      <c r="Q1152" s="217"/>
      <c r="R1152" s="217"/>
      <c r="S1152" s="217"/>
      <c r="T1152" s="217"/>
      <c r="U1152" s="217"/>
      <c r="V1152" s="217"/>
      <c r="W1152" s="217"/>
      <c r="X1152" s="217"/>
      <c r="Y1152" s="217"/>
      <c r="Z1152" s="217"/>
      <c r="AA1152" s="217"/>
      <c r="AB1152" s="217"/>
      <c r="AC1152" s="217"/>
      <c r="AD1152" s="217"/>
    </row>
    <row r="1153" spans="1:30" x14ac:dyDescent="0.2">
      <c r="A1153" s="232"/>
      <c r="B1153" s="210"/>
      <c r="C1153" s="210"/>
      <c r="D1153" s="210"/>
      <c r="E1153" s="210"/>
      <c r="G1153" s="55"/>
      <c r="H1153" s="56"/>
      <c r="I1153" s="217"/>
      <c r="J1153" s="217"/>
      <c r="K1153" s="217"/>
      <c r="L1153" s="217"/>
      <c r="M1153" s="217"/>
      <c r="N1153" s="217"/>
      <c r="O1153" s="217"/>
      <c r="P1153" s="217"/>
      <c r="Q1153" s="217"/>
      <c r="R1153" s="217"/>
      <c r="S1153" s="217"/>
      <c r="T1153" s="217"/>
      <c r="U1153" s="217"/>
      <c r="V1153" s="217"/>
      <c r="W1153" s="217"/>
      <c r="X1153" s="217"/>
      <c r="Y1153" s="217"/>
      <c r="Z1153" s="217"/>
      <c r="AA1153" s="217"/>
      <c r="AB1153" s="217"/>
      <c r="AC1153" s="217"/>
      <c r="AD1153" s="217"/>
    </row>
    <row r="1154" spans="1:30" x14ac:dyDescent="0.2">
      <c r="A1154" s="232"/>
      <c r="B1154" s="210"/>
      <c r="C1154" s="210"/>
      <c r="D1154" s="210"/>
      <c r="E1154" s="210"/>
      <c r="G1154" s="55"/>
      <c r="H1154" s="56"/>
      <c r="I1154" s="217"/>
      <c r="J1154" s="217"/>
      <c r="K1154" s="217"/>
      <c r="L1154" s="217"/>
      <c r="M1154" s="217"/>
      <c r="N1154" s="217"/>
      <c r="O1154" s="217"/>
      <c r="P1154" s="217"/>
      <c r="Q1154" s="217"/>
      <c r="R1154" s="217"/>
      <c r="S1154" s="217"/>
      <c r="T1154" s="217"/>
      <c r="U1154" s="217"/>
      <c r="V1154" s="217"/>
      <c r="W1154" s="217"/>
      <c r="X1154" s="217"/>
      <c r="Y1154" s="217"/>
      <c r="Z1154" s="217"/>
      <c r="AA1154" s="217"/>
      <c r="AB1154" s="217"/>
      <c r="AC1154" s="217"/>
      <c r="AD1154" s="217"/>
    </row>
    <row r="1155" spans="1:30" x14ac:dyDescent="0.2">
      <c r="A1155" s="232"/>
      <c r="B1155" s="210"/>
      <c r="C1155" s="210"/>
      <c r="D1155" s="210"/>
      <c r="E1155" s="210"/>
      <c r="G1155" s="55"/>
      <c r="H1155" s="56"/>
      <c r="I1155" s="217"/>
      <c r="J1155" s="217"/>
      <c r="K1155" s="217"/>
      <c r="L1155" s="217"/>
      <c r="M1155" s="217"/>
      <c r="N1155" s="217"/>
      <c r="O1155" s="217"/>
      <c r="P1155" s="217"/>
      <c r="Q1155" s="217"/>
      <c r="R1155" s="217"/>
      <c r="S1155" s="217"/>
      <c r="T1155" s="217"/>
      <c r="U1155" s="217"/>
      <c r="V1155" s="217"/>
      <c r="W1155" s="217"/>
      <c r="X1155" s="217"/>
      <c r="Y1155" s="217"/>
      <c r="Z1155" s="217"/>
      <c r="AA1155" s="217"/>
      <c r="AB1155" s="217"/>
      <c r="AC1155" s="217"/>
      <c r="AD1155" s="217"/>
    </row>
    <row r="1156" spans="1:30" x14ac:dyDescent="0.2">
      <c r="A1156" s="232"/>
      <c r="B1156" s="210"/>
      <c r="C1156" s="210"/>
      <c r="D1156" s="210"/>
      <c r="E1156" s="210"/>
      <c r="G1156" s="55"/>
      <c r="H1156" s="56"/>
      <c r="I1156" s="217"/>
      <c r="J1156" s="217"/>
      <c r="K1156" s="217"/>
      <c r="L1156" s="217"/>
      <c r="M1156" s="217"/>
      <c r="N1156" s="217"/>
      <c r="O1156" s="217"/>
      <c r="P1156" s="217"/>
      <c r="Q1156" s="217"/>
      <c r="R1156" s="217"/>
      <c r="S1156" s="217"/>
      <c r="T1156" s="217"/>
      <c r="U1156" s="217"/>
      <c r="V1156" s="217"/>
      <c r="W1156" s="217"/>
      <c r="X1156" s="217"/>
      <c r="Y1156" s="217"/>
      <c r="Z1156" s="217"/>
      <c r="AA1156" s="217"/>
      <c r="AB1156" s="217"/>
      <c r="AC1156" s="217"/>
      <c r="AD1156" s="217"/>
    </row>
    <row r="1157" spans="1:30" x14ac:dyDescent="0.2">
      <c r="A1157" s="232"/>
      <c r="B1157" s="210"/>
      <c r="C1157" s="210"/>
      <c r="D1157" s="210"/>
      <c r="E1157" s="210"/>
      <c r="G1157" s="55"/>
      <c r="H1157" s="56"/>
      <c r="I1157" s="217"/>
      <c r="J1157" s="217"/>
      <c r="K1157" s="217"/>
      <c r="L1157" s="217"/>
      <c r="M1157" s="217"/>
      <c r="N1157" s="217"/>
      <c r="O1157" s="217"/>
      <c r="P1157" s="217"/>
      <c r="Q1157" s="217"/>
      <c r="R1157" s="217"/>
      <c r="S1157" s="217"/>
      <c r="T1157" s="217"/>
      <c r="U1157" s="217"/>
      <c r="V1157" s="217"/>
      <c r="W1157" s="217"/>
      <c r="X1157" s="217"/>
      <c r="Y1157" s="217"/>
      <c r="Z1157" s="217"/>
      <c r="AA1157" s="217"/>
      <c r="AB1157" s="217"/>
      <c r="AC1157" s="217"/>
      <c r="AD1157" s="217"/>
    </row>
    <row r="1158" spans="1:30" x14ac:dyDescent="0.2">
      <c r="A1158" s="232"/>
      <c r="B1158" s="210"/>
      <c r="C1158" s="210"/>
      <c r="D1158" s="210"/>
      <c r="E1158" s="210"/>
      <c r="G1158" s="55"/>
      <c r="H1158" s="56"/>
      <c r="I1158" s="217"/>
      <c r="J1158" s="217"/>
      <c r="K1158" s="217"/>
      <c r="L1158" s="217"/>
      <c r="M1158" s="217"/>
      <c r="N1158" s="217"/>
      <c r="O1158" s="217"/>
      <c r="P1158" s="217"/>
      <c r="Q1158" s="217"/>
      <c r="R1158" s="217"/>
      <c r="S1158" s="217"/>
      <c r="T1158" s="217"/>
      <c r="U1158" s="217"/>
      <c r="V1158" s="217"/>
      <c r="W1158" s="217"/>
      <c r="X1158" s="217"/>
      <c r="Y1158" s="217"/>
      <c r="Z1158" s="217"/>
      <c r="AA1158" s="217"/>
      <c r="AB1158" s="217"/>
      <c r="AC1158" s="217"/>
      <c r="AD1158" s="217"/>
    </row>
    <row r="1159" spans="1:30" x14ac:dyDescent="0.2">
      <c r="A1159" s="232"/>
      <c r="B1159" s="210"/>
      <c r="C1159" s="210"/>
      <c r="D1159" s="210"/>
      <c r="E1159" s="210"/>
      <c r="G1159" s="55"/>
      <c r="H1159" s="56"/>
      <c r="I1159" s="217"/>
      <c r="J1159" s="217"/>
      <c r="K1159" s="217"/>
      <c r="L1159" s="217"/>
      <c r="M1159" s="217"/>
      <c r="N1159" s="217"/>
      <c r="O1159" s="217"/>
      <c r="P1159" s="217"/>
      <c r="Q1159" s="217"/>
      <c r="R1159" s="217"/>
      <c r="S1159" s="217"/>
      <c r="T1159" s="217"/>
      <c r="U1159" s="217"/>
      <c r="V1159" s="217"/>
      <c r="W1159" s="217"/>
      <c r="X1159" s="217"/>
      <c r="Y1159" s="217"/>
      <c r="Z1159" s="217"/>
      <c r="AA1159" s="217"/>
      <c r="AB1159" s="217"/>
      <c r="AC1159" s="217"/>
      <c r="AD1159" s="217"/>
    </row>
    <row r="1160" spans="1:30" x14ac:dyDescent="0.2">
      <c r="A1160" s="232"/>
      <c r="B1160" s="210"/>
      <c r="C1160" s="210"/>
      <c r="D1160" s="210"/>
      <c r="E1160" s="210"/>
      <c r="G1160" s="55"/>
      <c r="H1160" s="56"/>
      <c r="I1160" s="217"/>
      <c r="J1160" s="217"/>
      <c r="K1160" s="217"/>
      <c r="L1160" s="217"/>
      <c r="M1160" s="217"/>
      <c r="N1160" s="217"/>
      <c r="O1160" s="217"/>
      <c r="P1160" s="217"/>
      <c r="Q1160" s="217"/>
      <c r="R1160" s="217"/>
      <c r="S1160" s="217"/>
      <c r="T1160" s="217"/>
      <c r="U1160" s="217"/>
      <c r="V1160" s="217"/>
      <c r="W1160" s="217"/>
      <c r="X1160" s="217"/>
      <c r="Y1160" s="217"/>
      <c r="Z1160" s="217"/>
      <c r="AA1160" s="217"/>
      <c r="AB1160" s="217"/>
      <c r="AC1160" s="217"/>
      <c r="AD1160" s="217"/>
    </row>
    <row r="1161" spans="1:30" x14ac:dyDescent="0.2">
      <c r="A1161" s="232"/>
      <c r="B1161" s="210"/>
      <c r="C1161" s="210"/>
      <c r="D1161" s="210"/>
      <c r="E1161" s="210"/>
      <c r="G1161" s="55"/>
      <c r="H1161" s="56"/>
      <c r="I1161" s="217"/>
      <c r="J1161" s="217"/>
      <c r="K1161" s="217"/>
      <c r="L1161" s="217"/>
      <c r="M1161" s="217"/>
      <c r="N1161" s="217"/>
      <c r="O1161" s="217"/>
      <c r="P1161" s="217"/>
      <c r="Q1161" s="217"/>
      <c r="R1161" s="217"/>
      <c r="S1161" s="217"/>
      <c r="T1161" s="217"/>
      <c r="U1161" s="217"/>
      <c r="V1161" s="217"/>
      <c r="W1161" s="217"/>
      <c r="X1161" s="217"/>
      <c r="Y1161" s="217"/>
      <c r="Z1161" s="217"/>
      <c r="AA1161" s="217"/>
      <c r="AB1161" s="217"/>
      <c r="AC1161" s="217"/>
      <c r="AD1161" s="217"/>
    </row>
    <row r="1162" spans="1:30" x14ac:dyDescent="0.2">
      <c r="A1162" s="232"/>
      <c r="B1162" s="210"/>
      <c r="C1162" s="210"/>
      <c r="D1162" s="210"/>
      <c r="E1162" s="210"/>
      <c r="G1162" s="55"/>
      <c r="H1162" s="56"/>
      <c r="I1162" s="217"/>
      <c r="J1162" s="217"/>
      <c r="K1162" s="217"/>
      <c r="L1162" s="217"/>
      <c r="M1162" s="217"/>
      <c r="N1162" s="217"/>
      <c r="O1162" s="217"/>
      <c r="P1162" s="217"/>
      <c r="Q1162" s="217"/>
      <c r="R1162" s="217"/>
      <c r="S1162" s="217"/>
      <c r="T1162" s="217"/>
      <c r="U1162" s="217"/>
      <c r="V1162" s="217"/>
      <c r="W1162" s="217"/>
      <c r="X1162" s="217"/>
      <c r="Y1162" s="217"/>
      <c r="Z1162" s="217"/>
      <c r="AA1162" s="217"/>
      <c r="AB1162" s="217"/>
      <c r="AC1162" s="217"/>
      <c r="AD1162" s="217"/>
    </row>
    <row r="1163" spans="1:30" x14ac:dyDescent="0.2">
      <c r="A1163" s="232"/>
      <c r="B1163" s="210"/>
      <c r="C1163" s="210"/>
      <c r="D1163" s="210"/>
      <c r="E1163" s="210"/>
      <c r="G1163" s="55"/>
      <c r="H1163" s="56"/>
      <c r="I1163" s="217"/>
      <c r="J1163" s="217"/>
      <c r="K1163" s="217"/>
      <c r="L1163" s="217"/>
      <c r="M1163" s="217"/>
      <c r="N1163" s="217"/>
      <c r="O1163" s="217"/>
      <c r="P1163" s="217"/>
      <c r="Q1163" s="217"/>
      <c r="R1163" s="217"/>
      <c r="S1163" s="217"/>
      <c r="T1163" s="217"/>
      <c r="U1163" s="217"/>
      <c r="V1163" s="217"/>
      <c r="W1163" s="217"/>
      <c r="X1163" s="217"/>
      <c r="Y1163" s="217"/>
      <c r="Z1163" s="217"/>
      <c r="AA1163" s="217"/>
      <c r="AB1163" s="217"/>
      <c r="AC1163" s="217"/>
      <c r="AD1163" s="217"/>
    </row>
    <row r="1164" spans="1:30" x14ac:dyDescent="0.2">
      <c r="A1164" s="232"/>
      <c r="B1164" s="210"/>
      <c r="C1164" s="210"/>
      <c r="D1164" s="210"/>
      <c r="E1164" s="210"/>
      <c r="G1164" s="55"/>
      <c r="H1164" s="56"/>
      <c r="I1164" s="217"/>
      <c r="J1164" s="217"/>
      <c r="K1164" s="217"/>
      <c r="L1164" s="217"/>
      <c r="M1164" s="217"/>
      <c r="N1164" s="217"/>
      <c r="O1164" s="217"/>
      <c r="P1164" s="217"/>
      <c r="Q1164" s="217"/>
      <c r="R1164" s="217"/>
      <c r="S1164" s="217"/>
      <c r="T1164" s="217"/>
      <c r="U1164" s="217"/>
      <c r="V1164" s="217"/>
      <c r="W1164" s="217"/>
      <c r="X1164" s="217"/>
      <c r="Y1164" s="217"/>
      <c r="Z1164" s="217"/>
      <c r="AA1164" s="217"/>
      <c r="AB1164" s="217"/>
      <c r="AC1164" s="217"/>
      <c r="AD1164" s="217"/>
    </row>
    <row r="1165" spans="1:30" x14ac:dyDescent="0.2">
      <c r="A1165" s="232"/>
      <c r="B1165" s="210"/>
      <c r="C1165" s="210"/>
      <c r="D1165" s="210"/>
      <c r="E1165" s="210"/>
      <c r="G1165" s="55"/>
      <c r="H1165" s="56"/>
      <c r="I1165" s="217"/>
      <c r="J1165" s="217"/>
      <c r="K1165" s="217"/>
      <c r="L1165" s="217"/>
      <c r="M1165" s="217"/>
      <c r="N1165" s="217"/>
      <c r="O1165" s="217"/>
      <c r="P1165" s="217"/>
      <c r="Q1165" s="217"/>
      <c r="R1165" s="217"/>
      <c r="S1165" s="217"/>
      <c r="T1165" s="217"/>
      <c r="U1165" s="217"/>
      <c r="V1165" s="217"/>
      <c r="W1165" s="217"/>
      <c r="X1165" s="217"/>
      <c r="Y1165" s="217"/>
      <c r="Z1165" s="217"/>
      <c r="AA1165" s="217"/>
      <c r="AB1165" s="217"/>
      <c r="AC1165" s="217"/>
      <c r="AD1165" s="217"/>
    </row>
    <row r="1166" spans="1:30" x14ac:dyDescent="0.2">
      <c r="A1166" s="232"/>
      <c r="B1166" s="210"/>
      <c r="C1166" s="210"/>
      <c r="D1166" s="210"/>
      <c r="E1166" s="210"/>
      <c r="G1166" s="55"/>
      <c r="H1166" s="56"/>
      <c r="I1166" s="217"/>
      <c r="J1166" s="217"/>
      <c r="K1166" s="217"/>
      <c r="L1166" s="217"/>
      <c r="M1166" s="217"/>
      <c r="N1166" s="217"/>
      <c r="O1166" s="217"/>
      <c r="P1166" s="217"/>
      <c r="Q1166" s="217"/>
      <c r="R1166" s="217"/>
      <c r="S1166" s="217"/>
      <c r="T1166" s="217"/>
      <c r="U1166" s="217"/>
      <c r="V1166" s="217"/>
      <c r="W1166" s="217"/>
      <c r="X1166" s="217"/>
      <c r="Y1166" s="217"/>
      <c r="Z1166" s="217"/>
      <c r="AA1166" s="217"/>
      <c r="AB1166" s="217"/>
      <c r="AC1166" s="217"/>
      <c r="AD1166" s="217"/>
    </row>
    <row r="1167" spans="1:30" x14ac:dyDescent="0.2">
      <c r="A1167" s="232"/>
      <c r="B1167" s="210"/>
      <c r="C1167" s="210"/>
      <c r="D1167" s="210"/>
      <c r="E1167" s="210"/>
      <c r="G1167" s="55"/>
      <c r="H1167" s="56"/>
      <c r="I1167" s="217"/>
      <c r="J1167" s="217"/>
      <c r="K1167" s="217"/>
      <c r="L1167" s="217"/>
      <c r="M1167" s="217"/>
      <c r="N1167" s="217"/>
      <c r="O1167" s="217"/>
      <c r="P1167" s="217"/>
      <c r="Q1167" s="217"/>
      <c r="R1167" s="217"/>
      <c r="S1167" s="217"/>
      <c r="T1167" s="217"/>
      <c r="U1167" s="217"/>
      <c r="V1167" s="217"/>
      <c r="W1167" s="217"/>
      <c r="X1167" s="217"/>
      <c r="Y1167" s="217"/>
      <c r="Z1167" s="217"/>
      <c r="AA1167" s="217"/>
      <c r="AB1167" s="217"/>
      <c r="AC1167" s="217"/>
      <c r="AD1167" s="217"/>
    </row>
    <row r="1168" spans="1:30" x14ac:dyDescent="0.2">
      <c r="A1168" s="232"/>
      <c r="B1168" s="210"/>
      <c r="C1168" s="210"/>
      <c r="D1168" s="210"/>
      <c r="E1168" s="210"/>
      <c r="G1168" s="55"/>
      <c r="H1168" s="56"/>
      <c r="I1168" s="217"/>
      <c r="J1168" s="217"/>
      <c r="K1168" s="217"/>
      <c r="L1168" s="217"/>
      <c r="M1168" s="217"/>
      <c r="N1168" s="217"/>
      <c r="O1168" s="217"/>
      <c r="P1168" s="217"/>
      <c r="Q1168" s="217"/>
      <c r="R1168" s="217"/>
      <c r="S1168" s="217"/>
      <c r="T1168" s="217"/>
      <c r="U1168" s="217"/>
      <c r="V1168" s="217"/>
      <c r="W1168" s="217"/>
      <c r="X1168" s="217"/>
      <c r="Y1168" s="217"/>
      <c r="Z1168" s="217"/>
      <c r="AA1168" s="217"/>
      <c r="AB1168" s="217"/>
      <c r="AC1168" s="217"/>
      <c r="AD1168" s="217"/>
    </row>
    <row r="1169" spans="1:30" x14ac:dyDescent="0.2">
      <c r="A1169" s="232"/>
      <c r="B1169" s="210"/>
      <c r="C1169" s="210"/>
      <c r="D1169" s="210"/>
      <c r="E1169" s="210"/>
      <c r="G1169" s="55"/>
      <c r="H1169" s="56"/>
      <c r="I1169" s="217"/>
      <c r="J1169" s="217"/>
      <c r="K1169" s="217"/>
      <c r="L1169" s="217"/>
      <c r="M1169" s="217"/>
      <c r="N1169" s="217"/>
      <c r="O1169" s="217"/>
      <c r="P1169" s="217"/>
      <c r="Q1169" s="217"/>
      <c r="R1169" s="217"/>
      <c r="S1169" s="217"/>
      <c r="T1169" s="217"/>
      <c r="U1169" s="217"/>
      <c r="V1169" s="217"/>
      <c r="W1169" s="217"/>
      <c r="X1169" s="217"/>
      <c r="Y1169" s="217"/>
      <c r="Z1169" s="217"/>
      <c r="AA1169" s="217"/>
      <c r="AB1169" s="217"/>
      <c r="AC1169" s="217"/>
      <c r="AD1169" s="217"/>
    </row>
    <row r="1170" spans="1:30" x14ac:dyDescent="0.2">
      <c r="A1170" s="232"/>
      <c r="B1170" s="210"/>
      <c r="C1170" s="210"/>
      <c r="D1170" s="210"/>
      <c r="E1170" s="210"/>
      <c r="G1170" s="55"/>
      <c r="H1170" s="56"/>
      <c r="I1170" s="217"/>
      <c r="J1170" s="217"/>
      <c r="K1170" s="217"/>
      <c r="L1170" s="217"/>
      <c r="M1170" s="217"/>
      <c r="N1170" s="217"/>
      <c r="O1170" s="217"/>
      <c r="P1170" s="217"/>
      <c r="Q1170" s="217"/>
      <c r="R1170" s="217"/>
      <c r="S1170" s="217"/>
      <c r="T1170" s="217"/>
      <c r="U1170" s="217"/>
      <c r="V1170" s="217"/>
      <c r="W1170" s="217"/>
      <c r="X1170" s="217"/>
      <c r="Y1170" s="217"/>
      <c r="Z1170" s="217"/>
      <c r="AA1170" s="217"/>
      <c r="AB1170" s="217"/>
      <c r="AC1170" s="217"/>
      <c r="AD1170" s="217"/>
    </row>
    <row r="1171" spans="1:30" x14ac:dyDescent="0.2">
      <c r="A1171" s="232"/>
      <c r="B1171" s="210"/>
      <c r="C1171" s="210"/>
      <c r="D1171" s="210"/>
      <c r="E1171" s="210"/>
      <c r="G1171" s="55"/>
      <c r="H1171" s="56"/>
      <c r="I1171" s="217"/>
      <c r="J1171" s="217"/>
      <c r="K1171" s="217"/>
      <c r="L1171" s="217"/>
      <c r="M1171" s="217"/>
      <c r="N1171" s="217"/>
      <c r="O1171" s="217"/>
      <c r="P1171" s="217"/>
      <c r="Q1171" s="217"/>
      <c r="R1171" s="217"/>
      <c r="S1171" s="217"/>
      <c r="T1171" s="217"/>
      <c r="U1171" s="217"/>
      <c r="V1171" s="217"/>
      <c r="W1171" s="217"/>
      <c r="X1171" s="217"/>
      <c r="Y1171" s="217"/>
      <c r="Z1171" s="217"/>
      <c r="AA1171" s="217"/>
      <c r="AB1171" s="217"/>
      <c r="AC1171" s="217"/>
      <c r="AD1171" s="217"/>
    </row>
    <row r="1172" spans="1:30" x14ac:dyDescent="0.2">
      <c r="A1172" s="232"/>
      <c r="B1172" s="210"/>
      <c r="C1172" s="210"/>
      <c r="D1172" s="210"/>
      <c r="E1172" s="210"/>
      <c r="G1172" s="55"/>
      <c r="H1172" s="56"/>
      <c r="I1172" s="217"/>
      <c r="J1172" s="217"/>
      <c r="K1172" s="217"/>
      <c r="L1172" s="217"/>
      <c r="M1172" s="217"/>
      <c r="N1172" s="217"/>
      <c r="O1172" s="217"/>
      <c r="P1172" s="217"/>
      <c r="Q1172" s="217"/>
      <c r="R1172" s="217"/>
      <c r="S1172" s="217"/>
      <c r="T1172" s="217"/>
      <c r="U1172" s="217"/>
      <c r="V1172" s="217"/>
      <c r="W1172" s="217"/>
      <c r="X1172" s="217"/>
      <c r="Y1172" s="217"/>
      <c r="Z1172" s="217"/>
      <c r="AA1172" s="217"/>
      <c r="AB1172" s="217"/>
      <c r="AC1172" s="217"/>
      <c r="AD1172" s="217"/>
    </row>
    <row r="1173" spans="1:30" x14ac:dyDescent="0.2">
      <c r="A1173" s="232"/>
      <c r="B1173" s="210"/>
      <c r="C1173" s="210"/>
      <c r="D1173" s="210"/>
      <c r="E1173" s="210"/>
      <c r="G1173" s="55"/>
      <c r="H1173" s="56"/>
      <c r="I1173" s="217"/>
      <c r="J1173" s="217"/>
      <c r="K1173" s="217"/>
      <c r="L1173" s="217"/>
      <c r="M1173" s="217"/>
      <c r="N1173" s="217"/>
      <c r="O1173" s="217"/>
      <c r="P1173" s="217"/>
      <c r="Q1173" s="217"/>
      <c r="R1173" s="217"/>
      <c r="S1173" s="217"/>
      <c r="T1173" s="217"/>
      <c r="U1173" s="217"/>
      <c r="V1173" s="217"/>
      <c r="W1173" s="217"/>
      <c r="X1173" s="217"/>
      <c r="Y1173" s="217"/>
      <c r="Z1173" s="217"/>
      <c r="AA1173" s="217"/>
      <c r="AB1173" s="217"/>
      <c r="AC1173" s="217"/>
      <c r="AD1173" s="217"/>
    </row>
    <row r="1174" spans="1:30" x14ac:dyDescent="0.2">
      <c r="A1174" s="232"/>
      <c r="B1174" s="210"/>
      <c r="C1174" s="210"/>
      <c r="D1174" s="210"/>
      <c r="E1174" s="210"/>
      <c r="G1174" s="55"/>
      <c r="H1174" s="56"/>
      <c r="I1174" s="217"/>
      <c r="J1174" s="217"/>
      <c r="K1174" s="217"/>
      <c r="L1174" s="217"/>
      <c r="M1174" s="217"/>
      <c r="N1174" s="217"/>
      <c r="O1174" s="217"/>
      <c r="P1174" s="217"/>
      <c r="Q1174" s="217"/>
      <c r="R1174" s="217"/>
      <c r="S1174" s="217"/>
      <c r="T1174" s="217"/>
      <c r="U1174" s="217"/>
      <c r="V1174" s="217"/>
      <c r="W1174" s="217"/>
      <c r="X1174" s="217"/>
      <c r="Y1174" s="217"/>
      <c r="Z1174" s="217"/>
      <c r="AA1174" s="217"/>
      <c r="AB1174" s="217"/>
      <c r="AC1174" s="217"/>
      <c r="AD1174" s="217"/>
    </row>
    <row r="1175" spans="1:30" x14ac:dyDescent="0.2">
      <c r="A1175" s="232"/>
      <c r="B1175" s="210"/>
      <c r="C1175" s="210"/>
      <c r="D1175" s="210"/>
      <c r="E1175" s="210"/>
      <c r="G1175" s="55"/>
      <c r="H1175" s="56"/>
      <c r="I1175" s="217"/>
      <c r="J1175" s="217"/>
      <c r="K1175" s="217"/>
      <c r="L1175" s="217"/>
      <c r="M1175" s="217"/>
      <c r="N1175" s="217"/>
      <c r="O1175" s="217"/>
      <c r="P1175" s="217"/>
      <c r="Q1175" s="217"/>
      <c r="R1175" s="217"/>
      <c r="S1175" s="217"/>
      <c r="T1175" s="217"/>
      <c r="U1175" s="217"/>
      <c r="V1175" s="217"/>
      <c r="W1175" s="217"/>
      <c r="X1175" s="217"/>
      <c r="Y1175" s="217"/>
      <c r="Z1175" s="217"/>
      <c r="AA1175" s="217"/>
      <c r="AB1175" s="217"/>
      <c r="AC1175" s="217"/>
      <c r="AD1175" s="217"/>
    </row>
    <row r="1176" spans="1:30" x14ac:dyDescent="0.2">
      <c r="A1176" s="232"/>
      <c r="B1176" s="210"/>
      <c r="C1176" s="210"/>
      <c r="D1176" s="210"/>
      <c r="E1176" s="210"/>
      <c r="G1176" s="55"/>
      <c r="H1176" s="56"/>
      <c r="I1176" s="217"/>
      <c r="J1176" s="217"/>
      <c r="K1176" s="217"/>
      <c r="L1176" s="217"/>
      <c r="M1176" s="217"/>
      <c r="N1176" s="217"/>
      <c r="O1176" s="217"/>
      <c r="P1176" s="217"/>
      <c r="Q1176" s="217"/>
      <c r="R1176" s="217"/>
      <c r="S1176" s="217"/>
      <c r="T1176" s="217"/>
      <c r="U1176" s="217"/>
      <c r="V1176" s="217"/>
      <c r="W1176" s="217"/>
      <c r="X1176" s="217"/>
      <c r="Y1176" s="217"/>
      <c r="Z1176" s="217"/>
      <c r="AA1176" s="217"/>
      <c r="AB1176" s="217"/>
      <c r="AC1176" s="217"/>
      <c r="AD1176" s="217"/>
    </row>
    <row r="1177" spans="1:30" x14ac:dyDescent="0.2">
      <c r="A1177" s="232"/>
      <c r="B1177" s="210"/>
      <c r="C1177" s="210"/>
      <c r="D1177" s="210"/>
      <c r="E1177" s="210"/>
      <c r="G1177" s="55"/>
      <c r="H1177" s="56"/>
      <c r="I1177" s="217"/>
      <c r="J1177" s="217"/>
      <c r="K1177" s="217"/>
      <c r="L1177" s="217"/>
      <c r="M1177" s="217"/>
      <c r="N1177" s="217"/>
      <c r="O1177" s="217"/>
      <c r="P1177" s="217"/>
      <c r="Q1177" s="217"/>
      <c r="R1177" s="217"/>
      <c r="S1177" s="217"/>
      <c r="T1177" s="217"/>
      <c r="U1177" s="217"/>
      <c r="V1177" s="217"/>
      <c r="W1177" s="217"/>
      <c r="X1177" s="217"/>
      <c r="Y1177" s="217"/>
      <c r="Z1177" s="217"/>
      <c r="AA1177" s="217"/>
      <c r="AB1177" s="217"/>
      <c r="AC1177" s="217"/>
      <c r="AD1177" s="217"/>
    </row>
    <row r="1178" spans="1:30" x14ac:dyDescent="0.2">
      <c r="A1178" s="232"/>
      <c r="B1178" s="210"/>
      <c r="C1178" s="210"/>
      <c r="D1178" s="210"/>
      <c r="E1178" s="210"/>
      <c r="G1178" s="55"/>
      <c r="H1178" s="56"/>
      <c r="I1178" s="217"/>
      <c r="J1178" s="217"/>
      <c r="K1178" s="217"/>
      <c r="L1178" s="217"/>
      <c r="M1178" s="217"/>
      <c r="N1178" s="217"/>
      <c r="O1178" s="217"/>
      <c r="P1178" s="217"/>
      <c r="Q1178" s="217"/>
      <c r="R1178" s="217"/>
      <c r="S1178" s="217"/>
      <c r="T1178" s="217"/>
      <c r="U1178" s="217"/>
      <c r="V1178" s="217"/>
      <c r="W1178" s="217"/>
      <c r="X1178" s="217"/>
      <c r="Y1178" s="217"/>
      <c r="Z1178" s="217"/>
      <c r="AA1178" s="217"/>
      <c r="AB1178" s="217"/>
      <c r="AC1178" s="217"/>
      <c r="AD1178" s="217"/>
    </row>
    <row r="1179" spans="1:30" x14ac:dyDescent="0.2">
      <c r="A1179" s="232"/>
      <c r="B1179" s="210"/>
      <c r="C1179" s="210"/>
      <c r="D1179" s="210"/>
      <c r="E1179" s="210"/>
      <c r="G1179" s="55"/>
      <c r="H1179" s="56"/>
      <c r="I1179" s="217"/>
      <c r="J1179" s="217"/>
      <c r="K1179" s="217"/>
      <c r="L1179" s="217"/>
      <c r="M1179" s="217"/>
      <c r="N1179" s="217"/>
      <c r="O1179" s="217"/>
      <c r="P1179" s="217"/>
      <c r="Q1179" s="217"/>
      <c r="R1179" s="217"/>
      <c r="S1179" s="217"/>
      <c r="T1179" s="217"/>
      <c r="U1179" s="217"/>
      <c r="V1179" s="217"/>
      <c r="W1179" s="217"/>
      <c r="X1179" s="217"/>
      <c r="Y1179" s="217"/>
      <c r="Z1179" s="217"/>
      <c r="AA1179" s="217"/>
      <c r="AB1179" s="217"/>
      <c r="AC1179" s="217"/>
      <c r="AD1179" s="217"/>
    </row>
    <row r="1180" spans="1:30" x14ac:dyDescent="0.2">
      <c r="A1180" s="232"/>
      <c r="B1180" s="210"/>
      <c r="C1180" s="210"/>
      <c r="D1180" s="210"/>
      <c r="E1180" s="210"/>
      <c r="G1180" s="55"/>
      <c r="H1180" s="56"/>
      <c r="I1180" s="217"/>
      <c r="J1180" s="217"/>
      <c r="K1180" s="217"/>
      <c r="L1180" s="217"/>
      <c r="M1180" s="217"/>
      <c r="N1180" s="217"/>
      <c r="O1180" s="217"/>
      <c r="P1180" s="217"/>
      <c r="Q1180" s="217"/>
      <c r="R1180" s="217"/>
      <c r="S1180" s="217"/>
      <c r="T1180" s="217"/>
      <c r="U1180" s="217"/>
      <c r="V1180" s="217"/>
      <c r="W1180" s="217"/>
      <c r="X1180" s="217"/>
      <c r="Y1180" s="217"/>
      <c r="Z1180" s="217"/>
      <c r="AA1180" s="217"/>
      <c r="AB1180" s="217"/>
      <c r="AC1180" s="217"/>
      <c r="AD1180" s="217"/>
    </row>
    <row r="1181" spans="1:30" x14ac:dyDescent="0.2">
      <c r="A1181" s="232"/>
      <c r="B1181" s="210"/>
      <c r="C1181" s="210"/>
      <c r="D1181" s="210"/>
      <c r="E1181" s="210"/>
      <c r="G1181" s="55"/>
      <c r="H1181" s="56"/>
      <c r="I1181" s="217"/>
      <c r="J1181" s="217"/>
      <c r="K1181" s="217"/>
      <c r="L1181" s="217"/>
      <c r="M1181" s="217"/>
      <c r="N1181" s="217"/>
      <c r="O1181" s="217"/>
      <c r="P1181" s="217"/>
      <c r="Q1181" s="217"/>
      <c r="R1181" s="217"/>
      <c r="S1181" s="217"/>
      <c r="T1181" s="217"/>
      <c r="U1181" s="217"/>
      <c r="V1181" s="217"/>
      <c r="W1181" s="217"/>
      <c r="X1181" s="217"/>
      <c r="Y1181" s="217"/>
      <c r="Z1181" s="217"/>
      <c r="AA1181" s="217"/>
      <c r="AB1181" s="217"/>
      <c r="AC1181" s="217"/>
      <c r="AD1181" s="217"/>
    </row>
    <row r="1182" spans="1:30" x14ac:dyDescent="0.2">
      <c r="A1182" s="232"/>
      <c r="B1182" s="210"/>
      <c r="C1182" s="210"/>
      <c r="D1182" s="210"/>
      <c r="E1182" s="210"/>
      <c r="G1182" s="55"/>
      <c r="H1182" s="56"/>
      <c r="I1182" s="217"/>
      <c r="J1182" s="217"/>
      <c r="K1182" s="217"/>
      <c r="L1182" s="217"/>
      <c r="M1182" s="217"/>
      <c r="N1182" s="217"/>
      <c r="O1182" s="217"/>
      <c r="P1182" s="217"/>
      <c r="Q1182" s="217"/>
      <c r="R1182" s="217"/>
      <c r="S1182" s="217"/>
      <c r="T1182" s="217"/>
      <c r="U1182" s="217"/>
      <c r="V1182" s="217"/>
      <c r="W1182" s="217"/>
      <c r="X1182" s="217"/>
      <c r="Y1182" s="217"/>
      <c r="Z1182" s="217"/>
      <c r="AA1182" s="217"/>
      <c r="AB1182" s="217"/>
      <c r="AC1182" s="217"/>
      <c r="AD1182" s="217"/>
    </row>
    <row r="1183" spans="1:30" x14ac:dyDescent="0.2">
      <c r="A1183" s="232"/>
      <c r="B1183" s="210"/>
      <c r="C1183" s="210"/>
      <c r="D1183" s="210"/>
      <c r="E1183" s="210"/>
      <c r="G1183" s="55"/>
      <c r="H1183" s="56"/>
      <c r="I1183" s="217"/>
      <c r="J1183" s="217"/>
      <c r="K1183" s="217"/>
      <c r="L1183" s="217"/>
      <c r="M1183" s="217"/>
      <c r="N1183" s="217"/>
      <c r="O1183" s="217"/>
      <c r="P1183" s="217"/>
      <c r="Q1183" s="217"/>
      <c r="R1183" s="217"/>
      <c r="S1183" s="217"/>
      <c r="T1183" s="217"/>
      <c r="U1183" s="217"/>
      <c r="V1183" s="217"/>
      <c r="W1183" s="217"/>
      <c r="X1183" s="217"/>
      <c r="Y1183" s="217"/>
      <c r="Z1183" s="217"/>
      <c r="AA1183" s="217"/>
      <c r="AB1183" s="217"/>
      <c r="AC1183" s="217"/>
      <c r="AD1183" s="217"/>
    </row>
    <row r="1184" spans="1:30" x14ac:dyDescent="0.2">
      <c r="A1184" s="232"/>
      <c r="B1184" s="210"/>
      <c r="C1184" s="210"/>
      <c r="D1184" s="210"/>
      <c r="E1184" s="210"/>
      <c r="G1184" s="55"/>
      <c r="H1184" s="56"/>
      <c r="I1184" s="217"/>
      <c r="J1184" s="217"/>
      <c r="K1184" s="217"/>
      <c r="L1184" s="217"/>
      <c r="M1184" s="217"/>
      <c r="N1184" s="217"/>
      <c r="O1184" s="217"/>
      <c r="P1184" s="217"/>
      <c r="Q1184" s="217"/>
      <c r="R1184" s="217"/>
      <c r="S1184" s="217"/>
      <c r="T1184" s="217"/>
      <c r="U1184" s="217"/>
      <c r="V1184" s="217"/>
      <c r="W1184" s="217"/>
      <c r="X1184" s="217"/>
      <c r="Y1184" s="217"/>
      <c r="Z1184" s="217"/>
      <c r="AA1184" s="217"/>
      <c r="AB1184" s="217"/>
      <c r="AC1184" s="217"/>
      <c r="AD1184" s="217"/>
    </row>
    <row r="1185" spans="1:30" x14ac:dyDescent="0.2">
      <c r="A1185" s="232"/>
      <c r="B1185" s="210"/>
      <c r="C1185" s="210"/>
      <c r="D1185" s="210"/>
      <c r="E1185" s="210"/>
      <c r="G1185" s="55"/>
      <c r="H1185" s="56"/>
      <c r="I1185" s="217"/>
      <c r="J1185" s="217"/>
      <c r="K1185" s="217"/>
      <c r="L1185" s="217"/>
      <c r="M1185" s="217"/>
      <c r="N1185" s="217"/>
      <c r="O1185" s="217"/>
      <c r="P1185" s="217"/>
      <c r="Q1185" s="217"/>
      <c r="R1185" s="217"/>
      <c r="S1185" s="217"/>
      <c r="T1185" s="217"/>
      <c r="U1185" s="217"/>
      <c r="V1185" s="217"/>
      <c r="W1185" s="217"/>
      <c r="X1185" s="217"/>
      <c r="Y1185" s="217"/>
      <c r="Z1185" s="217"/>
      <c r="AA1185" s="217"/>
      <c r="AB1185" s="217"/>
      <c r="AC1185" s="217"/>
      <c r="AD1185" s="217"/>
    </row>
    <row r="1186" spans="1:30" x14ac:dyDescent="0.2">
      <c r="A1186" s="232"/>
      <c r="B1186" s="210"/>
      <c r="C1186" s="210"/>
      <c r="D1186" s="210"/>
      <c r="E1186" s="210"/>
      <c r="G1186" s="55"/>
      <c r="H1186" s="56"/>
      <c r="I1186" s="217"/>
      <c r="J1186" s="217"/>
      <c r="K1186" s="217"/>
      <c r="L1186" s="217"/>
      <c r="M1186" s="217"/>
      <c r="N1186" s="217"/>
      <c r="O1186" s="217"/>
      <c r="P1186" s="217"/>
      <c r="Q1186" s="217"/>
      <c r="R1186" s="217"/>
      <c r="S1186" s="217"/>
      <c r="T1186" s="217"/>
      <c r="U1186" s="217"/>
      <c r="V1186" s="217"/>
      <c r="W1186" s="217"/>
      <c r="X1186" s="217"/>
      <c r="Y1186" s="217"/>
      <c r="Z1186" s="217"/>
      <c r="AA1186" s="217"/>
      <c r="AB1186" s="217"/>
      <c r="AC1186" s="217"/>
      <c r="AD1186" s="217"/>
    </row>
    <row r="1187" spans="1:30" x14ac:dyDescent="0.2">
      <c r="A1187" s="232"/>
      <c r="B1187" s="210"/>
      <c r="C1187" s="210"/>
      <c r="D1187" s="210"/>
      <c r="E1187" s="210"/>
      <c r="G1187" s="55"/>
      <c r="H1187" s="56"/>
      <c r="I1187" s="217"/>
      <c r="J1187" s="217"/>
      <c r="K1187" s="217"/>
      <c r="L1187" s="217"/>
      <c r="M1187" s="217"/>
      <c r="N1187" s="217"/>
      <c r="O1187" s="217"/>
      <c r="P1187" s="217"/>
      <c r="Q1187" s="217"/>
      <c r="R1187" s="217"/>
      <c r="S1187" s="217"/>
      <c r="T1187" s="217"/>
      <c r="U1187" s="217"/>
      <c r="V1187" s="217"/>
      <c r="W1187" s="217"/>
      <c r="X1187" s="217"/>
      <c r="Y1187" s="217"/>
      <c r="Z1187" s="217"/>
      <c r="AA1187" s="217"/>
      <c r="AB1187" s="217"/>
      <c r="AC1187" s="217"/>
      <c r="AD1187" s="217"/>
    </row>
    <row r="1188" spans="1:30" x14ac:dyDescent="0.2">
      <c r="A1188" s="232"/>
      <c r="B1188" s="210"/>
      <c r="C1188" s="210"/>
      <c r="D1188" s="210"/>
      <c r="E1188" s="210"/>
      <c r="G1188" s="55"/>
      <c r="H1188" s="56"/>
      <c r="I1188" s="217"/>
      <c r="J1188" s="217"/>
      <c r="K1188" s="217"/>
      <c r="L1188" s="217"/>
      <c r="M1188" s="217"/>
      <c r="N1188" s="217"/>
      <c r="O1188" s="217"/>
      <c r="P1188" s="217"/>
      <c r="Q1188" s="217"/>
      <c r="R1188" s="217"/>
      <c r="S1188" s="217"/>
      <c r="T1188" s="217"/>
      <c r="U1188" s="217"/>
      <c r="V1188" s="217"/>
      <c r="W1188" s="217"/>
      <c r="X1188" s="217"/>
      <c r="Y1188" s="217"/>
      <c r="Z1188" s="217"/>
      <c r="AA1188" s="217"/>
      <c r="AB1188" s="217"/>
      <c r="AC1188" s="217"/>
      <c r="AD1188" s="217"/>
    </row>
    <row r="1189" spans="1:30" x14ac:dyDescent="0.2">
      <c r="A1189" s="232"/>
      <c r="B1189" s="210"/>
      <c r="C1189" s="210"/>
      <c r="D1189" s="210"/>
      <c r="E1189" s="210"/>
      <c r="G1189" s="55"/>
      <c r="H1189" s="56"/>
      <c r="I1189" s="217"/>
      <c r="J1189" s="217"/>
      <c r="K1189" s="217"/>
      <c r="L1189" s="217"/>
      <c r="M1189" s="217"/>
      <c r="N1189" s="217"/>
      <c r="O1189" s="217"/>
      <c r="P1189" s="217"/>
      <c r="Q1189" s="217"/>
      <c r="R1189" s="217"/>
      <c r="S1189" s="217"/>
      <c r="T1189" s="217"/>
      <c r="U1189" s="217"/>
      <c r="V1189" s="217"/>
      <c r="W1189" s="217"/>
      <c r="X1189" s="217"/>
      <c r="Y1189" s="217"/>
      <c r="Z1189" s="217"/>
      <c r="AA1189" s="217"/>
      <c r="AB1189" s="217"/>
      <c r="AC1189" s="217"/>
      <c r="AD1189" s="217"/>
    </row>
    <row r="1190" spans="1:30" x14ac:dyDescent="0.2">
      <c r="A1190" s="232"/>
      <c r="B1190" s="210"/>
      <c r="C1190" s="210"/>
      <c r="D1190" s="210"/>
      <c r="E1190" s="210"/>
      <c r="G1190" s="55"/>
      <c r="H1190" s="56"/>
      <c r="I1190" s="217"/>
      <c r="J1190" s="217"/>
      <c r="K1190" s="217"/>
      <c r="L1190" s="217"/>
      <c r="M1190" s="217"/>
      <c r="N1190" s="217"/>
      <c r="O1190" s="217"/>
      <c r="P1190" s="217"/>
      <c r="Q1190" s="217"/>
      <c r="R1190" s="217"/>
      <c r="S1190" s="217"/>
      <c r="T1190" s="217"/>
      <c r="U1190" s="217"/>
      <c r="V1190" s="217"/>
      <c r="W1190" s="217"/>
      <c r="X1190" s="217"/>
      <c r="Y1190" s="217"/>
      <c r="Z1190" s="217"/>
      <c r="AA1190" s="217"/>
      <c r="AB1190" s="217"/>
      <c r="AC1190" s="217"/>
      <c r="AD1190" s="217"/>
    </row>
    <row r="1191" spans="1:30" x14ac:dyDescent="0.2">
      <c r="A1191" s="232"/>
      <c r="B1191" s="210"/>
      <c r="C1191" s="210"/>
      <c r="D1191" s="210"/>
      <c r="E1191" s="210"/>
      <c r="G1191" s="55"/>
      <c r="H1191" s="56"/>
      <c r="I1191" s="217"/>
      <c r="J1191" s="217"/>
      <c r="K1191" s="217"/>
      <c r="L1191" s="217"/>
      <c r="M1191" s="217"/>
      <c r="N1191" s="217"/>
      <c r="O1191" s="217"/>
      <c r="P1191" s="217"/>
      <c r="Q1191" s="217"/>
      <c r="R1191" s="217"/>
      <c r="S1191" s="217"/>
      <c r="T1191" s="217"/>
      <c r="U1191" s="217"/>
      <c r="V1191" s="217"/>
      <c r="W1191" s="217"/>
      <c r="X1191" s="217"/>
      <c r="Y1191" s="217"/>
      <c r="Z1191" s="217"/>
      <c r="AA1191" s="217"/>
      <c r="AB1191" s="217"/>
      <c r="AC1191" s="217"/>
      <c r="AD1191" s="217"/>
    </row>
    <row r="1192" spans="1:30" x14ac:dyDescent="0.2">
      <c r="A1192" s="232"/>
      <c r="B1192" s="210"/>
      <c r="C1192" s="210"/>
      <c r="D1192" s="210"/>
      <c r="E1192" s="210"/>
      <c r="G1192" s="55"/>
      <c r="H1192" s="56"/>
      <c r="I1192" s="217"/>
      <c r="J1192" s="217"/>
      <c r="K1192" s="217"/>
      <c r="L1192" s="217"/>
      <c r="M1192" s="217"/>
      <c r="N1192" s="217"/>
      <c r="O1192" s="217"/>
      <c r="P1192" s="217"/>
      <c r="Q1192" s="217"/>
      <c r="R1192" s="217"/>
      <c r="S1192" s="217"/>
      <c r="T1192" s="217"/>
      <c r="U1192" s="217"/>
      <c r="V1192" s="217"/>
      <c r="W1192" s="217"/>
      <c r="X1192" s="217"/>
      <c r="Y1192" s="217"/>
      <c r="Z1192" s="217"/>
      <c r="AA1192" s="217"/>
      <c r="AB1192" s="217"/>
      <c r="AC1192" s="217"/>
      <c r="AD1192" s="217"/>
    </row>
    <row r="1193" spans="1:30" x14ac:dyDescent="0.2">
      <c r="A1193" s="232"/>
      <c r="B1193" s="210"/>
      <c r="C1193" s="210"/>
      <c r="D1193" s="210"/>
      <c r="E1193" s="210"/>
      <c r="G1193" s="55"/>
      <c r="H1193" s="56"/>
      <c r="I1193" s="217"/>
      <c r="J1193" s="217"/>
      <c r="K1193" s="217"/>
      <c r="L1193" s="217"/>
      <c r="M1193" s="217"/>
      <c r="N1193" s="217"/>
      <c r="O1193" s="217"/>
      <c r="P1193" s="217"/>
      <c r="Q1193" s="217"/>
      <c r="R1193" s="217"/>
      <c r="S1193" s="217"/>
      <c r="T1193" s="217"/>
      <c r="U1193" s="217"/>
      <c r="V1193" s="217"/>
      <c r="W1193" s="217"/>
      <c r="X1193" s="217"/>
      <c r="Y1193" s="217"/>
      <c r="Z1193" s="217"/>
      <c r="AA1193" s="217"/>
      <c r="AB1193" s="217"/>
      <c r="AC1193" s="217"/>
      <c r="AD1193" s="217"/>
    </row>
    <row r="1194" spans="1:30" x14ac:dyDescent="0.2">
      <c r="A1194" s="232"/>
      <c r="B1194" s="210"/>
      <c r="C1194" s="210"/>
      <c r="D1194" s="210"/>
      <c r="E1194" s="210"/>
      <c r="G1194" s="55"/>
      <c r="H1194" s="56"/>
      <c r="I1194" s="217"/>
      <c r="J1194" s="217"/>
      <c r="K1194" s="217"/>
      <c r="L1194" s="217"/>
      <c r="M1194" s="217"/>
      <c r="N1194" s="217"/>
      <c r="O1194" s="217"/>
      <c r="P1194" s="217"/>
      <c r="Q1194" s="217"/>
      <c r="R1194" s="217"/>
      <c r="S1194" s="217"/>
      <c r="T1194" s="217"/>
      <c r="U1194" s="217"/>
      <c r="V1194" s="217"/>
      <c r="W1194" s="217"/>
      <c r="X1194" s="217"/>
      <c r="Y1194" s="217"/>
      <c r="Z1194" s="217"/>
      <c r="AA1194" s="217"/>
      <c r="AB1194" s="217"/>
      <c r="AC1194" s="217"/>
      <c r="AD1194" s="217"/>
    </row>
    <row r="1195" spans="1:30" x14ac:dyDescent="0.2">
      <c r="A1195" s="232"/>
      <c r="B1195" s="210"/>
      <c r="C1195" s="210"/>
      <c r="D1195" s="210"/>
      <c r="E1195" s="210"/>
      <c r="G1195" s="55"/>
      <c r="H1195" s="56"/>
      <c r="I1195" s="217"/>
      <c r="J1195" s="217"/>
      <c r="K1195" s="217"/>
      <c r="L1195" s="217"/>
      <c r="M1195" s="217"/>
      <c r="N1195" s="217"/>
      <c r="O1195" s="217"/>
      <c r="P1195" s="217"/>
      <c r="Q1195" s="217"/>
      <c r="R1195" s="217"/>
      <c r="S1195" s="217"/>
      <c r="T1195" s="217"/>
      <c r="U1195" s="217"/>
      <c r="V1195" s="217"/>
      <c r="W1195" s="217"/>
      <c r="X1195" s="217"/>
      <c r="Y1195" s="217"/>
      <c r="Z1195" s="217"/>
      <c r="AA1195" s="217"/>
      <c r="AB1195" s="217"/>
      <c r="AC1195" s="217"/>
      <c r="AD1195" s="217"/>
    </row>
    <row r="1196" spans="1:30" x14ac:dyDescent="0.2">
      <c r="A1196" s="232"/>
      <c r="B1196" s="210"/>
      <c r="C1196" s="210"/>
      <c r="D1196" s="210"/>
      <c r="E1196" s="210"/>
      <c r="G1196" s="55"/>
      <c r="H1196" s="56"/>
      <c r="I1196" s="217"/>
      <c r="J1196" s="217"/>
      <c r="K1196" s="217"/>
      <c r="L1196" s="217"/>
      <c r="M1196" s="217"/>
      <c r="N1196" s="217"/>
      <c r="O1196" s="217"/>
      <c r="P1196" s="217"/>
      <c r="Q1196" s="217"/>
      <c r="R1196" s="217"/>
      <c r="S1196" s="217"/>
      <c r="T1196" s="217"/>
      <c r="U1196" s="217"/>
      <c r="V1196" s="217"/>
      <c r="W1196" s="217"/>
      <c r="X1196" s="217"/>
      <c r="Y1196" s="217"/>
      <c r="Z1196" s="217"/>
      <c r="AA1196" s="217"/>
      <c r="AB1196" s="217"/>
      <c r="AC1196" s="217"/>
      <c r="AD1196" s="217"/>
    </row>
    <row r="1197" spans="1:30" x14ac:dyDescent="0.2">
      <c r="A1197" s="232"/>
      <c r="B1197" s="210"/>
      <c r="C1197" s="210"/>
      <c r="D1197" s="210"/>
      <c r="E1197" s="210"/>
      <c r="G1197" s="55"/>
      <c r="H1197" s="56"/>
      <c r="I1197" s="217"/>
      <c r="J1197" s="217"/>
      <c r="K1197" s="217"/>
      <c r="L1197" s="217"/>
      <c r="M1197" s="217"/>
      <c r="N1197" s="217"/>
      <c r="O1197" s="217"/>
      <c r="P1197" s="217"/>
      <c r="Q1197" s="217"/>
      <c r="R1197" s="217"/>
      <c r="S1197" s="217"/>
      <c r="T1197" s="217"/>
      <c r="U1197" s="217"/>
      <c r="V1197" s="217"/>
      <c r="W1197" s="217"/>
      <c r="X1197" s="217"/>
      <c r="Y1197" s="217"/>
      <c r="Z1197" s="217"/>
      <c r="AA1197" s="217"/>
      <c r="AB1197" s="217"/>
      <c r="AC1197" s="217"/>
      <c r="AD1197" s="217"/>
    </row>
    <row r="1198" spans="1:30" x14ac:dyDescent="0.2">
      <c r="A1198" s="232"/>
      <c r="B1198" s="210"/>
      <c r="C1198" s="210"/>
      <c r="D1198" s="210"/>
      <c r="E1198" s="210"/>
      <c r="G1198" s="55"/>
      <c r="H1198" s="56"/>
      <c r="I1198" s="217"/>
      <c r="J1198" s="217"/>
      <c r="K1198" s="217"/>
      <c r="L1198" s="217"/>
      <c r="M1198" s="217"/>
      <c r="N1198" s="217"/>
      <c r="O1198" s="217"/>
      <c r="P1198" s="217"/>
      <c r="Q1198" s="217"/>
      <c r="R1198" s="217"/>
      <c r="S1198" s="217"/>
      <c r="T1198" s="217"/>
      <c r="U1198" s="217"/>
      <c r="V1198" s="217"/>
      <c r="W1198" s="217"/>
      <c r="X1198" s="217"/>
      <c r="Y1198" s="217"/>
      <c r="Z1198" s="217"/>
      <c r="AA1198" s="217"/>
      <c r="AB1198" s="217"/>
      <c r="AC1198" s="217"/>
      <c r="AD1198" s="217"/>
    </row>
    <row r="1199" spans="1:30" x14ac:dyDescent="0.2">
      <c r="A1199" s="232"/>
      <c r="B1199" s="210"/>
      <c r="C1199" s="210"/>
      <c r="D1199" s="210"/>
      <c r="E1199" s="210"/>
      <c r="G1199" s="55"/>
      <c r="H1199" s="56"/>
      <c r="I1199" s="217"/>
      <c r="J1199" s="217"/>
      <c r="K1199" s="217"/>
      <c r="L1199" s="217"/>
      <c r="M1199" s="217"/>
      <c r="N1199" s="217"/>
      <c r="O1199" s="217"/>
      <c r="P1199" s="217"/>
      <c r="Q1199" s="217"/>
      <c r="R1199" s="217"/>
      <c r="S1199" s="217"/>
      <c r="T1199" s="217"/>
      <c r="U1199" s="217"/>
      <c r="V1199" s="217"/>
      <c r="W1199" s="217"/>
      <c r="X1199" s="217"/>
      <c r="Y1199" s="217"/>
      <c r="Z1199" s="217"/>
      <c r="AA1199" s="217"/>
      <c r="AB1199" s="217"/>
      <c r="AC1199" s="217"/>
      <c r="AD1199" s="217"/>
    </row>
    <row r="1200" spans="1:30" x14ac:dyDescent="0.2">
      <c r="A1200" s="232"/>
      <c r="B1200" s="210"/>
      <c r="C1200" s="210"/>
      <c r="D1200" s="210"/>
      <c r="E1200" s="210"/>
      <c r="G1200" s="55"/>
      <c r="H1200" s="56"/>
      <c r="I1200" s="217"/>
      <c r="J1200" s="217"/>
      <c r="K1200" s="217"/>
      <c r="L1200" s="217"/>
      <c r="M1200" s="217"/>
      <c r="N1200" s="217"/>
      <c r="O1200" s="217"/>
      <c r="P1200" s="217"/>
      <c r="Q1200" s="217"/>
      <c r="R1200" s="217"/>
      <c r="S1200" s="217"/>
      <c r="T1200" s="217"/>
      <c r="U1200" s="217"/>
      <c r="V1200" s="217"/>
      <c r="W1200" s="217"/>
      <c r="X1200" s="217"/>
      <c r="Y1200" s="217"/>
      <c r="Z1200" s="217"/>
      <c r="AA1200" s="217"/>
      <c r="AB1200" s="217"/>
      <c r="AC1200" s="217"/>
      <c r="AD1200" s="217"/>
    </row>
    <row r="1201" spans="1:30" x14ac:dyDescent="0.2">
      <c r="A1201" s="232"/>
      <c r="B1201" s="210"/>
      <c r="C1201" s="210"/>
      <c r="D1201" s="210"/>
      <c r="E1201" s="210"/>
      <c r="G1201" s="55"/>
      <c r="H1201" s="56"/>
      <c r="I1201" s="217"/>
      <c r="J1201" s="217"/>
      <c r="K1201" s="217"/>
      <c r="L1201" s="217"/>
      <c r="M1201" s="217"/>
      <c r="N1201" s="217"/>
      <c r="O1201" s="217"/>
      <c r="P1201" s="217"/>
      <c r="Q1201" s="217"/>
      <c r="R1201" s="217"/>
      <c r="S1201" s="217"/>
      <c r="T1201" s="217"/>
      <c r="U1201" s="217"/>
      <c r="V1201" s="217"/>
      <c r="W1201" s="217"/>
      <c r="X1201" s="217"/>
      <c r="Y1201" s="217"/>
      <c r="Z1201" s="217"/>
      <c r="AA1201" s="217"/>
      <c r="AB1201" s="217"/>
      <c r="AC1201" s="217"/>
      <c r="AD1201" s="217"/>
    </row>
    <row r="1202" spans="1:30" x14ac:dyDescent="0.2">
      <c r="A1202" s="232"/>
      <c r="B1202" s="210"/>
      <c r="C1202" s="210"/>
      <c r="D1202" s="210"/>
      <c r="E1202" s="210"/>
      <c r="G1202" s="55"/>
      <c r="H1202" s="56"/>
      <c r="I1202" s="217"/>
      <c r="J1202" s="217"/>
      <c r="K1202" s="217"/>
      <c r="L1202" s="217"/>
      <c r="M1202" s="217"/>
      <c r="N1202" s="217"/>
      <c r="O1202" s="217"/>
      <c r="P1202" s="217"/>
      <c r="Q1202" s="217"/>
      <c r="R1202" s="217"/>
      <c r="S1202" s="217"/>
      <c r="T1202" s="217"/>
      <c r="U1202" s="217"/>
      <c r="V1202" s="217"/>
      <c r="W1202" s="217"/>
      <c r="X1202" s="217"/>
      <c r="Y1202" s="217"/>
      <c r="Z1202" s="217"/>
      <c r="AA1202" s="217"/>
      <c r="AB1202" s="217"/>
      <c r="AC1202" s="217"/>
      <c r="AD1202" s="217"/>
    </row>
    <row r="1203" spans="1:30" x14ac:dyDescent="0.2">
      <c r="A1203" s="232"/>
      <c r="B1203" s="210"/>
      <c r="C1203" s="210"/>
      <c r="D1203" s="210"/>
      <c r="E1203" s="210"/>
      <c r="G1203" s="55"/>
      <c r="H1203" s="56"/>
      <c r="I1203" s="217"/>
      <c r="J1203" s="217"/>
      <c r="K1203" s="217"/>
      <c r="L1203" s="217"/>
      <c r="M1203" s="217"/>
      <c r="N1203" s="217"/>
      <c r="O1203" s="217"/>
      <c r="P1203" s="217"/>
      <c r="Q1203" s="217"/>
      <c r="R1203" s="217"/>
      <c r="S1203" s="217"/>
      <c r="T1203" s="217"/>
      <c r="U1203" s="217"/>
      <c r="V1203" s="217"/>
      <c r="W1203" s="217"/>
      <c r="X1203" s="217"/>
      <c r="Y1203" s="217"/>
      <c r="Z1203" s="217"/>
      <c r="AA1203" s="217"/>
      <c r="AB1203" s="217"/>
      <c r="AC1203" s="217"/>
      <c r="AD1203" s="217"/>
    </row>
    <row r="1204" spans="1:30" x14ac:dyDescent="0.2">
      <c r="A1204" s="232"/>
      <c r="B1204" s="210"/>
      <c r="C1204" s="210"/>
      <c r="D1204" s="210"/>
      <c r="E1204" s="210"/>
      <c r="G1204" s="55"/>
      <c r="H1204" s="56"/>
      <c r="I1204" s="217"/>
      <c r="J1204" s="217"/>
      <c r="K1204" s="217"/>
      <c r="L1204" s="217"/>
      <c r="M1204" s="217"/>
      <c r="N1204" s="217"/>
      <c r="O1204" s="217"/>
      <c r="P1204" s="217"/>
      <c r="Q1204" s="217"/>
      <c r="R1204" s="217"/>
      <c r="S1204" s="217"/>
      <c r="T1204" s="217"/>
      <c r="U1204" s="217"/>
      <c r="V1204" s="217"/>
      <c r="W1204" s="217"/>
      <c r="X1204" s="217"/>
      <c r="Y1204" s="217"/>
      <c r="Z1204" s="217"/>
      <c r="AA1204" s="217"/>
      <c r="AB1204" s="217"/>
      <c r="AC1204" s="217"/>
      <c r="AD1204" s="217"/>
    </row>
    <row r="1205" spans="1:30" x14ac:dyDescent="0.2">
      <c r="A1205" s="232"/>
      <c r="B1205" s="210"/>
      <c r="C1205" s="210"/>
      <c r="D1205" s="210"/>
      <c r="E1205" s="210"/>
      <c r="G1205" s="55"/>
      <c r="H1205" s="56"/>
      <c r="I1205" s="217"/>
      <c r="J1205" s="217"/>
      <c r="K1205" s="217"/>
      <c r="L1205" s="217"/>
      <c r="M1205" s="217"/>
      <c r="N1205" s="217"/>
      <c r="O1205" s="217"/>
      <c r="P1205" s="217"/>
      <c r="Q1205" s="217"/>
      <c r="R1205" s="217"/>
      <c r="S1205" s="217"/>
      <c r="T1205" s="217"/>
      <c r="U1205" s="217"/>
      <c r="V1205" s="217"/>
      <c r="W1205" s="217"/>
      <c r="X1205" s="217"/>
      <c r="Y1205" s="217"/>
      <c r="Z1205" s="217"/>
      <c r="AA1205" s="217"/>
      <c r="AB1205" s="217"/>
      <c r="AC1205" s="217"/>
      <c r="AD1205" s="217"/>
    </row>
    <row r="1206" spans="1:30" x14ac:dyDescent="0.2">
      <c r="A1206" s="232"/>
      <c r="B1206" s="210"/>
      <c r="C1206" s="210"/>
      <c r="D1206" s="210"/>
      <c r="E1206" s="210"/>
      <c r="G1206" s="55"/>
      <c r="H1206" s="56"/>
      <c r="I1206" s="217"/>
      <c r="J1206" s="217"/>
      <c r="K1206" s="217"/>
      <c r="L1206" s="217"/>
      <c r="M1206" s="217"/>
      <c r="N1206" s="217"/>
      <c r="O1206" s="217"/>
      <c r="P1206" s="217"/>
      <c r="Q1206" s="217"/>
      <c r="R1206" s="217"/>
      <c r="S1206" s="217"/>
      <c r="T1206" s="217"/>
      <c r="U1206" s="217"/>
      <c r="V1206" s="217"/>
      <c r="W1206" s="217"/>
      <c r="X1206" s="217"/>
      <c r="Y1206" s="217"/>
      <c r="Z1206" s="217"/>
      <c r="AA1206" s="217"/>
      <c r="AB1206" s="217"/>
      <c r="AC1206" s="217"/>
      <c r="AD1206" s="217"/>
    </row>
    <row r="1207" spans="1:30" x14ac:dyDescent="0.2">
      <c r="A1207" s="232"/>
      <c r="B1207" s="210"/>
      <c r="C1207" s="210"/>
      <c r="D1207" s="210"/>
      <c r="E1207" s="210"/>
      <c r="G1207" s="55"/>
      <c r="H1207" s="56"/>
      <c r="I1207" s="217"/>
      <c r="J1207" s="217"/>
      <c r="K1207" s="217"/>
      <c r="L1207" s="217"/>
      <c r="M1207" s="217"/>
      <c r="N1207" s="217"/>
      <c r="O1207" s="217"/>
      <c r="P1207" s="217"/>
      <c r="Q1207" s="217"/>
      <c r="R1207" s="217"/>
      <c r="S1207" s="217"/>
      <c r="T1207" s="217"/>
      <c r="U1207" s="217"/>
      <c r="V1207" s="217"/>
      <c r="W1207" s="217"/>
      <c r="X1207" s="217"/>
      <c r="Y1207" s="217"/>
      <c r="Z1207" s="217"/>
      <c r="AA1207" s="217"/>
      <c r="AB1207" s="217"/>
      <c r="AC1207" s="217"/>
      <c r="AD1207" s="217"/>
    </row>
    <row r="1208" spans="1:30" x14ac:dyDescent="0.2">
      <c r="A1208" s="232"/>
      <c r="B1208" s="210"/>
      <c r="C1208" s="210"/>
      <c r="D1208" s="210"/>
      <c r="E1208" s="210"/>
      <c r="G1208" s="55"/>
      <c r="H1208" s="56"/>
      <c r="I1208" s="217"/>
      <c r="J1208" s="217"/>
      <c r="K1208" s="217"/>
      <c r="L1208" s="217"/>
      <c r="M1208" s="217"/>
      <c r="N1208" s="217"/>
      <c r="O1208" s="217"/>
      <c r="P1208" s="217"/>
      <c r="Q1208" s="217"/>
      <c r="R1208" s="217"/>
      <c r="S1208" s="217"/>
      <c r="T1208" s="217"/>
      <c r="U1208" s="217"/>
      <c r="V1208" s="217"/>
      <c r="W1208" s="217"/>
      <c r="X1208" s="217"/>
      <c r="Y1208" s="217"/>
      <c r="Z1208" s="217"/>
      <c r="AA1208" s="217"/>
      <c r="AB1208" s="217"/>
      <c r="AC1208" s="217"/>
      <c r="AD1208" s="217"/>
    </row>
    <row r="1209" spans="1:30" x14ac:dyDescent="0.2">
      <c r="A1209" s="232"/>
      <c r="B1209" s="210"/>
      <c r="C1209" s="210"/>
      <c r="D1209" s="210"/>
      <c r="E1209" s="210"/>
      <c r="G1209" s="55"/>
      <c r="H1209" s="56"/>
      <c r="I1209" s="217"/>
      <c r="J1209" s="217"/>
      <c r="K1209" s="217"/>
      <c r="L1209" s="217"/>
      <c r="M1209" s="217"/>
      <c r="N1209" s="217"/>
      <c r="O1209" s="217"/>
      <c r="P1209" s="217"/>
      <c r="Q1209" s="217"/>
      <c r="R1209" s="217"/>
      <c r="S1209" s="217"/>
      <c r="T1209" s="217"/>
      <c r="U1209" s="217"/>
      <c r="V1209" s="217"/>
      <c r="W1209" s="217"/>
      <c r="X1209" s="217"/>
      <c r="Y1209" s="217"/>
      <c r="Z1209" s="217"/>
      <c r="AA1209" s="217"/>
      <c r="AB1209" s="217"/>
      <c r="AC1209" s="217"/>
      <c r="AD1209" s="217"/>
    </row>
    <row r="1210" spans="1:30" x14ac:dyDescent="0.2">
      <c r="A1210" s="232"/>
      <c r="B1210" s="210"/>
      <c r="C1210" s="210"/>
      <c r="D1210" s="210"/>
      <c r="E1210" s="210"/>
      <c r="G1210" s="55"/>
      <c r="H1210" s="56"/>
      <c r="I1210" s="217"/>
      <c r="J1210" s="217"/>
      <c r="K1210" s="217"/>
      <c r="L1210" s="217"/>
      <c r="M1210" s="217"/>
      <c r="N1210" s="217"/>
      <c r="O1210" s="217"/>
      <c r="P1210" s="217"/>
      <c r="Q1210" s="217"/>
      <c r="R1210" s="217"/>
      <c r="S1210" s="217"/>
      <c r="T1210" s="217"/>
      <c r="U1210" s="217"/>
      <c r="V1210" s="217"/>
      <c r="W1210" s="217"/>
      <c r="X1210" s="217"/>
      <c r="Y1210" s="217"/>
      <c r="Z1210" s="217"/>
      <c r="AA1210" s="217"/>
      <c r="AB1210" s="217"/>
      <c r="AC1210" s="217"/>
      <c r="AD1210" s="217"/>
    </row>
    <row r="1211" spans="1:30" x14ac:dyDescent="0.2">
      <c r="A1211" s="232"/>
      <c r="B1211" s="210"/>
      <c r="C1211" s="210"/>
      <c r="D1211" s="210"/>
      <c r="E1211" s="210"/>
      <c r="G1211" s="55"/>
      <c r="H1211" s="56"/>
      <c r="I1211" s="217"/>
      <c r="J1211" s="217"/>
      <c r="K1211" s="217"/>
      <c r="L1211" s="217"/>
      <c r="M1211" s="217"/>
      <c r="N1211" s="217"/>
      <c r="O1211" s="217"/>
      <c r="P1211" s="217"/>
      <c r="Q1211" s="217"/>
      <c r="R1211" s="217"/>
      <c r="S1211" s="217"/>
      <c r="T1211" s="217"/>
      <c r="U1211" s="217"/>
      <c r="V1211" s="217"/>
      <c r="W1211" s="217"/>
      <c r="X1211" s="217"/>
      <c r="Y1211" s="217"/>
      <c r="Z1211" s="217"/>
      <c r="AA1211" s="217"/>
      <c r="AB1211" s="217"/>
      <c r="AC1211" s="217"/>
      <c r="AD1211" s="217"/>
    </row>
    <row r="1212" spans="1:30" x14ac:dyDescent="0.2">
      <c r="A1212" s="232"/>
      <c r="B1212" s="210"/>
      <c r="C1212" s="210"/>
      <c r="D1212" s="210"/>
      <c r="E1212" s="210"/>
      <c r="G1212" s="55"/>
      <c r="H1212" s="56"/>
      <c r="I1212" s="217"/>
      <c r="J1212" s="217"/>
      <c r="K1212" s="217"/>
      <c r="L1212" s="217"/>
      <c r="M1212" s="217"/>
      <c r="N1212" s="217"/>
      <c r="O1212" s="217"/>
      <c r="P1212" s="217"/>
      <c r="Q1212" s="217"/>
      <c r="R1212" s="217"/>
      <c r="S1212" s="217"/>
      <c r="T1212" s="217"/>
      <c r="U1212" s="217"/>
      <c r="V1212" s="217"/>
      <c r="W1212" s="217"/>
      <c r="X1212" s="217"/>
      <c r="Y1212" s="217"/>
      <c r="Z1212" s="217"/>
      <c r="AA1212" s="217"/>
      <c r="AB1212" s="217"/>
      <c r="AC1212" s="217"/>
      <c r="AD1212" s="217"/>
    </row>
    <row r="1213" spans="1:30" x14ac:dyDescent="0.2">
      <c r="A1213" s="232"/>
      <c r="B1213" s="210"/>
      <c r="C1213" s="210"/>
      <c r="D1213" s="210"/>
      <c r="E1213" s="210"/>
      <c r="G1213" s="55"/>
      <c r="H1213" s="56"/>
      <c r="I1213" s="217"/>
      <c r="J1213" s="217"/>
      <c r="K1213" s="217"/>
      <c r="L1213" s="217"/>
      <c r="M1213" s="217"/>
      <c r="N1213" s="217"/>
      <c r="O1213" s="217"/>
      <c r="P1213" s="217"/>
      <c r="Q1213" s="217"/>
      <c r="R1213" s="217"/>
      <c r="S1213" s="217"/>
      <c r="T1213" s="217"/>
      <c r="U1213" s="217"/>
      <c r="V1213" s="217"/>
      <c r="W1213" s="217"/>
      <c r="X1213" s="217"/>
      <c r="Y1213" s="217"/>
      <c r="Z1213" s="217"/>
      <c r="AA1213" s="217"/>
      <c r="AB1213" s="217"/>
      <c r="AC1213" s="217"/>
      <c r="AD1213" s="217"/>
    </row>
    <row r="1214" spans="1:30" x14ac:dyDescent="0.2">
      <c r="A1214" s="232"/>
      <c r="B1214" s="210"/>
      <c r="C1214" s="210"/>
      <c r="D1214" s="210"/>
      <c r="E1214" s="210"/>
      <c r="G1214" s="55"/>
      <c r="H1214" s="56"/>
      <c r="I1214" s="217"/>
      <c r="J1214" s="217"/>
      <c r="K1214" s="217"/>
      <c r="L1214" s="217"/>
      <c r="M1214" s="217"/>
      <c r="N1214" s="217"/>
      <c r="O1214" s="217"/>
      <c r="P1214" s="217"/>
      <c r="Q1214" s="217"/>
      <c r="R1214" s="217"/>
      <c r="S1214" s="217"/>
      <c r="T1214" s="217"/>
      <c r="U1214" s="217"/>
      <c r="V1214" s="217"/>
      <c r="W1214" s="217"/>
      <c r="X1214" s="217"/>
      <c r="Y1214" s="217"/>
      <c r="Z1214" s="217"/>
      <c r="AA1214" s="217"/>
      <c r="AB1214" s="217"/>
      <c r="AC1214" s="217"/>
      <c r="AD1214" s="217"/>
    </row>
    <row r="1215" spans="1:30" x14ac:dyDescent="0.2">
      <c r="A1215" s="232"/>
      <c r="B1215" s="210"/>
      <c r="C1215" s="210"/>
      <c r="D1215" s="210"/>
      <c r="E1215" s="210"/>
      <c r="G1215" s="55"/>
      <c r="H1215" s="56"/>
      <c r="I1215" s="217"/>
      <c r="J1215" s="217"/>
      <c r="K1215" s="217"/>
      <c r="L1215" s="217"/>
      <c r="M1215" s="217"/>
      <c r="N1215" s="217"/>
      <c r="O1215" s="217"/>
      <c r="P1215" s="217"/>
      <c r="Q1215" s="217"/>
      <c r="R1215" s="217"/>
      <c r="S1215" s="217"/>
      <c r="T1215" s="217"/>
      <c r="U1215" s="217"/>
      <c r="V1215" s="217"/>
      <c r="W1215" s="217"/>
      <c r="X1215" s="217"/>
      <c r="Y1215" s="217"/>
      <c r="Z1215" s="217"/>
      <c r="AA1215" s="217"/>
      <c r="AB1215" s="217"/>
      <c r="AC1215" s="217"/>
      <c r="AD1215" s="217"/>
    </row>
    <row r="1216" spans="1:30" x14ac:dyDescent="0.2">
      <c r="A1216" s="232"/>
      <c r="B1216" s="210"/>
      <c r="C1216" s="210"/>
      <c r="D1216" s="210"/>
      <c r="E1216" s="210"/>
      <c r="G1216" s="55"/>
      <c r="H1216" s="56"/>
      <c r="I1216" s="217"/>
      <c r="J1216" s="217"/>
      <c r="K1216" s="217"/>
      <c r="L1216" s="217"/>
      <c r="M1216" s="217"/>
      <c r="N1216" s="217"/>
      <c r="O1216" s="217"/>
      <c r="P1216" s="217"/>
      <c r="Q1216" s="217"/>
      <c r="R1216" s="217"/>
      <c r="S1216" s="217"/>
      <c r="T1216" s="217"/>
      <c r="U1216" s="217"/>
      <c r="V1216" s="217"/>
      <c r="W1216" s="217"/>
      <c r="X1216" s="217"/>
      <c r="Y1216" s="217"/>
      <c r="Z1216" s="217"/>
      <c r="AA1216" s="217"/>
      <c r="AB1216" s="217"/>
      <c r="AC1216" s="217"/>
      <c r="AD1216" s="217"/>
    </row>
    <row r="1217" spans="1:30" x14ac:dyDescent="0.2">
      <c r="A1217" s="232"/>
      <c r="B1217" s="210"/>
      <c r="C1217" s="210"/>
      <c r="D1217" s="210"/>
      <c r="E1217" s="210"/>
      <c r="G1217" s="55"/>
      <c r="H1217" s="56"/>
      <c r="I1217" s="217"/>
      <c r="J1217" s="217"/>
      <c r="K1217" s="217"/>
      <c r="L1217" s="217"/>
      <c r="M1217" s="217"/>
      <c r="N1217" s="217"/>
      <c r="O1217" s="217"/>
      <c r="P1217" s="217"/>
      <c r="Q1217" s="217"/>
      <c r="R1217" s="217"/>
      <c r="S1217" s="217"/>
      <c r="T1217" s="217"/>
      <c r="U1217" s="217"/>
      <c r="V1217" s="217"/>
      <c r="W1217" s="217"/>
      <c r="X1217" s="217"/>
      <c r="Y1217" s="217"/>
      <c r="Z1217" s="217"/>
      <c r="AA1217" s="217"/>
      <c r="AB1217" s="217"/>
      <c r="AC1217" s="217"/>
      <c r="AD1217" s="217"/>
    </row>
    <row r="1218" spans="1:30" x14ac:dyDescent="0.2">
      <c r="A1218" s="232"/>
      <c r="B1218" s="210"/>
      <c r="C1218" s="210"/>
      <c r="D1218" s="210"/>
      <c r="E1218" s="210"/>
      <c r="G1218" s="55"/>
      <c r="H1218" s="56"/>
      <c r="I1218" s="217"/>
      <c r="J1218" s="217"/>
      <c r="K1218" s="217"/>
      <c r="L1218" s="217"/>
      <c r="M1218" s="217"/>
      <c r="N1218" s="217"/>
      <c r="O1218" s="217"/>
      <c r="P1218" s="217"/>
      <c r="Q1218" s="217"/>
      <c r="R1218" s="217"/>
      <c r="S1218" s="217"/>
      <c r="T1218" s="217"/>
      <c r="U1218" s="217"/>
      <c r="V1218" s="217"/>
      <c r="W1218" s="217"/>
      <c r="X1218" s="217"/>
      <c r="Y1218" s="217"/>
      <c r="Z1218" s="217"/>
      <c r="AA1218" s="217"/>
      <c r="AB1218" s="217"/>
      <c r="AC1218" s="217"/>
      <c r="AD1218" s="217"/>
    </row>
    <row r="1219" spans="1:30" x14ac:dyDescent="0.2">
      <c r="A1219" s="232"/>
      <c r="B1219" s="210"/>
      <c r="C1219" s="210"/>
      <c r="D1219" s="210"/>
      <c r="E1219" s="210"/>
      <c r="G1219" s="55"/>
      <c r="H1219" s="56"/>
      <c r="I1219" s="217"/>
      <c r="J1219" s="217"/>
      <c r="K1219" s="217"/>
      <c r="L1219" s="217"/>
      <c r="M1219" s="217"/>
      <c r="N1219" s="217"/>
      <c r="O1219" s="217"/>
      <c r="P1219" s="217"/>
      <c r="Q1219" s="217"/>
      <c r="R1219" s="217"/>
      <c r="S1219" s="217"/>
      <c r="T1219" s="217"/>
      <c r="U1219" s="217"/>
      <c r="V1219" s="217"/>
      <c r="W1219" s="217"/>
      <c r="X1219" s="217"/>
      <c r="Y1219" s="217"/>
      <c r="Z1219" s="217"/>
      <c r="AA1219" s="217"/>
      <c r="AB1219" s="217"/>
      <c r="AC1219" s="217"/>
      <c r="AD1219" s="217"/>
    </row>
    <row r="1220" spans="1:30" x14ac:dyDescent="0.2">
      <c r="A1220" s="232"/>
      <c r="B1220" s="210"/>
      <c r="C1220" s="210"/>
      <c r="D1220" s="210"/>
      <c r="E1220" s="210"/>
      <c r="G1220" s="55"/>
      <c r="H1220" s="56"/>
      <c r="I1220" s="217"/>
      <c r="J1220" s="217"/>
      <c r="K1220" s="217"/>
      <c r="L1220" s="217"/>
      <c r="M1220" s="217"/>
      <c r="N1220" s="217"/>
      <c r="O1220" s="217"/>
      <c r="P1220" s="217"/>
      <c r="Q1220" s="217"/>
      <c r="R1220" s="217"/>
      <c r="S1220" s="217"/>
      <c r="T1220" s="217"/>
      <c r="U1220" s="217"/>
      <c r="V1220" s="217"/>
      <c r="W1220" s="217"/>
      <c r="X1220" s="217"/>
      <c r="Y1220" s="217"/>
      <c r="Z1220" s="217"/>
      <c r="AA1220" s="217"/>
      <c r="AB1220" s="217"/>
      <c r="AC1220" s="217"/>
      <c r="AD1220" s="217"/>
    </row>
    <row r="1221" spans="1:30" x14ac:dyDescent="0.2">
      <c r="A1221" s="232"/>
      <c r="B1221" s="210"/>
      <c r="C1221" s="210"/>
      <c r="D1221" s="210"/>
      <c r="E1221" s="210"/>
      <c r="G1221" s="55"/>
      <c r="H1221" s="56"/>
      <c r="I1221" s="217"/>
      <c r="J1221" s="217"/>
      <c r="K1221" s="217"/>
      <c r="L1221" s="217"/>
      <c r="M1221" s="217"/>
      <c r="N1221" s="217"/>
      <c r="O1221" s="217"/>
      <c r="P1221" s="217"/>
      <c r="Q1221" s="217"/>
      <c r="R1221" s="217"/>
      <c r="S1221" s="217"/>
      <c r="T1221" s="217"/>
      <c r="U1221" s="217"/>
      <c r="V1221" s="217"/>
      <c r="W1221" s="217"/>
      <c r="X1221" s="217"/>
      <c r="Y1221" s="217"/>
      <c r="Z1221" s="217"/>
      <c r="AA1221" s="217"/>
      <c r="AB1221" s="217"/>
      <c r="AC1221" s="217"/>
      <c r="AD1221" s="217"/>
    </row>
    <row r="1222" spans="1:30" x14ac:dyDescent="0.2">
      <c r="A1222" s="232"/>
      <c r="B1222" s="210"/>
      <c r="C1222" s="210"/>
      <c r="D1222" s="210"/>
      <c r="E1222" s="210"/>
      <c r="G1222" s="55"/>
      <c r="H1222" s="56"/>
      <c r="I1222" s="217"/>
      <c r="J1222" s="217"/>
      <c r="K1222" s="217"/>
      <c r="L1222" s="217"/>
      <c r="M1222" s="217"/>
      <c r="N1222" s="217"/>
      <c r="O1222" s="217"/>
      <c r="P1222" s="217"/>
      <c r="Q1222" s="217"/>
      <c r="R1222" s="217"/>
      <c r="S1222" s="217"/>
      <c r="T1222" s="217"/>
      <c r="U1222" s="217"/>
      <c r="V1222" s="217"/>
      <c r="W1222" s="217"/>
      <c r="X1222" s="217"/>
      <c r="Y1222" s="217"/>
      <c r="Z1222" s="217"/>
      <c r="AA1222" s="217"/>
      <c r="AB1222" s="217"/>
      <c r="AC1222" s="217"/>
      <c r="AD1222" s="217"/>
    </row>
    <row r="1223" spans="1:30" x14ac:dyDescent="0.2">
      <c r="A1223" s="232"/>
      <c r="B1223" s="210"/>
      <c r="C1223" s="210"/>
      <c r="D1223" s="210"/>
      <c r="E1223" s="210"/>
      <c r="G1223" s="55"/>
      <c r="H1223" s="56"/>
      <c r="I1223" s="217"/>
      <c r="J1223" s="217"/>
      <c r="K1223" s="217"/>
      <c r="L1223" s="217"/>
      <c r="M1223" s="217"/>
      <c r="N1223" s="217"/>
      <c r="O1223" s="217"/>
      <c r="P1223" s="217"/>
      <c r="Q1223" s="217"/>
      <c r="R1223" s="217"/>
      <c r="S1223" s="217"/>
      <c r="T1223" s="217"/>
      <c r="U1223" s="217"/>
      <c r="V1223" s="217"/>
      <c r="W1223" s="217"/>
      <c r="X1223" s="217"/>
      <c r="Y1223" s="217"/>
      <c r="Z1223" s="217"/>
      <c r="AA1223" s="217"/>
      <c r="AB1223" s="217"/>
      <c r="AC1223" s="217"/>
      <c r="AD1223" s="217"/>
    </row>
    <row r="1224" spans="1:30" x14ac:dyDescent="0.2">
      <c r="A1224" s="232"/>
      <c r="B1224" s="210"/>
      <c r="C1224" s="210"/>
      <c r="D1224" s="210"/>
      <c r="E1224" s="210"/>
      <c r="G1224" s="55"/>
      <c r="H1224" s="56"/>
      <c r="I1224" s="217"/>
      <c r="J1224" s="217"/>
      <c r="K1224" s="217"/>
      <c r="L1224" s="217"/>
      <c r="M1224" s="217"/>
      <c r="N1224" s="217"/>
      <c r="O1224" s="217"/>
      <c r="P1224" s="217"/>
      <c r="Q1224" s="217"/>
      <c r="R1224" s="217"/>
      <c r="S1224" s="217"/>
      <c r="T1224" s="217"/>
      <c r="U1224" s="217"/>
      <c r="V1224" s="217"/>
      <c r="W1224" s="217"/>
      <c r="X1224" s="217"/>
      <c r="Y1224" s="217"/>
      <c r="Z1224" s="217"/>
      <c r="AA1224" s="217"/>
      <c r="AB1224" s="217"/>
      <c r="AC1224" s="217"/>
      <c r="AD1224" s="217"/>
    </row>
    <row r="1225" spans="1:30" x14ac:dyDescent="0.2">
      <c r="A1225" s="232"/>
      <c r="B1225" s="210"/>
      <c r="C1225" s="210"/>
      <c r="D1225" s="210"/>
      <c r="E1225" s="210"/>
      <c r="G1225" s="55"/>
      <c r="H1225" s="56"/>
      <c r="I1225" s="217"/>
      <c r="J1225" s="217"/>
      <c r="K1225" s="217"/>
      <c r="L1225" s="217"/>
      <c r="M1225" s="217"/>
      <c r="N1225" s="217"/>
      <c r="O1225" s="217"/>
      <c r="P1225" s="217"/>
      <c r="Q1225" s="217"/>
      <c r="R1225" s="217"/>
      <c r="S1225" s="217"/>
      <c r="T1225" s="217"/>
      <c r="U1225" s="217"/>
      <c r="V1225" s="217"/>
      <c r="W1225" s="217"/>
      <c r="X1225" s="217"/>
      <c r="Y1225" s="217"/>
      <c r="Z1225" s="217"/>
      <c r="AA1225" s="217"/>
      <c r="AB1225" s="217"/>
      <c r="AC1225" s="217"/>
      <c r="AD1225" s="217"/>
    </row>
    <row r="1226" spans="1:30" x14ac:dyDescent="0.2">
      <c r="A1226" s="232"/>
      <c r="B1226" s="210"/>
      <c r="C1226" s="210"/>
      <c r="D1226" s="210"/>
      <c r="E1226" s="210"/>
      <c r="G1226" s="55"/>
      <c r="H1226" s="56"/>
      <c r="I1226" s="217"/>
      <c r="J1226" s="217"/>
      <c r="K1226" s="217"/>
      <c r="L1226" s="217"/>
      <c r="M1226" s="217"/>
      <c r="N1226" s="217"/>
      <c r="O1226" s="217"/>
      <c r="P1226" s="217"/>
      <c r="Q1226" s="217"/>
      <c r="R1226" s="217"/>
      <c r="S1226" s="217"/>
      <c r="T1226" s="217"/>
      <c r="U1226" s="217"/>
      <c r="V1226" s="217"/>
      <c r="W1226" s="217"/>
      <c r="X1226" s="217"/>
      <c r="Y1226" s="217"/>
      <c r="Z1226" s="217"/>
      <c r="AA1226" s="217"/>
      <c r="AB1226" s="217"/>
      <c r="AC1226" s="217"/>
      <c r="AD1226" s="217"/>
    </row>
    <row r="1227" spans="1:30" x14ac:dyDescent="0.2">
      <c r="A1227" s="232"/>
      <c r="B1227" s="210"/>
      <c r="C1227" s="210"/>
      <c r="D1227" s="210"/>
      <c r="E1227" s="210"/>
      <c r="G1227" s="55"/>
      <c r="H1227" s="56"/>
      <c r="I1227" s="217"/>
      <c r="J1227" s="217"/>
      <c r="K1227" s="217"/>
      <c r="L1227" s="217"/>
      <c r="M1227" s="217"/>
      <c r="N1227" s="217"/>
      <c r="O1227" s="217"/>
      <c r="P1227" s="217"/>
      <c r="Q1227" s="217"/>
      <c r="R1227" s="217"/>
      <c r="S1227" s="217"/>
      <c r="T1227" s="217"/>
      <c r="U1227" s="217"/>
      <c r="V1227" s="217"/>
      <c r="W1227" s="217"/>
      <c r="X1227" s="217"/>
      <c r="Y1227" s="217"/>
      <c r="Z1227" s="217"/>
      <c r="AA1227" s="217"/>
      <c r="AB1227" s="217"/>
      <c r="AC1227" s="217"/>
      <c r="AD1227" s="217"/>
    </row>
    <row r="1228" spans="1:30" x14ac:dyDescent="0.2">
      <c r="A1228" s="232"/>
      <c r="B1228" s="210"/>
      <c r="C1228" s="210"/>
      <c r="D1228" s="210"/>
      <c r="E1228" s="210"/>
      <c r="G1228" s="55"/>
      <c r="H1228" s="56"/>
      <c r="I1228" s="217"/>
      <c r="J1228" s="217"/>
      <c r="K1228" s="217"/>
      <c r="L1228" s="217"/>
      <c r="M1228" s="217"/>
      <c r="N1228" s="217"/>
      <c r="O1228" s="217"/>
      <c r="P1228" s="217"/>
      <c r="Q1228" s="217"/>
      <c r="R1228" s="217"/>
      <c r="S1228" s="217"/>
      <c r="T1228" s="217"/>
      <c r="U1228" s="217"/>
      <c r="V1228" s="217"/>
      <c r="W1228" s="217"/>
      <c r="X1228" s="217"/>
      <c r="Y1228" s="217"/>
      <c r="Z1228" s="217"/>
      <c r="AA1228" s="217"/>
      <c r="AB1228" s="217"/>
      <c r="AC1228" s="217"/>
      <c r="AD1228" s="217"/>
    </row>
    <row r="1229" spans="1:30" x14ac:dyDescent="0.2">
      <c r="A1229" s="232"/>
      <c r="B1229" s="210"/>
      <c r="C1229" s="210"/>
      <c r="D1229" s="210"/>
      <c r="E1229" s="210"/>
      <c r="G1229" s="55"/>
      <c r="H1229" s="56"/>
      <c r="I1229" s="217"/>
      <c r="J1229" s="217"/>
      <c r="K1229" s="217"/>
      <c r="L1229" s="217"/>
      <c r="M1229" s="217"/>
      <c r="N1229" s="217"/>
      <c r="O1229" s="217"/>
      <c r="P1229" s="217"/>
      <c r="Q1229" s="217"/>
      <c r="R1229" s="217"/>
      <c r="S1229" s="217"/>
      <c r="T1229" s="217"/>
      <c r="U1229" s="217"/>
      <c r="V1229" s="217"/>
      <c r="W1229" s="217"/>
      <c r="X1229" s="217"/>
      <c r="Y1229" s="217"/>
      <c r="Z1229" s="217"/>
      <c r="AA1229" s="217"/>
      <c r="AB1229" s="217"/>
      <c r="AC1229" s="217"/>
      <c r="AD1229" s="217"/>
    </row>
    <row r="1230" spans="1:30" x14ac:dyDescent="0.2">
      <c r="A1230" s="232"/>
      <c r="B1230" s="210"/>
      <c r="C1230" s="210"/>
      <c r="D1230" s="210"/>
      <c r="E1230" s="210"/>
      <c r="G1230" s="55"/>
      <c r="H1230" s="56"/>
      <c r="I1230" s="217"/>
      <c r="J1230" s="217"/>
      <c r="K1230" s="217"/>
      <c r="L1230" s="217"/>
      <c r="M1230" s="217"/>
      <c r="N1230" s="217"/>
      <c r="O1230" s="217"/>
      <c r="P1230" s="217"/>
      <c r="Q1230" s="217"/>
      <c r="R1230" s="217"/>
      <c r="S1230" s="217"/>
      <c r="T1230" s="217"/>
      <c r="U1230" s="217"/>
      <c r="V1230" s="217"/>
      <c r="W1230" s="217"/>
      <c r="X1230" s="217"/>
      <c r="Y1230" s="217"/>
      <c r="Z1230" s="217"/>
      <c r="AA1230" s="217"/>
      <c r="AB1230" s="217"/>
      <c r="AC1230" s="217"/>
      <c r="AD1230" s="217"/>
    </row>
    <row r="1231" spans="1:30" x14ac:dyDescent="0.2">
      <c r="A1231" s="232"/>
      <c r="B1231" s="210"/>
      <c r="C1231" s="210"/>
      <c r="D1231" s="210"/>
      <c r="E1231" s="210"/>
      <c r="G1231" s="55"/>
      <c r="H1231" s="56"/>
      <c r="I1231" s="217"/>
      <c r="J1231" s="217"/>
      <c r="K1231" s="217"/>
      <c r="L1231" s="217"/>
      <c r="M1231" s="217"/>
      <c r="N1231" s="217"/>
      <c r="O1231" s="217"/>
      <c r="P1231" s="217"/>
      <c r="Q1231" s="217"/>
      <c r="R1231" s="217"/>
      <c r="S1231" s="217"/>
      <c r="T1231" s="217"/>
      <c r="U1231" s="217"/>
      <c r="V1231" s="217"/>
      <c r="W1231" s="217"/>
      <c r="X1231" s="217"/>
      <c r="Y1231" s="217"/>
      <c r="Z1231" s="217"/>
      <c r="AA1231" s="217"/>
      <c r="AB1231" s="217"/>
      <c r="AC1231" s="217"/>
      <c r="AD1231" s="217"/>
    </row>
    <row r="1232" spans="1:30" x14ac:dyDescent="0.2">
      <c r="A1232" s="232"/>
      <c r="B1232" s="210"/>
      <c r="C1232" s="210"/>
      <c r="D1232" s="210"/>
      <c r="E1232" s="210"/>
      <c r="G1232" s="55"/>
      <c r="H1232" s="56"/>
      <c r="I1232" s="217"/>
      <c r="J1232" s="217"/>
      <c r="K1232" s="217"/>
      <c r="L1232" s="217"/>
      <c r="M1232" s="217"/>
      <c r="N1232" s="217"/>
      <c r="O1232" s="217"/>
      <c r="P1232" s="217"/>
      <c r="Q1232" s="217"/>
      <c r="R1232" s="217"/>
      <c r="S1232" s="217"/>
      <c r="T1232" s="217"/>
      <c r="U1232" s="217"/>
      <c r="V1232" s="217"/>
      <c r="W1232" s="217"/>
      <c r="X1232" s="217"/>
      <c r="Y1232" s="217"/>
      <c r="Z1232" s="217"/>
      <c r="AA1232" s="217"/>
      <c r="AB1232" s="217"/>
      <c r="AC1232" s="217"/>
      <c r="AD1232" s="217"/>
    </row>
    <row r="1233" spans="1:30" x14ac:dyDescent="0.2">
      <c r="A1233" s="232"/>
      <c r="B1233" s="210"/>
      <c r="C1233" s="210"/>
      <c r="D1233" s="210"/>
      <c r="E1233" s="210"/>
      <c r="G1233" s="55"/>
      <c r="H1233" s="56"/>
      <c r="I1233" s="217"/>
      <c r="J1233" s="217"/>
      <c r="K1233" s="217"/>
      <c r="L1233" s="217"/>
      <c r="M1233" s="217"/>
      <c r="N1233" s="217"/>
      <c r="O1233" s="217"/>
      <c r="P1233" s="217"/>
      <c r="Q1233" s="217"/>
      <c r="R1233" s="217"/>
      <c r="S1233" s="217"/>
      <c r="T1233" s="217"/>
      <c r="U1233" s="217"/>
      <c r="V1233" s="217"/>
      <c r="W1233" s="217"/>
      <c r="X1233" s="217"/>
      <c r="Y1233" s="217"/>
      <c r="Z1233" s="217"/>
      <c r="AA1233" s="217"/>
      <c r="AB1233" s="217"/>
      <c r="AC1233" s="217"/>
      <c r="AD1233" s="217"/>
    </row>
    <row r="1234" spans="1:30" x14ac:dyDescent="0.2">
      <c r="A1234" s="232"/>
      <c r="B1234" s="210"/>
      <c r="C1234" s="210"/>
      <c r="D1234" s="210"/>
      <c r="E1234" s="210"/>
      <c r="G1234" s="55"/>
      <c r="H1234" s="56"/>
      <c r="I1234" s="217"/>
      <c r="J1234" s="217"/>
      <c r="K1234" s="217"/>
      <c r="L1234" s="217"/>
      <c r="M1234" s="217"/>
      <c r="N1234" s="217"/>
      <c r="O1234" s="217"/>
      <c r="P1234" s="217"/>
      <c r="Q1234" s="217"/>
      <c r="R1234" s="217"/>
      <c r="S1234" s="217"/>
      <c r="T1234" s="217"/>
      <c r="U1234" s="217"/>
      <c r="V1234" s="217"/>
      <c r="W1234" s="217"/>
      <c r="X1234" s="217"/>
      <c r="Y1234" s="217"/>
      <c r="Z1234" s="217"/>
      <c r="AA1234" s="217"/>
      <c r="AB1234" s="217"/>
      <c r="AC1234" s="217"/>
      <c r="AD1234" s="217"/>
    </row>
    <row r="1235" spans="1:30" x14ac:dyDescent="0.2">
      <c r="A1235" s="232"/>
      <c r="B1235" s="210"/>
      <c r="C1235" s="210"/>
      <c r="D1235" s="210"/>
      <c r="E1235" s="210"/>
      <c r="G1235" s="55"/>
      <c r="H1235" s="56"/>
      <c r="I1235" s="217"/>
      <c r="J1235" s="217"/>
      <c r="K1235" s="217"/>
      <c r="L1235" s="217"/>
      <c r="M1235" s="217"/>
      <c r="N1235" s="217"/>
      <c r="O1235" s="217"/>
      <c r="P1235" s="217"/>
      <c r="Q1235" s="217"/>
      <c r="R1235" s="217"/>
      <c r="S1235" s="217"/>
      <c r="T1235" s="217"/>
      <c r="U1235" s="217"/>
      <c r="V1235" s="217"/>
      <c r="W1235" s="217"/>
      <c r="X1235" s="217"/>
      <c r="Y1235" s="217"/>
      <c r="Z1235" s="217"/>
      <c r="AA1235" s="217"/>
      <c r="AB1235" s="217"/>
      <c r="AC1235" s="217"/>
      <c r="AD1235" s="217"/>
    </row>
    <row r="1236" spans="1:30" x14ac:dyDescent="0.2">
      <c r="A1236" s="232"/>
      <c r="B1236" s="210"/>
      <c r="C1236" s="210"/>
      <c r="D1236" s="210"/>
      <c r="E1236" s="210"/>
      <c r="G1236" s="55"/>
      <c r="H1236" s="56"/>
      <c r="I1236" s="217"/>
      <c r="J1236" s="217"/>
      <c r="K1236" s="217"/>
      <c r="L1236" s="217"/>
      <c r="M1236" s="217"/>
      <c r="N1236" s="217"/>
      <c r="O1236" s="217"/>
      <c r="P1236" s="217"/>
      <c r="Q1236" s="217"/>
      <c r="R1236" s="217"/>
      <c r="S1236" s="217"/>
      <c r="T1236" s="217"/>
      <c r="U1236" s="217"/>
      <c r="V1236" s="217"/>
      <c r="W1236" s="217"/>
      <c r="X1236" s="217"/>
      <c r="Y1236" s="217"/>
      <c r="Z1236" s="217"/>
      <c r="AA1236" s="217"/>
      <c r="AB1236" s="217"/>
      <c r="AC1236" s="217"/>
      <c r="AD1236" s="217"/>
    </row>
    <row r="1237" spans="1:30" x14ac:dyDescent="0.2">
      <c r="A1237" s="232"/>
      <c r="B1237" s="210"/>
      <c r="C1237" s="210"/>
      <c r="D1237" s="210"/>
      <c r="E1237" s="210"/>
      <c r="G1237" s="55"/>
      <c r="H1237" s="56"/>
      <c r="I1237" s="217"/>
      <c r="J1237" s="217"/>
      <c r="K1237" s="217"/>
      <c r="L1237" s="217"/>
      <c r="M1237" s="217"/>
      <c r="N1237" s="217"/>
      <c r="O1237" s="217"/>
      <c r="P1237" s="217"/>
      <c r="Q1237" s="217"/>
      <c r="R1237" s="217"/>
      <c r="S1237" s="217"/>
      <c r="T1237" s="217"/>
      <c r="U1237" s="217"/>
      <c r="V1237" s="217"/>
      <c r="W1237" s="217"/>
      <c r="X1237" s="217"/>
      <c r="Y1237" s="217"/>
      <c r="Z1237" s="217"/>
      <c r="AA1237" s="217"/>
      <c r="AB1237" s="217"/>
      <c r="AC1237" s="217"/>
      <c r="AD1237" s="217"/>
    </row>
    <row r="1238" spans="1:30" x14ac:dyDescent="0.2">
      <c r="A1238" s="232"/>
      <c r="B1238" s="210"/>
      <c r="C1238" s="210"/>
      <c r="D1238" s="210"/>
      <c r="E1238" s="210"/>
      <c r="G1238" s="55"/>
      <c r="H1238" s="56"/>
      <c r="I1238" s="217"/>
      <c r="J1238" s="217"/>
      <c r="K1238" s="217"/>
      <c r="L1238" s="217"/>
      <c r="M1238" s="217"/>
      <c r="N1238" s="217"/>
      <c r="O1238" s="217"/>
      <c r="P1238" s="217"/>
      <c r="Q1238" s="217"/>
      <c r="R1238" s="217"/>
      <c r="S1238" s="217"/>
      <c r="T1238" s="217"/>
      <c r="U1238" s="217"/>
      <c r="V1238" s="217"/>
      <c r="W1238" s="217"/>
      <c r="X1238" s="217"/>
      <c r="Y1238" s="217"/>
      <c r="Z1238" s="217"/>
      <c r="AA1238" s="217"/>
      <c r="AB1238" s="217"/>
      <c r="AC1238" s="217"/>
      <c r="AD1238" s="217"/>
    </row>
    <row r="1239" spans="1:30" x14ac:dyDescent="0.2">
      <c r="A1239" s="232"/>
      <c r="B1239" s="210"/>
      <c r="C1239" s="210"/>
      <c r="D1239" s="210"/>
      <c r="E1239" s="210"/>
      <c r="G1239" s="55"/>
      <c r="H1239" s="56"/>
      <c r="I1239" s="217"/>
      <c r="J1239" s="217"/>
      <c r="K1239" s="217"/>
      <c r="L1239" s="217"/>
      <c r="M1239" s="217"/>
      <c r="N1239" s="217"/>
      <c r="O1239" s="217"/>
      <c r="P1239" s="217"/>
      <c r="Q1239" s="217"/>
      <c r="R1239" s="217"/>
      <c r="S1239" s="217"/>
      <c r="T1239" s="217"/>
      <c r="U1239" s="217"/>
      <c r="V1239" s="217"/>
      <c r="W1239" s="217"/>
      <c r="X1239" s="217"/>
      <c r="Y1239" s="217"/>
      <c r="Z1239" s="217"/>
      <c r="AA1239" s="217"/>
      <c r="AB1239" s="217"/>
      <c r="AC1239" s="217"/>
      <c r="AD1239" s="217"/>
    </row>
    <row r="1240" spans="1:30" x14ac:dyDescent="0.2">
      <c r="A1240" s="232"/>
      <c r="B1240" s="210"/>
      <c r="C1240" s="210"/>
      <c r="D1240" s="210"/>
      <c r="E1240" s="210"/>
      <c r="G1240" s="55"/>
      <c r="H1240" s="56"/>
      <c r="I1240" s="217"/>
      <c r="J1240" s="217"/>
      <c r="K1240" s="217"/>
      <c r="L1240" s="217"/>
      <c r="M1240" s="217"/>
      <c r="N1240" s="217"/>
      <c r="O1240" s="217"/>
      <c r="P1240" s="217"/>
      <c r="Q1240" s="217"/>
      <c r="R1240" s="217"/>
      <c r="S1240" s="217"/>
      <c r="T1240" s="217"/>
      <c r="U1240" s="217"/>
      <c r="V1240" s="217"/>
      <c r="W1240" s="217"/>
      <c r="X1240" s="217"/>
      <c r="Y1240" s="217"/>
      <c r="Z1240" s="217"/>
      <c r="AA1240" s="217"/>
      <c r="AB1240" s="217"/>
      <c r="AC1240" s="217"/>
      <c r="AD1240" s="217"/>
    </row>
    <row r="1241" spans="1:30" x14ac:dyDescent="0.2">
      <c r="A1241" s="232"/>
      <c r="B1241" s="210"/>
      <c r="C1241" s="210"/>
      <c r="D1241" s="210"/>
      <c r="E1241" s="210"/>
      <c r="G1241" s="55"/>
      <c r="H1241" s="56"/>
      <c r="I1241" s="217"/>
      <c r="J1241" s="217"/>
      <c r="K1241" s="217"/>
      <c r="L1241" s="217"/>
      <c r="M1241" s="217"/>
      <c r="N1241" s="217"/>
      <c r="O1241" s="217"/>
      <c r="P1241" s="217"/>
      <c r="Q1241" s="217"/>
      <c r="R1241" s="217"/>
      <c r="S1241" s="217"/>
      <c r="T1241" s="217"/>
      <c r="U1241" s="217"/>
      <c r="V1241" s="217"/>
      <c r="W1241" s="217"/>
      <c r="X1241" s="217"/>
      <c r="Y1241" s="217"/>
      <c r="Z1241" s="217"/>
      <c r="AA1241" s="217"/>
      <c r="AB1241" s="217"/>
      <c r="AC1241" s="217"/>
      <c r="AD1241" s="217"/>
    </row>
    <row r="1242" spans="1:30" x14ac:dyDescent="0.2">
      <c r="A1242" s="232"/>
      <c r="B1242" s="210"/>
      <c r="C1242" s="210"/>
      <c r="D1242" s="210"/>
      <c r="E1242" s="210"/>
      <c r="G1242" s="55"/>
      <c r="H1242" s="56"/>
      <c r="I1242" s="217"/>
      <c r="J1242" s="217"/>
      <c r="K1242" s="217"/>
      <c r="L1242" s="217"/>
      <c r="M1242" s="217"/>
      <c r="N1242" s="217"/>
      <c r="O1242" s="217"/>
      <c r="P1242" s="217"/>
      <c r="Q1242" s="217"/>
      <c r="R1242" s="217"/>
      <c r="S1242" s="217"/>
      <c r="T1242" s="217"/>
      <c r="U1242" s="217"/>
      <c r="V1242" s="217"/>
      <c r="W1242" s="217"/>
      <c r="X1242" s="217"/>
      <c r="Y1242" s="217"/>
      <c r="Z1242" s="217"/>
      <c r="AA1242" s="217"/>
      <c r="AB1242" s="217"/>
      <c r="AC1242" s="217"/>
      <c r="AD1242" s="217"/>
    </row>
    <row r="1243" spans="1:30" x14ac:dyDescent="0.2">
      <c r="A1243" s="232"/>
      <c r="B1243" s="210"/>
      <c r="C1243" s="210"/>
      <c r="D1243" s="210"/>
      <c r="E1243" s="210"/>
      <c r="G1243" s="55"/>
      <c r="H1243" s="56"/>
      <c r="I1243" s="217"/>
      <c r="J1243" s="217"/>
      <c r="K1243" s="217"/>
      <c r="L1243" s="217"/>
      <c r="M1243" s="217"/>
      <c r="N1243" s="217"/>
      <c r="O1243" s="217"/>
      <c r="P1243" s="217"/>
      <c r="Q1243" s="217"/>
      <c r="R1243" s="217"/>
      <c r="S1243" s="217"/>
      <c r="T1243" s="217"/>
      <c r="U1243" s="217"/>
      <c r="V1243" s="217"/>
      <c r="W1243" s="217"/>
      <c r="X1243" s="217"/>
      <c r="Y1243" s="217"/>
      <c r="Z1243" s="217"/>
      <c r="AA1243" s="217"/>
      <c r="AB1243" s="217"/>
      <c r="AC1243" s="217"/>
      <c r="AD1243" s="217"/>
    </row>
    <row r="1244" spans="1:30" x14ac:dyDescent="0.2">
      <c r="A1244" s="232"/>
      <c r="B1244" s="210"/>
      <c r="C1244" s="210"/>
      <c r="D1244" s="210"/>
      <c r="E1244" s="210"/>
      <c r="G1244" s="55"/>
      <c r="H1244" s="56"/>
      <c r="I1244" s="217"/>
      <c r="J1244" s="217"/>
      <c r="K1244" s="217"/>
      <c r="L1244" s="217"/>
      <c r="M1244" s="217"/>
      <c r="N1244" s="217"/>
      <c r="O1244" s="217"/>
      <c r="P1244" s="217"/>
      <c r="Q1244" s="217"/>
      <c r="R1244" s="217"/>
      <c r="S1244" s="217"/>
      <c r="T1244" s="217"/>
      <c r="U1244" s="217"/>
      <c r="V1244" s="217"/>
      <c r="W1244" s="217"/>
      <c r="X1244" s="217"/>
      <c r="Y1244" s="217"/>
      <c r="Z1244" s="217"/>
      <c r="AA1244" s="217"/>
      <c r="AB1244" s="217"/>
      <c r="AC1244" s="217"/>
      <c r="AD1244" s="217"/>
    </row>
    <row r="1245" spans="1:30" x14ac:dyDescent="0.2">
      <c r="A1245" s="232"/>
      <c r="B1245" s="210"/>
      <c r="C1245" s="210"/>
      <c r="D1245" s="210"/>
      <c r="E1245" s="210"/>
      <c r="G1245" s="55"/>
      <c r="H1245" s="56"/>
      <c r="I1245" s="217"/>
      <c r="J1245" s="217"/>
      <c r="K1245" s="217"/>
      <c r="L1245" s="217"/>
      <c r="M1245" s="217"/>
      <c r="N1245" s="217"/>
      <c r="O1245" s="217"/>
      <c r="P1245" s="217"/>
      <c r="Q1245" s="217"/>
      <c r="R1245" s="217"/>
      <c r="S1245" s="217"/>
      <c r="T1245" s="217"/>
      <c r="U1245" s="217"/>
      <c r="V1245" s="217"/>
      <c r="W1245" s="217"/>
      <c r="X1245" s="217"/>
      <c r="Y1245" s="217"/>
      <c r="Z1245" s="217"/>
      <c r="AA1245" s="217"/>
      <c r="AB1245" s="217"/>
      <c r="AC1245" s="217"/>
      <c r="AD1245" s="217"/>
    </row>
    <row r="1246" spans="1:30" x14ac:dyDescent="0.2">
      <c r="A1246" s="232"/>
      <c r="B1246" s="210"/>
      <c r="C1246" s="210"/>
      <c r="D1246" s="210"/>
      <c r="E1246" s="210"/>
      <c r="G1246" s="55"/>
      <c r="H1246" s="56"/>
      <c r="I1246" s="217"/>
      <c r="J1246" s="217"/>
      <c r="K1246" s="217"/>
      <c r="L1246" s="217"/>
      <c r="M1246" s="217"/>
      <c r="N1246" s="217"/>
      <c r="O1246" s="217"/>
      <c r="P1246" s="217"/>
      <c r="Q1246" s="217"/>
      <c r="R1246" s="217"/>
      <c r="S1246" s="217"/>
      <c r="T1246" s="217"/>
      <c r="U1246" s="217"/>
      <c r="V1246" s="217"/>
      <c r="W1246" s="217"/>
      <c r="X1246" s="217"/>
      <c r="Y1246" s="217"/>
      <c r="Z1246" s="217"/>
      <c r="AA1246" s="217"/>
      <c r="AB1246" s="217"/>
      <c r="AC1246" s="217"/>
      <c r="AD1246" s="217"/>
    </row>
    <row r="1247" spans="1:30" x14ac:dyDescent="0.2">
      <c r="A1247" s="232"/>
      <c r="B1247" s="210"/>
      <c r="C1247" s="210"/>
      <c r="D1247" s="210"/>
      <c r="E1247" s="210"/>
      <c r="G1247" s="55"/>
      <c r="H1247" s="56"/>
      <c r="I1247" s="217"/>
      <c r="J1247" s="217"/>
      <c r="K1247" s="217"/>
      <c r="L1247" s="217"/>
      <c r="M1247" s="217"/>
      <c r="N1247" s="217"/>
      <c r="O1247" s="217"/>
      <c r="P1247" s="217"/>
      <c r="Q1247" s="217"/>
      <c r="R1247" s="217"/>
      <c r="S1247" s="217"/>
      <c r="T1247" s="217"/>
      <c r="U1247" s="217"/>
      <c r="V1247" s="217"/>
      <c r="W1247" s="217"/>
      <c r="X1247" s="217"/>
      <c r="Y1247" s="217"/>
      <c r="Z1247" s="217"/>
      <c r="AA1247" s="217"/>
      <c r="AB1247" s="217"/>
      <c r="AC1247" s="217"/>
      <c r="AD1247" s="217"/>
    </row>
    <row r="1248" spans="1:30" x14ac:dyDescent="0.2">
      <c r="A1248" s="232"/>
      <c r="B1248" s="210"/>
      <c r="C1248" s="210"/>
      <c r="D1248" s="210"/>
      <c r="E1248" s="210"/>
      <c r="G1248" s="55"/>
      <c r="H1248" s="56"/>
      <c r="I1248" s="217"/>
      <c r="J1248" s="217"/>
      <c r="K1248" s="217"/>
      <c r="L1248" s="217"/>
      <c r="M1248" s="217"/>
      <c r="N1248" s="217"/>
      <c r="O1248" s="217"/>
      <c r="P1248" s="217"/>
      <c r="Q1248" s="217"/>
      <c r="R1248" s="217"/>
      <c r="S1248" s="217"/>
      <c r="T1248" s="217"/>
      <c r="U1248" s="217"/>
      <c r="V1248" s="217"/>
      <c r="W1248" s="217"/>
      <c r="X1248" s="217"/>
      <c r="Y1248" s="217"/>
      <c r="Z1248" s="217"/>
      <c r="AA1248" s="217"/>
      <c r="AB1248" s="217"/>
      <c r="AC1248" s="217"/>
      <c r="AD1248" s="217"/>
    </row>
    <row r="1249" spans="1:30" x14ac:dyDescent="0.2">
      <c r="A1249" s="232"/>
      <c r="B1249" s="210"/>
      <c r="C1249" s="210"/>
      <c r="D1249" s="210"/>
      <c r="E1249" s="210"/>
      <c r="G1249" s="55"/>
      <c r="H1249" s="56"/>
      <c r="I1249" s="217"/>
      <c r="J1249" s="217"/>
      <c r="K1249" s="217"/>
      <c r="L1249" s="217"/>
      <c r="M1249" s="217"/>
      <c r="N1249" s="217"/>
      <c r="O1249" s="217"/>
      <c r="P1249" s="217"/>
      <c r="Q1249" s="217"/>
      <c r="R1249" s="217"/>
      <c r="S1249" s="217"/>
      <c r="T1249" s="217"/>
      <c r="U1249" s="217"/>
      <c r="V1249" s="217"/>
      <c r="W1249" s="217"/>
      <c r="X1249" s="217"/>
      <c r="Y1249" s="217"/>
      <c r="Z1249" s="217"/>
      <c r="AA1249" s="217"/>
      <c r="AB1249" s="217"/>
      <c r="AC1249" s="217"/>
      <c r="AD1249" s="217"/>
    </row>
    <row r="1250" spans="1:30" x14ac:dyDescent="0.2">
      <c r="A1250" s="232"/>
      <c r="B1250" s="210"/>
      <c r="C1250" s="210"/>
      <c r="D1250" s="210"/>
      <c r="E1250" s="210"/>
      <c r="G1250" s="55"/>
      <c r="H1250" s="56"/>
      <c r="I1250" s="217"/>
      <c r="J1250" s="217"/>
      <c r="K1250" s="217"/>
      <c r="L1250" s="217"/>
      <c r="M1250" s="217"/>
      <c r="N1250" s="217"/>
      <c r="O1250" s="217"/>
      <c r="P1250" s="217"/>
      <c r="Q1250" s="217"/>
      <c r="R1250" s="217"/>
      <c r="S1250" s="217"/>
      <c r="T1250" s="217"/>
      <c r="U1250" s="217"/>
      <c r="V1250" s="217"/>
      <c r="W1250" s="217"/>
      <c r="X1250" s="217"/>
      <c r="Y1250" s="217"/>
      <c r="Z1250" s="217"/>
      <c r="AA1250" s="217"/>
      <c r="AB1250" s="217"/>
      <c r="AC1250" s="217"/>
      <c r="AD1250" s="217"/>
    </row>
    <row r="1251" spans="1:30" x14ac:dyDescent="0.2">
      <c r="A1251" s="232"/>
      <c r="B1251" s="210"/>
      <c r="C1251" s="210"/>
      <c r="D1251" s="210"/>
      <c r="E1251" s="210"/>
      <c r="G1251" s="55"/>
      <c r="H1251" s="56"/>
      <c r="I1251" s="217"/>
      <c r="J1251" s="217"/>
      <c r="K1251" s="217"/>
      <c r="L1251" s="217"/>
      <c r="M1251" s="217"/>
      <c r="N1251" s="217"/>
      <c r="O1251" s="217"/>
      <c r="P1251" s="217"/>
      <c r="Q1251" s="217"/>
      <c r="R1251" s="217"/>
      <c r="S1251" s="217"/>
      <c r="T1251" s="217"/>
      <c r="U1251" s="217"/>
      <c r="V1251" s="217"/>
      <c r="W1251" s="217"/>
      <c r="X1251" s="217"/>
      <c r="Y1251" s="217"/>
      <c r="Z1251" s="217"/>
      <c r="AA1251" s="217"/>
      <c r="AB1251" s="217"/>
      <c r="AC1251" s="217"/>
      <c r="AD1251" s="217"/>
    </row>
    <row r="1252" spans="1:30" x14ac:dyDescent="0.2">
      <c r="A1252" s="232"/>
      <c r="B1252" s="210"/>
      <c r="C1252" s="210"/>
      <c r="D1252" s="210"/>
      <c r="E1252" s="210"/>
      <c r="G1252" s="55"/>
      <c r="H1252" s="56"/>
      <c r="I1252" s="217"/>
      <c r="J1252" s="217"/>
      <c r="K1252" s="217"/>
      <c r="L1252" s="217"/>
      <c r="M1252" s="217"/>
      <c r="N1252" s="217"/>
      <c r="O1252" s="217"/>
      <c r="P1252" s="217"/>
      <c r="Q1252" s="217"/>
      <c r="R1252" s="217"/>
      <c r="S1252" s="217"/>
      <c r="T1252" s="217"/>
      <c r="U1252" s="217"/>
      <c r="V1252" s="217"/>
      <c r="W1252" s="217"/>
      <c r="X1252" s="217"/>
      <c r="Y1252" s="217"/>
      <c r="Z1252" s="217"/>
      <c r="AA1252" s="217"/>
      <c r="AB1252" s="217"/>
      <c r="AC1252" s="217"/>
      <c r="AD1252" s="217"/>
    </row>
    <row r="1253" spans="1:30" x14ac:dyDescent="0.2">
      <c r="A1253" s="232"/>
      <c r="B1253" s="210"/>
      <c r="C1253" s="210"/>
      <c r="D1253" s="210"/>
      <c r="E1253" s="210"/>
      <c r="G1253" s="55"/>
      <c r="H1253" s="56"/>
      <c r="I1253" s="217"/>
      <c r="J1253" s="217"/>
      <c r="K1253" s="217"/>
      <c r="L1253" s="217"/>
      <c r="M1253" s="217"/>
      <c r="N1253" s="217"/>
      <c r="O1253" s="217"/>
      <c r="P1253" s="217"/>
      <c r="Q1253" s="217"/>
      <c r="R1253" s="217"/>
      <c r="S1253" s="217"/>
      <c r="T1253" s="217"/>
      <c r="U1253" s="217"/>
      <c r="V1253" s="217"/>
      <c r="W1253" s="217"/>
      <c r="X1253" s="217"/>
      <c r="Y1253" s="217"/>
      <c r="Z1253" s="217"/>
      <c r="AA1253" s="217"/>
      <c r="AB1253" s="217"/>
      <c r="AC1253" s="217"/>
      <c r="AD1253" s="217"/>
    </row>
    <row r="1254" spans="1:30" x14ac:dyDescent="0.2">
      <c r="A1254" s="232"/>
      <c r="B1254" s="210"/>
      <c r="C1254" s="210"/>
      <c r="D1254" s="210"/>
      <c r="E1254" s="210"/>
      <c r="G1254" s="55"/>
      <c r="H1254" s="56"/>
      <c r="I1254" s="217"/>
      <c r="J1254" s="217"/>
      <c r="K1254" s="217"/>
      <c r="L1254" s="217"/>
      <c r="M1254" s="217"/>
      <c r="N1254" s="217"/>
      <c r="O1254" s="217"/>
      <c r="P1254" s="217"/>
      <c r="Q1254" s="217"/>
      <c r="R1254" s="217"/>
      <c r="S1254" s="217"/>
      <c r="T1254" s="217"/>
      <c r="U1254" s="217"/>
      <c r="V1254" s="217"/>
      <c r="W1254" s="217"/>
      <c r="X1254" s="217"/>
      <c r="Y1254" s="217"/>
      <c r="Z1254" s="217"/>
      <c r="AA1254" s="217"/>
      <c r="AB1254" s="217"/>
      <c r="AC1254" s="217"/>
      <c r="AD1254" s="217"/>
    </row>
    <row r="1255" spans="1:30" x14ac:dyDescent="0.2">
      <c r="A1255" s="232"/>
      <c r="B1255" s="210"/>
      <c r="C1255" s="210"/>
      <c r="D1255" s="210"/>
      <c r="E1255" s="210"/>
      <c r="G1255" s="55"/>
      <c r="H1255" s="56"/>
      <c r="I1255" s="217"/>
      <c r="J1255" s="217"/>
      <c r="K1255" s="217"/>
      <c r="L1255" s="217"/>
      <c r="M1255" s="217"/>
      <c r="N1255" s="217"/>
      <c r="O1255" s="217"/>
      <c r="P1255" s="217"/>
      <c r="Q1255" s="217"/>
      <c r="R1255" s="217"/>
      <c r="S1255" s="217"/>
      <c r="T1255" s="217"/>
      <c r="U1255" s="217"/>
      <c r="V1255" s="217"/>
      <c r="W1255" s="217"/>
      <c r="X1255" s="217"/>
      <c r="Y1255" s="217"/>
      <c r="Z1255" s="217"/>
      <c r="AA1255" s="217"/>
      <c r="AB1255" s="217"/>
      <c r="AC1255" s="217"/>
      <c r="AD1255" s="217"/>
    </row>
    <row r="1256" spans="1:30" x14ac:dyDescent="0.2">
      <c r="A1256" s="232"/>
      <c r="B1256" s="210"/>
      <c r="C1256" s="210"/>
      <c r="D1256" s="210"/>
      <c r="E1256" s="210"/>
      <c r="G1256" s="55"/>
      <c r="H1256" s="56"/>
      <c r="I1256" s="217"/>
      <c r="J1256" s="217"/>
      <c r="K1256" s="217"/>
      <c r="L1256" s="217"/>
      <c r="M1256" s="217"/>
      <c r="N1256" s="217"/>
      <c r="O1256" s="217"/>
      <c r="P1256" s="217"/>
      <c r="Q1256" s="217"/>
      <c r="R1256" s="217"/>
      <c r="S1256" s="217"/>
      <c r="T1256" s="217"/>
      <c r="U1256" s="217"/>
      <c r="V1256" s="217"/>
      <c r="W1256" s="217"/>
      <c r="X1256" s="217"/>
      <c r="Y1256" s="217"/>
      <c r="Z1256" s="217"/>
      <c r="AA1256" s="217"/>
      <c r="AB1256" s="217"/>
      <c r="AC1256" s="217"/>
      <c r="AD1256" s="217"/>
    </row>
    <row r="1257" spans="1:30" x14ac:dyDescent="0.2">
      <c r="A1257" s="232"/>
      <c r="B1257" s="210"/>
      <c r="C1257" s="210"/>
      <c r="D1257" s="210"/>
      <c r="E1257" s="210"/>
      <c r="G1257" s="55"/>
      <c r="H1257" s="56"/>
      <c r="I1257" s="217"/>
      <c r="J1257" s="217"/>
      <c r="K1257" s="217"/>
      <c r="L1257" s="217"/>
      <c r="M1257" s="217"/>
      <c r="N1257" s="217"/>
      <c r="O1257" s="217"/>
      <c r="P1257" s="217"/>
      <c r="Q1257" s="217"/>
      <c r="R1257" s="217"/>
      <c r="S1257" s="217"/>
      <c r="T1257" s="217"/>
      <c r="U1257" s="217"/>
      <c r="V1257" s="217"/>
      <c r="W1257" s="217"/>
      <c r="X1257" s="217"/>
      <c r="Y1257" s="217"/>
      <c r="Z1257" s="217"/>
      <c r="AA1257" s="217"/>
      <c r="AB1257" s="217"/>
      <c r="AC1257" s="217"/>
      <c r="AD1257" s="217"/>
    </row>
    <row r="1258" spans="1:30" x14ac:dyDescent="0.2">
      <c r="A1258" s="232"/>
      <c r="B1258" s="210"/>
      <c r="C1258" s="210"/>
      <c r="D1258" s="210"/>
      <c r="E1258" s="210"/>
      <c r="G1258" s="55"/>
      <c r="H1258" s="56"/>
      <c r="I1258" s="217"/>
      <c r="J1258" s="217"/>
      <c r="K1258" s="217"/>
      <c r="L1258" s="217"/>
      <c r="M1258" s="217"/>
      <c r="N1258" s="217"/>
      <c r="O1258" s="217"/>
      <c r="P1258" s="217"/>
      <c r="Q1258" s="217"/>
      <c r="R1258" s="217"/>
      <c r="S1258" s="217"/>
      <c r="T1258" s="217"/>
      <c r="U1258" s="217"/>
      <c r="V1258" s="217"/>
      <c r="W1258" s="217"/>
      <c r="X1258" s="217"/>
      <c r="Y1258" s="217"/>
      <c r="Z1258" s="217"/>
      <c r="AA1258" s="217"/>
      <c r="AB1258" s="217"/>
      <c r="AC1258" s="217"/>
      <c r="AD1258" s="217"/>
    </row>
    <row r="1259" spans="1:30" x14ac:dyDescent="0.2">
      <c r="A1259" s="232"/>
      <c r="B1259" s="210"/>
      <c r="C1259" s="210"/>
      <c r="D1259" s="210"/>
      <c r="E1259" s="210"/>
      <c r="G1259" s="55"/>
      <c r="H1259" s="56"/>
      <c r="I1259" s="217"/>
      <c r="J1259" s="217"/>
      <c r="K1259" s="217"/>
      <c r="L1259" s="217"/>
      <c r="M1259" s="217"/>
      <c r="N1259" s="217"/>
      <c r="O1259" s="217"/>
      <c r="P1259" s="217"/>
      <c r="Q1259" s="217"/>
      <c r="R1259" s="217"/>
      <c r="S1259" s="217"/>
      <c r="T1259" s="217"/>
      <c r="U1259" s="217"/>
      <c r="V1259" s="217"/>
      <c r="W1259" s="217"/>
      <c r="X1259" s="217"/>
      <c r="Y1259" s="217"/>
      <c r="Z1259" s="217"/>
      <c r="AA1259" s="217"/>
      <c r="AB1259" s="217"/>
      <c r="AC1259" s="217"/>
      <c r="AD1259" s="217"/>
    </row>
    <row r="1260" spans="1:30" x14ac:dyDescent="0.2">
      <c r="A1260" s="232"/>
      <c r="B1260" s="210"/>
      <c r="C1260" s="210"/>
      <c r="D1260" s="210"/>
      <c r="E1260" s="210"/>
      <c r="G1260" s="55"/>
      <c r="H1260" s="56"/>
      <c r="I1260" s="217"/>
      <c r="J1260" s="217"/>
      <c r="K1260" s="217"/>
      <c r="L1260" s="217"/>
      <c r="M1260" s="217"/>
      <c r="N1260" s="217"/>
      <c r="O1260" s="217"/>
      <c r="P1260" s="217"/>
      <c r="Q1260" s="217"/>
      <c r="R1260" s="217"/>
      <c r="S1260" s="217"/>
      <c r="T1260" s="217"/>
      <c r="U1260" s="217"/>
      <c r="V1260" s="217"/>
      <c r="W1260" s="217"/>
      <c r="X1260" s="217"/>
      <c r="Y1260" s="217"/>
      <c r="Z1260" s="217"/>
      <c r="AA1260" s="217"/>
      <c r="AB1260" s="217"/>
      <c r="AC1260" s="217"/>
      <c r="AD1260" s="217"/>
    </row>
    <row r="1261" spans="1:30" x14ac:dyDescent="0.2">
      <c r="A1261" s="232"/>
      <c r="B1261" s="210"/>
      <c r="C1261" s="210"/>
      <c r="D1261" s="210"/>
      <c r="E1261" s="210"/>
      <c r="G1261" s="55"/>
      <c r="H1261" s="56"/>
      <c r="I1261" s="217"/>
      <c r="J1261" s="217"/>
      <c r="K1261" s="217"/>
      <c r="L1261" s="217"/>
      <c r="M1261" s="217"/>
      <c r="N1261" s="217"/>
      <c r="O1261" s="217"/>
      <c r="P1261" s="217"/>
      <c r="Q1261" s="217"/>
      <c r="R1261" s="217"/>
      <c r="S1261" s="217"/>
      <c r="T1261" s="217"/>
      <c r="U1261" s="217"/>
      <c r="V1261" s="217"/>
      <c r="W1261" s="217"/>
      <c r="X1261" s="217"/>
      <c r="Y1261" s="217"/>
      <c r="Z1261" s="217"/>
      <c r="AA1261" s="217"/>
      <c r="AB1261" s="217"/>
      <c r="AC1261" s="217"/>
      <c r="AD1261" s="217"/>
    </row>
    <row r="1262" spans="1:30" x14ac:dyDescent="0.2">
      <c r="A1262" s="232"/>
      <c r="B1262" s="210"/>
      <c r="C1262" s="210"/>
      <c r="D1262" s="210"/>
      <c r="E1262" s="210"/>
      <c r="G1262" s="55"/>
      <c r="H1262" s="56"/>
      <c r="I1262" s="217"/>
      <c r="J1262" s="217"/>
      <c r="K1262" s="217"/>
      <c r="L1262" s="217"/>
      <c r="M1262" s="217"/>
      <c r="N1262" s="217"/>
      <c r="O1262" s="217"/>
      <c r="P1262" s="217"/>
      <c r="Q1262" s="217"/>
      <c r="R1262" s="217"/>
      <c r="S1262" s="217"/>
      <c r="T1262" s="217"/>
      <c r="U1262" s="217"/>
      <c r="V1262" s="217"/>
      <c r="W1262" s="217"/>
      <c r="X1262" s="217"/>
      <c r="Y1262" s="217"/>
      <c r="Z1262" s="217"/>
      <c r="AA1262" s="217"/>
      <c r="AB1262" s="217"/>
      <c r="AC1262" s="217"/>
      <c r="AD1262" s="217"/>
    </row>
    <row r="1263" spans="1:30" x14ac:dyDescent="0.2">
      <c r="A1263" s="232"/>
      <c r="B1263" s="210"/>
      <c r="C1263" s="210"/>
      <c r="D1263" s="210"/>
      <c r="E1263" s="210"/>
      <c r="G1263" s="55"/>
      <c r="H1263" s="56"/>
      <c r="I1263" s="217"/>
      <c r="J1263" s="217"/>
      <c r="K1263" s="217"/>
      <c r="L1263" s="217"/>
      <c r="M1263" s="217"/>
      <c r="N1263" s="217"/>
      <c r="O1263" s="217"/>
      <c r="P1263" s="217"/>
      <c r="Q1263" s="217"/>
      <c r="R1263" s="217"/>
      <c r="S1263" s="217"/>
      <c r="T1263" s="217"/>
      <c r="U1263" s="217"/>
      <c r="V1263" s="217"/>
      <c r="W1263" s="217"/>
      <c r="X1263" s="217"/>
      <c r="Y1263" s="217"/>
      <c r="Z1263" s="217"/>
      <c r="AA1263" s="217"/>
      <c r="AB1263" s="217"/>
      <c r="AC1263" s="217"/>
      <c r="AD1263" s="217"/>
    </row>
    <row r="1264" spans="1:30" x14ac:dyDescent="0.2">
      <c r="A1264" s="232"/>
      <c r="B1264" s="210"/>
      <c r="C1264" s="210"/>
      <c r="D1264" s="210"/>
      <c r="E1264" s="210"/>
      <c r="G1264" s="55"/>
      <c r="H1264" s="56"/>
      <c r="I1264" s="217"/>
      <c r="J1264" s="217"/>
      <c r="K1264" s="217"/>
      <c r="L1264" s="217"/>
      <c r="M1264" s="217"/>
      <c r="N1264" s="217"/>
      <c r="O1264" s="217"/>
      <c r="P1264" s="217"/>
      <c r="Q1264" s="217"/>
      <c r="R1264" s="217"/>
      <c r="S1264" s="217"/>
      <c r="T1264" s="217"/>
      <c r="U1264" s="217"/>
      <c r="V1264" s="217"/>
      <c r="W1264" s="217"/>
      <c r="X1264" s="217"/>
      <c r="Y1264" s="217"/>
      <c r="Z1264" s="217"/>
      <c r="AA1264" s="217"/>
      <c r="AB1264" s="217"/>
      <c r="AC1264" s="217"/>
      <c r="AD1264" s="217"/>
    </row>
    <row r="1265" spans="1:30" x14ac:dyDescent="0.2">
      <c r="A1265" s="232"/>
      <c r="B1265" s="210"/>
      <c r="C1265" s="210"/>
      <c r="D1265" s="210"/>
      <c r="E1265" s="210"/>
      <c r="G1265" s="55"/>
      <c r="H1265" s="56"/>
      <c r="I1265" s="217"/>
      <c r="J1265" s="217"/>
      <c r="K1265" s="217"/>
      <c r="L1265" s="217"/>
      <c r="M1265" s="217"/>
      <c r="N1265" s="217"/>
      <c r="O1265" s="217"/>
      <c r="P1265" s="217"/>
      <c r="Q1265" s="217"/>
      <c r="R1265" s="217"/>
      <c r="S1265" s="217"/>
      <c r="T1265" s="217"/>
      <c r="U1265" s="217"/>
      <c r="V1265" s="217"/>
      <c r="W1265" s="217"/>
      <c r="X1265" s="217"/>
      <c r="Y1265" s="217"/>
      <c r="Z1265" s="217"/>
      <c r="AA1265" s="217"/>
      <c r="AB1265" s="217"/>
      <c r="AC1265" s="217"/>
      <c r="AD1265" s="217"/>
    </row>
    <row r="1266" spans="1:30" x14ac:dyDescent="0.2">
      <c r="A1266" s="232"/>
      <c r="B1266" s="210"/>
      <c r="C1266" s="210"/>
      <c r="D1266" s="210"/>
      <c r="E1266" s="210"/>
      <c r="G1266" s="55"/>
      <c r="H1266" s="56"/>
      <c r="I1266" s="217"/>
      <c r="J1266" s="217"/>
      <c r="K1266" s="217"/>
      <c r="L1266" s="217"/>
      <c r="M1266" s="217"/>
      <c r="N1266" s="217"/>
      <c r="O1266" s="217"/>
      <c r="P1266" s="217"/>
      <c r="Q1266" s="217"/>
      <c r="R1266" s="217"/>
      <c r="S1266" s="217"/>
      <c r="T1266" s="217"/>
      <c r="U1266" s="217"/>
      <c r="V1266" s="217"/>
      <c r="W1266" s="217"/>
      <c r="X1266" s="217"/>
      <c r="Y1266" s="217"/>
      <c r="Z1266" s="217"/>
      <c r="AA1266" s="217"/>
      <c r="AB1266" s="217"/>
      <c r="AC1266" s="217"/>
      <c r="AD1266" s="217"/>
    </row>
    <row r="1267" spans="1:30" x14ac:dyDescent="0.2">
      <c r="A1267" s="232"/>
      <c r="B1267" s="210"/>
      <c r="C1267" s="210"/>
      <c r="D1267" s="210"/>
      <c r="E1267" s="210"/>
      <c r="G1267" s="55"/>
      <c r="H1267" s="56"/>
      <c r="I1267" s="217"/>
      <c r="J1267" s="217"/>
      <c r="K1267" s="217"/>
      <c r="L1267" s="217"/>
      <c r="M1267" s="217"/>
      <c r="N1267" s="217"/>
      <c r="O1267" s="217"/>
      <c r="P1267" s="217"/>
      <c r="Q1267" s="217"/>
      <c r="R1267" s="217"/>
      <c r="S1267" s="217"/>
      <c r="T1267" s="217"/>
      <c r="U1267" s="217"/>
      <c r="V1267" s="217"/>
      <c r="W1267" s="217"/>
      <c r="X1267" s="217"/>
      <c r="Y1267" s="217"/>
      <c r="Z1267" s="217"/>
      <c r="AA1267" s="217"/>
      <c r="AB1267" s="217"/>
      <c r="AC1267" s="217"/>
      <c r="AD1267" s="217"/>
    </row>
    <row r="1268" spans="1:30" x14ac:dyDescent="0.2">
      <c r="A1268" s="232"/>
      <c r="B1268" s="210"/>
      <c r="C1268" s="210"/>
      <c r="D1268" s="210"/>
      <c r="E1268" s="210"/>
      <c r="G1268" s="55"/>
      <c r="H1268" s="56"/>
      <c r="I1268" s="217"/>
      <c r="J1268" s="217"/>
      <c r="K1268" s="217"/>
      <c r="L1268" s="217"/>
      <c r="M1268" s="217"/>
      <c r="N1268" s="217"/>
      <c r="O1268" s="217"/>
      <c r="P1268" s="217"/>
      <c r="Q1268" s="217"/>
      <c r="R1268" s="217"/>
      <c r="S1268" s="217"/>
      <c r="T1268" s="217"/>
      <c r="U1268" s="217"/>
      <c r="V1268" s="217"/>
      <c r="W1268" s="217"/>
      <c r="X1268" s="217"/>
      <c r="Y1268" s="217"/>
      <c r="Z1268" s="217"/>
      <c r="AA1268" s="217"/>
      <c r="AB1268" s="217"/>
      <c r="AC1268" s="217"/>
      <c r="AD1268" s="217"/>
    </row>
    <row r="1269" spans="1:30" x14ac:dyDescent="0.2">
      <c r="A1269" s="232"/>
      <c r="B1269" s="210"/>
      <c r="C1269" s="210"/>
      <c r="D1269" s="210"/>
      <c r="E1269" s="210"/>
      <c r="G1269" s="55"/>
      <c r="H1269" s="56"/>
      <c r="I1269" s="217"/>
      <c r="J1269" s="217"/>
      <c r="K1269" s="217"/>
      <c r="L1269" s="217"/>
      <c r="M1269" s="217"/>
      <c r="N1269" s="217"/>
      <c r="O1269" s="217"/>
      <c r="P1269" s="217"/>
      <c r="Q1269" s="217"/>
      <c r="R1269" s="217"/>
      <c r="S1269" s="217"/>
      <c r="T1269" s="217"/>
      <c r="U1269" s="217"/>
      <c r="V1269" s="217"/>
      <c r="W1269" s="217"/>
      <c r="X1269" s="217"/>
      <c r="Y1269" s="217"/>
      <c r="Z1269" s="217"/>
      <c r="AA1269" s="217"/>
      <c r="AB1269" s="217"/>
      <c r="AC1269" s="217"/>
      <c r="AD1269" s="217"/>
    </row>
    <row r="1270" spans="1:30" x14ac:dyDescent="0.2">
      <c r="A1270" s="232"/>
      <c r="B1270" s="210"/>
      <c r="C1270" s="210"/>
      <c r="D1270" s="210"/>
      <c r="E1270" s="210"/>
      <c r="G1270" s="55"/>
      <c r="H1270" s="56"/>
      <c r="I1270" s="217"/>
      <c r="J1270" s="217"/>
      <c r="K1270" s="217"/>
      <c r="L1270" s="217"/>
      <c r="M1270" s="217"/>
      <c r="N1270" s="217"/>
      <c r="O1270" s="217"/>
      <c r="P1270" s="217"/>
      <c r="Q1270" s="217"/>
      <c r="R1270" s="217"/>
      <c r="S1270" s="217"/>
      <c r="T1270" s="217"/>
      <c r="U1270" s="217"/>
      <c r="V1270" s="217"/>
      <c r="W1270" s="217"/>
      <c r="X1270" s="217"/>
      <c r="Y1270" s="217"/>
      <c r="Z1270" s="217"/>
      <c r="AA1270" s="217"/>
      <c r="AB1270" s="217"/>
      <c r="AC1270" s="217"/>
      <c r="AD1270" s="217"/>
    </row>
    <row r="1271" spans="1:30" x14ac:dyDescent="0.2">
      <c r="A1271" s="232"/>
      <c r="B1271" s="210"/>
      <c r="C1271" s="210"/>
      <c r="D1271" s="210"/>
      <c r="E1271" s="210"/>
      <c r="G1271" s="55"/>
      <c r="H1271" s="56"/>
      <c r="I1271" s="217"/>
      <c r="J1271" s="217"/>
      <c r="K1271" s="217"/>
      <c r="L1271" s="217"/>
      <c r="M1271" s="217"/>
      <c r="N1271" s="217"/>
      <c r="O1271" s="217"/>
      <c r="P1271" s="217"/>
      <c r="Q1271" s="217"/>
      <c r="R1271" s="217"/>
      <c r="S1271" s="217"/>
      <c r="T1271" s="217"/>
      <c r="U1271" s="217"/>
      <c r="V1271" s="217"/>
      <c r="W1271" s="217"/>
      <c r="X1271" s="217"/>
      <c r="Y1271" s="217"/>
      <c r="Z1271" s="217"/>
      <c r="AA1271" s="217"/>
      <c r="AB1271" s="217"/>
      <c r="AC1271" s="217"/>
      <c r="AD1271" s="217"/>
    </row>
    <row r="1272" spans="1:30" x14ac:dyDescent="0.2">
      <c r="A1272" s="232"/>
      <c r="B1272" s="210"/>
      <c r="C1272" s="210"/>
      <c r="D1272" s="210"/>
      <c r="E1272" s="210"/>
      <c r="G1272" s="55"/>
      <c r="H1272" s="56"/>
      <c r="I1272" s="217"/>
      <c r="J1272" s="217"/>
      <c r="K1272" s="217"/>
      <c r="L1272" s="217"/>
      <c r="M1272" s="217"/>
      <c r="N1272" s="217"/>
      <c r="O1272" s="217"/>
      <c r="P1272" s="217"/>
      <c r="Q1272" s="217"/>
      <c r="R1272" s="217"/>
      <c r="S1272" s="217"/>
      <c r="T1272" s="217"/>
      <c r="U1272" s="217"/>
      <c r="V1272" s="217"/>
      <c r="W1272" s="217"/>
      <c r="X1272" s="217"/>
      <c r="Y1272" s="217"/>
      <c r="Z1272" s="217"/>
      <c r="AA1272" s="217"/>
      <c r="AB1272" s="217"/>
      <c r="AC1272" s="217"/>
      <c r="AD1272" s="217"/>
    </row>
    <row r="1273" spans="1:30" x14ac:dyDescent="0.2">
      <c r="A1273" s="232"/>
      <c r="B1273" s="210"/>
      <c r="C1273" s="210"/>
      <c r="D1273" s="210"/>
      <c r="E1273" s="210"/>
      <c r="G1273" s="55"/>
      <c r="H1273" s="56"/>
      <c r="I1273" s="217"/>
      <c r="J1273" s="217"/>
      <c r="K1273" s="217"/>
      <c r="L1273" s="217"/>
      <c r="M1273" s="217"/>
      <c r="N1273" s="217"/>
      <c r="O1273" s="217"/>
      <c r="P1273" s="217"/>
      <c r="Q1273" s="217"/>
      <c r="R1273" s="217"/>
      <c r="S1273" s="217"/>
      <c r="T1273" s="217"/>
      <c r="U1273" s="217"/>
      <c r="V1273" s="217"/>
      <c r="W1273" s="217"/>
      <c r="X1273" s="217"/>
      <c r="Y1273" s="217"/>
      <c r="Z1273" s="217"/>
      <c r="AA1273" s="217"/>
      <c r="AB1273" s="217"/>
      <c r="AC1273" s="217"/>
      <c r="AD1273" s="217"/>
    </row>
    <row r="1274" spans="1:30" x14ac:dyDescent="0.2">
      <c r="A1274" s="232"/>
      <c r="B1274" s="210"/>
      <c r="C1274" s="210"/>
      <c r="D1274" s="210"/>
      <c r="E1274" s="210"/>
      <c r="G1274" s="55"/>
      <c r="H1274" s="56"/>
      <c r="I1274" s="217"/>
      <c r="J1274" s="217"/>
      <c r="K1274" s="217"/>
      <c r="L1274" s="217"/>
      <c r="M1274" s="217"/>
      <c r="N1274" s="217"/>
      <c r="O1274" s="217"/>
      <c r="P1274" s="217"/>
      <c r="Q1274" s="217"/>
      <c r="R1274" s="217"/>
      <c r="S1274" s="217"/>
      <c r="T1274" s="217"/>
      <c r="U1274" s="217"/>
      <c r="V1274" s="217"/>
      <c r="W1274" s="217"/>
      <c r="X1274" s="217"/>
      <c r="Y1274" s="217"/>
      <c r="Z1274" s="217"/>
      <c r="AA1274" s="217"/>
      <c r="AB1274" s="217"/>
      <c r="AC1274" s="217"/>
      <c r="AD1274" s="217"/>
    </row>
    <row r="1275" spans="1:30" x14ac:dyDescent="0.2">
      <c r="A1275" s="232"/>
      <c r="B1275" s="210"/>
      <c r="C1275" s="210"/>
      <c r="D1275" s="210"/>
      <c r="E1275" s="210"/>
      <c r="G1275" s="55"/>
      <c r="H1275" s="56"/>
      <c r="I1275" s="217"/>
      <c r="J1275" s="217"/>
      <c r="K1275" s="217"/>
      <c r="L1275" s="217"/>
      <c r="M1275" s="217"/>
      <c r="N1275" s="217"/>
      <c r="O1275" s="217"/>
      <c r="P1275" s="217"/>
      <c r="Q1275" s="217"/>
      <c r="R1275" s="217"/>
      <c r="S1275" s="217"/>
      <c r="T1275" s="217"/>
      <c r="U1275" s="217"/>
      <c r="V1275" s="217"/>
      <c r="W1275" s="217"/>
      <c r="X1275" s="217"/>
      <c r="Y1275" s="217"/>
      <c r="Z1275" s="217"/>
      <c r="AA1275" s="217"/>
      <c r="AB1275" s="217"/>
      <c r="AC1275" s="217"/>
      <c r="AD1275" s="217"/>
    </row>
    <row r="1276" spans="1:30" x14ac:dyDescent="0.2">
      <c r="A1276" s="232"/>
      <c r="B1276" s="210"/>
      <c r="C1276" s="210"/>
      <c r="D1276" s="210"/>
      <c r="E1276" s="210"/>
      <c r="G1276" s="55"/>
      <c r="H1276" s="56"/>
      <c r="I1276" s="217"/>
      <c r="J1276" s="217"/>
      <c r="K1276" s="217"/>
      <c r="L1276" s="217"/>
      <c r="M1276" s="217"/>
      <c r="N1276" s="217"/>
      <c r="O1276" s="217"/>
      <c r="P1276" s="217"/>
      <c r="Q1276" s="217"/>
      <c r="R1276" s="217"/>
      <c r="S1276" s="217"/>
      <c r="T1276" s="217"/>
      <c r="U1276" s="217"/>
      <c r="V1276" s="217"/>
      <c r="W1276" s="217"/>
      <c r="X1276" s="217"/>
      <c r="Y1276" s="217"/>
      <c r="Z1276" s="217"/>
      <c r="AA1276" s="217"/>
      <c r="AB1276" s="217"/>
      <c r="AC1276" s="217"/>
      <c r="AD1276" s="217"/>
    </row>
    <row r="1277" spans="1:30" x14ac:dyDescent="0.2">
      <c r="A1277" s="232"/>
      <c r="B1277" s="210"/>
      <c r="C1277" s="210"/>
      <c r="D1277" s="210"/>
      <c r="E1277" s="210"/>
      <c r="G1277" s="55"/>
      <c r="H1277" s="56"/>
      <c r="I1277" s="217"/>
      <c r="J1277" s="217"/>
      <c r="K1277" s="217"/>
      <c r="L1277" s="217"/>
      <c r="M1277" s="217"/>
      <c r="N1277" s="217"/>
      <c r="O1277" s="217"/>
      <c r="P1277" s="217"/>
      <c r="Q1277" s="217"/>
      <c r="R1277" s="217"/>
      <c r="S1277" s="217"/>
      <c r="T1277" s="217"/>
      <c r="U1277" s="217"/>
      <c r="V1277" s="217"/>
      <c r="W1277" s="217"/>
      <c r="X1277" s="217"/>
      <c r="Y1277" s="217"/>
      <c r="Z1277" s="217"/>
      <c r="AA1277" s="217"/>
      <c r="AB1277" s="217"/>
      <c r="AC1277" s="217"/>
      <c r="AD1277" s="217"/>
    </row>
    <row r="1278" spans="1:30" x14ac:dyDescent="0.2">
      <c r="A1278" s="232"/>
      <c r="B1278" s="210"/>
      <c r="C1278" s="210"/>
      <c r="D1278" s="210"/>
      <c r="E1278" s="210"/>
      <c r="G1278" s="55"/>
      <c r="H1278" s="56"/>
      <c r="I1278" s="217"/>
      <c r="J1278" s="217"/>
      <c r="K1278" s="217"/>
      <c r="L1278" s="217"/>
      <c r="M1278" s="217"/>
      <c r="N1278" s="217"/>
      <c r="O1278" s="217"/>
      <c r="P1278" s="217"/>
      <c r="Q1278" s="217"/>
      <c r="R1278" s="217"/>
      <c r="S1278" s="217"/>
      <c r="T1278" s="217"/>
      <c r="U1278" s="217"/>
      <c r="V1278" s="217"/>
      <c r="W1278" s="217"/>
      <c r="X1278" s="217"/>
      <c r="Y1278" s="217"/>
      <c r="Z1278" s="217"/>
      <c r="AA1278" s="217"/>
      <c r="AB1278" s="217"/>
      <c r="AC1278" s="217"/>
      <c r="AD1278" s="217"/>
    </row>
    <row r="1279" spans="1:30" x14ac:dyDescent="0.2">
      <c r="A1279" s="232"/>
      <c r="B1279" s="210"/>
      <c r="C1279" s="210"/>
      <c r="D1279" s="210"/>
      <c r="E1279" s="210"/>
      <c r="G1279" s="55"/>
      <c r="H1279" s="56"/>
      <c r="I1279" s="217"/>
      <c r="J1279" s="217"/>
      <c r="K1279" s="217"/>
      <c r="L1279" s="217"/>
      <c r="M1279" s="217"/>
      <c r="N1279" s="217"/>
      <c r="O1279" s="217"/>
      <c r="P1279" s="217"/>
      <c r="Q1279" s="217"/>
      <c r="R1279" s="217"/>
      <c r="S1279" s="217"/>
      <c r="T1279" s="217"/>
      <c r="U1279" s="217"/>
      <c r="V1279" s="217"/>
      <c r="W1279" s="217"/>
      <c r="X1279" s="217"/>
      <c r="Y1279" s="217"/>
      <c r="Z1279" s="217"/>
      <c r="AA1279" s="217"/>
      <c r="AB1279" s="217"/>
      <c r="AC1279" s="217"/>
      <c r="AD1279" s="217"/>
    </row>
    <row r="1280" spans="1:30" x14ac:dyDescent="0.2">
      <c r="A1280" s="232"/>
      <c r="B1280" s="210"/>
      <c r="C1280" s="210"/>
      <c r="D1280" s="210"/>
      <c r="E1280" s="210"/>
      <c r="G1280" s="55"/>
      <c r="H1280" s="56"/>
      <c r="I1280" s="217"/>
      <c r="J1280" s="217"/>
      <c r="K1280" s="217"/>
      <c r="L1280" s="217"/>
      <c r="M1280" s="217"/>
      <c r="N1280" s="217"/>
      <c r="O1280" s="217"/>
      <c r="P1280" s="217"/>
      <c r="Q1280" s="217"/>
      <c r="R1280" s="217"/>
      <c r="S1280" s="217"/>
      <c r="T1280" s="217"/>
      <c r="U1280" s="217"/>
      <c r="V1280" s="217"/>
      <c r="W1280" s="217"/>
      <c r="X1280" s="217"/>
      <c r="Y1280" s="217"/>
      <c r="Z1280" s="217"/>
      <c r="AA1280" s="217"/>
      <c r="AB1280" s="217"/>
      <c r="AC1280" s="217"/>
      <c r="AD1280" s="217"/>
    </row>
    <row r="1281" spans="1:30" x14ac:dyDescent="0.2">
      <c r="A1281" s="232"/>
      <c r="B1281" s="210"/>
      <c r="C1281" s="210"/>
      <c r="D1281" s="210"/>
      <c r="E1281" s="210"/>
      <c r="G1281" s="55"/>
      <c r="H1281" s="56"/>
      <c r="I1281" s="217"/>
      <c r="J1281" s="217"/>
      <c r="K1281" s="217"/>
      <c r="L1281" s="217"/>
      <c r="M1281" s="217"/>
      <c r="N1281" s="217"/>
      <c r="O1281" s="217"/>
      <c r="P1281" s="217"/>
      <c r="Q1281" s="217"/>
      <c r="R1281" s="217"/>
      <c r="S1281" s="217"/>
      <c r="T1281" s="217"/>
      <c r="U1281" s="217"/>
      <c r="V1281" s="217"/>
      <c r="W1281" s="217"/>
      <c r="X1281" s="217"/>
      <c r="Y1281" s="217"/>
      <c r="Z1281" s="217"/>
      <c r="AA1281" s="217"/>
      <c r="AB1281" s="217"/>
      <c r="AC1281" s="217"/>
      <c r="AD1281" s="217"/>
    </row>
    <row r="1282" spans="1:30" x14ac:dyDescent="0.2">
      <c r="A1282" s="232"/>
      <c r="B1282" s="210"/>
      <c r="C1282" s="210"/>
      <c r="D1282" s="210"/>
      <c r="E1282" s="210"/>
      <c r="G1282" s="55"/>
      <c r="H1282" s="56"/>
      <c r="I1282" s="217"/>
      <c r="J1282" s="217"/>
      <c r="K1282" s="217"/>
      <c r="L1282" s="217"/>
      <c r="M1282" s="217"/>
      <c r="N1282" s="217"/>
      <c r="O1282" s="217"/>
      <c r="P1282" s="217"/>
      <c r="Q1282" s="217"/>
      <c r="R1282" s="217"/>
      <c r="S1282" s="217"/>
      <c r="T1282" s="217"/>
      <c r="U1282" s="217"/>
      <c r="V1282" s="217"/>
      <c r="W1282" s="217"/>
      <c r="X1282" s="217"/>
      <c r="Y1282" s="217"/>
      <c r="Z1282" s="217"/>
      <c r="AA1282" s="217"/>
      <c r="AB1282" s="217"/>
      <c r="AC1282" s="217"/>
      <c r="AD1282" s="217"/>
    </row>
    <row r="1283" spans="1:30" x14ac:dyDescent="0.2">
      <c r="A1283" s="232"/>
      <c r="B1283" s="210"/>
      <c r="C1283" s="210"/>
      <c r="D1283" s="210"/>
      <c r="E1283" s="210"/>
      <c r="G1283" s="55"/>
      <c r="H1283" s="56"/>
      <c r="I1283" s="217"/>
      <c r="J1283" s="217"/>
      <c r="K1283" s="217"/>
      <c r="L1283" s="217"/>
      <c r="M1283" s="217"/>
      <c r="N1283" s="217"/>
      <c r="O1283" s="217"/>
      <c r="P1283" s="217"/>
      <c r="Q1283" s="217"/>
      <c r="R1283" s="217"/>
      <c r="S1283" s="217"/>
      <c r="T1283" s="217"/>
      <c r="U1283" s="217"/>
      <c r="V1283" s="217"/>
      <c r="W1283" s="217"/>
      <c r="X1283" s="217"/>
      <c r="Y1283" s="217"/>
      <c r="Z1283" s="217"/>
      <c r="AA1283" s="217"/>
      <c r="AB1283" s="217"/>
      <c r="AC1283" s="217"/>
      <c r="AD1283" s="217"/>
    </row>
    <row r="1284" spans="1:30" x14ac:dyDescent="0.2">
      <c r="A1284" s="232"/>
      <c r="B1284" s="210"/>
      <c r="C1284" s="210"/>
      <c r="D1284" s="210"/>
      <c r="E1284" s="210"/>
      <c r="G1284" s="55"/>
      <c r="H1284" s="56"/>
      <c r="I1284" s="217"/>
      <c r="J1284" s="217"/>
      <c r="K1284" s="217"/>
      <c r="L1284" s="217"/>
      <c r="M1284" s="217"/>
      <c r="N1284" s="217"/>
      <c r="O1284" s="217"/>
      <c r="P1284" s="217"/>
      <c r="Q1284" s="217"/>
      <c r="R1284" s="217"/>
      <c r="S1284" s="217"/>
      <c r="T1284" s="217"/>
      <c r="U1284" s="217"/>
      <c r="V1284" s="217"/>
      <c r="W1284" s="217"/>
      <c r="X1284" s="217"/>
      <c r="Y1284" s="217"/>
      <c r="Z1284" s="217"/>
      <c r="AA1284" s="217"/>
      <c r="AB1284" s="217"/>
      <c r="AC1284" s="217"/>
      <c r="AD1284" s="217"/>
    </row>
    <row r="1285" spans="1:30" x14ac:dyDescent="0.2">
      <c r="A1285" s="232"/>
      <c r="B1285" s="210"/>
      <c r="C1285" s="210"/>
      <c r="D1285" s="210"/>
      <c r="E1285" s="210"/>
      <c r="G1285" s="55"/>
      <c r="H1285" s="56"/>
      <c r="I1285" s="217"/>
      <c r="J1285" s="217"/>
      <c r="K1285" s="217"/>
      <c r="L1285" s="217"/>
      <c r="M1285" s="217"/>
      <c r="N1285" s="217"/>
      <c r="O1285" s="217"/>
      <c r="P1285" s="217"/>
      <c r="Q1285" s="217"/>
      <c r="R1285" s="217"/>
      <c r="S1285" s="217"/>
      <c r="T1285" s="217"/>
      <c r="U1285" s="217"/>
      <c r="V1285" s="217"/>
      <c r="W1285" s="217"/>
      <c r="X1285" s="217"/>
      <c r="Y1285" s="217"/>
      <c r="Z1285" s="217"/>
      <c r="AA1285" s="217"/>
      <c r="AB1285" s="217"/>
      <c r="AC1285" s="217"/>
      <c r="AD1285" s="217"/>
    </row>
    <row r="1286" spans="1:30" x14ac:dyDescent="0.2">
      <c r="A1286" s="232"/>
      <c r="B1286" s="210"/>
      <c r="C1286" s="210"/>
      <c r="D1286" s="210"/>
      <c r="E1286" s="210"/>
      <c r="G1286" s="55"/>
      <c r="H1286" s="56"/>
      <c r="I1286" s="217"/>
      <c r="J1286" s="217"/>
      <c r="K1286" s="217"/>
      <c r="L1286" s="217"/>
      <c r="M1286" s="217"/>
      <c r="N1286" s="217"/>
      <c r="O1286" s="217"/>
      <c r="P1286" s="217"/>
      <c r="Q1286" s="217"/>
      <c r="R1286" s="217"/>
      <c r="S1286" s="217"/>
      <c r="T1286" s="217"/>
      <c r="U1286" s="217"/>
      <c r="V1286" s="217"/>
      <c r="W1286" s="217"/>
      <c r="X1286" s="217"/>
      <c r="Y1286" s="217"/>
      <c r="Z1286" s="217"/>
      <c r="AA1286" s="217"/>
      <c r="AB1286" s="217"/>
      <c r="AC1286" s="217"/>
      <c r="AD1286" s="217"/>
    </row>
    <row r="1287" spans="1:30" x14ac:dyDescent="0.2">
      <c r="A1287" s="232"/>
      <c r="B1287" s="210"/>
      <c r="C1287" s="210"/>
      <c r="D1287" s="210"/>
      <c r="E1287" s="210"/>
      <c r="G1287" s="55"/>
      <c r="H1287" s="56"/>
      <c r="I1287" s="217"/>
      <c r="J1287" s="217"/>
      <c r="K1287" s="217"/>
      <c r="L1287" s="217"/>
      <c r="M1287" s="217"/>
      <c r="N1287" s="217"/>
      <c r="O1287" s="217"/>
      <c r="P1287" s="217"/>
      <c r="Q1287" s="217"/>
      <c r="R1287" s="217"/>
      <c r="S1287" s="217"/>
      <c r="T1287" s="217"/>
      <c r="U1287" s="217"/>
      <c r="V1287" s="217"/>
      <c r="W1287" s="217"/>
      <c r="X1287" s="217"/>
      <c r="Y1287" s="217"/>
      <c r="Z1287" s="217"/>
      <c r="AA1287" s="217"/>
      <c r="AB1287" s="217"/>
      <c r="AC1287" s="217"/>
      <c r="AD1287" s="217"/>
    </row>
    <row r="1288" spans="1:30" x14ac:dyDescent="0.2">
      <c r="A1288" s="232"/>
      <c r="B1288" s="210"/>
      <c r="C1288" s="210"/>
      <c r="D1288" s="210"/>
      <c r="E1288" s="210"/>
      <c r="G1288" s="55"/>
      <c r="H1288" s="56"/>
      <c r="I1288" s="217"/>
      <c r="J1288" s="217"/>
      <c r="K1288" s="217"/>
      <c r="L1288" s="217"/>
      <c r="M1288" s="217"/>
      <c r="N1288" s="217"/>
      <c r="O1288" s="217"/>
      <c r="P1288" s="217"/>
      <c r="Q1288" s="217"/>
      <c r="R1288" s="217"/>
      <c r="S1288" s="217"/>
      <c r="T1288" s="217"/>
      <c r="U1288" s="217"/>
      <c r="V1288" s="217"/>
      <c r="W1288" s="217"/>
      <c r="X1288" s="217"/>
      <c r="Y1288" s="217"/>
      <c r="Z1288" s="217"/>
      <c r="AA1288" s="217"/>
      <c r="AB1288" s="217"/>
      <c r="AC1288" s="217"/>
      <c r="AD1288" s="217"/>
    </row>
    <row r="1289" spans="1:30" x14ac:dyDescent="0.2">
      <c r="A1289" s="232"/>
      <c r="B1289" s="210"/>
      <c r="C1289" s="210"/>
      <c r="D1289" s="210"/>
      <c r="E1289" s="210"/>
      <c r="G1289" s="55"/>
      <c r="H1289" s="56"/>
      <c r="I1289" s="217"/>
      <c r="J1289" s="217"/>
      <c r="K1289" s="217"/>
      <c r="L1289" s="217"/>
      <c r="M1289" s="217"/>
      <c r="N1289" s="217"/>
      <c r="O1289" s="217"/>
      <c r="P1289" s="217"/>
      <c r="Q1289" s="217"/>
      <c r="R1289" s="217"/>
      <c r="S1289" s="217"/>
      <c r="T1289" s="217"/>
      <c r="U1289" s="217"/>
      <c r="V1289" s="217"/>
      <c r="W1289" s="217"/>
      <c r="X1289" s="217"/>
      <c r="Y1289" s="217"/>
      <c r="Z1289" s="217"/>
      <c r="AA1289" s="217"/>
      <c r="AB1289" s="217"/>
      <c r="AC1289" s="217"/>
      <c r="AD1289" s="217"/>
    </row>
    <row r="1290" spans="1:30" x14ac:dyDescent="0.2">
      <c r="A1290" s="232"/>
      <c r="B1290" s="210"/>
      <c r="C1290" s="210"/>
      <c r="D1290" s="210"/>
      <c r="E1290" s="210"/>
      <c r="G1290" s="55"/>
      <c r="H1290" s="56"/>
      <c r="I1290" s="217"/>
      <c r="J1290" s="217"/>
      <c r="K1290" s="217"/>
      <c r="L1290" s="217"/>
      <c r="M1290" s="217"/>
      <c r="N1290" s="217"/>
      <c r="O1290" s="217"/>
      <c r="P1290" s="217"/>
      <c r="Q1290" s="217"/>
      <c r="R1290" s="217"/>
      <c r="S1290" s="217"/>
      <c r="T1290" s="217"/>
      <c r="U1290" s="217"/>
      <c r="V1290" s="217"/>
      <c r="W1290" s="217"/>
      <c r="X1290" s="217"/>
      <c r="Y1290" s="217"/>
      <c r="Z1290" s="217"/>
      <c r="AA1290" s="217"/>
      <c r="AB1290" s="217"/>
      <c r="AC1290" s="217"/>
      <c r="AD1290" s="217"/>
    </row>
    <row r="1291" spans="1:30" x14ac:dyDescent="0.2">
      <c r="A1291" s="232"/>
      <c r="B1291" s="210"/>
      <c r="C1291" s="210"/>
      <c r="D1291" s="210"/>
      <c r="E1291" s="210"/>
      <c r="G1291" s="55"/>
      <c r="H1291" s="56"/>
      <c r="I1291" s="217"/>
      <c r="J1291" s="217"/>
      <c r="K1291" s="217"/>
      <c r="L1291" s="217"/>
      <c r="M1291" s="217"/>
      <c r="N1291" s="217"/>
      <c r="O1291" s="217"/>
      <c r="P1291" s="217"/>
      <c r="Q1291" s="217"/>
      <c r="R1291" s="217"/>
      <c r="S1291" s="217"/>
      <c r="T1291" s="217"/>
      <c r="U1291" s="217"/>
      <c r="V1291" s="217"/>
      <c r="W1291" s="217"/>
      <c r="X1291" s="217"/>
      <c r="Y1291" s="217"/>
      <c r="Z1291" s="217"/>
      <c r="AA1291" s="217"/>
      <c r="AB1291" s="217"/>
      <c r="AC1291" s="217"/>
      <c r="AD1291" s="217"/>
    </row>
    <row r="1292" spans="1:30" x14ac:dyDescent="0.2">
      <c r="A1292" s="232"/>
      <c r="B1292" s="210"/>
      <c r="C1292" s="210"/>
      <c r="D1292" s="210"/>
      <c r="E1292" s="210"/>
      <c r="G1292" s="55"/>
      <c r="H1292" s="56"/>
      <c r="I1292" s="217"/>
      <c r="J1292" s="217"/>
      <c r="K1292" s="217"/>
      <c r="L1292" s="217"/>
      <c r="M1292" s="217"/>
      <c r="N1292" s="217"/>
      <c r="O1292" s="217"/>
      <c r="P1292" s="217"/>
      <c r="Q1292" s="217"/>
      <c r="R1292" s="217"/>
      <c r="S1292" s="217"/>
      <c r="T1292" s="217"/>
      <c r="U1292" s="217"/>
      <c r="V1292" s="217"/>
      <c r="W1292" s="217"/>
      <c r="X1292" s="217"/>
      <c r="Y1292" s="217"/>
      <c r="Z1292" s="217"/>
      <c r="AA1292" s="217"/>
      <c r="AB1292" s="217"/>
      <c r="AC1292" s="217"/>
      <c r="AD1292" s="217"/>
    </row>
    <row r="1293" spans="1:30" x14ac:dyDescent="0.2">
      <c r="A1293" s="232"/>
      <c r="B1293" s="210"/>
      <c r="C1293" s="210"/>
      <c r="D1293" s="210"/>
      <c r="E1293" s="210"/>
      <c r="G1293" s="55"/>
      <c r="H1293" s="56"/>
      <c r="I1293" s="217"/>
      <c r="J1293" s="217"/>
      <c r="K1293" s="217"/>
      <c r="L1293" s="217"/>
      <c r="M1293" s="217"/>
      <c r="N1293" s="217"/>
      <c r="O1293" s="217"/>
      <c r="P1293" s="217"/>
      <c r="Q1293" s="217"/>
      <c r="R1293" s="217"/>
      <c r="S1293" s="217"/>
      <c r="T1293" s="217"/>
      <c r="U1293" s="217"/>
      <c r="V1293" s="217"/>
      <c r="W1293" s="217"/>
      <c r="X1293" s="217"/>
      <c r="Y1293" s="217"/>
      <c r="Z1293" s="217"/>
      <c r="AA1293" s="217"/>
      <c r="AB1293" s="217"/>
      <c r="AC1293" s="217"/>
      <c r="AD1293" s="217"/>
    </row>
    <row r="1294" spans="1:30" x14ac:dyDescent="0.2">
      <c r="A1294" s="232"/>
      <c r="B1294" s="210"/>
      <c r="C1294" s="210"/>
      <c r="D1294" s="210"/>
      <c r="E1294" s="210"/>
      <c r="G1294" s="55"/>
      <c r="H1294" s="56"/>
      <c r="I1294" s="217"/>
      <c r="J1294" s="217"/>
      <c r="K1294" s="217"/>
      <c r="L1294" s="217"/>
      <c r="M1294" s="217"/>
      <c r="N1294" s="217"/>
      <c r="O1294" s="217"/>
      <c r="P1294" s="217"/>
      <c r="Q1294" s="217"/>
      <c r="R1294" s="217"/>
      <c r="S1294" s="217"/>
      <c r="T1294" s="217"/>
      <c r="U1294" s="217"/>
      <c r="V1294" s="217"/>
      <c r="W1294" s="217"/>
      <c r="X1294" s="217"/>
      <c r="Y1294" s="217"/>
      <c r="Z1294" s="217"/>
      <c r="AA1294" s="217"/>
      <c r="AB1294" s="217"/>
      <c r="AC1294" s="217"/>
      <c r="AD1294" s="217"/>
    </row>
    <row r="1295" spans="1:30" x14ac:dyDescent="0.2">
      <c r="A1295" s="232"/>
      <c r="B1295" s="210"/>
      <c r="C1295" s="210"/>
      <c r="D1295" s="210"/>
      <c r="E1295" s="210"/>
      <c r="G1295" s="55"/>
      <c r="H1295" s="56"/>
      <c r="I1295" s="217"/>
      <c r="J1295" s="217"/>
      <c r="K1295" s="217"/>
      <c r="L1295" s="217"/>
      <c r="M1295" s="217"/>
      <c r="N1295" s="217"/>
      <c r="O1295" s="217"/>
      <c r="P1295" s="217"/>
      <c r="Q1295" s="217"/>
      <c r="R1295" s="217"/>
      <c r="S1295" s="217"/>
      <c r="T1295" s="217"/>
      <c r="U1295" s="217"/>
      <c r="V1295" s="217"/>
      <c r="W1295" s="217"/>
      <c r="X1295" s="217"/>
      <c r="Y1295" s="217"/>
      <c r="Z1295" s="217"/>
      <c r="AA1295" s="217"/>
      <c r="AB1295" s="217"/>
      <c r="AC1295" s="217"/>
      <c r="AD1295" s="217"/>
    </row>
    <row r="1296" spans="1:30" x14ac:dyDescent="0.2">
      <c r="A1296" s="232"/>
      <c r="B1296" s="210"/>
      <c r="C1296" s="210"/>
      <c r="D1296" s="210"/>
      <c r="E1296" s="210"/>
      <c r="G1296" s="55"/>
      <c r="H1296" s="56"/>
      <c r="I1296" s="217"/>
      <c r="J1296" s="217"/>
      <c r="K1296" s="217"/>
      <c r="L1296" s="217"/>
      <c r="M1296" s="217"/>
      <c r="N1296" s="217"/>
      <c r="O1296" s="217"/>
      <c r="P1296" s="217"/>
      <c r="Q1296" s="217"/>
      <c r="R1296" s="217"/>
      <c r="S1296" s="217"/>
      <c r="T1296" s="217"/>
      <c r="U1296" s="217"/>
      <c r="V1296" s="217"/>
      <c r="W1296" s="217"/>
      <c r="X1296" s="217"/>
      <c r="Y1296" s="217"/>
      <c r="Z1296" s="217"/>
      <c r="AA1296" s="217"/>
      <c r="AB1296" s="217"/>
      <c r="AC1296" s="217"/>
      <c r="AD1296" s="217"/>
    </row>
    <row r="1297" spans="1:30" x14ac:dyDescent="0.2">
      <c r="A1297" s="232"/>
      <c r="B1297" s="210"/>
      <c r="C1297" s="210"/>
      <c r="D1297" s="210"/>
      <c r="E1297" s="210"/>
      <c r="G1297" s="55"/>
      <c r="H1297" s="56"/>
      <c r="I1297" s="217"/>
      <c r="J1297" s="217"/>
      <c r="K1297" s="217"/>
      <c r="L1297" s="217"/>
      <c r="M1297" s="217"/>
      <c r="N1297" s="217"/>
      <c r="O1297" s="217"/>
      <c r="P1297" s="217"/>
      <c r="Q1297" s="217"/>
      <c r="R1297" s="217"/>
      <c r="S1297" s="217"/>
      <c r="T1297" s="217"/>
      <c r="U1297" s="217"/>
      <c r="V1297" s="217"/>
      <c r="W1297" s="217"/>
      <c r="X1297" s="217"/>
      <c r="Y1297" s="217"/>
      <c r="Z1297" s="217"/>
      <c r="AA1297" s="217"/>
      <c r="AB1297" s="217"/>
      <c r="AC1297" s="217"/>
      <c r="AD1297" s="217"/>
    </row>
    <row r="1298" spans="1:30" x14ac:dyDescent="0.2">
      <c r="A1298" s="232"/>
      <c r="B1298" s="210"/>
      <c r="C1298" s="210"/>
      <c r="D1298" s="210"/>
      <c r="E1298" s="210"/>
      <c r="G1298" s="55"/>
      <c r="H1298" s="56"/>
      <c r="I1298" s="217"/>
      <c r="J1298" s="217"/>
      <c r="K1298" s="217"/>
      <c r="L1298" s="217"/>
      <c r="M1298" s="217"/>
      <c r="N1298" s="217"/>
      <c r="O1298" s="217"/>
      <c r="P1298" s="217"/>
      <c r="Q1298" s="217"/>
      <c r="R1298" s="217"/>
      <c r="S1298" s="217"/>
      <c r="T1298" s="217"/>
      <c r="U1298" s="217"/>
      <c r="V1298" s="217"/>
      <c r="W1298" s="217"/>
      <c r="X1298" s="217"/>
      <c r="Y1298" s="217"/>
      <c r="Z1298" s="217"/>
      <c r="AA1298" s="217"/>
      <c r="AB1298" s="217"/>
      <c r="AC1298" s="217"/>
      <c r="AD1298" s="217"/>
    </row>
    <row r="1299" spans="1:30" x14ac:dyDescent="0.2">
      <c r="A1299" s="232"/>
      <c r="B1299" s="210"/>
      <c r="C1299" s="210"/>
      <c r="D1299" s="210"/>
      <c r="E1299" s="210"/>
      <c r="G1299" s="55"/>
      <c r="H1299" s="56"/>
      <c r="I1299" s="217"/>
      <c r="J1299" s="217"/>
      <c r="K1299" s="217"/>
      <c r="L1299" s="217"/>
      <c r="M1299" s="217"/>
      <c r="N1299" s="217"/>
      <c r="O1299" s="217"/>
      <c r="P1299" s="217"/>
      <c r="Q1299" s="217"/>
      <c r="R1299" s="217"/>
      <c r="S1299" s="217"/>
      <c r="T1299" s="217"/>
      <c r="U1299" s="217"/>
      <c r="V1299" s="217"/>
      <c r="W1299" s="217"/>
      <c r="X1299" s="217"/>
      <c r="Y1299" s="217"/>
      <c r="Z1299" s="217"/>
      <c r="AA1299" s="217"/>
      <c r="AB1299" s="217"/>
      <c r="AC1299" s="217"/>
      <c r="AD1299" s="217"/>
    </row>
    <row r="1300" spans="1:30" x14ac:dyDescent="0.2">
      <c r="A1300" s="232"/>
      <c r="B1300" s="210"/>
      <c r="C1300" s="210"/>
      <c r="D1300" s="210"/>
      <c r="E1300" s="210"/>
      <c r="G1300" s="55"/>
      <c r="H1300" s="56"/>
      <c r="I1300" s="217"/>
      <c r="J1300" s="217"/>
      <c r="K1300" s="217"/>
      <c r="L1300" s="217"/>
      <c r="M1300" s="217"/>
      <c r="N1300" s="217"/>
      <c r="O1300" s="217"/>
      <c r="P1300" s="217"/>
      <c r="Q1300" s="217"/>
      <c r="R1300" s="217"/>
      <c r="S1300" s="217"/>
      <c r="T1300" s="217"/>
      <c r="U1300" s="217"/>
      <c r="V1300" s="217"/>
      <c r="W1300" s="217"/>
      <c r="X1300" s="217"/>
      <c r="Y1300" s="217"/>
      <c r="Z1300" s="217"/>
      <c r="AA1300" s="217"/>
      <c r="AB1300" s="217"/>
      <c r="AC1300" s="217"/>
      <c r="AD1300" s="217"/>
    </row>
    <row r="1301" spans="1:30" x14ac:dyDescent="0.2">
      <c r="A1301" s="232"/>
      <c r="B1301" s="210"/>
      <c r="C1301" s="210"/>
      <c r="D1301" s="210"/>
      <c r="E1301" s="210"/>
      <c r="G1301" s="55"/>
      <c r="H1301" s="56"/>
      <c r="I1301" s="217"/>
      <c r="J1301" s="217"/>
      <c r="K1301" s="217"/>
      <c r="L1301" s="217"/>
      <c r="M1301" s="217"/>
      <c r="N1301" s="217"/>
      <c r="O1301" s="217"/>
      <c r="P1301" s="217"/>
      <c r="Q1301" s="217"/>
      <c r="R1301" s="217"/>
      <c r="S1301" s="217"/>
      <c r="T1301" s="217"/>
      <c r="U1301" s="217"/>
      <c r="V1301" s="217"/>
      <c r="W1301" s="217"/>
      <c r="X1301" s="217"/>
      <c r="Y1301" s="217"/>
      <c r="Z1301" s="217"/>
      <c r="AA1301" s="217"/>
      <c r="AB1301" s="217"/>
      <c r="AC1301" s="217"/>
      <c r="AD1301" s="217"/>
    </row>
    <row r="1302" spans="1:30" x14ac:dyDescent="0.2">
      <c r="A1302" s="232"/>
      <c r="B1302" s="210"/>
      <c r="C1302" s="210"/>
      <c r="D1302" s="210"/>
      <c r="E1302" s="210"/>
      <c r="G1302" s="55"/>
      <c r="H1302" s="56"/>
      <c r="I1302" s="217"/>
      <c r="J1302" s="217"/>
      <c r="K1302" s="217"/>
      <c r="L1302" s="217"/>
      <c r="M1302" s="217"/>
      <c r="N1302" s="217"/>
      <c r="O1302" s="217"/>
      <c r="P1302" s="217"/>
      <c r="Q1302" s="217"/>
      <c r="R1302" s="217"/>
      <c r="S1302" s="217"/>
      <c r="T1302" s="217"/>
      <c r="U1302" s="217"/>
      <c r="V1302" s="217"/>
      <c r="W1302" s="217"/>
      <c r="X1302" s="217"/>
      <c r="Y1302" s="217"/>
      <c r="Z1302" s="217"/>
      <c r="AA1302" s="217"/>
      <c r="AB1302" s="217"/>
      <c r="AC1302" s="217"/>
      <c r="AD1302" s="217"/>
    </row>
    <row r="1303" spans="1:30" x14ac:dyDescent="0.2">
      <c r="A1303" s="232"/>
      <c r="B1303" s="210"/>
      <c r="C1303" s="210"/>
      <c r="D1303" s="210"/>
      <c r="E1303" s="210"/>
      <c r="G1303" s="55"/>
      <c r="H1303" s="56"/>
      <c r="I1303" s="217"/>
      <c r="J1303" s="217"/>
      <c r="K1303" s="217"/>
      <c r="L1303" s="217"/>
      <c r="M1303" s="217"/>
      <c r="N1303" s="217"/>
      <c r="O1303" s="217"/>
      <c r="P1303" s="217"/>
      <c r="Q1303" s="217"/>
      <c r="R1303" s="217"/>
      <c r="S1303" s="217"/>
      <c r="T1303" s="217"/>
      <c r="U1303" s="217"/>
      <c r="V1303" s="217"/>
      <c r="W1303" s="217"/>
      <c r="X1303" s="217"/>
      <c r="Y1303" s="217"/>
      <c r="Z1303" s="217"/>
      <c r="AA1303" s="217"/>
      <c r="AB1303" s="217"/>
      <c r="AC1303" s="217"/>
      <c r="AD1303" s="217"/>
    </row>
    <row r="1304" spans="1:30" x14ac:dyDescent="0.2">
      <c r="A1304" s="232"/>
      <c r="B1304" s="210"/>
      <c r="C1304" s="210"/>
      <c r="D1304" s="210"/>
      <c r="E1304" s="210"/>
      <c r="G1304" s="55"/>
      <c r="H1304" s="56"/>
      <c r="I1304" s="217"/>
      <c r="J1304" s="217"/>
      <c r="K1304" s="217"/>
      <c r="L1304" s="217"/>
      <c r="M1304" s="217"/>
      <c r="N1304" s="217"/>
      <c r="O1304" s="217"/>
      <c r="P1304" s="217"/>
      <c r="Q1304" s="217"/>
      <c r="R1304" s="217"/>
      <c r="S1304" s="217"/>
      <c r="T1304" s="217"/>
      <c r="U1304" s="217"/>
      <c r="V1304" s="217"/>
      <c r="W1304" s="217"/>
      <c r="X1304" s="217"/>
      <c r="Y1304" s="217"/>
      <c r="Z1304" s="217"/>
      <c r="AA1304" s="217"/>
      <c r="AB1304" s="217"/>
      <c r="AC1304" s="217"/>
      <c r="AD1304" s="217"/>
    </row>
    <row r="1305" spans="1:30" x14ac:dyDescent="0.2">
      <c r="A1305" s="232"/>
      <c r="B1305" s="210"/>
      <c r="C1305" s="210"/>
      <c r="D1305" s="210"/>
      <c r="E1305" s="210"/>
      <c r="G1305" s="55"/>
      <c r="H1305" s="56"/>
      <c r="I1305" s="217"/>
      <c r="J1305" s="217"/>
      <c r="K1305" s="217"/>
      <c r="L1305" s="217"/>
      <c r="M1305" s="217"/>
      <c r="N1305" s="217"/>
      <c r="O1305" s="217"/>
      <c r="P1305" s="217"/>
      <c r="Q1305" s="217"/>
      <c r="R1305" s="217"/>
      <c r="S1305" s="217"/>
      <c r="T1305" s="217"/>
      <c r="U1305" s="217"/>
      <c r="V1305" s="217"/>
      <c r="W1305" s="217"/>
      <c r="X1305" s="217"/>
      <c r="Y1305" s="217"/>
      <c r="Z1305" s="217"/>
      <c r="AA1305" s="217"/>
      <c r="AB1305" s="217"/>
      <c r="AC1305" s="217"/>
      <c r="AD1305" s="217"/>
    </row>
    <row r="1306" spans="1:30" x14ac:dyDescent="0.2">
      <c r="A1306" s="232"/>
      <c r="B1306" s="210"/>
      <c r="C1306" s="210"/>
      <c r="D1306" s="210"/>
      <c r="E1306" s="210"/>
      <c r="G1306" s="55"/>
      <c r="H1306" s="56"/>
      <c r="I1306" s="217"/>
      <c r="J1306" s="217"/>
      <c r="K1306" s="217"/>
      <c r="L1306" s="217"/>
      <c r="M1306" s="217"/>
      <c r="N1306" s="217"/>
      <c r="O1306" s="217"/>
      <c r="P1306" s="217"/>
      <c r="Q1306" s="217"/>
      <c r="R1306" s="217"/>
      <c r="S1306" s="217"/>
      <c r="T1306" s="217"/>
      <c r="U1306" s="217"/>
      <c r="V1306" s="217"/>
      <c r="W1306" s="217"/>
      <c r="X1306" s="217"/>
      <c r="Y1306" s="217"/>
      <c r="Z1306" s="217"/>
      <c r="AA1306" s="217"/>
      <c r="AB1306" s="217"/>
      <c r="AC1306" s="217"/>
      <c r="AD1306" s="217"/>
    </row>
    <row r="1307" spans="1:30" x14ac:dyDescent="0.2">
      <c r="A1307" s="232"/>
      <c r="B1307" s="210"/>
      <c r="C1307" s="210"/>
      <c r="D1307" s="210"/>
      <c r="E1307" s="210"/>
      <c r="G1307" s="55"/>
      <c r="H1307" s="56"/>
      <c r="I1307" s="217"/>
      <c r="J1307" s="217"/>
      <c r="K1307" s="217"/>
      <c r="L1307" s="217"/>
      <c r="M1307" s="217"/>
      <c r="N1307" s="217"/>
      <c r="O1307" s="217"/>
      <c r="P1307" s="217"/>
      <c r="Q1307" s="217"/>
      <c r="R1307" s="217"/>
      <c r="S1307" s="217"/>
      <c r="T1307" s="217"/>
      <c r="U1307" s="217"/>
      <c r="V1307" s="217"/>
      <c r="W1307" s="217"/>
      <c r="X1307" s="217"/>
      <c r="Y1307" s="217"/>
      <c r="Z1307" s="217"/>
      <c r="AA1307" s="217"/>
      <c r="AB1307" s="217"/>
      <c r="AC1307" s="217"/>
      <c r="AD1307" s="217"/>
    </row>
    <row r="1308" spans="1:30" x14ac:dyDescent="0.2">
      <c r="A1308" s="232"/>
      <c r="B1308" s="210"/>
      <c r="C1308" s="210"/>
      <c r="D1308" s="210"/>
      <c r="E1308" s="210"/>
      <c r="G1308" s="55"/>
      <c r="H1308" s="56"/>
      <c r="I1308" s="217"/>
      <c r="J1308" s="217"/>
      <c r="K1308" s="217"/>
      <c r="L1308" s="217"/>
      <c r="M1308" s="217"/>
      <c r="N1308" s="217"/>
      <c r="O1308" s="217"/>
      <c r="P1308" s="217"/>
      <c r="Q1308" s="217"/>
      <c r="R1308" s="217"/>
      <c r="S1308" s="217"/>
      <c r="T1308" s="217"/>
      <c r="U1308" s="217"/>
      <c r="V1308" s="217"/>
      <c r="W1308" s="217"/>
      <c r="X1308" s="217"/>
      <c r="Y1308" s="217"/>
      <c r="Z1308" s="217"/>
      <c r="AA1308" s="217"/>
      <c r="AB1308" s="217"/>
      <c r="AC1308" s="217"/>
      <c r="AD1308" s="217"/>
    </row>
    <row r="1309" spans="1:30" x14ac:dyDescent="0.2">
      <c r="A1309" s="232"/>
      <c r="B1309" s="210"/>
      <c r="C1309" s="210"/>
      <c r="D1309" s="210"/>
      <c r="E1309" s="210"/>
      <c r="G1309" s="55"/>
      <c r="H1309" s="56"/>
      <c r="I1309" s="217"/>
      <c r="J1309" s="217"/>
      <c r="K1309" s="217"/>
      <c r="L1309" s="217"/>
      <c r="M1309" s="217"/>
      <c r="N1309" s="217"/>
      <c r="O1309" s="217"/>
      <c r="P1309" s="217"/>
      <c r="Q1309" s="217"/>
      <c r="R1309" s="217"/>
      <c r="S1309" s="217"/>
      <c r="T1309" s="217"/>
      <c r="U1309" s="217"/>
      <c r="V1309" s="217"/>
      <c r="W1309" s="217"/>
      <c r="X1309" s="217"/>
      <c r="Y1309" s="217"/>
      <c r="Z1309" s="217"/>
      <c r="AA1309" s="217"/>
      <c r="AB1309" s="217"/>
      <c r="AC1309" s="217"/>
      <c r="AD1309" s="217"/>
    </row>
    <row r="1310" spans="1:30" x14ac:dyDescent="0.2">
      <c r="A1310" s="232"/>
      <c r="B1310" s="210"/>
      <c r="C1310" s="210"/>
      <c r="D1310" s="210"/>
      <c r="E1310" s="210"/>
      <c r="G1310" s="55"/>
      <c r="H1310" s="56"/>
      <c r="I1310" s="217"/>
      <c r="J1310" s="217"/>
      <c r="K1310" s="217"/>
      <c r="L1310" s="217"/>
      <c r="M1310" s="217"/>
      <c r="N1310" s="217"/>
      <c r="O1310" s="217"/>
      <c r="P1310" s="217"/>
      <c r="Q1310" s="217"/>
      <c r="R1310" s="217"/>
      <c r="S1310" s="217"/>
      <c r="T1310" s="217"/>
      <c r="U1310" s="217"/>
      <c r="V1310" s="217"/>
      <c r="W1310" s="217"/>
      <c r="X1310" s="217"/>
      <c r="Y1310" s="217"/>
      <c r="Z1310" s="217"/>
      <c r="AA1310" s="217"/>
      <c r="AB1310" s="217"/>
      <c r="AC1310" s="217"/>
      <c r="AD1310" s="217"/>
    </row>
    <row r="1311" spans="1:30" x14ac:dyDescent="0.2">
      <c r="A1311" s="232"/>
      <c r="B1311" s="210"/>
      <c r="C1311" s="210"/>
      <c r="D1311" s="210"/>
      <c r="E1311" s="210"/>
      <c r="G1311" s="55"/>
      <c r="H1311" s="56"/>
      <c r="I1311" s="217"/>
      <c r="J1311" s="217"/>
      <c r="K1311" s="217"/>
      <c r="L1311" s="217"/>
      <c r="M1311" s="217"/>
      <c r="N1311" s="217"/>
      <c r="O1311" s="217"/>
      <c r="P1311" s="217"/>
      <c r="Q1311" s="217"/>
      <c r="R1311" s="217"/>
      <c r="S1311" s="217"/>
      <c r="T1311" s="217"/>
      <c r="U1311" s="217"/>
      <c r="V1311" s="217"/>
      <c r="W1311" s="217"/>
      <c r="X1311" s="217"/>
      <c r="Y1311" s="217"/>
      <c r="Z1311" s="217"/>
      <c r="AA1311" s="217"/>
      <c r="AB1311" s="217"/>
      <c r="AC1311" s="217"/>
      <c r="AD1311" s="217"/>
    </row>
    <row r="1312" spans="1:30" x14ac:dyDescent="0.2">
      <c r="A1312" s="232"/>
      <c r="B1312" s="210"/>
      <c r="C1312" s="210"/>
      <c r="D1312" s="210"/>
      <c r="E1312" s="210"/>
      <c r="G1312" s="55"/>
      <c r="H1312" s="56"/>
      <c r="I1312" s="217"/>
      <c r="J1312" s="217"/>
      <c r="K1312" s="217"/>
      <c r="L1312" s="217"/>
      <c r="M1312" s="217"/>
      <c r="N1312" s="217"/>
      <c r="O1312" s="217"/>
      <c r="P1312" s="217"/>
      <c r="Q1312" s="217"/>
      <c r="R1312" s="217"/>
      <c r="S1312" s="217"/>
      <c r="T1312" s="217"/>
      <c r="U1312" s="217"/>
      <c r="V1312" s="217"/>
      <c r="W1312" s="217"/>
      <c r="X1312" s="217"/>
      <c r="Y1312" s="217"/>
      <c r="Z1312" s="217"/>
      <c r="AA1312" s="217"/>
      <c r="AB1312" s="217"/>
      <c r="AC1312" s="217"/>
      <c r="AD1312" s="217"/>
    </row>
    <row r="1313" spans="1:30" x14ac:dyDescent="0.2">
      <c r="A1313" s="232"/>
      <c r="B1313" s="210"/>
      <c r="C1313" s="210"/>
      <c r="D1313" s="210"/>
      <c r="E1313" s="210"/>
      <c r="G1313" s="55"/>
      <c r="H1313" s="56"/>
      <c r="I1313" s="217"/>
      <c r="J1313" s="217"/>
      <c r="K1313" s="217"/>
      <c r="L1313" s="217"/>
      <c r="M1313" s="217"/>
      <c r="N1313" s="217"/>
      <c r="O1313" s="217"/>
      <c r="P1313" s="217"/>
      <c r="Q1313" s="217"/>
      <c r="R1313" s="217"/>
      <c r="S1313" s="217"/>
      <c r="T1313" s="217"/>
      <c r="U1313" s="217"/>
      <c r="V1313" s="217"/>
      <c r="W1313" s="217"/>
      <c r="X1313" s="217"/>
      <c r="Y1313" s="217"/>
      <c r="Z1313" s="217"/>
      <c r="AA1313" s="217"/>
      <c r="AB1313" s="217"/>
      <c r="AC1313" s="217"/>
      <c r="AD1313" s="217"/>
    </row>
    <row r="1314" spans="1:30" x14ac:dyDescent="0.2">
      <c r="A1314" s="232"/>
      <c r="B1314" s="210"/>
      <c r="C1314" s="210"/>
      <c r="D1314" s="210"/>
      <c r="E1314" s="210"/>
      <c r="G1314" s="55"/>
      <c r="H1314" s="56"/>
      <c r="I1314" s="217"/>
      <c r="J1314" s="217"/>
      <c r="K1314" s="217"/>
      <c r="L1314" s="217"/>
      <c r="M1314" s="217"/>
      <c r="N1314" s="217"/>
      <c r="O1314" s="217"/>
      <c r="P1314" s="217"/>
      <c r="Q1314" s="217"/>
      <c r="R1314" s="217"/>
      <c r="S1314" s="217"/>
      <c r="T1314" s="217"/>
      <c r="U1314" s="217"/>
      <c r="V1314" s="217"/>
      <c r="W1314" s="217"/>
      <c r="X1314" s="217"/>
      <c r="Y1314" s="217"/>
      <c r="Z1314" s="217"/>
      <c r="AA1314" s="217"/>
      <c r="AB1314" s="217"/>
      <c r="AC1314" s="217"/>
      <c r="AD1314" s="217"/>
    </row>
    <row r="1315" spans="1:30" x14ac:dyDescent="0.2">
      <c r="A1315" s="232"/>
      <c r="B1315" s="210"/>
      <c r="C1315" s="210"/>
      <c r="D1315" s="210"/>
      <c r="E1315" s="210"/>
      <c r="G1315" s="55"/>
      <c r="H1315" s="56"/>
      <c r="I1315" s="217"/>
      <c r="J1315" s="217"/>
      <c r="K1315" s="217"/>
      <c r="L1315" s="217"/>
      <c r="M1315" s="217"/>
      <c r="N1315" s="217"/>
      <c r="O1315" s="217"/>
      <c r="P1315" s="217"/>
      <c r="Q1315" s="217"/>
      <c r="R1315" s="217"/>
      <c r="S1315" s="217"/>
      <c r="T1315" s="217"/>
      <c r="U1315" s="217"/>
      <c r="V1315" s="217"/>
      <c r="W1315" s="217"/>
      <c r="X1315" s="217"/>
      <c r="Y1315" s="217"/>
      <c r="Z1315" s="217"/>
      <c r="AA1315" s="217"/>
      <c r="AB1315" s="217"/>
      <c r="AC1315" s="217"/>
      <c r="AD1315" s="217"/>
    </row>
    <row r="1316" spans="1:30" x14ac:dyDescent="0.2">
      <c r="A1316" s="232"/>
      <c r="B1316" s="210"/>
      <c r="C1316" s="210"/>
      <c r="D1316" s="210"/>
      <c r="E1316" s="210"/>
      <c r="G1316" s="55"/>
      <c r="H1316" s="56"/>
      <c r="I1316" s="217"/>
      <c r="J1316" s="217"/>
      <c r="K1316" s="217"/>
      <c r="L1316" s="217"/>
      <c r="M1316" s="217"/>
      <c r="N1316" s="217"/>
      <c r="O1316" s="217"/>
      <c r="P1316" s="217"/>
      <c r="Q1316" s="217"/>
      <c r="R1316" s="217"/>
      <c r="S1316" s="217"/>
      <c r="T1316" s="217"/>
      <c r="U1316" s="217"/>
      <c r="V1316" s="217"/>
      <c r="W1316" s="217"/>
      <c r="X1316" s="217"/>
      <c r="Y1316" s="217"/>
      <c r="Z1316" s="217"/>
      <c r="AA1316" s="217"/>
      <c r="AB1316" s="217"/>
      <c r="AC1316" s="217"/>
      <c r="AD1316" s="217"/>
    </row>
    <row r="1317" spans="1:30" x14ac:dyDescent="0.2">
      <c r="A1317" s="232"/>
      <c r="B1317" s="210"/>
      <c r="C1317" s="210"/>
      <c r="D1317" s="210"/>
      <c r="E1317" s="210"/>
      <c r="G1317" s="55"/>
      <c r="H1317" s="56"/>
      <c r="I1317" s="217"/>
      <c r="J1317" s="217"/>
      <c r="K1317" s="217"/>
      <c r="L1317" s="217"/>
      <c r="M1317" s="217"/>
      <c r="N1317" s="217"/>
      <c r="O1317" s="217"/>
      <c r="P1317" s="217"/>
      <c r="Q1317" s="217"/>
      <c r="R1317" s="217"/>
      <c r="S1317" s="217"/>
      <c r="T1317" s="217"/>
      <c r="U1317" s="217"/>
      <c r="V1317" s="217"/>
      <c r="W1317" s="217"/>
      <c r="X1317" s="217"/>
      <c r="Y1317" s="217"/>
      <c r="Z1317" s="217"/>
      <c r="AA1317" s="217"/>
      <c r="AB1317" s="217"/>
      <c r="AC1317" s="217"/>
      <c r="AD1317" s="217"/>
    </row>
    <row r="1318" spans="1:30" x14ac:dyDescent="0.2">
      <c r="A1318" s="232"/>
      <c r="B1318" s="210"/>
      <c r="C1318" s="210"/>
      <c r="D1318" s="210"/>
      <c r="E1318" s="210"/>
      <c r="G1318" s="55"/>
      <c r="H1318" s="56"/>
      <c r="I1318" s="217"/>
      <c r="J1318" s="217"/>
      <c r="K1318" s="217"/>
      <c r="L1318" s="217"/>
      <c r="M1318" s="217"/>
      <c r="N1318" s="217"/>
      <c r="O1318" s="217"/>
      <c r="P1318" s="217"/>
      <c r="Q1318" s="217"/>
      <c r="R1318" s="217"/>
      <c r="S1318" s="217"/>
      <c r="T1318" s="217"/>
      <c r="U1318" s="217"/>
      <c r="V1318" s="217"/>
      <c r="W1318" s="217"/>
      <c r="X1318" s="217"/>
      <c r="Y1318" s="217"/>
      <c r="Z1318" s="217"/>
      <c r="AA1318" s="217"/>
      <c r="AB1318" s="217"/>
      <c r="AC1318" s="217"/>
      <c r="AD1318" s="217"/>
    </row>
    <row r="1319" spans="1:30" x14ac:dyDescent="0.2">
      <c r="A1319" s="232"/>
      <c r="B1319" s="210"/>
      <c r="C1319" s="210"/>
      <c r="D1319" s="210"/>
      <c r="E1319" s="210"/>
      <c r="G1319" s="55"/>
      <c r="H1319" s="56"/>
      <c r="I1319" s="217"/>
      <c r="J1319" s="217"/>
      <c r="K1319" s="217"/>
      <c r="L1319" s="217"/>
      <c r="M1319" s="217"/>
      <c r="N1319" s="217"/>
      <c r="O1319" s="217"/>
      <c r="P1319" s="217"/>
      <c r="Q1319" s="217"/>
      <c r="R1319" s="217"/>
      <c r="S1319" s="217"/>
      <c r="T1319" s="217"/>
      <c r="U1319" s="217"/>
      <c r="V1319" s="217"/>
      <c r="W1319" s="217"/>
      <c r="X1319" s="217"/>
      <c r="Y1319" s="217"/>
      <c r="Z1319" s="217"/>
      <c r="AA1319" s="217"/>
      <c r="AB1319" s="217"/>
      <c r="AC1319" s="217"/>
      <c r="AD1319" s="217"/>
    </row>
    <row r="1320" spans="1:30" x14ac:dyDescent="0.2">
      <c r="A1320" s="232"/>
      <c r="B1320" s="210"/>
      <c r="C1320" s="210"/>
      <c r="D1320" s="210"/>
      <c r="E1320" s="210"/>
      <c r="G1320" s="55"/>
      <c r="H1320" s="56"/>
      <c r="I1320" s="217"/>
      <c r="J1320" s="217"/>
      <c r="K1320" s="217"/>
      <c r="L1320" s="217"/>
      <c r="M1320" s="217"/>
      <c r="N1320" s="217"/>
      <c r="O1320" s="217"/>
      <c r="P1320" s="217"/>
      <c r="Q1320" s="217"/>
      <c r="R1320" s="217"/>
      <c r="S1320" s="217"/>
      <c r="T1320" s="217"/>
      <c r="U1320" s="217"/>
      <c r="V1320" s="217"/>
      <c r="W1320" s="217"/>
      <c r="X1320" s="217"/>
      <c r="Y1320" s="217"/>
      <c r="Z1320" s="217"/>
      <c r="AA1320" s="217"/>
      <c r="AB1320" s="217"/>
      <c r="AC1320" s="217"/>
      <c r="AD1320" s="217"/>
    </row>
    <row r="1321" spans="1:30" x14ac:dyDescent="0.2">
      <c r="A1321" s="232"/>
      <c r="B1321" s="210"/>
      <c r="C1321" s="210"/>
      <c r="D1321" s="210"/>
      <c r="E1321" s="210"/>
      <c r="G1321" s="55"/>
      <c r="H1321" s="56"/>
      <c r="I1321" s="217"/>
      <c r="J1321" s="217"/>
      <c r="K1321" s="217"/>
      <c r="L1321" s="217"/>
      <c r="M1321" s="217"/>
      <c r="N1321" s="217"/>
      <c r="O1321" s="217"/>
      <c r="P1321" s="217"/>
      <c r="Q1321" s="217"/>
      <c r="R1321" s="217"/>
      <c r="S1321" s="217"/>
      <c r="T1321" s="217"/>
      <c r="U1321" s="217"/>
      <c r="V1321" s="217"/>
      <c r="W1321" s="217"/>
      <c r="X1321" s="217"/>
      <c r="Y1321" s="217"/>
      <c r="Z1321" s="217"/>
      <c r="AA1321" s="217"/>
      <c r="AB1321" s="217"/>
      <c r="AC1321" s="217"/>
      <c r="AD1321" s="217"/>
    </row>
    <row r="1322" spans="1:30" x14ac:dyDescent="0.2">
      <c r="A1322" s="232"/>
      <c r="B1322" s="210"/>
      <c r="C1322" s="210"/>
      <c r="D1322" s="210"/>
      <c r="E1322" s="210"/>
      <c r="G1322" s="55"/>
      <c r="H1322" s="56"/>
      <c r="I1322" s="217"/>
      <c r="J1322" s="217"/>
      <c r="K1322" s="217"/>
      <c r="L1322" s="217"/>
      <c r="M1322" s="217"/>
      <c r="N1322" s="217"/>
      <c r="O1322" s="217"/>
      <c r="P1322" s="217"/>
      <c r="Q1322" s="217"/>
      <c r="R1322" s="217"/>
      <c r="S1322" s="217"/>
      <c r="T1322" s="217"/>
      <c r="U1322" s="217"/>
      <c r="V1322" s="217"/>
      <c r="W1322" s="217"/>
      <c r="X1322" s="217"/>
      <c r="Y1322" s="217"/>
      <c r="Z1322" s="217"/>
      <c r="AA1322" s="217"/>
      <c r="AB1322" s="217"/>
      <c r="AC1322" s="217"/>
      <c r="AD1322" s="217"/>
    </row>
    <row r="1323" spans="1:30" x14ac:dyDescent="0.2">
      <c r="A1323" s="232"/>
      <c r="B1323" s="210"/>
      <c r="C1323" s="210"/>
      <c r="D1323" s="210"/>
      <c r="E1323" s="210"/>
      <c r="G1323" s="55"/>
      <c r="H1323" s="56"/>
      <c r="I1323" s="217"/>
      <c r="J1323" s="217"/>
      <c r="K1323" s="217"/>
      <c r="L1323" s="217"/>
      <c r="M1323" s="217"/>
      <c r="N1323" s="217"/>
      <c r="O1323" s="217"/>
      <c r="P1323" s="217"/>
      <c r="Q1323" s="217"/>
      <c r="R1323" s="217"/>
      <c r="S1323" s="217"/>
      <c r="T1323" s="217"/>
      <c r="U1323" s="217"/>
      <c r="V1323" s="217"/>
      <c r="W1323" s="217"/>
      <c r="X1323" s="217"/>
      <c r="Y1323" s="217"/>
      <c r="Z1323" s="217"/>
      <c r="AA1323" s="217"/>
      <c r="AB1323" s="217"/>
      <c r="AC1323" s="217"/>
      <c r="AD1323" s="217"/>
    </row>
    <row r="1324" spans="1:30" x14ac:dyDescent="0.2">
      <c r="A1324" s="232"/>
      <c r="B1324" s="210"/>
      <c r="C1324" s="210"/>
      <c r="D1324" s="210"/>
      <c r="E1324" s="210"/>
      <c r="G1324" s="55"/>
      <c r="H1324" s="56"/>
      <c r="I1324" s="217"/>
      <c r="J1324" s="217"/>
      <c r="K1324" s="217"/>
      <c r="L1324" s="217"/>
      <c r="M1324" s="217"/>
      <c r="N1324" s="217"/>
      <c r="O1324" s="217"/>
      <c r="P1324" s="217"/>
      <c r="Q1324" s="217"/>
      <c r="R1324" s="217"/>
      <c r="S1324" s="217"/>
      <c r="T1324" s="217"/>
      <c r="U1324" s="217"/>
      <c r="V1324" s="217"/>
      <c r="W1324" s="217"/>
      <c r="X1324" s="217"/>
      <c r="Y1324" s="217"/>
      <c r="Z1324" s="217"/>
      <c r="AA1324" s="217"/>
      <c r="AB1324" s="217"/>
      <c r="AC1324" s="217"/>
      <c r="AD1324" s="217"/>
    </row>
    <row r="1325" spans="1:30" x14ac:dyDescent="0.2">
      <c r="A1325" s="232"/>
      <c r="B1325" s="210"/>
      <c r="C1325" s="210"/>
      <c r="D1325" s="210"/>
      <c r="E1325" s="210"/>
      <c r="G1325" s="55"/>
      <c r="H1325" s="56"/>
      <c r="I1325" s="217"/>
      <c r="J1325" s="217"/>
      <c r="K1325" s="217"/>
      <c r="L1325" s="217"/>
      <c r="M1325" s="217"/>
      <c r="N1325" s="217"/>
      <c r="O1325" s="217"/>
      <c r="P1325" s="217"/>
      <c r="Q1325" s="217"/>
      <c r="R1325" s="217"/>
      <c r="S1325" s="217"/>
      <c r="T1325" s="217"/>
      <c r="U1325" s="217"/>
      <c r="V1325" s="217"/>
      <c r="W1325" s="217"/>
      <c r="X1325" s="217"/>
      <c r="Y1325" s="217"/>
      <c r="Z1325" s="217"/>
      <c r="AA1325" s="217"/>
      <c r="AB1325" s="217"/>
      <c r="AC1325" s="217"/>
      <c r="AD1325" s="217"/>
    </row>
    <row r="1326" spans="1:30" x14ac:dyDescent="0.2">
      <c r="A1326" s="232"/>
      <c r="B1326" s="210"/>
      <c r="C1326" s="210"/>
      <c r="D1326" s="210"/>
      <c r="E1326" s="210"/>
      <c r="G1326" s="55"/>
      <c r="H1326" s="56"/>
      <c r="I1326" s="217"/>
      <c r="J1326" s="217"/>
      <c r="K1326" s="217"/>
      <c r="L1326" s="217"/>
      <c r="M1326" s="217"/>
      <c r="N1326" s="217"/>
      <c r="O1326" s="217"/>
      <c r="P1326" s="217"/>
      <c r="Q1326" s="217"/>
      <c r="R1326" s="217"/>
      <c r="S1326" s="217"/>
      <c r="T1326" s="217"/>
      <c r="U1326" s="217"/>
      <c r="V1326" s="217"/>
      <c r="W1326" s="217"/>
      <c r="X1326" s="217"/>
      <c r="Y1326" s="217"/>
      <c r="Z1326" s="217"/>
      <c r="AA1326" s="217"/>
      <c r="AB1326" s="217"/>
      <c r="AC1326" s="217"/>
      <c r="AD1326" s="217"/>
    </row>
    <row r="1327" spans="1:30" x14ac:dyDescent="0.2">
      <c r="A1327" s="232"/>
      <c r="B1327" s="210"/>
      <c r="C1327" s="210"/>
      <c r="D1327" s="210"/>
      <c r="E1327" s="210"/>
      <c r="G1327" s="55"/>
      <c r="H1327" s="56"/>
      <c r="I1327" s="217"/>
      <c r="J1327" s="217"/>
      <c r="K1327" s="217"/>
      <c r="L1327" s="217"/>
      <c r="M1327" s="217"/>
      <c r="N1327" s="217"/>
      <c r="O1327" s="217"/>
      <c r="P1327" s="217"/>
      <c r="Q1327" s="217"/>
      <c r="R1327" s="217"/>
      <c r="S1327" s="217"/>
      <c r="T1327" s="217"/>
      <c r="U1327" s="217"/>
      <c r="V1327" s="217"/>
      <c r="W1327" s="217"/>
      <c r="X1327" s="217"/>
      <c r="Y1327" s="217"/>
      <c r="Z1327" s="217"/>
      <c r="AA1327" s="217"/>
      <c r="AB1327" s="217"/>
      <c r="AC1327" s="217"/>
      <c r="AD1327" s="217"/>
    </row>
    <row r="1328" spans="1:30" x14ac:dyDescent="0.2">
      <c r="A1328" s="232"/>
      <c r="B1328" s="210"/>
      <c r="C1328" s="210"/>
      <c r="D1328" s="210"/>
      <c r="E1328" s="210"/>
      <c r="G1328" s="55"/>
      <c r="H1328" s="56"/>
      <c r="I1328" s="217"/>
      <c r="J1328" s="217"/>
      <c r="K1328" s="217"/>
      <c r="L1328" s="217"/>
      <c r="M1328" s="217"/>
      <c r="N1328" s="217"/>
      <c r="O1328" s="217"/>
      <c r="P1328" s="217"/>
      <c r="Q1328" s="217"/>
      <c r="R1328" s="217"/>
      <c r="S1328" s="217"/>
      <c r="T1328" s="217"/>
      <c r="U1328" s="217"/>
      <c r="V1328" s="217"/>
      <c r="W1328" s="217"/>
      <c r="X1328" s="217"/>
      <c r="Y1328" s="217"/>
      <c r="Z1328" s="217"/>
      <c r="AA1328" s="217"/>
      <c r="AB1328" s="217"/>
      <c r="AC1328" s="217"/>
      <c r="AD1328" s="217"/>
    </row>
    <row r="1329" spans="1:30" x14ac:dyDescent="0.2">
      <c r="A1329" s="232"/>
      <c r="B1329" s="210"/>
      <c r="C1329" s="210"/>
      <c r="D1329" s="210"/>
      <c r="E1329" s="210"/>
      <c r="G1329" s="55"/>
      <c r="H1329" s="56"/>
      <c r="I1329" s="217"/>
      <c r="J1329" s="217"/>
      <c r="K1329" s="217"/>
      <c r="L1329" s="217"/>
      <c r="M1329" s="217"/>
      <c r="N1329" s="217"/>
      <c r="O1329" s="217"/>
      <c r="P1329" s="217"/>
      <c r="Q1329" s="217"/>
      <c r="R1329" s="217"/>
      <c r="S1329" s="217"/>
      <c r="T1329" s="217"/>
      <c r="U1329" s="217"/>
      <c r="V1329" s="217"/>
      <c r="W1329" s="217"/>
      <c r="X1329" s="217"/>
      <c r="Y1329" s="217"/>
      <c r="Z1329" s="217"/>
      <c r="AA1329" s="217"/>
      <c r="AB1329" s="217"/>
      <c r="AC1329" s="217"/>
      <c r="AD1329" s="217"/>
    </row>
    <row r="1330" spans="1:30" x14ac:dyDescent="0.2">
      <c r="A1330" s="232"/>
      <c r="B1330" s="210"/>
      <c r="C1330" s="210"/>
      <c r="D1330" s="210"/>
      <c r="E1330" s="210"/>
      <c r="G1330" s="55"/>
      <c r="H1330" s="56"/>
      <c r="I1330" s="217"/>
      <c r="J1330" s="217"/>
      <c r="K1330" s="217"/>
      <c r="L1330" s="217"/>
      <c r="M1330" s="217"/>
      <c r="N1330" s="217"/>
      <c r="O1330" s="217"/>
      <c r="P1330" s="217"/>
      <c r="Q1330" s="217"/>
      <c r="R1330" s="217"/>
      <c r="S1330" s="217"/>
      <c r="T1330" s="217"/>
      <c r="U1330" s="217"/>
      <c r="V1330" s="217"/>
      <c r="W1330" s="217"/>
      <c r="X1330" s="217"/>
      <c r="Y1330" s="217"/>
      <c r="Z1330" s="217"/>
      <c r="AA1330" s="217"/>
      <c r="AB1330" s="217"/>
      <c r="AC1330" s="217"/>
      <c r="AD1330" s="217"/>
    </row>
    <row r="1331" spans="1:30" x14ac:dyDescent="0.2">
      <c r="A1331" s="232"/>
      <c r="B1331" s="210"/>
      <c r="C1331" s="210"/>
      <c r="D1331" s="210"/>
      <c r="E1331" s="210"/>
      <c r="G1331" s="55"/>
      <c r="H1331" s="56"/>
      <c r="I1331" s="217"/>
      <c r="J1331" s="217"/>
      <c r="K1331" s="217"/>
      <c r="L1331" s="217"/>
      <c r="M1331" s="217"/>
      <c r="N1331" s="217"/>
      <c r="O1331" s="217"/>
      <c r="P1331" s="217"/>
      <c r="Q1331" s="217"/>
      <c r="R1331" s="217"/>
      <c r="S1331" s="217"/>
      <c r="T1331" s="217"/>
      <c r="U1331" s="217"/>
      <c r="V1331" s="217"/>
      <c r="W1331" s="217"/>
      <c r="X1331" s="217"/>
      <c r="Y1331" s="217"/>
      <c r="Z1331" s="217"/>
      <c r="AA1331" s="217"/>
      <c r="AB1331" s="217"/>
      <c r="AC1331" s="217"/>
      <c r="AD1331" s="217"/>
    </row>
    <row r="1332" spans="1:30" x14ac:dyDescent="0.2">
      <c r="A1332" s="232"/>
      <c r="B1332" s="210"/>
      <c r="C1332" s="210"/>
      <c r="D1332" s="210"/>
      <c r="E1332" s="210"/>
      <c r="G1332" s="55"/>
      <c r="H1332" s="56"/>
      <c r="I1332" s="217"/>
      <c r="J1332" s="217"/>
      <c r="K1332" s="217"/>
      <c r="L1332" s="217"/>
      <c r="M1332" s="217"/>
      <c r="N1332" s="217"/>
      <c r="O1332" s="217"/>
      <c r="P1332" s="217"/>
      <c r="Q1332" s="217"/>
      <c r="R1332" s="217"/>
      <c r="S1332" s="217"/>
      <c r="T1332" s="217"/>
      <c r="U1332" s="217"/>
      <c r="V1332" s="217"/>
      <c r="W1332" s="217"/>
      <c r="X1332" s="217"/>
      <c r="Y1332" s="217"/>
      <c r="Z1332" s="217"/>
      <c r="AA1332" s="217"/>
      <c r="AB1332" s="217"/>
      <c r="AC1332" s="217"/>
      <c r="AD1332" s="217"/>
    </row>
    <row r="1333" spans="1:30" x14ac:dyDescent="0.2">
      <c r="A1333" s="232"/>
      <c r="B1333" s="210"/>
      <c r="C1333" s="210"/>
      <c r="D1333" s="210"/>
      <c r="E1333" s="210"/>
      <c r="G1333" s="55"/>
      <c r="H1333" s="56"/>
      <c r="I1333" s="217"/>
      <c r="J1333" s="217"/>
      <c r="K1333" s="217"/>
      <c r="L1333" s="217"/>
      <c r="M1333" s="217"/>
      <c r="N1333" s="217"/>
      <c r="O1333" s="217"/>
      <c r="P1333" s="217"/>
      <c r="Q1333" s="217"/>
      <c r="R1333" s="217"/>
      <c r="S1333" s="217"/>
      <c r="T1333" s="217"/>
      <c r="U1333" s="217"/>
      <c r="V1333" s="217"/>
      <c r="W1333" s="217"/>
      <c r="X1333" s="217"/>
      <c r="Y1333" s="217"/>
      <c r="Z1333" s="217"/>
      <c r="AA1333" s="217"/>
      <c r="AB1333" s="217"/>
      <c r="AC1333" s="217"/>
      <c r="AD1333" s="217"/>
    </row>
    <row r="1334" spans="1:30" x14ac:dyDescent="0.2">
      <c r="A1334" s="232"/>
      <c r="B1334" s="210"/>
      <c r="C1334" s="210"/>
      <c r="D1334" s="210"/>
      <c r="E1334" s="210"/>
      <c r="G1334" s="55"/>
      <c r="H1334" s="56"/>
      <c r="I1334" s="217"/>
      <c r="J1334" s="217"/>
      <c r="K1334" s="217"/>
      <c r="L1334" s="217"/>
      <c r="M1334" s="217"/>
      <c r="N1334" s="217"/>
      <c r="O1334" s="217"/>
      <c r="P1334" s="217"/>
      <c r="Q1334" s="217"/>
      <c r="R1334" s="217"/>
      <c r="S1334" s="217"/>
      <c r="T1334" s="217"/>
      <c r="U1334" s="217"/>
      <c r="V1334" s="217"/>
      <c r="W1334" s="217"/>
      <c r="X1334" s="217"/>
      <c r="Y1334" s="217"/>
      <c r="Z1334" s="217"/>
      <c r="AA1334" s="217"/>
      <c r="AB1334" s="217"/>
      <c r="AC1334" s="217"/>
      <c r="AD1334" s="217"/>
    </row>
    <row r="1335" spans="1:30" x14ac:dyDescent="0.2">
      <c r="A1335" s="232"/>
      <c r="B1335" s="210"/>
      <c r="C1335" s="210"/>
      <c r="D1335" s="210"/>
      <c r="E1335" s="210"/>
      <c r="G1335" s="55"/>
      <c r="H1335" s="56"/>
      <c r="I1335" s="217"/>
      <c r="J1335" s="217"/>
      <c r="K1335" s="217"/>
      <c r="L1335" s="217"/>
      <c r="M1335" s="217"/>
      <c r="N1335" s="217"/>
      <c r="O1335" s="217"/>
      <c r="P1335" s="217"/>
      <c r="Q1335" s="217"/>
      <c r="R1335" s="217"/>
      <c r="S1335" s="217"/>
      <c r="T1335" s="217"/>
      <c r="U1335" s="217"/>
      <c r="V1335" s="217"/>
      <c r="W1335" s="217"/>
      <c r="X1335" s="217"/>
      <c r="Y1335" s="217"/>
      <c r="Z1335" s="217"/>
      <c r="AA1335" s="217"/>
      <c r="AB1335" s="217"/>
      <c r="AC1335" s="217"/>
      <c r="AD1335" s="217"/>
    </row>
    <row r="1336" spans="1:30" x14ac:dyDescent="0.2">
      <c r="A1336" s="232"/>
      <c r="B1336" s="210"/>
      <c r="C1336" s="210"/>
      <c r="D1336" s="210"/>
      <c r="E1336" s="210"/>
      <c r="G1336" s="55"/>
      <c r="H1336" s="56"/>
      <c r="I1336" s="217"/>
      <c r="J1336" s="217"/>
      <c r="K1336" s="217"/>
      <c r="L1336" s="217"/>
      <c r="M1336" s="217"/>
      <c r="N1336" s="217"/>
      <c r="O1336" s="217"/>
      <c r="P1336" s="217"/>
      <c r="Q1336" s="217"/>
      <c r="R1336" s="217"/>
      <c r="S1336" s="217"/>
      <c r="T1336" s="217"/>
      <c r="U1336" s="217"/>
      <c r="V1336" s="217"/>
      <c r="W1336" s="217"/>
      <c r="X1336" s="217"/>
      <c r="Y1336" s="217"/>
      <c r="Z1336" s="217"/>
      <c r="AA1336" s="217"/>
      <c r="AB1336" s="217"/>
      <c r="AC1336" s="217"/>
      <c r="AD1336" s="217"/>
    </row>
    <row r="1337" spans="1:30" x14ac:dyDescent="0.2">
      <c r="A1337" s="232"/>
      <c r="B1337" s="210"/>
      <c r="C1337" s="210"/>
      <c r="D1337" s="210"/>
      <c r="E1337" s="210"/>
      <c r="G1337" s="55"/>
      <c r="H1337" s="56"/>
      <c r="I1337" s="217"/>
      <c r="J1337" s="217"/>
      <c r="K1337" s="217"/>
      <c r="L1337" s="217"/>
      <c r="M1337" s="217"/>
      <c r="N1337" s="217"/>
      <c r="O1337" s="217"/>
      <c r="P1337" s="217"/>
      <c r="Q1337" s="217"/>
      <c r="R1337" s="217"/>
      <c r="S1337" s="217"/>
      <c r="T1337" s="217"/>
      <c r="U1337" s="217"/>
      <c r="V1337" s="217"/>
      <c r="W1337" s="217"/>
      <c r="X1337" s="217"/>
      <c r="Y1337" s="217"/>
      <c r="Z1337" s="217"/>
      <c r="AA1337" s="217"/>
      <c r="AB1337" s="217"/>
      <c r="AC1337" s="217"/>
      <c r="AD1337" s="217"/>
    </row>
    <row r="1338" spans="1:30" x14ac:dyDescent="0.2">
      <c r="A1338" s="232"/>
      <c r="B1338" s="210"/>
      <c r="C1338" s="210"/>
      <c r="D1338" s="210"/>
      <c r="E1338" s="210"/>
      <c r="G1338" s="55"/>
      <c r="H1338" s="56"/>
      <c r="I1338" s="217"/>
      <c r="J1338" s="217"/>
      <c r="K1338" s="217"/>
      <c r="L1338" s="217"/>
      <c r="M1338" s="217"/>
      <c r="N1338" s="217"/>
      <c r="O1338" s="217"/>
      <c r="P1338" s="217"/>
      <c r="Q1338" s="217"/>
      <c r="R1338" s="217"/>
      <c r="S1338" s="217"/>
      <c r="T1338" s="217"/>
      <c r="U1338" s="217"/>
      <c r="V1338" s="217"/>
      <c r="W1338" s="217"/>
      <c r="X1338" s="217"/>
      <c r="Y1338" s="217"/>
      <c r="Z1338" s="217"/>
      <c r="AA1338" s="217"/>
      <c r="AB1338" s="217"/>
      <c r="AC1338" s="217"/>
      <c r="AD1338" s="217"/>
    </row>
    <row r="1339" spans="1:30" x14ac:dyDescent="0.2">
      <c r="A1339" s="232"/>
      <c r="B1339" s="210"/>
      <c r="C1339" s="210"/>
      <c r="D1339" s="210"/>
      <c r="E1339" s="210"/>
      <c r="G1339" s="55"/>
      <c r="H1339" s="56"/>
      <c r="I1339" s="217"/>
      <c r="J1339" s="217"/>
      <c r="K1339" s="217"/>
      <c r="L1339" s="217"/>
      <c r="M1339" s="217"/>
      <c r="N1339" s="217"/>
      <c r="O1339" s="217"/>
      <c r="P1339" s="217"/>
      <c r="Q1339" s="217"/>
      <c r="R1339" s="217"/>
      <c r="S1339" s="217"/>
      <c r="T1339" s="217"/>
      <c r="U1339" s="217"/>
      <c r="V1339" s="217"/>
      <c r="W1339" s="217"/>
      <c r="X1339" s="217"/>
      <c r="Y1339" s="217"/>
      <c r="Z1339" s="217"/>
      <c r="AA1339" s="217"/>
      <c r="AB1339" s="217"/>
      <c r="AC1339" s="217"/>
      <c r="AD1339" s="217"/>
    </row>
    <row r="1340" spans="1:30" x14ac:dyDescent="0.2">
      <c r="A1340" s="232"/>
      <c r="B1340" s="210"/>
      <c r="C1340" s="210"/>
      <c r="D1340" s="210"/>
      <c r="E1340" s="210"/>
      <c r="G1340" s="55"/>
      <c r="H1340" s="56"/>
      <c r="I1340" s="217"/>
      <c r="J1340" s="217"/>
      <c r="K1340" s="217"/>
      <c r="L1340" s="217"/>
      <c r="M1340" s="217"/>
      <c r="N1340" s="217"/>
      <c r="O1340" s="217"/>
      <c r="P1340" s="217"/>
      <c r="Q1340" s="217"/>
      <c r="R1340" s="217"/>
      <c r="S1340" s="217"/>
      <c r="T1340" s="217"/>
      <c r="U1340" s="217"/>
      <c r="V1340" s="217"/>
      <c r="W1340" s="217"/>
      <c r="X1340" s="217"/>
      <c r="Y1340" s="217"/>
      <c r="Z1340" s="217"/>
      <c r="AA1340" s="217"/>
      <c r="AB1340" s="217"/>
      <c r="AC1340" s="217"/>
      <c r="AD1340" s="217"/>
    </row>
    <row r="1341" spans="1:30" x14ac:dyDescent="0.2">
      <c r="A1341" s="232"/>
      <c r="B1341" s="210"/>
      <c r="C1341" s="210"/>
      <c r="D1341" s="210"/>
      <c r="E1341" s="210"/>
      <c r="G1341" s="55"/>
      <c r="H1341" s="56"/>
      <c r="I1341" s="217"/>
      <c r="J1341" s="217"/>
      <c r="K1341" s="217"/>
      <c r="L1341" s="217"/>
      <c r="M1341" s="217"/>
      <c r="N1341" s="217"/>
      <c r="O1341" s="217"/>
      <c r="P1341" s="217"/>
      <c r="Q1341" s="217"/>
      <c r="R1341" s="217"/>
      <c r="S1341" s="217"/>
      <c r="T1341" s="217"/>
      <c r="U1341" s="217"/>
      <c r="V1341" s="217"/>
      <c r="W1341" s="217"/>
      <c r="X1341" s="217"/>
      <c r="Y1341" s="217"/>
      <c r="Z1341" s="217"/>
      <c r="AA1341" s="217"/>
      <c r="AB1341" s="217"/>
      <c r="AC1341" s="217"/>
      <c r="AD1341" s="217"/>
    </row>
    <row r="1342" spans="1:30" x14ac:dyDescent="0.2">
      <c r="A1342" s="232"/>
      <c r="B1342" s="210"/>
      <c r="C1342" s="210"/>
      <c r="D1342" s="210"/>
      <c r="E1342" s="210"/>
      <c r="G1342" s="55"/>
      <c r="H1342" s="56"/>
      <c r="I1342" s="217"/>
      <c r="J1342" s="217"/>
      <c r="K1342" s="217"/>
      <c r="L1342" s="217"/>
      <c r="M1342" s="217"/>
      <c r="N1342" s="217"/>
      <c r="O1342" s="217"/>
      <c r="P1342" s="217"/>
      <c r="Q1342" s="217"/>
      <c r="R1342" s="217"/>
      <c r="S1342" s="217"/>
      <c r="T1342" s="217"/>
      <c r="U1342" s="217"/>
      <c r="V1342" s="217"/>
      <c r="W1342" s="217"/>
      <c r="X1342" s="217"/>
      <c r="Y1342" s="217"/>
      <c r="Z1342" s="217"/>
      <c r="AA1342" s="217"/>
      <c r="AB1342" s="217"/>
      <c r="AC1342" s="217"/>
      <c r="AD1342" s="217"/>
    </row>
    <row r="1343" spans="1:30" x14ac:dyDescent="0.2">
      <c r="A1343" s="232"/>
      <c r="B1343" s="210"/>
      <c r="C1343" s="210"/>
      <c r="D1343" s="210"/>
      <c r="E1343" s="210"/>
      <c r="G1343" s="55"/>
      <c r="H1343" s="56"/>
      <c r="I1343" s="217"/>
      <c r="J1343" s="217"/>
      <c r="K1343" s="217"/>
      <c r="L1343" s="217"/>
      <c r="M1343" s="217"/>
      <c r="N1343" s="217"/>
      <c r="O1343" s="217"/>
      <c r="P1343" s="217"/>
      <c r="Q1343" s="217"/>
      <c r="R1343" s="217"/>
      <c r="S1343" s="217"/>
      <c r="T1343" s="217"/>
      <c r="U1343" s="217"/>
      <c r="V1343" s="217"/>
      <c r="W1343" s="217"/>
      <c r="X1343" s="217"/>
      <c r="Y1343" s="217"/>
      <c r="Z1343" s="217"/>
      <c r="AA1343" s="217"/>
      <c r="AB1343" s="217"/>
      <c r="AC1343" s="217"/>
      <c r="AD1343" s="217"/>
    </row>
    <row r="1344" spans="1:30" x14ac:dyDescent="0.2">
      <c r="A1344" s="232"/>
      <c r="B1344" s="210"/>
      <c r="C1344" s="210"/>
      <c r="D1344" s="210"/>
      <c r="E1344" s="210"/>
      <c r="G1344" s="55"/>
      <c r="H1344" s="56"/>
      <c r="I1344" s="217"/>
      <c r="J1344" s="217"/>
      <c r="K1344" s="217"/>
      <c r="L1344" s="217"/>
      <c r="M1344" s="217"/>
      <c r="N1344" s="217"/>
      <c r="O1344" s="217"/>
      <c r="P1344" s="217"/>
      <c r="Q1344" s="217"/>
      <c r="R1344" s="217"/>
      <c r="S1344" s="217"/>
      <c r="T1344" s="217"/>
      <c r="U1344" s="217"/>
      <c r="V1344" s="217"/>
      <c r="W1344" s="217"/>
      <c r="X1344" s="217"/>
      <c r="Y1344" s="217"/>
      <c r="Z1344" s="217"/>
      <c r="AA1344" s="217"/>
      <c r="AB1344" s="217"/>
      <c r="AC1344" s="217"/>
      <c r="AD1344" s="217"/>
    </row>
    <row r="1345" spans="1:30" x14ac:dyDescent="0.2">
      <c r="A1345" s="232"/>
      <c r="B1345" s="210"/>
      <c r="C1345" s="210"/>
      <c r="D1345" s="210"/>
      <c r="E1345" s="210"/>
      <c r="G1345" s="55"/>
      <c r="H1345" s="56"/>
      <c r="I1345" s="217"/>
      <c r="J1345" s="217"/>
      <c r="K1345" s="217"/>
      <c r="L1345" s="217"/>
      <c r="M1345" s="217"/>
      <c r="N1345" s="217"/>
      <c r="O1345" s="217"/>
      <c r="P1345" s="217"/>
      <c r="Q1345" s="217"/>
      <c r="R1345" s="217"/>
      <c r="S1345" s="217"/>
      <c r="T1345" s="217"/>
      <c r="U1345" s="217"/>
      <c r="V1345" s="217"/>
      <c r="W1345" s="217"/>
      <c r="X1345" s="217"/>
      <c r="Y1345" s="217"/>
      <c r="Z1345" s="217"/>
      <c r="AA1345" s="217"/>
      <c r="AB1345" s="217"/>
      <c r="AC1345" s="217"/>
      <c r="AD1345" s="217"/>
    </row>
    <row r="1346" spans="1:30" x14ac:dyDescent="0.2">
      <c r="A1346" s="232"/>
      <c r="B1346" s="210"/>
      <c r="C1346" s="210"/>
      <c r="D1346" s="210"/>
      <c r="E1346" s="210"/>
      <c r="G1346" s="55"/>
      <c r="H1346" s="56"/>
      <c r="I1346" s="217"/>
      <c r="J1346" s="217"/>
      <c r="K1346" s="217"/>
      <c r="L1346" s="217"/>
      <c r="M1346" s="217"/>
      <c r="N1346" s="217"/>
      <c r="O1346" s="217"/>
      <c r="P1346" s="217"/>
      <c r="Q1346" s="217"/>
      <c r="R1346" s="217"/>
      <c r="S1346" s="217"/>
      <c r="T1346" s="217"/>
      <c r="U1346" s="217"/>
      <c r="V1346" s="217"/>
      <c r="W1346" s="217"/>
      <c r="X1346" s="217"/>
      <c r="Y1346" s="217"/>
      <c r="Z1346" s="217"/>
      <c r="AA1346" s="217"/>
      <c r="AB1346" s="217"/>
      <c r="AC1346" s="217"/>
      <c r="AD1346" s="217"/>
    </row>
    <row r="1347" spans="1:30" x14ac:dyDescent="0.2">
      <c r="A1347" s="232"/>
      <c r="B1347" s="210"/>
      <c r="C1347" s="210"/>
      <c r="D1347" s="210"/>
      <c r="E1347" s="210"/>
      <c r="G1347" s="55"/>
      <c r="H1347" s="56"/>
      <c r="I1347" s="217"/>
      <c r="J1347" s="217"/>
      <c r="K1347" s="217"/>
      <c r="L1347" s="217"/>
      <c r="M1347" s="217"/>
      <c r="N1347" s="217"/>
      <c r="O1347" s="217"/>
      <c r="P1347" s="217"/>
      <c r="Q1347" s="217"/>
      <c r="R1347" s="217"/>
      <c r="S1347" s="217"/>
      <c r="T1347" s="217"/>
      <c r="U1347" s="217"/>
      <c r="V1347" s="217"/>
      <c r="W1347" s="217"/>
      <c r="X1347" s="217"/>
      <c r="Y1347" s="217"/>
      <c r="Z1347" s="217"/>
      <c r="AA1347" s="217"/>
      <c r="AB1347" s="217"/>
      <c r="AC1347" s="217"/>
      <c r="AD1347" s="217"/>
    </row>
    <row r="1348" spans="1:30" x14ac:dyDescent="0.2">
      <c r="A1348" s="232"/>
      <c r="B1348" s="210"/>
      <c r="C1348" s="210"/>
      <c r="D1348" s="210"/>
      <c r="E1348" s="210"/>
      <c r="G1348" s="55"/>
      <c r="H1348" s="56"/>
      <c r="I1348" s="217"/>
      <c r="J1348" s="217"/>
      <c r="K1348" s="217"/>
      <c r="L1348" s="217"/>
      <c r="M1348" s="217"/>
      <c r="N1348" s="217"/>
      <c r="O1348" s="217"/>
      <c r="P1348" s="217"/>
      <c r="Q1348" s="217"/>
      <c r="R1348" s="217"/>
      <c r="S1348" s="217"/>
      <c r="T1348" s="217"/>
      <c r="U1348" s="217"/>
      <c r="V1348" s="217"/>
      <c r="W1348" s="217"/>
      <c r="X1348" s="217"/>
      <c r="Y1348" s="217"/>
      <c r="Z1348" s="217"/>
      <c r="AA1348" s="217"/>
      <c r="AB1348" s="217"/>
      <c r="AC1348" s="217"/>
      <c r="AD1348" s="217"/>
    </row>
    <row r="1349" spans="1:30" x14ac:dyDescent="0.2">
      <c r="A1349" s="232"/>
      <c r="B1349" s="210"/>
      <c r="C1349" s="210"/>
      <c r="D1349" s="210"/>
      <c r="E1349" s="210"/>
      <c r="G1349" s="55"/>
      <c r="H1349" s="56"/>
      <c r="I1349" s="217"/>
      <c r="J1349" s="217"/>
      <c r="K1349" s="217"/>
      <c r="L1349" s="217"/>
      <c r="M1349" s="217"/>
      <c r="N1349" s="217"/>
      <c r="O1349" s="217"/>
      <c r="P1349" s="217"/>
      <c r="Q1349" s="217"/>
      <c r="R1349" s="217"/>
      <c r="S1349" s="217"/>
      <c r="T1349" s="217"/>
      <c r="U1349" s="217"/>
      <c r="V1349" s="217"/>
      <c r="W1349" s="217"/>
      <c r="X1349" s="217"/>
      <c r="Y1349" s="217"/>
      <c r="Z1349" s="217"/>
      <c r="AA1349" s="217"/>
      <c r="AB1349" s="217"/>
      <c r="AC1349" s="217"/>
      <c r="AD1349" s="217"/>
    </row>
    <row r="1350" spans="1:30" x14ac:dyDescent="0.2">
      <c r="A1350" s="232"/>
      <c r="B1350" s="210"/>
      <c r="C1350" s="210"/>
      <c r="D1350" s="210"/>
      <c r="E1350" s="210"/>
      <c r="G1350" s="55"/>
      <c r="H1350" s="56"/>
      <c r="I1350" s="217"/>
      <c r="J1350" s="217"/>
      <c r="K1350" s="217"/>
      <c r="L1350" s="217"/>
      <c r="M1350" s="217"/>
      <c r="N1350" s="217"/>
      <c r="O1350" s="217"/>
      <c r="P1350" s="217"/>
      <c r="Q1350" s="217"/>
      <c r="R1350" s="217"/>
      <c r="S1350" s="217"/>
      <c r="T1350" s="217"/>
      <c r="U1350" s="217"/>
      <c r="V1350" s="217"/>
      <c r="W1350" s="217"/>
      <c r="X1350" s="217"/>
      <c r="Y1350" s="217"/>
      <c r="Z1350" s="217"/>
      <c r="AA1350" s="217"/>
      <c r="AB1350" s="217"/>
      <c r="AC1350" s="217"/>
      <c r="AD1350" s="217"/>
    </row>
    <row r="1351" spans="1:30" x14ac:dyDescent="0.2">
      <c r="A1351" s="232"/>
      <c r="B1351" s="210"/>
      <c r="C1351" s="210"/>
      <c r="D1351" s="210"/>
      <c r="E1351" s="210"/>
      <c r="G1351" s="55"/>
      <c r="H1351" s="56"/>
      <c r="I1351" s="217"/>
      <c r="J1351" s="217"/>
      <c r="K1351" s="217"/>
      <c r="L1351" s="217"/>
      <c r="M1351" s="217"/>
      <c r="N1351" s="217"/>
      <c r="O1351" s="217"/>
      <c r="P1351" s="217"/>
      <c r="Q1351" s="217"/>
      <c r="R1351" s="217"/>
      <c r="S1351" s="217"/>
      <c r="T1351" s="217"/>
      <c r="U1351" s="217"/>
      <c r="V1351" s="217"/>
      <c r="W1351" s="217"/>
      <c r="X1351" s="217"/>
      <c r="Y1351" s="217"/>
      <c r="Z1351" s="217"/>
      <c r="AA1351" s="217"/>
      <c r="AB1351" s="217"/>
      <c r="AC1351" s="217"/>
      <c r="AD1351" s="217"/>
    </row>
    <row r="1352" spans="1:30" x14ac:dyDescent="0.2">
      <c r="A1352" s="232"/>
      <c r="B1352" s="210"/>
      <c r="C1352" s="210"/>
      <c r="D1352" s="210"/>
      <c r="E1352" s="210"/>
      <c r="G1352" s="55"/>
      <c r="H1352" s="56"/>
      <c r="I1352" s="217"/>
      <c r="J1352" s="217"/>
      <c r="K1352" s="217"/>
      <c r="L1352" s="217"/>
      <c r="M1352" s="217"/>
      <c r="N1352" s="217"/>
      <c r="O1352" s="217"/>
      <c r="P1352" s="217"/>
      <c r="Q1352" s="217"/>
      <c r="R1352" s="217"/>
      <c r="S1352" s="217"/>
      <c r="T1352" s="217"/>
      <c r="U1352" s="217"/>
      <c r="V1352" s="217"/>
      <c r="W1352" s="217"/>
      <c r="X1352" s="217"/>
      <c r="Y1352" s="217"/>
      <c r="Z1352" s="217"/>
      <c r="AA1352" s="217"/>
      <c r="AB1352" s="217"/>
      <c r="AC1352" s="217"/>
      <c r="AD1352" s="217"/>
    </row>
    <row r="1353" spans="1:30" x14ac:dyDescent="0.2">
      <c r="A1353" s="232"/>
      <c r="B1353" s="210"/>
      <c r="C1353" s="210"/>
      <c r="D1353" s="210"/>
      <c r="E1353" s="210"/>
      <c r="G1353" s="55"/>
      <c r="H1353" s="56"/>
      <c r="I1353" s="217"/>
      <c r="J1353" s="217"/>
      <c r="K1353" s="217"/>
      <c r="L1353" s="217"/>
      <c r="M1353" s="217"/>
      <c r="N1353" s="217"/>
      <c r="O1353" s="217"/>
      <c r="P1353" s="217"/>
      <c r="Q1353" s="217"/>
      <c r="R1353" s="217"/>
      <c r="S1353" s="217"/>
      <c r="T1353" s="217"/>
      <c r="U1353" s="217"/>
      <c r="V1353" s="217"/>
      <c r="W1353" s="217"/>
      <c r="X1353" s="217"/>
      <c r="Y1353" s="217"/>
      <c r="Z1353" s="217"/>
      <c r="AA1353" s="217"/>
      <c r="AB1353" s="217"/>
      <c r="AC1353" s="217"/>
      <c r="AD1353" s="217"/>
    </row>
    <row r="1354" spans="1:30" x14ac:dyDescent="0.2">
      <c r="A1354" s="232"/>
      <c r="B1354" s="210"/>
      <c r="C1354" s="210"/>
      <c r="D1354" s="210"/>
      <c r="E1354" s="210"/>
      <c r="G1354" s="55"/>
      <c r="H1354" s="56"/>
      <c r="I1354" s="217"/>
      <c r="J1354" s="217"/>
      <c r="K1354" s="217"/>
      <c r="L1354" s="217"/>
      <c r="M1354" s="217"/>
      <c r="N1354" s="217"/>
      <c r="O1354" s="217"/>
      <c r="P1354" s="217"/>
      <c r="Q1354" s="217"/>
      <c r="R1354" s="217"/>
      <c r="S1354" s="217"/>
      <c r="T1354" s="217"/>
      <c r="U1354" s="217"/>
      <c r="V1354" s="217"/>
      <c r="W1354" s="217"/>
      <c r="X1354" s="217"/>
      <c r="Y1354" s="217"/>
      <c r="Z1354" s="217"/>
      <c r="AA1354" s="217"/>
      <c r="AB1354" s="217"/>
      <c r="AC1354" s="217"/>
      <c r="AD1354" s="217"/>
    </row>
    <row r="1355" spans="1:30" x14ac:dyDescent="0.2">
      <c r="A1355" s="232"/>
      <c r="B1355" s="210"/>
      <c r="C1355" s="210"/>
      <c r="D1355" s="210"/>
      <c r="E1355" s="210"/>
      <c r="G1355" s="55"/>
      <c r="H1355" s="56"/>
      <c r="I1355" s="217"/>
      <c r="J1355" s="217"/>
      <c r="K1355" s="217"/>
      <c r="L1355" s="217"/>
      <c r="M1355" s="217"/>
      <c r="N1355" s="217"/>
      <c r="O1355" s="217"/>
      <c r="P1355" s="217"/>
      <c r="Q1355" s="217"/>
      <c r="R1355" s="217"/>
      <c r="S1355" s="217"/>
      <c r="T1355" s="217"/>
      <c r="U1355" s="217"/>
      <c r="V1355" s="217"/>
      <c r="W1355" s="217"/>
      <c r="X1355" s="217"/>
      <c r="Y1355" s="217"/>
      <c r="Z1355" s="217"/>
      <c r="AA1355" s="217"/>
      <c r="AB1355" s="217"/>
      <c r="AC1355" s="217"/>
      <c r="AD1355" s="217"/>
    </row>
    <row r="1356" spans="1:30" x14ac:dyDescent="0.2">
      <c r="A1356" s="232"/>
      <c r="B1356" s="210"/>
      <c r="C1356" s="210"/>
      <c r="D1356" s="210"/>
      <c r="E1356" s="210"/>
      <c r="G1356" s="55"/>
      <c r="H1356" s="56"/>
      <c r="I1356" s="217"/>
      <c r="J1356" s="217"/>
      <c r="K1356" s="217"/>
      <c r="L1356" s="217"/>
      <c r="M1356" s="217"/>
      <c r="N1356" s="217"/>
      <c r="O1356" s="217"/>
      <c r="P1356" s="217"/>
      <c r="Q1356" s="217"/>
      <c r="R1356" s="217"/>
      <c r="S1356" s="217"/>
      <c r="T1356" s="217"/>
      <c r="U1356" s="217"/>
      <c r="V1356" s="217"/>
      <c r="W1356" s="217"/>
      <c r="X1356" s="217"/>
      <c r="Y1356" s="217"/>
      <c r="Z1356" s="217"/>
      <c r="AA1356" s="217"/>
      <c r="AB1356" s="217"/>
      <c r="AC1356" s="217"/>
      <c r="AD1356" s="217"/>
    </row>
    <row r="1357" spans="1:30" x14ac:dyDescent="0.2">
      <c r="A1357" s="232"/>
      <c r="B1357" s="210"/>
      <c r="C1357" s="210"/>
      <c r="D1357" s="210"/>
      <c r="E1357" s="210"/>
      <c r="G1357" s="55"/>
      <c r="H1357" s="56"/>
      <c r="I1357" s="217"/>
      <c r="J1357" s="217"/>
      <c r="K1357" s="217"/>
      <c r="L1357" s="217"/>
      <c r="M1357" s="217"/>
      <c r="N1357" s="217"/>
      <c r="O1357" s="217"/>
      <c r="P1357" s="217"/>
      <c r="Q1357" s="217"/>
      <c r="R1357" s="217"/>
      <c r="S1357" s="217"/>
      <c r="T1357" s="217"/>
      <c r="U1357" s="217"/>
      <c r="V1357" s="217"/>
      <c r="W1357" s="217"/>
      <c r="X1357" s="217"/>
      <c r="Y1357" s="217"/>
      <c r="Z1357" s="217"/>
      <c r="AA1357" s="217"/>
      <c r="AB1357" s="217"/>
      <c r="AC1357" s="217"/>
      <c r="AD1357" s="217"/>
    </row>
    <row r="1358" spans="1:30" x14ac:dyDescent="0.2">
      <c r="A1358" s="232"/>
      <c r="B1358" s="210"/>
      <c r="C1358" s="210"/>
      <c r="D1358" s="210"/>
      <c r="E1358" s="210"/>
      <c r="G1358" s="55"/>
      <c r="H1358" s="56"/>
      <c r="I1358" s="217"/>
      <c r="J1358" s="217"/>
      <c r="K1358" s="217"/>
      <c r="L1358" s="217"/>
      <c r="M1358" s="217"/>
      <c r="N1358" s="217"/>
      <c r="O1358" s="217"/>
      <c r="P1358" s="217"/>
      <c r="Q1358" s="217"/>
      <c r="R1358" s="217"/>
      <c r="S1358" s="217"/>
      <c r="T1358" s="217"/>
      <c r="U1358" s="217"/>
      <c r="V1358" s="217"/>
      <c r="W1358" s="217"/>
      <c r="X1358" s="217"/>
      <c r="Y1358" s="217"/>
      <c r="Z1358" s="217"/>
      <c r="AA1358" s="217"/>
      <c r="AB1358" s="217"/>
      <c r="AC1358" s="217"/>
      <c r="AD1358" s="217"/>
    </row>
    <row r="1359" spans="1:30" x14ac:dyDescent="0.2">
      <c r="A1359" s="232"/>
      <c r="B1359" s="210"/>
      <c r="C1359" s="210"/>
      <c r="D1359" s="210"/>
      <c r="E1359" s="210"/>
      <c r="G1359" s="55"/>
      <c r="H1359" s="56"/>
      <c r="I1359" s="217"/>
      <c r="J1359" s="217"/>
      <c r="K1359" s="217"/>
      <c r="L1359" s="217"/>
      <c r="M1359" s="217"/>
      <c r="N1359" s="217"/>
      <c r="O1359" s="217"/>
      <c r="P1359" s="217"/>
      <c r="Q1359" s="217"/>
      <c r="R1359" s="217"/>
      <c r="S1359" s="217"/>
      <c r="T1359" s="217"/>
      <c r="U1359" s="217"/>
      <c r="V1359" s="217"/>
      <c r="W1359" s="217"/>
      <c r="X1359" s="217"/>
      <c r="Y1359" s="217"/>
      <c r="Z1359" s="217"/>
      <c r="AA1359" s="217"/>
      <c r="AB1359" s="217"/>
      <c r="AC1359" s="217"/>
      <c r="AD1359" s="217"/>
    </row>
    <row r="1360" spans="1:30" x14ac:dyDescent="0.2">
      <c r="A1360" s="232"/>
      <c r="B1360" s="210"/>
      <c r="C1360" s="210"/>
      <c r="D1360" s="210"/>
      <c r="E1360" s="210"/>
      <c r="G1360" s="55"/>
      <c r="H1360" s="56"/>
      <c r="I1360" s="217"/>
      <c r="J1360" s="217"/>
      <c r="K1360" s="217"/>
      <c r="L1360" s="217"/>
      <c r="M1360" s="217"/>
      <c r="N1360" s="217"/>
      <c r="O1360" s="217"/>
      <c r="P1360" s="217"/>
      <c r="Q1360" s="217"/>
      <c r="R1360" s="217"/>
      <c r="S1360" s="217"/>
      <c r="T1360" s="217"/>
      <c r="U1360" s="217"/>
      <c r="V1360" s="217"/>
      <c r="W1360" s="217"/>
      <c r="X1360" s="217"/>
      <c r="Y1360" s="217"/>
      <c r="Z1360" s="217"/>
      <c r="AA1360" s="217"/>
      <c r="AB1360" s="217"/>
      <c r="AC1360" s="217"/>
      <c r="AD1360" s="217"/>
    </row>
    <row r="1361" spans="1:30" x14ac:dyDescent="0.2">
      <c r="A1361" s="232"/>
      <c r="B1361" s="210"/>
      <c r="C1361" s="210"/>
      <c r="D1361" s="210"/>
      <c r="E1361" s="210"/>
      <c r="G1361" s="55"/>
      <c r="H1361" s="56"/>
      <c r="I1361" s="217"/>
      <c r="J1361" s="217"/>
      <c r="K1361" s="217"/>
      <c r="L1361" s="217"/>
      <c r="M1361" s="217"/>
      <c r="N1361" s="217"/>
      <c r="O1361" s="217"/>
      <c r="P1361" s="217"/>
      <c r="Q1361" s="217"/>
      <c r="R1361" s="217"/>
      <c r="S1361" s="217"/>
      <c r="T1361" s="217"/>
      <c r="U1361" s="217"/>
      <c r="V1361" s="217"/>
      <c r="W1361" s="217"/>
      <c r="X1361" s="217"/>
      <c r="Y1361" s="217"/>
      <c r="Z1361" s="217"/>
      <c r="AA1361" s="217"/>
      <c r="AB1361" s="217"/>
      <c r="AC1361" s="217"/>
      <c r="AD1361" s="217"/>
    </row>
    <row r="1362" spans="1:30" x14ac:dyDescent="0.2">
      <c r="A1362" s="232"/>
      <c r="B1362" s="210"/>
      <c r="C1362" s="210"/>
      <c r="D1362" s="210"/>
      <c r="E1362" s="210"/>
      <c r="G1362" s="55"/>
      <c r="H1362" s="56"/>
      <c r="I1362" s="217"/>
      <c r="J1362" s="217"/>
      <c r="K1362" s="217"/>
      <c r="L1362" s="217"/>
      <c r="M1362" s="217"/>
      <c r="N1362" s="217"/>
      <c r="O1362" s="217"/>
      <c r="P1362" s="217"/>
      <c r="Q1362" s="217"/>
      <c r="R1362" s="217"/>
      <c r="S1362" s="217"/>
      <c r="T1362" s="217"/>
      <c r="U1362" s="217"/>
      <c r="V1362" s="217"/>
      <c r="W1362" s="217"/>
      <c r="X1362" s="217"/>
      <c r="Y1362" s="217"/>
      <c r="Z1362" s="217"/>
      <c r="AA1362" s="217"/>
      <c r="AB1362" s="217"/>
      <c r="AC1362" s="217"/>
      <c r="AD1362" s="217"/>
    </row>
    <row r="1363" spans="1:30" x14ac:dyDescent="0.2">
      <c r="A1363" s="232"/>
      <c r="B1363" s="210"/>
      <c r="C1363" s="210"/>
      <c r="D1363" s="210"/>
      <c r="E1363" s="210"/>
      <c r="G1363" s="55"/>
      <c r="H1363" s="56"/>
      <c r="I1363" s="217"/>
      <c r="J1363" s="217"/>
      <c r="K1363" s="217"/>
      <c r="L1363" s="217"/>
      <c r="M1363" s="217"/>
      <c r="N1363" s="217"/>
      <c r="O1363" s="217"/>
      <c r="P1363" s="217"/>
      <c r="Q1363" s="217"/>
      <c r="R1363" s="217"/>
      <c r="S1363" s="217"/>
      <c r="T1363" s="217"/>
      <c r="U1363" s="217"/>
      <c r="V1363" s="217"/>
      <c r="W1363" s="217"/>
      <c r="X1363" s="217"/>
      <c r="Y1363" s="217"/>
      <c r="Z1363" s="217"/>
      <c r="AA1363" s="217"/>
      <c r="AB1363" s="217"/>
      <c r="AC1363" s="217"/>
      <c r="AD1363" s="217"/>
    </row>
    <row r="1364" spans="1:30" x14ac:dyDescent="0.2">
      <c r="A1364" s="232"/>
      <c r="B1364" s="210"/>
      <c r="C1364" s="210"/>
      <c r="D1364" s="210"/>
      <c r="E1364" s="210"/>
      <c r="G1364" s="55"/>
      <c r="H1364" s="56"/>
      <c r="I1364" s="217"/>
      <c r="J1364" s="217"/>
      <c r="K1364" s="217"/>
      <c r="L1364" s="217"/>
      <c r="M1364" s="217"/>
      <c r="N1364" s="217"/>
      <c r="O1364" s="217"/>
      <c r="P1364" s="217"/>
      <c r="Q1364" s="217"/>
      <c r="R1364" s="217"/>
      <c r="S1364" s="217"/>
      <c r="T1364" s="217"/>
      <c r="U1364" s="217"/>
      <c r="V1364" s="217"/>
      <c r="W1364" s="217"/>
      <c r="X1364" s="217"/>
      <c r="Y1364" s="217"/>
      <c r="Z1364" s="217"/>
      <c r="AA1364" s="217"/>
      <c r="AB1364" s="217"/>
      <c r="AC1364" s="217"/>
      <c r="AD1364" s="217"/>
    </row>
    <row r="1365" spans="1:30" x14ac:dyDescent="0.2">
      <c r="A1365" s="232"/>
      <c r="B1365" s="210"/>
      <c r="C1365" s="210"/>
      <c r="D1365" s="210"/>
      <c r="E1365" s="210"/>
      <c r="G1365" s="55"/>
      <c r="H1365" s="56"/>
      <c r="I1365" s="217"/>
      <c r="J1365" s="217"/>
      <c r="K1365" s="217"/>
      <c r="L1365" s="217"/>
      <c r="M1365" s="217"/>
      <c r="N1365" s="217"/>
      <c r="O1365" s="217"/>
      <c r="P1365" s="217"/>
      <c r="Q1365" s="217"/>
      <c r="R1365" s="217"/>
      <c r="S1365" s="217"/>
      <c r="T1365" s="217"/>
      <c r="U1365" s="217"/>
      <c r="V1365" s="217"/>
      <c r="W1365" s="217"/>
      <c r="X1365" s="217"/>
      <c r="Y1365" s="217"/>
      <c r="Z1365" s="217"/>
      <c r="AA1365" s="217"/>
      <c r="AB1365" s="217"/>
      <c r="AC1365" s="217"/>
      <c r="AD1365" s="217"/>
    </row>
    <row r="1366" spans="1:30" x14ac:dyDescent="0.2">
      <c r="A1366" s="232"/>
      <c r="B1366" s="210"/>
      <c r="C1366" s="210"/>
      <c r="D1366" s="210"/>
      <c r="E1366" s="210"/>
      <c r="G1366" s="55"/>
      <c r="H1366" s="56"/>
      <c r="I1366" s="217"/>
      <c r="J1366" s="217"/>
      <c r="K1366" s="217"/>
      <c r="L1366" s="217"/>
      <c r="M1366" s="217"/>
      <c r="N1366" s="217"/>
      <c r="O1366" s="217"/>
      <c r="P1366" s="217"/>
      <c r="Q1366" s="217"/>
      <c r="R1366" s="217"/>
      <c r="S1366" s="217"/>
      <c r="T1366" s="217"/>
      <c r="U1366" s="217"/>
      <c r="V1366" s="217"/>
      <c r="W1366" s="217"/>
      <c r="X1366" s="217"/>
      <c r="Y1366" s="217"/>
      <c r="Z1366" s="217"/>
      <c r="AA1366" s="217"/>
      <c r="AB1366" s="217"/>
      <c r="AC1366" s="217"/>
      <c r="AD1366" s="217"/>
    </row>
    <row r="1367" spans="1:30" x14ac:dyDescent="0.2">
      <c r="A1367" s="232"/>
      <c r="B1367" s="210"/>
      <c r="C1367" s="210"/>
      <c r="D1367" s="210"/>
      <c r="E1367" s="210"/>
      <c r="G1367" s="55"/>
      <c r="H1367" s="56"/>
      <c r="I1367" s="217"/>
      <c r="J1367" s="217"/>
      <c r="K1367" s="217"/>
      <c r="L1367" s="217"/>
      <c r="M1367" s="217"/>
      <c r="N1367" s="217"/>
      <c r="O1367" s="217"/>
      <c r="P1367" s="217"/>
      <c r="Q1367" s="217"/>
      <c r="R1367" s="217"/>
      <c r="S1367" s="217"/>
      <c r="T1367" s="217"/>
      <c r="U1367" s="217"/>
      <c r="V1367" s="217"/>
      <c r="W1367" s="217"/>
      <c r="X1367" s="217"/>
      <c r="Y1367" s="217"/>
      <c r="Z1367" s="217"/>
      <c r="AA1367" s="217"/>
      <c r="AB1367" s="217"/>
      <c r="AC1367" s="217"/>
      <c r="AD1367" s="217"/>
    </row>
    <row r="1368" spans="1:30" x14ac:dyDescent="0.2">
      <c r="A1368" s="232"/>
      <c r="B1368" s="210"/>
      <c r="C1368" s="210"/>
      <c r="D1368" s="210"/>
      <c r="E1368" s="210"/>
      <c r="G1368" s="55"/>
      <c r="H1368" s="56"/>
      <c r="I1368" s="217"/>
      <c r="J1368" s="217"/>
      <c r="K1368" s="217"/>
      <c r="L1368" s="217"/>
      <c r="M1368" s="217"/>
      <c r="N1368" s="217"/>
      <c r="O1368" s="217"/>
      <c r="P1368" s="217"/>
      <c r="Q1368" s="217"/>
      <c r="R1368" s="217"/>
      <c r="S1368" s="217"/>
      <c r="T1368" s="217"/>
      <c r="U1368" s="217"/>
      <c r="V1368" s="217"/>
      <c r="W1368" s="217"/>
      <c r="X1368" s="217"/>
      <c r="Y1368" s="217"/>
      <c r="Z1368" s="217"/>
      <c r="AA1368" s="217"/>
      <c r="AB1368" s="217"/>
      <c r="AC1368" s="217"/>
      <c r="AD1368" s="217"/>
    </row>
    <row r="1369" spans="1:30" x14ac:dyDescent="0.2">
      <c r="A1369" s="232"/>
      <c r="B1369" s="210"/>
      <c r="C1369" s="210"/>
      <c r="D1369" s="210"/>
      <c r="E1369" s="210"/>
      <c r="G1369" s="55"/>
      <c r="H1369" s="56"/>
      <c r="I1369" s="217"/>
      <c r="J1369" s="217"/>
      <c r="K1369" s="217"/>
      <c r="L1369" s="217"/>
      <c r="M1369" s="217"/>
      <c r="N1369" s="217"/>
      <c r="O1369" s="217"/>
      <c r="P1369" s="217"/>
      <c r="Q1369" s="217"/>
      <c r="R1369" s="217"/>
      <c r="S1369" s="217"/>
      <c r="T1369" s="217"/>
      <c r="U1369" s="217"/>
      <c r="V1369" s="217"/>
      <c r="W1369" s="217"/>
      <c r="X1369" s="217"/>
      <c r="Y1369" s="217"/>
      <c r="Z1369" s="217"/>
      <c r="AA1369" s="217"/>
      <c r="AB1369" s="217"/>
      <c r="AC1369" s="217"/>
      <c r="AD1369" s="217"/>
    </row>
    <row r="1370" spans="1:30" x14ac:dyDescent="0.2">
      <c r="A1370" s="232"/>
      <c r="B1370" s="210"/>
      <c r="C1370" s="210"/>
      <c r="D1370" s="210"/>
      <c r="E1370" s="210"/>
      <c r="G1370" s="55"/>
      <c r="H1370" s="56"/>
      <c r="I1370" s="217"/>
      <c r="J1370" s="217"/>
      <c r="K1370" s="217"/>
      <c r="L1370" s="217"/>
      <c r="M1370" s="217"/>
      <c r="N1370" s="217"/>
      <c r="O1370" s="217"/>
      <c r="P1370" s="217"/>
      <c r="Q1370" s="217"/>
      <c r="R1370" s="217"/>
      <c r="S1370" s="217"/>
      <c r="T1370" s="217"/>
      <c r="U1370" s="217"/>
      <c r="V1370" s="217"/>
      <c r="W1370" s="217"/>
      <c r="X1370" s="217"/>
      <c r="Y1370" s="217"/>
      <c r="Z1370" s="217"/>
      <c r="AA1370" s="217"/>
      <c r="AB1370" s="217"/>
      <c r="AC1370" s="217"/>
      <c r="AD1370" s="217"/>
    </row>
    <row r="1371" spans="1:30" x14ac:dyDescent="0.2">
      <c r="A1371" s="232"/>
      <c r="B1371" s="210"/>
      <c r="C1371" s="210"/>
      <c r="D1371" s="210"/>
      <c r="E1371" s="210"/>
      <c r="G1371" s="55"/>
      <c r="H1371" s="56"/>
      <c r="I1371" s="217"/>
      <c r="J1371" s="217"/>
      <c r="K1371" s="217"/>
      <c r="L1371" s="217"/>
      <c r="M1371" s="217"/>
      <c r="N1371" s="217"/>
      <c r="O1371" s="217"/>
      <c r="P1371" s="217"/>
      <c r="Q1371" s="217"/>
      <c r="R1371" s="217"/>
      <c r="S1371" s="217"/>
      <c r="T1371" s="217"/>
      <c r="U1371" s="217"/>
      <c r="V1371" s="217"/>
      <c r="W1371" s="217"/>
      <c r="X1371" s="217"/>
      <c r="Y1371" s="217"/>
      <c r="Z1371" s="217"/>
      <c r="AA1371" s="217"/>
      <c r="AB1371" s="217"/>
      <c r="AC1371" s="217"/>
      <c r="AD1371" s="217"/>
    </row>
    <row r="1372" spans="1:30" x14ac:dyDescent="0.2">
      <c r="A1372" s="232"/>
      <c r="B1372" s="210"/>
      <c r="C1372" s="210"/>
      <c r="D1372" s="210"/>
      <c r="E1372" s="210"/>
      <c r="G1372" s="55"/>
      <c r="H1372" s="56"/>
      <c r="I1372" s="217"/>
      <c r="J1372" s="217"/>
      <c r="K1372" s="217"/>
      <c r="L1372" s="217"/>
      <c r="M1372" s="217"/>
      <c r="N1372" s="217"/>
      <c r="O1372" s="217"/>
      <c r="P1372" s="217"/>
      <c r="Q1372" s="217"/>
      <c r="R1372" s="217"/>
      <c r="S1372" s="217"/>
      <c r="T1372" s="217"/>
      <c r="U1372" s="217"/>
      <c r="V1372" s="217"/>
      <c r="W1372" s="217"/>
      <c r="X1372" s="217"/>
      <c r="Y1372" s="217"/>
      <c r="Z1372" s="217"/>
      <c r="AA1372" s="217"/>
      <c r="AB1372" s="217"/>
      <c r="AC1372" s="217"/>
      <c r="AD1372" s="217"/>
    </row>
    <row r="1373" spans="1:30" x14ac:dyDescent="0.2">
      <c r="A1373" s="232"/>
      <c r="B1373" s="210"/>
      <c r="C1373" s="210"/>
      <c r="D1373" s="210"/>
      <c r="E1373" s="210"/>
      <c r="G1373" s="55"/>
      <c r="H1373" s="56"/>
      <c r="I1373" s="217"/>
      <c r="J1373" s="217"/>
      <c r="K1373" s="217"/>
      <c r="L1373" s="217"/>
      <c r="M1373" s="217"/>
      <c r="N1373" s="217"/>
      <c r="O1373" s="217"/>
      <c r="P1373" s="217"/>
      <c r="Q1373" s="217"/>
      <c r="R1373" s="217"/>
      <c r="S1373" s="217"/>
      <c r="T1373" s="217"/>
      <c r="U1373" s="217"/>
      <c r="V1373" s="217"/>
      <c r="W1373" s="217"/>
      <c r="X1373" s="217"/>
      <c r="Y1373" s="217"/>
      <c r="Z1373" s="217"/>
      <c r="AA1373" s="217"/>
      <c r="AB1373" s="217"/>
      <c r="AC1373" s="217"/>
      <c r="AD1373" s="217"/>
    </row>
    <row r="1374" spans="1:30" x14ac:dyDescent="0.2">
      <c r="A1374" s="232"/>
      <c r="B1374" s="210"/>
      <c r="C1374" s="210"/>
      <c r="D1374" s="210"/>
      <c r="E1374" s="210"/>
      <c r="G1374" s="55"/>
      <c r="H1374" s="56"/>
      <c r="I1374" s="217"/>
      <c r="J1374" s="217"/>
      <c r="K1374" s="217"/>
      <c r="L1374" s="217"/>
      <c r="M1374" s="217"/>
      <c r="N1374" s="217"/>
      <c r="O1374" s="217"/>
      <c r="P1374" s="217"/>
      <c r="Q1374" s="217"/>
      <c r="R1374" s="217"/>
      <c r="S1374" s="217"/>
      <c r="T1374" s="217"/>
      <c r="U1374" s="217"/>
      <c r="V1374" s="217"/>
      <c r="W1374" s="217"/>
      <c r="X1374" s="217"/>
      <c r="Y1374" s="217"/>
      <c r="Z1374" s="217"/>
      <c r="AA1374" s="217"/>
      <c r="AB1374" s="217"/>
      <c r="AC1374" s="217"/>
      <c r="AD1374" s="217"/>
    </row>
    <row r="1375" spans="1:30" x14ac:dyDescent="0.2">
      <c r="A1375" s="232"/>
      <c r="B1375" s="210"/>
      <c r="C1375" s="210"/>
      <c r="D1375" s="210"/>
      <c r="E1375" s="210"/>
      <c r="G1375" s="55"/>
      <c r="H1375" s="56"/>
      <c r="I1375" s="217"/>
      <c r="J1375" s="217"/>
      <c r="K1375" s="217"/>
      <c r="L1375" s="217"/>
      <c r="M1375" s="217"/>
      <c r="N1375" s="217"/>
      <c r="O1375" s="217"/>
      <c r="P1375" s="217"/>
      <c r="Q1375" s="217"/>
      <c r="R1375" s="217"/>
      <c r="S1375" s="217"/>
      <c r="T1375" s="217"/>
      <c r="U1375" s="217"/>
      <c r="V1375" s="217"/>
      <c r="W1375" s="217"/>
      <c r="X1375" s="217"/>
      <c r="Y1375" s="217"/>
      <c r="Z1375" s="217"/>
      <c r="AA1375" s="217"/>
      <c r="AB1375" s="217"/>
      <c r="AC1375" s="217"/>
      <c r="AD1375" s="217"/>
    </row>
    <row r="1376" spans="1:30" x14ac:dyDescent="0.2">
      <c r="A1376" s="232"/>
      <c r="B1376" s="210"/>
      <c r="C1376" s="210"/>
      <c r="D1376" s="210"/>
      <c r="E1376" s="210"/>
      <c r="G1376" s="55"/>
      <c r="H1376" s="56"/>
      <c r="I1376" s="217"/>
      <c r="J1376" s="217"/>
      <c r="K1376" s="217"/>
      <c r="L1376" s="217"/>
      <c r="M1376" s="217"/>
      <c r="N1376" s="217"/>
      <c r="O1376" s="217"/>
      <c r="P1376" s="217"/>
      <c r="Q1376" s="217"/>
      <c r="R1376" s="217"/>
      <c r="S1376" s="217"/>
      <c r="T1376" s="217"/>
      <c r="U1376" s="217"/>
      <c r="V1376" s="217"/>
      <c r="W1376" s="217"/>
      <c r="X1376" s="217"/>
      <c r="Y1376" s="217"/>
      <c r="Z1376" s="217"/>
      <c r="AA1376" s="217"/>
      <c r="AB1376" s="217"/>
      <c r="AC1376" s="217"/>
      <c r="AD1376" s="217"/>
    </row>
    <row r="1377" spans="1:30" x14ac:dyDescent="0.2">
      <c r="A1377" s="232"/>
      <c r="B1377" s="210"/>
      <c r="C1377" s="210"/>
      <c r="D1377" s="210"/>
      <c r="E1377" s="210"/>
      <c r="G1377" s="55"/>
      <c r="H1377" s="56"/>
      <c r="I1377" s="217"/>
      <c r="J1377" s="217"/>
      <c r="K1377" s="217"/>
      <c r="L1377" s="217"/>
      <c r="M1377" s="217"/>
      <c r="N1377" s="217"/>
      <c r="O1377" s="217"/>
      <c r="P1377" s="217"/>
      <c r="Q1377" s="217"/>
      <c r="R1377" s="217"/>
      <c r="S1377" s="217"/>
      <c r="T1377" s="217"/>
      <c r="U1377" s="217"/>
      <c r="V1377" s="217"/>
      <c r="W1377" s="217"/>
      <c r="X1377" s="217"/>
      <c r="Y1377" s="217"/>
      <c r="Z1377" s="217"/>
      <c r="AA1377" s="217"/>
      <c r="AB1377" s="217"/>
      <c r="AC1377" s="217"/>
      <c r="AD1377" s="217"/>
    </row>
    <row r="1378" spans="1:30" x14ac:dyDescent="0.2">
      <c r="A1378" s="232"/>
      <c r="B1378" s="210"/>
      <c r="C1378" s="210"/>
      <c r="D1378" s="210"/>
      <c r="E1378" s="210"/>
      <c r="G1378" s="55"/>
      <c r="H1378" s="56"/>
      <c r="I1378" s="217"/>
      <c r="J1378" s="217"/>
      <c r="K1378" s="217"/>
      <c r="L1378" s="217"/>
      <c r="M1378" s="217"/>
      <c r="N1378" s="217"/>
      <c r="O1378" s="217"/>
      <c r="P1378" s="217"/>
      <c r="Q1378" s="217"/>
      <c r="R1378" s="217"/>
      <c r="S1378" s="217"/>
      <c r="T1378" s="217"/>
      <c r="U1378" s="217"/>
      <c r="V1378" s="217"/>
      <c r="W1378" s="217"/>
      <c r="X1378" s="217"/>
      <c r="Y1378" s="217"/>
      <c r="Z1378" s="217"/>
      <c r="AA1378" s="217"/>
      <c r="AB1378" s="217"/>
      <c r="AC1378" s="217"/>
      <c r="AD1378" s="217"/>
    </row>
    <row r="1379" spans="1:30" x14ac:dyDescent="0.2">
      <c r="A1379" s="232"/>
      <c r="B1379" s="210"/>
      <c r="C1379" s="210"/>
      <c r="D1379" s="210"/>
      <c r="E1379" s="210"/>
      <c r="G1379" s="55"/>
      <c r="H1379" s="56"/>
      <c r="I1379" s="217"/>
      <c r="J1379" s="217"/>
      <c r="K1379" s="217"/>
      <c r="L1379" s="217"/>
      <c r="M1379" s="217"/>
      <c r="N1379" s="217"/>
      <c r="O1379" s="217"/>
      <c r="P1379" s="217"/>
      <c r="Q1379" s="217"/>
      <c r="R1379" s="217"/>
      <c r="S1379" s="217"/>
      <c r="T1379" s="217"/>
      <c r="U1379" s="217"/>
      <c r="V1379" s="217"/>
      <c r="W1379" s="217"/>
      <c r="X1379" s="217"/>
      <c r="Y1379" s="217"/>
      <c r="Z1379" s="217"/>
      <c r="AA1379" s="217"/>
      <c r="AB1379" s="217"/>
      <c r="AC1379" s="217"/>
      <c r="AD1379" s="217"/>
    </row>
    <row r="1380" spans="1:30" x14ac:dyDescent="0.2">
      <c r="A1380" s="232"/>
      <c r="B1380" s="210"/>
      <c r="C1380" s="210"/>
      <c r="D1380" s="210"/>
      <c r="E1380" s="210"/>
      <c r="G1380" s="55"/>
      <c r="H1380" s="56"/>
      <c r="I1380" s="217"/>
      <c r="J1380" s="217"/>
      <c r="K1380" s="217"/>
      <c r="L1380" s="217"/>
      <c r="M1380" s="217"/>
      <c r="N1380" s="217"/>
      <c r="O1380" s="217"/>
      <c r="P1380" s="217"/>
      <c r="Q1380" s="217"/>
      <c r="R1380" s="217"/>
      <c r="S1380" s="217"/>
      <c r="T1380" s="217"/>
      <c r="U1380" s="217"/>
      <c r="V1380" s="217"/>
      <c r="W1380" s="217"/>
      <c r="X1380" s="217"/>
      <c r="Y1380" s="217"/>
      <c r="Z1380" s="217"/>
      <c r="AA1380" s="217"/>
      <c r="AB1380" s="217"/>
      <c r="AC1380" s="217"/>
      <c r="AD1380" s="217"/>
    </row>
    <row r="1381" spans="1:30" x14ac:dyDescent="0.2">
      <c r="A1381" s="232"/>
      <c r="B1381" s="210"/>
      <c r="C1381" s="210"/>
      <c r="D1381" s="210"/>
      <c r="E1381" s="210"/>
      <c r="G1381" s="55"/>
      <c r="H1381" s="56"/>
      <c r="I1381" s="217"/>
      <c r="J1381" s="217"/>
      <c r="K1381" s="217"/>
      <c r="L1381" s="217"/>
      <c r="M1381" s="217"/>
      <c r="N1381" s="217"/>
      <c r="O1381" s="217"/>
      <c r="P1381" s="217"/>
      <c r="Q1381" s="217"/>
      <c r="R1381" s="217"/>
      <c r="S1381" s="217"/>
      <c r="T1381" s="217"/>
      <c r="U1381" s="217"/>
      <c r="V1381" s="217"/>
      <c r="W1381" s="217"/>
      <c r="X1381" s="217"/>
      <c r="Y1381" s="217"/>
      <c r="Z1381" s="217"/>
      <c r="AA1381" s="217"/>
      <c r="AB1381" s="217"/>
      <c r="AC1381" s="217"/>
      <c r="AD1381" s="217"/>
    </row>
    <row r="1382" spans="1:30" x14ac:dyDescent="0.2">
      <c r="A1382" s="232"/>
      <c r="B1382" s="210"/>
      <c r="C1382" s="210"/>
      <c r="D1382" s="210"/>
      <c r="E1382" s="210"/>
      <c r="G1382" s="55"/>
      <c r="H1382" s="56"/>
      <c r="I1382" s="217"/>
      <c r="J1382" s="217"/>
      <c r="K1382" s="217"/>
      <c r="L1382" s="217"/>
      <c r="M1382" s="217"/>
      <c r="N1382" s="217"/>
      <c r="O1382" s="217"/>
      <c r="P1382" s="217"/>
      <c r="Q1382" s="217"/>
      <c r="R1382" s="217"/>
      <c r="S1382" s="217"/>
      <c r="T1382" s="217"/>
      <c r="U1382" s="217"/>
      <c r="V1382" s="217"/>
      <c r="W1382" s="217"/>
      <c r="X1382" s="217"/>
      <c r="Y1382" s="217"/>
      <c r="Z1382" s="217"/>
      <c r="AA1382" s="217"/>
      <c r="AB1382" s="217"/>
      <c r="AC1382" s="217"/>
      <c r="AD1382" s="217"/>
    </row>
    <row r="1383" spans="1:30" x14ac:dyDescent="0.2">
      <c r="A1383" s="232"/>
      <c r="B1383" s="210"/>
      <c r="C1383" s="210"/>
      <c r="D1383" s="210"/>
      <c r="E1383" s="210"/>
      <c r="G1383" s="55"/>
      <c r="H1383" s="56"/>
      <c r="I1383" s="217"/>
      <c r="J1383" s="217"/>
      <c r="K1383" s="217"/>
      <c r="L1383" s="217"/>
      <c r="M1383" s="217"/>
      <c r="N1383" s="217"/>
      <c r="O1383" s="217"/>
      <c r="P1383" s="217"/>
      <c r="Q1383" s="217"/>
      <c r="R1383" s="217"/>
      <c r="S1383" s="217"/>
      <c r="T1383" s="217"/>
      <c r="U1383" s="217"/>
      <c r="V1383" s="217"/>
      <c r="W1383" s="217"/>
      <c r="X1383" s="217"/>
      <c r="Y1383" s="217"/>
      <c r="Z1383" s="217"/>
      <c r="AA1383" s="217"/>
      <c r="AB1383" s="217"/>
      <c r="AC1383" s="217"/>
      <c r="AD1383" s="217"/>
    </row>
    <row r="1384" spans="1:30" x14ac:dyDescent="0.2">
      <c r="A1384" s="232"/>
      <c r="B1384" s="210"/>
      <c r="C1384" s="210"/>
      <c r="D1384" s="210"/>
      <c r="E1384" s="210"/>
      <c r="G1384" s="55"/>
      <c r="H1384" s="56"/>
      <c r="I1384" s="217"/>
      <c r="J1384" s="217"/>
      <c r="K1384" s="217"/>
      <c r="L1384" s="217"/>
      <c r="M1384" s="217"/>
      <c r="N1384" s="217"/>
      <c r="O1384" s="217"/>
      <c r="P1384" s="217"/>
      <c r="Q1384" s="217"/>
      <c r="R1384" s="217"/>
      <c r="S1384" s="217"/>
      <c r="T1384" s="217"/>
      <c r="U1384" s="217"/>
      <c r="V1384" s="217"/>
      <c r="W1384" s="217"/>
      <c r="X1384" s="217"/>
      <c r="Y1384" s="217"/>
      <c r="Z1384" s="217"/>
      <c r="AA1384" s="217"/>
      <c r="AB1384" s="217"/>
      <c r="AC1384" s="217"/>
      <c r="AD1384" s="217"/>
    </row>
    <row r="1385" spans="1:30" x14ac:dyDescent="0.2">
      <c r="A1385" s="232"/>
      <c r="B1385" s="210"/>
      <c r="C1385" s="210"/>
      <c r="D1385" s="210"/>
      <c r="E1385" s="210"/>
      <c r="G1385" s="55"/>
      <c r="H1385" s="56"/>
      <c r="I1385" s="217"/>
      <c r="J1385" s="217"/>
      <c r="K1385" s="217"/>
      <c r="L1385" s="217"/>
      <c r="M1385" s="217"/>
      <c r="N1385" s="217"/>
      <c r="O1385" s="217"/>
      <c r="P1385" s="217"/>
      <c r="Q1385" s="217"/>
      <c r="R1385" s="217"/>
      <c r="S1385" s="217"/>
      <c r="T1385" s="217"/>
      <c r="U1385" s="217"/>
      <c r="V1385" s="217"/>
      <c r="W1385" s="217"/>
      <c r="X1385" s="217"/>
      <c r="Y1385" s="217"/>
      <c r="Z1385" s="217"/>
      <c r="AA1385" s="217"/>
      <c r="AB1385" s="217"/>
      <c r="AC1385" s="217"/>
      <c r="AD1385" s="217"/>
    </row>
    <row r="1386" spans="1:30" x14ac:dyDescent="0.2">
      <c r="A1386" s="232"/>
      <c r="B1386" s="210"/>
      <c r="C1386" s="210"/>
      <c r="D1386" s="210"/>
      <c r="E1386" s="210"/>
      <c r="G1386" s="55"/>
      <c r="H1386" s="56"/>
      <c r="I1386" s="217"/>
      <c r="J1386" s="217"/>
      <c r="K1386" s="217"/>
      <c r="L1386" s="217"/>
      <c r="M1386" s="217"/>
      <c r="N1386" s="217"/>
      <c r="O1386" s="217"/>
      <c r="P1386" s="217"/>
      <c r="Q1386" s="217"/>
      <c r="R1386" s="217"/>
      <c r="S1386" s="217"/>
      <c r="T1386" s="217"/>
      <c r="U1386" s="217"/>
      <c r="V1386" s="217"/>
      <c r="W1386" s="217"/>
      <c r="X1386" s="217"/>
      <c r="Y1386" s="217"/>
      <c r="Z1386" s="217"/>
      <c r="AA1386" s="217"/>
      <c r="AB1386" s="217"/>
      <c r="AC1386" s="217"/>
      <c r="AD1386" s="217"/>
    </row>
    <row r="1387" spans="1:30" x14ac:dyDescent="0.2">
      <c r="A1387" s="232"/>
      <c r="B1387" s="210"/>
      <c r="C1387" s="210"/>
      <c r="D1387" s="210"/>
      <c r="E1387" s="210"/>
      <c r="G1387" s="55"/>
      <c r="H1387" s="56"/>
      <c r="I1387" s="217"/>
      <c r="J1387" s="217"/>
      <c r="K1387" s="217"/>
      <c r="L1387" s="217"/>
      <c r="M1387" s="217"/>
      <c r="N1387" s="217"/>
      <c r="O1387" s="217"/>
      <c r="P1387" s="217"/>
      <c r="Q1387" s="217"/>
      <c r="R1387" s="217"/>
      <c r="S1387" s="217"/>
      <c r="T1387" s="217"/>
      <c r="U1387" s="217"/>
      <c r="V1387" s="217"/>
      <c r="W1387" s="217"/>
      <c r="X1387" s="217"/>
      <c r="Y1387" s="217"/>
      <c r="Z1387" s="217"/>
      <c r="AA1387" s="217"/>
      <c r="AB1387" s="217"/>
      <c r="AC1387" s="217"/>
      <c r="AD1387" s="217"/>
    </row>
    <row r="1388" spans="1:30" x14ac:dyDescent="0.2">
      <c r="A1388" s="232"/>
      <c r="B1388" s="210"/>
      <c r="C1388" s="210"/>
      <c r="D1388" s="210"/>
      <c r="E1388" s="210"/>
      <c r="G1388" s="55"/>
      <c r="H1388" s="56"/>
      <c r="I1388" s="217"/>
      <c r="J1388" s="217"/>
      <c r="K1388" s="217"/>
      <c r="L1388" s="217"/>
      <c r="M1388" s="217"/>
      <c r="N1388" s="217"/>
      <c r="O1388" s="217"/>
      <c r="P1388" s="217"/>
      <c r="Q1388" s="217"/>
      <c r="R1388" s="217"/>
      <c r="S1388" s="217"/>
      <c r="T1388" s="217"/>
      <c r="U1388" s="217"/>
      <c r="V1388" s="217"/>
      <c r="W1388" s="217"/>
      <c r="X1388" s="217"/>
      <c r="Y1388" s="217"/>
      <c r="Z1388" s="217"/>
      <c r="AA1388" s="217"/>
      <c r="AB1388" s="217"/>
      <c r="AC1388" s="217"/>
      <c r="AD1388" s="217"/>
    </row>
    <row r="1389" spans="1:30" x14ac:dyDescent="0.2">
      <c r="A1389" s="232"/>
      <c r="B1389" s="210"/>
      <c r="C1389" s="210"/>
      <c r="D1389" s="210"/>
      <c r="E1389" s="210"/>
      <c r="G1389" s="55"/>
      <c r="H1389" s="56"/>
      <c r="I1389" s="217"/>
      <c r="J1389" s="217"/>
      <c r="K1389" s="217"/>
      <c r="L1389" s="217"/>
      <c r="M1389" s="217"/>
      <c r="N1389" s="217"/>
      <c r="O1389" s="217"/>
      <c r="P1389" s="217"/>
      <c r="Q1389" s="217"/>
      <c r="R1389" s="217"/>
      <c r="S1389" s="217"/>
      <c r="T1389" s="217"/>
      <c r="U1389" s="217"/>
      <c r="V1389" s="217"/>
      <c r="W1389" s="217"/>
      <c r="X1389" s="217"/>
      <c r="Y1389" s="217"/>
      <c r="Z1389" s="217"/>
      <c r="AA1389" s="217"/>
      <c r="AB1389" s="217"/>
      <c r="AC1389" s="217"/>
      <c r="AD1389" s="217"/>
    </row>
    <row r="1390" spans="1:30" x14ac:dyDescent="0.2">
      <c r="A1390" s="232"/>
      <c r="B1390" s="210"/>
      <c r="C1390" s="210"/>
      <c r="D1390" s="210"/>
      <c r="E1390" s="210"/>
      <c r="G1390" s="55"/>
      <c r="H1390" s="56"/>
      <c r="I1390" s="217"/>
      <c r="J1390" s="217"/>
      <c r="K1390" s="217"/>
      <c r="L1390" s="217"/>
      <c r="M1390" s="217"/>
      <c r="N1390" s="217"/>
      <c r="O1390" s="217"/>
      <c r="P1390" s="217"/>
      <c r="Q1390" s="217"/>
      <c r="R1390" s="217"/>
      <c r="S1390" s="217"/>
      <c r="T1390" s="217"/>
      <c r="U1390" s="217"/>
      <c r="V1390" s="217"/>
      <c r="W1390" s="217"/>
      <c r="X1390" s="217"/>
      <c r="Y1390" s="217"/>
      <c r="Z1390" s="217"/>
      <c r="AA1390" s="217"/>
      <c r="AB1390" s="217"/>
      <c r="AC1390" s="217"/>
      <c r="AD1390" s="217"/>
    </row>
    <row r="1391" spans="1:30" x14ac:dyDescent="0.2">
      <c r="A1391" s="232"/>
      <c r="B1391" s="210"/>
      <c r="C1391" s="210"/>
      <c r="D1391" s="210"/>
      <c r="E1391" s="210"/>
      <c r="G1391" s="55"/>
      <c r="H1391" s="56"/>
      <c r="I1391" s="217"/>
      <c r="J1391" s="217"/>
      <c r="K1391" s="217"/>
      <c r="L1391" s="217"/>
      <c r="M1391" s="217"/>
      <c r="N1391" s="217"/>
      <c r="O1391" s="217"/>
      <c r="P1391" s="217"/>
      <c r="Q1391" s="217"/>
      <c r="R1391" s="217"/>
      <c r="S1391" s="217"/>
      <c r="T1391" s="217"/>
      <c r="U1391" s="217"/>
      <c r="V1391" s="217"/>
      <c r="W1391" s="217"/>
      <c r="X1391" s="217"/>
      <c r="Y1391" s="217"/>
      <c r="Z1391" s="217"/>
      <c r="AA1391" s="217"/>
      <c r="AB1391" s="217"/>
      <c r="AC1391" s="217"/>
      <c r="AD1391" s="217"/>
    </row>
    <row r="1392" spans="1:30" x14ac:dyDescent="0.2">
      <c r="A1392" s="232"/>
      <c r="B1392" s="210"/>
      <c r="C1392" s="210"/>
      <c r="D1392" s="210"/>
      <c r="E1392" s="210"/>
      <c r="G1392" s="55"/>
      <c r="H1392" s="56"/>
      <c r="I1392" s="217"/>
      <c r="J1392" s="217"/>
      <c r="K1392" s="217"/>
      <c r="L1392" s="217"/>
      <c r="M1392" s="217"/>
      <c r="N1392" s="217"/>
      <c r="O1392" s="217"/>
      <c r="P1392" s="217"/>
      <c r="Q1392" s="217"/>
      <c r="R1392" s="217"/>
      <c r="S1392" s="217"/>
      <c r="T1392" s="217"/>
      <c r="U1392" s="217"/>
      <c r="V1392" s="217"/>
      <c r="W1392" s="217"/>
      <c r="X1392" s="217"/>
      <c r="Y1392" s="217"/>
      <c r="Z1392" s="217"/>
      <c r="AA1392" s="217"/>
      <c r="AB1392" s="217"/>
      <c r="AC1392" s="217"/>
      <c r="AD1392" s="217"/>
    </row>
    <row r="1393" spans="1:30" x14ac:dyDescent="0.2">
      <c r="A1393" s="232"/>
      <c r="B1393" s="210"/>
      <c r="C1393" s="210"/>
      <c r="D1393" s="210"/>
      <c r="E1393" s="210"/>
      <c r="G1393" s="55"/>
      <c r="H1393" s="56"/>
      <c r="I1393" s="217"/>
      <c r="J1393" s="217"/>
      <c r="K1393" s="217"/>
      <c r="L1393" s="217"/>
      <c r="M1393" s="217"/>
      <c r="N1393" s="217"/>
      <c r="O1393" s="217"/>
      <c r="P1393" s="217"/>
      <c r="Q1393" s="217"/>
      <c r="R1393" s="217"/>
      <c r="S1393" s="217"/>
      <c r="T1393" s="217"/>
      <c r="U1393" s="217"/>
      <c r="V1393" s="217"/>
      <c r="W1393" s="217"/>
      <c r="X1393" s="217"/>
      <c r="Y1393" s="217"/>
      <c r="Z1393" s="217"/>
      <c r="AA1393" s="217"/>
      <c r="AB1393" s="217"/>
      <c r="AC1393" s="217"/>
      <c r="AD1393" s="217"/>
    </row>
    <row r="1394" spans="1:30" x14ac:dyDescent="0.2">
      <c r="A1394" s="232"/>
      <c r="B1394" s="210"/>
      <c r="C1394" s="210"/>
      <c r="D1394" s="210"/>
      <c r="E1394" s="210"/>
      <c r="G1394" s="55"/>
      <c r="H1394" s="56"/>
      <c r="I1394" s="217"/>
      <c r="J1394" s="217"/>
      <c r="K1394" s="217"/>
      <c r="L1394" s="217"/>
      <c r="M1394" s="217"/>
      <c r="N1394" s="217"/>
      <c r="O1394" s="217"/>
      <c r="P1394" s="217"/>
      <c r="Q1394" s="217"/>
      <c r="R1394" s="217"/>
      <c r="S1394" s="217"/>
      <c r="T1394" s="217"/>
      <c r="U1394" s="217"/>
      <c r="V1394" s="217"/>
      <c r="W1394" s="217"/>
      <c r="X1394" s="217"/>
      <c r="Y1394" s="217"/>
      <c r="Z1394" s="217"/>
      <c r="AA1394" s="217"/>
      <c r="AB1394" s="217"/>
      <c r="AC1394" s="217"/>
      <c r="AD1394" s="217"/>
    </row>
    <row r="1395" spans="1:30" x14ac:dyDescent="0.2">
      <c r="A1395" s="232"/>
      <c r="B1395" s="210"/>
      <c r="C1395" s="210"/>
      <c r="D1395" s="210"/>
      <c r="E1395" s="210"/>
      <c r="G1395" s="55"/>
      <c r="H1395" s="56"/>
      <c r="I1395" s="217"/>
      <c r="J1395" s="217"/>
      <c r="K1395" s="217"/>
      <c r="L1395" s="217"/>
      <c r="M1395" s="217"/>
      <c r="N1395" s="217"/>
      <c r="O1395" s="217"/>
      <c r="P1395" s="217"/>
      <c r="Q1395" s="217"/>
      <c r="R1395" s="217"/>
      <c r="S1395" s="217"/>
      <c r="T1395" s="217"/>
      <c r="U1395" s="217"/>
      <c r="V1395" s="217"/>
      <c r="W1395" s="217"/>
      <c r="X1395" s="217"/>
      <c r="Y1395" s="217"/>
      <c r="Z1395" s="217"/>
      <c r="AA1395" s="217"/>
      <c r="AB1395" s="217"/>
      <c r="AC1395" s="217"/>
      <c r="AD1395" s="217"/>
    </row>
    <row r="1396" spans="1:30" x14ac:dyDescent="0.2">
      <c r="A1396" s="232"/>
      <c r="B1396" s="210"/>
      <c r="C1396" s="210"/>
      <c r="D1396" s="210"/>
      <c r="E1396" s="210"/>
      <c r="G1396" s="55"/>
      <c r="H1396" s="56"/>
      <c r="I1396" s="217"/>
      <c r="J1396" s="217"/>
      <c r="K1396" s="217"/>
      <c r="L1396" s="217"/>
      <c r="M1396" s="217"/>
      <c r="N1396" s="217"/>
      <c r="O1396" s="217"/>
      <c r="P1396" s="217"/>
      <c r="Q1396" s="217"/>
      <c r="R1396" s="217"/>
      <c r="S1396" s="217"/>
      <c r="T1396" s="217"/>
      <c r="U1396" s="217"/>
      <c r="V1396" s="217"/>
      <c r="W1396" s="217"/>
      <c r="X1396" s="217"/>
      <c r="Y1396" s="217"/>
      <c r="Z1396" s="217"/>
      <c r="AA1396" s="217"/>
      <c r="AB1396" s="217"/>
      <c r="AC1396" s="217"/>
      <c r="AD1396" s="217"/>
    </row>
    <row r="1397" spans="1:30" x14ac:dyDescent="0.2">
      <c r="A1397" s="232"/>
      <c r="B1397" s="210"/>
      <c r="C1397" s="210"/>
      <c r="D1397" s="210"/>
      <c r="E1397" s="210"/>
      <c r="G1397" s="55"/>
      <c r="H1397" s="56"/>
      <c r="I1397" s="217"/>
      <c r="J1397" s="217"/>
      <c r="K1397" s="217"/>
      <c r="L1397" s="217"/>
      <c r="M1397" s="217"/>
      <c r="N1397" s="217"/>
      <c r="O1397" s="217"/>
      <c r="P1397" s="217"/>
      <c r="Q1397" s="217"/>
      <c r="R1397" s="217"/>
      <c r="S1397" s="217"/>
      <c r="T1397" s="217"/>
      <c r="U1397" s="217"/>
      <c r="V1397" s="217"/>
      <c r="W1397" s="217"/>
      <c r="X1397" s="217"/>
      <c r="Y1397" s="217"/>
      <c r="Z1397" s="217"/>
      <c r="AA1397" s="217"/>
      <c r="AB1397" s="217"/>
      <c r="AC1397" s="217"/>
      <c r="AD1397" s="217"/>
    </row>
    <row r="1398" spans="1:30" x14ac:dyDescent="0.2">
      <c r="A1398" s="232"/>
      <c r="B1398" s="210"/>
      <c r="C1398" s="210"/>
      <c r="D1398" s="210"/>
      <c r="E1398" s="210"/>
      <c r="G1398" s="55"/>
      <c r="H1398" s="56"/>
      <c r="I1398" s="217"/>
      <c r="J1398" s="217"/>
      <c r="K1398" s="217"/>
      <c r="L1398" s="217"/>
      <c r="M1398" s="217"/>
      <c r="N1398" s="217"/>
      <c r="O1398" s="217"/>
      <c r="P1398" s="217"/>
      <c r="Q1398" s="217"/>
      <c r="R1398" s="217"/>
      <c r="S1398" s="217"/>
      <c r="T1398" s="217"/>
      <c r="U1398" s="217"/>
      <c r="V1398" s="217"/>
      <c r="W1398" s="217"/>
      <c r="X1398" s="217"/>
      <c r="Y1398" s="217"/>
      <c r="Z1398" s="217"/>
      <c r="AA1398" s="217"/>
      <c r="AB1398" s="217"/>
      <c r="AC1398" s="217"/>
      <c r="AD1398" s="217"/>
    </row>
    <row r="1399" spans="1:30" x14ac:dyDescent="0.2">
      <c r="A1399" s="232"/>
      <c r="B1399" s="210"/>
      <c r="C1399" s="210"/>
      <c r="D1399" s="210"/>
      <c r="E1399" s="210"/>
      <c r="G1399" s="55"/>
      <c r="H1399" s="56"/>
      <c r="I1399" s="217"/>
      <c r="J1399" s="217"/>
      <c r="K1399" s="217"/>
      <c r="L1399" s="217"/>
      <c r="M1399" s="217"/>
      <c r="N1399" s="217"/>
      <c r="O1399" s="217"/>
      <c r="P1399" s="217"/>
      <c r="Q1399" s="217"/>
      <c r="R1399" s="217"/>
      <c r="S1399" s="217"/>
      <c r="T1399" s="217"/>
      <c r="U1399" s="217"/>
      <c r="V1399" s="217"/>
      <c r="W1399" s="217"/>
      <c r="X1399" s="217"/>
      <c r="Y1399" s="217"/>
      <c r="Z1399" s="217"/>
      <c r="AA1399" s="217"/>
      <c r="AB1399" s="217"/>
      <c r="AC1399" s="217"/>
      <c r="AD1399" s="217"/>
    </row>
    <row r="1400" spans="1:30" x14ac:dyDescent="0.2">
      <c r="A1400" s="232"/>
      <c r="B1400" s="210"/>
      <c r="C1400" s="210"/>
      <c r="D1400" s="210"/>
      <c r="E1400" s="210"/>
      <c r="G1400" s="55"/>
      <c r="H1400" s="56"/>
      <c r="I1400" s="217"/>
      <c r="J1400" s="217"/>
      <c r="K1400" s="217"/>
      <c r="L1400" s="217"/>
      <c r="M1400" s="217"/>
      <c r="N1400" s="217"/>
      <c r="O1400" s="217"/>
      <c r="P1400" s="217"/>
      <c r="Q1400" s="217"/>
      <c r="R1400" s="217"/>
      <c r="S1400" s="217"/>
      <c r="T1400" s="217"/>
      <c r="U1400" s="217"/>
      <c r="V1400" s="217"/>
      <c r="W1400" s="217"/>
      <c r="X1400" s="217"/>
      <c r="Y1400" s="217"/>
      <c r="Z1400" s="217"/>
      <c r="AA1400" s="217"/>
      <c r="AB1400" s="217"/>
      <c r="AC1400" s="217"/>
      <c r="AD1400" s="217"/>
    </row>
    <row r="1401" spans="1:30" x14ac:dyDescent="0.2">
      <c r="A1401" s="232"/>
      <c r="B1401" s="210"/>
      <c r="C1401" s="210"/>
      <c r="D1401" s="210"/>
      <c r="E1401" s="210"/>
      <c r="G1401" s="55"/>
      <c r="H1401" s="56"/>
      <c r="I1401" s="217"/>
      <c r="J1401" s="217"/>
      <c r="K1401" s="217"/>
      <c r="L1401" s="217"/>
      <c r="M1401" s="217"/>
      <c r="N1401" s="217"/>
      <c r="O1401" s="217"/>
      <c r="P1401" s="217"/>
      <c r="Q1401" s="217"/>
      <c r="R1401" s="217"/>
      <c r="S1401" s="217"/>
      <c r="T1401" s="217"/>
      <c r="U1401" s="217"/>
      <c r="V1401" s="217"/>
      <c r="W1401" s="217"/>
      <c r="X1401" s="217"/>
      <c r="Y1401" s="217"/>
      <c r="Z1401" s="217"/>
      <c r="AA1401" s="217"/>
      <c r="AB1401" s="217"/>
      <c r="AC1401" s="217"/>
      <c r="AD1401" s="217"/>
    </row>
    <row r="1402" spans="1:30" x14ac:dyDescent="0.2">
      <c r="A1402" s="232"/>
      <c r="B1402" s="210"/>
      <c r="C1402" s="210"/>
      <c r="D1402" s="210"/>
      <c r="E1402" s="210"/>
      <c r="G1402" s="55"/>
      <c r="H1402" s="56"/>
      <c r="I1402" s="217"/>
      <c r="J1402" s="217"/>
      <c r="K1402" s="217"/>
      <c r="L1402" s="217"/>
      <c r="M1402" s="217"/>
      <c r="N1402" s="217"/>
      <c r="O1402" s="217"/>
      <c r="P1402" s="217"/>
      <c r="Q1402" s="217"/>
      <c r="R1402" s="217"/>
      <c r="S1402" s="217"/>
      <c r="T1402" s="217"/>
      <c r="U1402" s="217"/>
      <c r="V1402" s="217"/>
      <c r="W1402" s="217"/>
      <c r="X1402" s="217"/>
      <c r="Y1402" s="217"/>
      <c r="Z1402" s="217"/>
      <c r="AA1402" s="217"/>
      <c r="AB1402" s="217"/>
      <c r="AC1402" s="217"/>
      <c r="AD1402" s="217"/>
    </row>
    <row r="1403" spans="1:30" x14ac:dyDescent="0.2">
      <c r="A1403" s="232"/>
      <c r="B1403" s="210"/>
      <c r="C1403" s="210"/>
      <c r="D1403" s="210"/>
      <c r="E1403" s="210"/>
      <c r="G1403" s="55"/>
      <c r="H1403" s="56"/>
      <c r="I1403" s="217"/>
      <c r="J1403" s="217"/>
      <c r="K1403" s="217"/>
      <c r="L1403" s="217"/>
      <c r="M1403" s="217"/>
      <c r="N1403" s="217"/>
      <c r="O1403" s="217"/>
      <c r="P1403" s="217"/>
      <c r="Q1403" s="217"/>
      <c r="R1403" s="217"/>
      <c r="S1403" s="217"/>
      <c r="T1403" s="217"/>
      <c r="U1403" s="217"/>
      <c r="V1403" s="217"/>
      <c r="W1403" s="217"/>
      <c r="X1403" s="217"/>
      <c r="Y1403" s="217"/>
      <c r="Z1403" s="217"/>
      <c r="AA1403" s="217"/>
      <c r="AB1403" s="217"/>
      <c r="AC1403" s="217"/>
      <c r="AD1403" s="217"/>
    </row>
    <row r="1404" spans="1:30" x14ac:dyDescent="0.2">
      <c r="A1404" s="232"/>
      <c r="B1404" s="210"/>
      <c r="C1404" s="210"/>
      <c r="D1404" s="210"/>
      <c r="E1404" s="210"/>
      <c r="G1404" s="55"/>
      <c r="H1404" s="56"/>
      <c r="I1404" s="217"/>
      <c r="J1404" s="217"/>
      <c r="K1404" s="217"/>
      <c r="L1404" s="217"/>
      <c r="M1404" s="217"/>
      <c r="N1404" s="217"/>
      <c r="O1404" s="217"/>
      <c r="P1404" s="217"/>
      <c r="Q1404" s="217"/>
      <c r="R1404" s="217"/>
      <c r="S1404" s="217"/>
      <c r="T1404" s="217"/>
      <c r="U1404" s="217"/>
      <c r="V1404" s="217"/>
      <c r="W1404" s="217"/>
      <c r="X1404" s="217"/>
      <c r="Y1404" s="217"/>
      <c r="Z1404" s="217"/>
      <c r="AA1404" s="217"/>
      <c r="AB1404" s="217"/>
      <c r="AC1404" s="217"/>
      <c r="AD1404" s="217"/>
    </row>
    <row r="1405" spans="1:30" x14ac:dyDescent="0.2">
      <c r="A1405" s="232"/>
      <c r="B1405" s="210"/>
      <c r="C1405" s="210"/>
      <c r="D1405" s="210"/>
      <c r="E1405" s="210"/>
      <c r="G1405" s="55"/>
      <c r="H1405" s="56"/>
      <c r="I1405" s="217"/>
      <c r="J1405" s="217"/>
      <c r="K1405" s="217"/>
      <c r="L1405" s="217"/>
      <c r="M1405" s="217"/>
      <c r="N1405" s="217"/>
      <c r="O1405" s="217"/>
      <c r="P1405" s="217"/>
      <c r="Q1405" s="217"/>
      <c r="R1405" s="217"/>
      <c r="S1405" s="217"/>
      <c r="T1405" s="217"/>
      <c r="U1405" s="217"/>
      <c r="V1405" s="217"/>
      <c r="W1405" s="217"/>
      <c r="X1405" s="217"/>
      <c r="Y1405" s="217"/>
      <c r="Z1405" s="217"/>
      <c r="AA1405" s="217"/>
      <c r="AB1405" s="217"/>
      <c r="AC1405" s="217"/>
      <c r="AD1405" s="217"/>
    </row>
    <row r="1406" spans="1:30" x14ac:dyDescent="0.2">
      <c r="A1406" s="232"/>
      <c r="B1406" s="210"/>
      <c r="C1406" s="210"/>
      <c r="D1406" s="210"/>
      <c r="E1406" s="210"/>
      <c r="G1406" s="55"/>
      <c r="H1406" s="56"/>
      <c r="I1406" s="217"/>
      <c r="J1406" s="217"/>
      <c r="K1406" s="217"/>
      <c r="L1406" s="217"/>
      <c r="M1406" s="217"/>
      <c r="N1406" s="217"/>
      <c r="O1406" s="217"/>
      <c r="P1406" s="217"/>
      <c r="Q1406" s="217"/>
      <c r="R1406" s="217"/>
      <c r="S1406" s="217"/>
      <c r="T1406" s="217"/>
      <c r="U1406" s="217"/>
      <c r="V1406" s="217"/>
      <c r="W1406" s="217"/>
      <c r="X1406" s="217"/>
      <c r="Y1406" s="217"/>
      <c r="Z1406" s="217"/>
      <c r="AA1406" s="217"/>
      <c r="AB1406" s="217"/>
      <c r="AC1406" s="217"/>
      <c r="AD1406" s="217"/>
    </row>
    <row r="1407" spans="1:30" x14ac:dyDescent="0.2">
      <c r="A1407" s="232"/>
      <c r="B1407" s="210"/>
      <c r="C1407" s="210"/>
      <c r="D1407" s="210"/>
      <c r="E1407" s="210"/>
      <c r="G1407" s="55"/>
      <c r="H1407" s="56"/>
      <c r="I1407" s="217"/>
      <c r="J1407" s="217"/>
      <c r="K1407" s="217"/>
      <c r="L1407" s="217"/>
      <c r="M1407" s="217"/>
      <c r="N1407" s="217"/>
      <c r="O1407" s="217"/>
      <c r="P1407" s="217"/>
      <c r="Q1407" s="217"/>
      <c r="R1407" s="217"/>
      <c r="S1407" s="217"/>
      <c r="T1407" s="217"/>
      <c r="U1407" s="217"/>
      <c r="V1407" s="217"/>
      <c r="W1407" s="217"/>
      <c r="X1407" s="217"/>
      <c r="Y1407" s="217"/>
      <c r="Z1407" s="217"/>
      <c r="AA1407" s="217"/>
      <c r="AB1407" s="217"/>
      <c r="AC1407" s="217"/>
      <c r="AD1407" s="217"/>
    </row>
    <row r="1408" spans="1:30" x14ac:dyDescent="0.2">
      <c r="A1408" s="232"/>
      <c r="B1408" s="210"/>
      <c r="C1408" s="210"/>
      <c r="D1408" s="210"/>
      <c r="E1408" s="210"/>
      <c r="G1408" s="55"/>
      <c r="H1408" s="56"/>
      <c r="I1408" s="217"/>
      <c r="J1408" s="217"/>
      <c r="K1408" s="217"/>
      <c r="L1408" s="217"/>
      <c r="M1408" s="217"/>
      <c r="N1408" s="217"/>
      <c r="O1408" s="217"/>
      <c r="P1408" s="217"/>
      <c r="Q1408" s="217"/>
      <c r="R1408" s="217"/>
      <c r="S1408" s="217"/>
      <c r="T1408" s="217"/>
      <c r="U1408" s="217"/>
      <c r="V1408" s="217"/>
      <c r="W1408" s="217"/>
      <c r="X1408" s="217"/>
      <c r="Y1408" s="217"/>
      <c r="Z1408" s="217"/>
      <c r="AA1408" s="217"/>
      <c r="AB1408" s="217"/>
      <c r="AC1408" s="217"/>
      <c r="AD1408" s="217"/>
    </row>
    <row r="1409" spans="1:30" x14ac:dyDescent="0.2">
      <c r="A1409" s="232"/>
      <c r="B1409" s="210"/>
      <c r="C1409" s="210"/>
      <c r="D1409" s="210"/>
      <c r="E1409" s="210"/>
      <c r="G1409" s="55"/>
      <c r="H1409" s="56"/>
      <c r="I1409" s="217"/>
      <c r="J1409" s="217"/>
      <c r="K1409" s="217"/>
      <c r="L1409" s="217"/>
      <c r="M1409" s="217"/>
      <c r="N1409" s="217"/>
      <c r="O1409" s="217"/>
      <c r="P1409" s="217"/>
      <c r="Q1409" s="217"/>
      <c r="R1409" s="217"/>
      <c r="S1409" s="217"/>
      <c r="T1409" s="217"/>
      <c r="U1409" s="217"/>
      <c r="V1409" s="217"/>
      <c r="W1409" s="217"/>
      <c r="X1409" s="217"/>
      <c r="Y1409" s="217"/>
      <c r="Z1409" s="217"/>
      <c r="AA1409" s="217"/>
      <c r="AB1409" s="217"/>
      <c r="AC1409" s="217"/>
      <c r="AD1409" s="217"/>
    </row>
    <row r="1410" spans="1:30" x14ac:dyDescent="0.2">
      <c r="A1410" s="232"/>
      <c r="B1410" s="210"/>
      <c r="C1410" s="210"/>
      <c r="D1410" s="210"/>
      <c r="E1410" s="210"/>
      <c r="G1410" s="55"/>
      <c r="H1410" s="56"/>
      <c r="I1410" s="217"/>
      <c r="J1410" s="217"/>
      <c r="K1410" s="217"/>
      <c r="L1410" s="217"/>
      <c r="M1410" s="217"/>
      <c r="N1410" s="217"/>
      <c r="O1410" s="217"/>
      <c r="P1410" s="217"/>
      <c r="Q1410" s="217"/>
      <c r="R1410" s="217"/>
      <c r="S1410" s="217"/>
      <c r="T1410" s="217"/>
      <c r="U1410" s="217"/>
      <c r="V1410" s="217"/>
      <c r="W1410" s="217"/>
      <c r="X1410" s="217"/>
      <c r="Y1410" s="217"/>
      <c r="Z1410" s="217"/>
      <c r="AA1410" s="217"/>
      <c r="AB1410" s="217"/>
      <c r="AC1410" s="217"/>
      <c r="AD1410" s="217"/>
    </row>
    <row r="1411" spans="1:30" x14ac:dyDescent="0.2">
      <c r="A1411" s="232"/>
      <c r="B1411" s="210"/>
      <c r="C1411" s="210"/>
      <c r="D1411" s="210"/>
      <c r="E1411" s="210"/>
      <c r="G1411" s="55"/>
      <c r="H1411" s="56"/>
      <c r="I1411" s="217"/>
      <c r="J1411" s="217"/>
      <c r="K1411" s="217"/>
      <c r="L1411" s="217"/>
      <c r="M1411" s="217"/>
      <c r="N1411" s="217"/>
      <c r="O1411" s="217"/>
      <c r="P1411" s="217"/>
      <c r="Q1411" s="217"/>
      <c r="R1411" s="217"/>
      <c r="S1411" s="217"/>
      <c r="T1411" s="217"/>
      <c r="U1411" s="217"/>
      <c r="V1411" s="217"/>
      <c r="W1411" s="217"/>
      <c r="X1411" s="217"/>
      <c r="Y1411" s="217"/>
      <c r="Z1411" s="217"/>
      <c r="AA1411" s="217"/>
      <c r="AB1411" s="217"/>
      <c r="AC1411" s="217"/>
      <c r="AD1411" s="217"/>
    </row>
    <row r="1412" spans="1:30" x14ac:dyDescent="0.2">
      <c r="A1412" s="232"/>
      <c r="B1412" s="210"/>
      <c r="C1412" s="210"/>
      <c r="D1412" s="210"/>
      <c r="E1412" s="210"/>
      <c r="G1412" s="55"/>
      <c r="H1412" s="56"/>
      <c r="I1412" s="217"/>
      <c r="J1412" s="217"/>
      <c r="K1412" s="217"/>
      <c r="L1412" s="217"/>
      <c r="M1412" s="217"/>
      <c r="N1412" s="217"/>
      <c r="O1412" s="217"/>
      <c r="P1412" s="217"/>
      <c r="Q1412" s="217"/>
      <c r="R1412" s="217"/>
      <c r="S1412" s="217"/>
      <c r="T1412" s="217"/>
      <c r="U1412" s="217"/>
      <c r="V1412" s="217"/>
      <c r="W1412" s="217"/>
      <c r="X1412" s="217"/>
      <c r="Y1412" s="217"/>
      <c r="Z1412" s="217"/>
      <c r="AA1412" s="217"/>
      <c r="AB1412" s="217"/>
      <c r="AC1412" s="217"/>
      <c r="AD1412" s="217"/>
    </row>
    <row r="1413" spans="1:30" x14ac:dyDescent="0.2">
      <c r="A1413" s="232"/>
      <c r="B1413" s="210"/>
      <c r="C1413" s="210"/>
      <c r="D1413" s="210"/>
      <c r="E1413" s="210"/>
      <c r="G1413" s="55"/>
      <c r="H1413" s="56"/>
      <c r="I1413" s="217"/>
      <c r="J1413" s="217"/>
      <c r="K1413" s="217"/>
      <c r="L1413" s="217"/>
      <c r="M1413" s="217"/>
      <c r="N1413" s="217"/>
      <c r="O1413" s="217"/>
      <c r="P1413" s="217"/>
      <c r="Q1413" s="217"/>
      <c r="R1413" s="217"/>
      <c r="S1413" s="217"/>
      <c r="T1413" s="217"/>
      <c r="U1413" s="217"/>
      <c r="V1413" s="217"/>
      <c r="W1413" s="217"/>
      <c r="X1413" s="217"/>
      <c r="Y1413" s="217"/>
      <c r="Z1413" s="217"/>
      <c r="AA1413" s="217"/>
      <c r="AB1413" s="217"/>
      <c r="AC1413" s="217"/>
      <c r="AD1413" s="217"/>
    </row>
    <row r="1414" spans="1:30" x14ac:dyDescent="0.2">
      <c r="A1414" s="232"/>
      <c r="B1414" s="210"/>
      <c r="C1414" s="210"/>
      <c r="D1414" s="210"/>
      <c r="E1414" s="210"/>
      <c r="G1414" s="55"/>
      <c r="H1414" s="56"/>
      <c r="I1414" s="217"/>
      <c r="J1414" s="217"/>
      <c r="K1414" s="217"/>
      <c r="L1414" s="217"/>
      <c r="M1414" s="217"/>
      <c r="N1414" s="217"/>
      <c r="O1414" s="217"/>
      <c r="P1414" s="217"/>
      <c r="Q1414" s="217"/>
      <c r="R1414" s="217"/>
      <c r="S1414" s="217"/>
      <c r="T1414" s="217"/>
      <c r="U1414" s="217"/>
      <c r="V1414" s="217"/>
      <c r="W1414" s="217"/>
      <c r="X1414" s="217"/>
      <c r="Y1414" s="217"/>
      <c r="Z1414" s="217"/>
      <c r="AA1414" s="217"/>
      <c r="AB1414" s="217"/>
      <c r="AC1414" s="217"/>
      <c r="AD1414" s="217"/>
    </row>
    <row r="1415" spans="1:30" x14ac:dyDescent="0.2">
      <c r="A1415" s="232"/>
      <c r="B1415" s="210"/>
      <c r="C1415" s="210"/>
      <c r="D1415" s="210"/>
      <c r="E1415" s="210"/>
      <c r="G1415" s="55"/>
      <c r="H1415" s="56"/>
      <c r="I1415" s="217"/>
      <c r="J1415" s="217"/>
      <c r="K1415" s="217"/>
      <c r="L1415" s="217"/>
      <c r="M1415" s="217"/>
      <c r="N1415" s="217"/>
      <c r="O1415" s="217"/>
      <c r="P1415" s="217"/>
      <c r="Q1415" s="217"/>
      <c r="R1415" s="217"/>
      <c r="S1415" s="217"/>
      <c r="T1415" s="217"/>
      <c r="U1415" s="217"/>
      <c r="V1415" s="217"/>
      <c r="W1415" s="217"/>
      <c r="X1415" s="217"/>
      <c r="Y1415" s="217"/>
      <c r="Z1415" s="217"/>
      <c r="AA1415" s="217"/>
      <c r="AB1415" s="217"/>
      <c r="AC1415" s="217"/>
      <c r="AD1415" s="217"/>
    </row>
    <row r="1416" spans="1:30" x14ac:dyDescent="0.2">
      <c r="A1416" s="232"/>
      <c r="B1416" s="210"/>
      <c r="C1416" s="210"/>
      <c r="D1416" s="210"/>
      <c r="E1416" s="210"/>
      <c r="G1416" s="55"/>
      <c r="H1416" s="56"/>
      <c r="I1416" s="217"/>
      <c r="J1416" s="217"/>
      <c r="K1416" s="217"/>
      <c r="L1416" s="217"/>
      <c r="M1416" s="217"/>
      <c r="N1416" s="217"/>
      <c r="O1416" s="217"/>
      <c r="P1416" s="217"/>
      <c r="Q1416" s="217"/>
      <c r="R1416" s="217"/>
      <c r="S1416" s="217"/>
      <c r="T1416" s="217"/>
      <c r="U1416" s="217"/>
      <c r="V1416" s="217"/>
      <c r="W1416" s="217"/>
      <c r="X1416" s="217"/>
      <c r="Y1416" s="217"/>
      <c r="Z1416" s="217"/>
      <c r="AA1416" s="217"/>
      <c r="AB1416" s="217"/>
      <c r="AC1416" s="217"/>
      <c r="AD1416" s="217"/>
    </row>
    <row r="1417" spans="1:30" x14ac:dyDescent="0.2">
      <c r="A1417" s="232"/>
      <c r="B1417" s="210"/>
      <c r="C1417" s="210"/>
      <c r="D1417" s="210"/>
      <c r="E1417" s="210"/>
      <c r="G1417" s="55"/>
      <c r="H1417" s="56"/>
      <c r="I1417" s="217"/>
      <c r="J1417" s="217"/>
      <c r="K1417" s="217"/>
      <c r="L1417" s="217"/>
      <c r="M1417" s="217"/>
      <c r="N1417" s="217"/>
      <c r="O1417" s="217"/>
      <c r="P1417" s="217"/>
      <c r="Q1417" s="217"/>
      <c r="R1417" s="217"/>
      <c r="S1417" s="217"/>
      <c r="T1417" s="217"/>
      <c r="U1417" s="217"/>
      <c r="V1417" s="217"/>
      <c r="W1417" s="217"/>
      <c r="X1417" s="217"/>
      <c r="Y1417" s="217"/>
      <c r="Z1417" s="217"/>
      <c r="AA1417" s="217"/>
      <c r="AB1417" s="217"/>
      <c r="AC1417" s="217"/>
      <c r="AD1417" s="217"/>
    </row>
    <row r="1418" spans="1:30" x14ac:dyDescent="0.2">
      <c r="A1418" s="232"/>
      <c r="B1418" s="210"/>
      <c r="C1418" s="210"/>
      <c r="D1418" s="210"/>
      <c r="E1418" s="210"/>
      <c r="G1418" s="55"/>
      <c r="H1418" s="56"/>
      <c r="I1418" s="217"/>
      <c r="J1418" s="217"/>
      <c r="K1418" s="217"/>
      <c r="L1418" s="217"/>
      <c r="M1418" s="217"/>
      <c r="N1418" s="217"/>
      <c r="O1418" s="217"/>
      <c r="P1418" s="217"/>
      <c r="Q1418" s="217"/>
      <c r="R1418" s="217"/>
      <c r="S1418" s="217"/>
      <c r="T1418" s="217"/>
      <c r="U1418" s="217"/>
      <c r="V1418" s="217"/>
      <c r="W1418" s="217"/>
      <c r="X1418" s="217"/>
      <c r="Y1418" s="217"/>
      <c r="Z1418" s="217"/>
      <c r="AA1418" s="217"/>
      <c r="AB1418" s="217"/>
      <c r="AC1418" s="217"/>
      <c r="AD1418" s="217"/>
    </row>
    <row r="1419" spans="1:30" x14ac:dyDescent="0.2">
      <c r="A1419" s="232"/>
      <c r="B1419" s="210"/>
      <c r="C1419" s="210"/>
      <c r="D1419" s="210"/>
      <c r="E1419" s="210"/>
      <c r="G1419" s="55"/>
      <c r="H1419" s="56"/>
      <c r="I1419" s="217"/>
      <c r="J1419" s="217"/>
      <c r="K1419" s="217"/>
      <c r="L1419" s="217"/>
      <c r="M1419" s="217"/>
      <c r="N1419" s="217"/>
      <c r="O1419" s="217"/>
      <c r="P1419" s="217"/>
      <c r="Q1419" s="217"/>
      <c r="R1419" s="217"/>
      <c r="S1419" s="217"/>
      <c r="T1419" s="217"/>
      <c r="U1419" s="217"/>
      <c r="V1419" s="217"/>
      <c r="W1419" s="217"/>
      <c r="X1419" s="217"/>
      <c r="Y1419" s="217"/>
      <c r="Z1419" s="217"/>
      <c r="AA1419" s="217"/>
      <c r="AB1419" s="217"/>
      <c r="AC1419" s="217"/>
      <c r="AD1419" s="217"/>
    </row>
    <row r="1420" spans="1:30" x14ac:dyDescent="0.2">
      <c r="A1420" s="232"/>
      <c r="B1420" s="210"/>
      <c r="C1420" s="210"/>
      <c r="D1420" s="210"/>
      <c r="E1420" s="210"/>
      <c r="G1420" s="55"/>
      <c r="H1420" s="56"/>
      <c r="I1420" s="217"/>
      <c r="J1420" s="217"/>
      <c r="K1420" s="217"/>
      <c r="L1420" s="217"/>
      <c r="M1420" s="217"/>
      <c r="N1420" s="217"/>
      <c r="O1420" s="217"/>
      <c r="P1420" s="217"/>
      <c r="Q1420" s="217"/>
      <c r="R1420" s="217"/>
      <c r="S1420" s="217"/>
      <c r="T1420" s="217"/>
      <c r="U1420" s="217"/>
      <c r="V1420" s="217"/>
      <c r="W1420" s="217"/>
      <c r="X1420" s="217"/>
      <c r="Y1420" s="217"/>
      <c r="Z1420" s="217"/>
      <c r="AA1420" s="217"/>
      <c r="AB1420" s="217"/>
      <c r="AC1420" s="217"/>
      <c r="AD1420" s="217"/>
    </row>
    <row r="1421" spans="1:30" x14ac:dyDescent="0.2">
      <c r="A1421" s="232"/>
      <c r="B1421" s="210"/>
      <c r="C1421" s="210"/>
      <c r="D1421" s="210"/>
      <c r="E1421" s="210"/>
      <c r="G1421" s="55"/>
      <c r="H1421" s="56"/>
      <c r="I1421" s="217"/>
      <c r="J1421" s="217"/>
      <c r="K1421" s="217"/>
      <c r="L1421" s="217"/>
      <c r="M1421" s="217"/>
      <c r="N1421" s="217"/>
      <c r="O1421" s="217"/>
      <c r="P1421" s="217"/>
      <c r="Q1421" s="217"/>
      <c r="R1421" s="217"/>
      <c r="S1421" s="217"/>
      <c r="T1421" s="217"/>
      <c r="U1421" s="217"/>
      <c r="V1421" s="217"/>
      <c r="W1421" s="217"/>
      <c r="X1421" s="217"/>
      <c r="Y1421" s="217"/>
      <c r="Z1421" s="217"/>
      <c r="AA1421" s="217"/>
      <c r="AB1421" s="217"/>
      <c r="AC1421" s="217"/>
      <c r="AD1421" s="217"/>
    </row>
    <row r="1422" spans="1:30" x14ac:dyDescent="0.2">
      <c r="A1422" s="232"/>
      <c r="B1422" s="210"/>
      <c r="C1422" s="210"/>
      <c r="D1422" s="210"/>
      <c r="E1422" s="210"/>
      <c r="G1422" s="55"/>
      <c r="H1422" s="56"/>
      <c r="I1422" s="217"/>
      <c r="J1422" s="217"/>
      <c r="K1422" s="217"/>
      <c r="L1422" s="217"/>
      <c r="M1422" s="217"/>
      <c r="N1422" s="217"/>
      <c r="O1422" s="217"/>
      <c r="P1422" s="217"/>
      <c r="Q1422" s="217"/>
      <c r="R1422" s="217"/>
      <c r="S1422" s="217"/>
      <c r="T1422" s="217"/>
      <c r="U1422" s="217"/>
      <c r="V1422" s="217"/>
      <c r="W1422" s="217"/>
      <c r="X1422" s="217"/>
      <c r="Y1422" s="217"/>
      <c r="Z1422" s="217"/>
      <c r="AA1422" s="217"/>
      <c r="AB1422" s="217"/>
      <c r="AC1422" s="217"/>
      <c r="AD1422" s="217"/>
    </row>
    <row r="1423" spans="1:30" x14ac:dyDescent="0.2">
      <c r="A1423" s="232"/>
      <c r="B1423" s="210"/>
      <c r="C1423" s="210"/>
      <c r="D1423" s="210"/>
      <c r="E1423" s="210"/>
      <c r="G1423" s="55"/>
      <c r="H1423" s="56"/>
      <c r="I1423" s="217"/>
      <c r="J1423" s="217"/>
      <c r="K1423" s="217"/>
      <c r="L1423" s="217"/>
      <c r="M1423" s="217"/>
      <c r="N1423" s="217"/>
      <c r="O1423" s="217"/>
      <c r="P1423" s="217"/>
      <c r="Q1423" s="217"/>
      <c r="R1423" s="217"/>
      <c r="S1423" s="217"/>
      <c r="T1423" s="217"/>
      <c r="U1423" s="217"/>
      <c r="V1423" s="217"/>
      <c r="W1423" s="217"/>
      <c r="X1423" s="217"/>
      <c r="Y1423" s="217"/>
      <c r="Z1423" s="217"/>
      <c r="AA1423" s="217"/>
      <c r="AB1423" s="217"/>
      <c r="AC1423" s="217"/>
      <c r="AD1423" s="217"/>
    </row>
    <row r="1424" spans="1:30" x14ac:dyDescent="0.2">
      <c r="A1424" s="232"/>
      <c r="B1424" s="210"/>
      <c r="C1424" s="210"/>
      <c r="D1424" s="210"/>
      <c r="E1424" s="210"/>
      <c r="G1424" s="55"/>
      <c r="H1424" s="56"/>
      <c r="I1424" s="217"/>
      <c r="J1424" s="217"/>
      <c r="K1424" s="217"/>
      <c r="L1424" s="217"/>
      <c r="M1424" s="217"/>
      <c r="N1424" s="217"/>
      <c r="O1424" s="217"/>
      <c r="P1424" s="217"/>
      <c r="Q1424" s="217"/>
      <c r="R1424" s="217"/>
      <c r="S1424" s="217"/>
      <c r="T1424" s="217"/>
      <c r="U1424" s="217"/>
      <c r="V1424" s="217"/>
      <c r="W1424" s="217"/>
      <c r="X1424" s="217"/>
      <c r="Y1424" s="217"/>
      <c r="Z1424" s="217"/>
      <c r="AA1424" s="217"/>
      <c r="AB1424" s="217"/>
      <c r="AC1424" s="217"/>
      <c r="AD1424" s="217"/>
    </row>
    <row r="1425" spans="1:30" x14ac:dyDescent="0.2">
      <c r="A1425" s="232"/>
      <c r="B1425" s="210"/>
      <c r="C1425" s="210"/>
      <c r="D1425" s="210"/>
      <c r="E1425" s="210"/>
      <c r="G1425" s="55"/>
      <c r="H1425" s="56"/>
      <c r="I1425" s="217"/>
      <c r="J1425" s="217"/>
      <c r="K1425" s="217"/>
      <c r="L1425" s="217"/>
      <c r="M1425" s="217"/>
      <c r="N1425" s="217"/>
      <c r="O1425" s="217"/>
      <c r="P1425" s="217"/>
      <c r="Q1425" s="217"/>
      <c r="R1425" s="217"/>
      <c r="S1425" s="217"/>
      <c r="T1425" s="217"/>
      <c r="U1425" s="217"/>
      <c r="V1425" s="217"/>
      <c r="W1425" s="217"/>
      <c r="X1425" s="217"/>
      <c r="Y1425" s="217"/>
      <c r="Z1425" s="217"/>
      <c r="AA1425" s="217"/>
      <c r="AB1425" s="217"/>
      <c r="AC1425" s="217"/>
      <c r="AD1425" s="217"/>
    </row>
    <row r="1426" spans="1:30" x14ac:dyDescent="0.2">
      <c r="A1426" s="232"/>
      <c r="B1426" s="210"/>
      <c r="C1426" s="210"/>
      <c r="D1426" s="210"/>
      <c r="E1426" s="210"/>
      <c r="G1426" s="55"/>
      <c r="H1426" s="56"/>
      <c r="I1426" s="217"/>
      <c r="J1426" s="217"/>
      <c r="K1426" s="217"/>
      <c r="L1426" s="217"/>
      <c r="M1426" s="217"/>
      <c r="N1426" s="217"/>
      <c r="O1426" s="217"/>
      <c r="P1426" s="217"/>
      <c r="Q1426" s="217"/>
      <c r="R1426" s="217"/>
      <c r="S1426" s="217"/>
      <c r="T1426" s="217"/>
      <c r="U1426" s="217"/>
      <c r="V1426" s="217"/>
      <c r="W1426" s="217"/>
      <c r="X1426" s="217"/>
      <c r="Y1426" s="217"/>
      <c r="Z1426" s="217"/>
      <c r="AA1426" s="217"/>
      <c r="AB1426" s="217"/>
      <c r="AC1426" s="217"/>
      <c r="AD1426" s="217"/>
    </row>
    <row r="1427" spans="1:30" x14ac:dyDescent="0.2">
      <c r="A1427" s="232"/>
      <c r="B1427" s="210"/>
      <c r="C1427" s="210"/>
      <c r="D1427" s="210"/>
      <c r="E1427" s="210"/>
      <c r="G1427" s="55"/>
      <c r="H1427" s="56"/>
      <c r="I1427" s="217"/>
      <c r="J1427" s="217"/>
      <c r="K1427" s="217"/>
      <c r="L1427" s="217"/>
      <c r="M1427" s="217"/>
      <c r="N1427" s="217"/>
      <c r="O1427" s="217"/>
      <c r="P1427" s="217"/>
      <c r="Q1427" s="217"/>
      <c r="R1427" s="217"/>
      <c r="S1427" s="217"/>
      <c r="T1427" s="217"/>
      <c r="U1427" s="217"/>
      <c r="V1427" s="217"/>
      <c r="W1427" s="217"/>
      <c r="X1427" s="217"/>
      <c r="Y1427" s="217"/>
      <c r="Z1427" s="217"/>
      <c r="AA1427" s="217"/>
      <c r="AB1427" s="217"/>
      <c r="AC1427" s="217"/>
      <c r="AD1427" s="217"/>
    </row>
    <row r="1428" spans="1:30" x14ac:dyDescent="0.2">
      <c r="A1428" s="232"/>
      <c r="B1428" s="210"/>
      <c r="C1428" s="210"/>
      <c r="D1428" s="210"/>
      <c r="E1428" s="210"/>
      <c r="G1428" s="55"/>
      <c r="H1428" s="56"/>
      <c r="I1428" s="217"/>
      <c r="J1428" s="217"/>
      <c r="K1428" s="217"/>
      <c r="L1428" s="217"/>
      <c r="M1428" s="217"/>
      <c r="N1428" s="217"/>
      <c r="O1428" s="217"/>
      <c r="P1428" s="217"/>
      <c r="Q1428" s="217"/>
      <c r="R1428" s="217"/>
      <c r="S1428" s="217"/>
      <c r="T1428" s="217"/>
      <c r="U1428" s="217"/>
      <c r="V1428" s="217"/>
      <c r="W1428" s="217"/>
      <c r="X1428" s="217"/>
      <c r="Y1428" s="217"/>
      <c r="Z1428" s="217"/>
      <c r="AA1428" s="217"/>
      <c r="AB1428" s="217"/>
      <c r="AC1428" s="217"/>
      <c r="AD1428" s="217"/>
    </row>
    <row r="1429" spans="1:30" x14ac:dyDescent="0.2">
      <c r="A1429" s="232"/>
      <c r="B1429" s="210"/>
      <c r="C1429" s="210"/>
      <c r="D1429" s="210"/>
      <c r="E1429" s="210"/>
      <c r="G1429" s="55"/>
      <c r="H1429" s="56"/>
      <c r="I1429" s="217"/>
      <c r="J1429" s="217"/>
      <c r="K1429" s="217"/>
      <c r="L1429" s="217"/>
      <c r="M1429" s="217"/>
      <c r="N1429" s="217"/>
      <c r="O1429" s="217"/>
      <c r="P1429" s="217"/>
      <c r="Q1429" s="217"/>
      <c r="R1429" s="217"/>
      <c r="S1429" s="217"/>
      <c r="T1429" s="217"/>
      <c r="U1429" s="217"/>
      <c r="V1429" s="217"/>
      <c r="W1429" s="217"/>
      <c r="X1429" s="217"/>
      <c r="Y1429" s="217"/>
      <c r="Z1429" s="217"/>
      <c r="AA1429" s="217"/>
      <c r="AB1429" s="217"/>
      <c r="AC1429" s="217"/>
      <c r="AD1429" s="217"/>
    </row>
    <row r="1430" spans="1:30" x14ac:dyDescent="0.2">
      <c r="A1430" s="232"/>
      <c r="B1430" s="210"/>
      <c r="C1430" s="210"/>
      <c r="D1430" s="210"/>
      <c r="E1430" s="210"/>
      <c r="G1430" s="55"/>
      <c r="H1430" s="56"/>
      <c r="I1430" s="217"/>
      <c r="J1430" s="217"/>
      <c r="K1430" s="217"/>
      <c r="L1430" s="217"/>
      <c r="M1430" s="217"/>
      <c r="N1430" s="217"/>
      <c r="O1430" s="217"/>
      <c r="P1430" s="217"/>
      <c r="Q1430" s="217"/>
      <c r="R1430" s="217"/>
      <c r="S1430" s="217"/>
      <c r="T1430" s="217"/>
      <c r="U1430" s="217"/>
      <c r="V1430" s="217"/>
      <c r="W1430" s="217"/>
      <c r="X1430" s="217"/>
      <c r="Y1430" s="217"/>
      <c r="Z1430" s="217"/>
      <c r="AA1430" s="217"/>
      <c r="AB1430" s="217"/>
      <c r="AC1430" s="217"/>
      <c r="AD1430" s="217"/>
    </row>
    <row r="1431" spans="1:30" x14ac:dyDescent="0.2">
      <c r="A1431" s="232"/>
      <c r="B1431" s="210"/>
      <c r="C1431" s="210"/>
      <c r="D1431" s="210"/>
      <c r="E1431" s="210"/>
      <c r="G1431" s="55"/>
      <c r="H1431" s="56"/>
      <c r="I1431" s="217"/>
      <c r="J1431" s="217"/>
      <c r="K1431" s="217"/>
      <c r="L1431" s="217"/>
      <c r="M1431" s="217"/>
      <c r="N1431" s="217"/>
      <c r="O1431" s="217"/>
      <c r="P1431" s="217"/>
      <c r="Q1431" s="217"/>
      <c r="R1431" s="217"/>
      <c r="S1431" s="217"/>
      <c r="T1431" s="217"/>
      <c r="U1431" s="217"/>
      <c r="V1431" s="217"/>
      <c r="W1431" s="217"/>
      <c r="X1431" s="217"/>
      <c r="Y1431" s="217"/>
      <c r="Z1431" s="217"/>
      <c r="AA1431" s="217"/>
      <c r="AB1431" s="217"/>
      <c r="AC1431" s="217"/>
      <c r="AD1431" s="217"/>
    </row>
    <row r="1432" spans="1:30" x14ac:dyDescent="0.2">
      <c r="A1432" s="232"/>
      <c r="B1432" s="210"/>
      <c r="C1432" s="210"/>
      <c r="D1432" s="210"/>
      <c r="E1432" s="210"/>
      <c r="G1432" s="55"/>
      <c r="H1432" s="56"/>
      <c r="I1432" s="217"/>
      <c r="J1432" s="217"/>
      <c r="K1432" s="217"/>
      <c r="L1432" s="217"/>
      <c r="M1432" s="217"/>
      <c r="N1432" s="217"/>
      <c r="O1432" s="217"/>
      <c r="P1432" s="217"/>
      <c r="Q1432" s="217"/>
      <c r="R1432" s="217"/>
      <c r="S1432" s="217"/>
      <c r="T1432" s="217"/>
      <c r="U1432" s="217"/>
      <c r="V1432" s="217"/>
      <c r="W1432" s="217"/>
      <c r="X1432" s="217"/>
      <c r="Y1432" s="217"/>
      <c r="Z1432" s="217"/>
      <c r="AA1432" s="217"/>
      <c r="AB1432" s="217"/>
      <c r="AC1432" s="217"/>
      <c r="AD1432" s="217"/>
    </row>
    <row r="1433" spans="1:30" x14ac:dyDescent="0.2">
      <c r="A1433" s="232"/>
      <c r="B1433" s="210"/>
      <c r="C1433" s="210"/>
      <c r="D1433" s="210"/>
      <c r="E1433" s="210"/>
      <c r="G1433" s="55"/>
      <c r="H1433" s="56"/>
      <c r="I1433" s="217"/>
      <c r="J1433" s="217"/>
      <c r="K1433" s="217"/>
      <c r="L1433" s="217"/>
      <c r="M1433" s="217"/>
      <c r="N1433" s="217"/>
      <c r="O1433" s="217"/>
      <c r="P1433" s="217"/>
      <c r="Q1433" s="217"/>
      <c r="R1433" s="217"/>
      <c r="S1433" s="217"/>
      <c r="T1433" s="217"/>
      <c r="U1433" s="217"/>
      <c r="V1433" s="217"/>
      <c r="W1433" s="217"/>
      <c r="X1433" s="217"/>
      <c r="Y1433" s="217"/>
      <c r="Z1433" s="217"/>
      <c r="AA1433" s="217"/>
      <c r="AB1433" s="217"/>
      <c r="AC1433" s="217"/>
      <c r="AD1433" s="217"/>
    </row>
    <row r="1434" spans="1:30" x14ac:dyDescent="0.2">
      <c r="A1434" s="232"/>
      <c r="B1434" s="210"/>
      <c r="C1434" s="210"/>
      <c r="D1434" s="210"/>
      <c r="E1434" s="210"/>
      <c r="G1434" s="55"/>
      <c r="H1434" s="56"/>
      <c r="I1434" s="217"/>
      <c r="J1434" s="217"/>
      <c r="K1434" s="217"/>
      <c r="L1434" s="217"/>
      <c r="M1434" s="217"/>
      <c r="N1434" s="217"/>
      <c r="O1434" s="217"/>
      <c r="P1434" s="217"/>
      <c r="Q1434" s="217"/>
      <c r="R1434" s="217"/>
      <c r="S1434" s="217"/>
      <c r="T1434" s="217"/>
      <c r="U1434" s="217"/>
      <c r="V1434" s="217"/>
      <c r="W1434" s="217"/>
      <c r="X1434" s="217"/>
      <c r="Y1434" s="217"/>
      <c r="Z1434" s="217"/>
      <c r="AA1434" s="217"/>
      <c r="AB1434" s="217"/>
      <c r="AC1434" s="217"/>
      <c r="AD1434" s="217"/>
    </row>
    <row r="1435" spans="1:30" x14ac:dyDescent="0.2">
      <c r="A1435" s="232"/>
      <c r="B1435" s="210"/>
      <c r="C1435" s="210"/>
      <c r="D1435" s="210"/>
      <c r="E1435" s="210"/>
      <c r="G1435" s="55"/>
      <c r="H1435" s="56"/>
      <c r="I1435" s="217"/>
      <c r="J1435" s="217"/>
      <c r="K1435" s="217"/>
      <c r="L1435" s="217"/>
      <c r="M1435" s="217"/>
      <c r="N1435" s="217"/>
      <c r="O1435" s="217"/>
      <c r="P1435" s="217"/>
      <c r="Q1435" s="217"/>
      <c r="R1435" s="217"/>
      <c r="S1435" s="217"/>
      <c r="T1435" s="217"/>
      <c r="U1435" s="217"/>
      <c r="V1435" s="217"/>
      <c r="W1435" s="217"/>
      <c r="X1435" s="217"/>
      <c r="Y1435" s="217"/>
      <c r="Z1435" s="217"/>
      <c r="AA1435" s="217"/>
      <c r="AB1435" s="217"/>
      <c r="AC1435" s="217"/>
      <c r="AD1435" s="217"/>
    </row>
    <row r="1436" spans="1:30" x14ac:dyDescent="0.2">
      <c r="A1436" s="232"/>
      <c r="B1436" s="210"/>
      <c r="C1436" s="210"/>
      <c r="D1436" s="210"/>
      <c r="E1436" s="210"/>
      <c r="G1436" s="55"/>
      <c r="H1436" s="56"/>
      <c r="I1436" s="217"/>
      <c r="J1436" s="217"/>
      <c r="K1436" s="217"/>
      <c r="L1436" s="217"/>
      <c r="M1436" s="217"/>
      <c r="N1436" s="217"/>
      <c r="O1436" s="217"/>
      <c r="P1436" s="217"/>
      <c r="Q1436" s="217"/>
      <c r="R1436" s="217"/>
      <c r="S1436" s="217"/>
      <c r="T1436" s="217"/>
      <c r="U1436" s="217"/>
      <c r="V1436" s="217"/>
      <c r="W1436" s="217"/>
      <c r="X1436" s="217"/>
      <c r="Y1436" s="217"/>
      <c r="Z1436" s="217"/>
      <c r="AA1436" s="217"/>
      <c r="AB1436" s="217"/>
      <c r="AC1436" s="217"/>
      <c r="AD1436" s="217"/>
    </row>
    <row r="1437" spans="1:30" x14ac:dyDescent="0.2">
      <c r="A1437" s="232"/>
      <c r="B1437" s="210"/>
      <c r="C1437" s="210"/>
      <c r="D1437" s="210"/>
      <c r="E1437" s="210"/>
      <c r="G1437" s="55"/>
      <c r="H1437" s="56"/>
      <c r="I1437" s="217"/>
      <c r="J1437" s="217"/>
      <c r="K1437" s="217"/>
      <c r="L1437" s="217"/>
      <c r="M1437" s="217"/>
      <c r="N1437" s="217"/>
      <c r="O1437" s="217"/>
      <c r="P1437" s="217"/>
      <c r="Q1437" s="217"/>
      <c r="R1437" s="217"/>
      <c r="S1437" s="217"/>
      <c r="T1437" s="217"/>
      <c r="U1437" s="217"/>
      <c r="V1437" s="217"/>
      <c r="W1437" s="217"/>
      <c r="X1437" s="217"/>
      <c r="Y1437" s="217"/>
      <c r="Z1437" s="217"/>
      <c r="AA1437" s="217"/>
      <c r="AB1437" s="217"/>
      <c r="AC1437" s="217"/>
      <c r="AD1437" s="217"/>
    </row>
    <row r="1438" spans="1:30" x14ac:dyDescent="0.2">
      <c r="A1438" s="232"/>
      <c r="B1438" s="210"/>
      <c r="C1438" s="210"/>
      <c r="D1438" s="210"/>
      <c r="E1438" s="210"/>
      <c r="G1438" s="55"/>
      <c r="H1438" s="56"/>
      <c r="I1438" s="217"/>
      <c r="J1438" s="217"/>
      <c r="K1438" s="217"/>
      <c r="L1438" s="217"/>
      <c r="M1438" s="217"/>
      <c r="N1438" s="217"/>
      <c r="O1438" s="217"/>
      <c r="P1438" s="217"/>
      <c r="Q1438" s="217"/>
      <c r="R1438" s="217"/>
      <c r="S1438" s="217"/>
      <c r="T1438" s="217"/>
      <c r="U1438" s="217"/>
      <c r="V1438" s="217"/>
      <c r="W1438" s="217"/>
      <c r="X1438" s="217"/>
      <c r="Y1438" s="217"/>
      <c r="Z1438" s="217"/>
      <c r="AA1438" s="217"/>
      <c r="AB1438" s="217"/>
      <c r="AC1438" s="217"/>
      <c r="AD1438" s="217"/>
    </row>
    <row r="1439" spans="1:30" x14ac:dyDescent="0.2">
      <c r="A1439" s="232"/>
      <c r="B1439" s="210"/>
      <c r="C1439" s="210"/>
      <c r="D1439" s="210"/>
      <c r="E1439" s="210"/>
      <c r="G1439" s="55"/>
      <c r="H1439" s="56"/>
      <c r="I1439" s="217"/>
      <c r="J1439" s="217"/>
      <c r="K1439" s="217"/>
      <c r="L1439" s="217"/>
      <c r="M1439" s="217"/>
      <c r="N1439" s="217"/>
      <c r="O1439" s="217"/>
      <c r="P1439" s="217"/>
      <c r="Q1439" s="217"/>
      <c r="R1439" s="217"/>
      <c r="S1439" s="217"/>
      <c r="T1439" s="217"/>
      <c r="U1439" s="217"/>
      <c r="V1439" s="217"/>
      <c r="W1439" s="217"/>
      <c r="X1439" s="217"/>
      <c r="Y1439" s="217"/>
      <c r="Z1439" s="217"/>
      <c r="AA1439" s="217"/>
      <c r="AB1439" s="217"/>
      <c r="AC1439" s="217"/>
      <c r="AD1439" s="217"/>
    </row>
    <row r="1440" spans="1:30" x14ac:dyDescent="0.2">
      <c r="A1440" s="232"/>
      <c r="B1440" s="210"/>
      <c r="C1440" s="210"/>
      <c r="D1440" s="210"/>
      <c r="E1440" s="210"/>
      <c r="G1440" s="55"/>
      <c r="H1440" s="56"/>
      <c r="I1440" s="217"/>
      <c r="J1440" s="217"/>
      <c r="K1440" s="217"/>
      <c r="L1440" s="217"/>
      <c r="M1440" s="217"/>
      <c r="N1440" s="217"/>
      <c r="O1440" s="217"/>
      <c r="P1440" s="217"/>
      <c r="Q1440" s="217"/>
      <c r="R1440" s="217"/>
      <c r="S1440" s="217"/>
      <c r="T1440" s="217"/>
      <c r="U1440" s="217"/>
      <c r="V1440" s="217"/>
      <c r="W1440" s="217"/>
      <c r="X1440" s="217"/>
      <c r="Y1440" s="217"/>
      <c r="Z1440" s="217"/>
      <c r="AA1440" s="217"/>
      <c r="AB1440" s="217"/>
      <c r="AC1440" s="217"/>
      <c r="AD1440" s="217"/>
    </row>
    <row r="1441" spans="1:30" x14ac:dyDescent="0.2">
      <c r="A1441" s="232"/>
      <c r="B1441" s="210"/>
      <c r="C1441" s="210"/>
      <c r="D1441" s="210"/>
      <c r="E1441" s="210"/>
      <c r="G1441" s="55"/>
      <c r="H1441" s="56"/>
      <c r="I1441" s="217"/>
      <c r="J1441" s="217"/>
      <c r="K1441" s="217"/>
      <c r="L1441" s="217"/>
      <c r="M1441" s="217"/>
      <c r="N1441" s="217"/>
      <c r="O1441" s="217"/>
      <c r="P1441" s="217"/>
      <c r="Q1441" s="217"/>
      <c r="R1441" s="217"/>
      <c r="S1441" s="217"/>
      <c r="T1441" s="217"/>
      <c r="U1441" s="217"/>
      <c r="V1441" s="217"/>
      <c r="W1441" s="217"/>
      <c r="X1441" s="217"/>
      <c r="Y1441" s="217"/>
      <c r="Z1441" s="217"/>
      <c r="AA1441" s="217"/>
      <c r="AB1441" s="217"/>
      <c r="AC1441" s="217"/>
      <c r="AD1441" s="217"/>
    </row>
    <row r="1442" spans="1:30" x14ac:dyDescent="0.2">
      <c r="A1442" s="232"/>
      <c r="B1442" s="210"/>
      <c r="C1442" s="210"/>
      <c r="D1442" s="210"/>
      <c r="E1442" s="210"/>
      <c r="G1442" s="55"/>
      <c r="H1442" s="56"/>
      <c r="I1442" s="217"/>
      <c r="J1442" s="217"/>
      <c r="K1442" s="217"/>
      <c r="L1442" s="217"/>
      <c r="M1442" s="217"/>
      <c r="N1442" s="217"/>
      <c r="O1442" s="217"/>
      <c r="P1442" s="217"/>
      <c r="Q1442" s="217"/>
      <c r="R1442" s="217"/>
      <c r="S1442" s="217"/>
      <c r="T1442" s="217"/>
      <c r="U1442" s="217"/>
      <c r="V1442" s="217"/>
      <c r="W1442" s="217"/>
      <c r="X1442" s="217"/>
      <c r="Y1442" s="217"/>
      <c r="Z1442" s="217"/>
      <c r="AA1442" s="217"/>
      <c r="AB1442" s="217"/>
      <c r="AC1442" s="217"/>
      <c r="AD1442" s="217"/>
    </row>
    <row r="1443" spans="1:30" x14ac:dyDescent="0.2">
      <c r="A1443" s="232"/>
      <c r="B1443" s="210"/>
      <c r="C1443" s="210"/>
      <c r="D1443" s="210"/>
      <c r="E1443" s="210"/>
      <c r="G1443" s="55"/>
      <c r="H1443" s="56"/>
      <c r="I1443" s="217"/>
      <c r="J1443" s="217"/>
      <c r="K1443" s="217"/>
      <c r="L1443" s="217"/>
      <c r="M1443" s="217"/>
      <c r="N1443" s="217"/>
      <c r="O1443" s="217"/>
      <c r="P1443" s="217"/>
      <c r="Q1443" s="217"/>
      <c r="R1443" s="217"/>
      <c r="S1443" s="217"/>
      <c r="T1443" s="217"/>
      <c r="U1443" s="217"/>
      <c r="V1443" s="217"/>
      <c r="W1443" s="217"/>
      <c r="X1443" s="217"/>
      <c r="Y1443" s="217"/>
      <c r="Z1443" s="217"/>
      <c r="AA1443" s="217"/>
      <c r="AB1443" s="217"/>
      <c r="AC1443" s="217"/>
      <c r="AD1443" s="217"/>
    </row>
    <row r="1444" spans="1:30" x14ac:dyDescent="0.2">
      <c r="A1444" s="232"/>
      <c r="B1444" s="210"/>
      <c r="C1444" s="210"/>
      <c r="D1444" s="210"/>
      <c r="E1444" s="210"/>
      <c r="G1444" s="55"/>
      <c r="H1444" s="56"/>
      <c r="I1444" s="217"/>
      <c r="J1444" s="217"/>
      <c r="K1444" s="217"/>
      <c r="L1444" s="217"/>
      <c r="M1444" s="217"/>
      <c r="N1444" s="217"/>
      <c r="O1444" s="217"/>
      <c r="P1444" s="217"/>
      <c r="Q1444" s="217"/>
      <c r="R1444" s="217"/>
      <c r="S1444" s="217"/>
      <c r="T1444" s="217"/>
      <c r="U1444" s="217"/>
      <c r="V1444" s="217"/>
      <c r="W1444" s="217"/>
      <c r="X1444" s="217"/>
      <c r="Y1444" s="217"/>
      <c r="Z1444" s="217"/>
      <c r="AA1444" s="217"/>
      <c r="AB1444" s="217"/>
      <c r="AC1444" s="217"/>
      <c r="AD1444" s="217"/>
    </row>
    <row r="1445" spans="1:30" x14ac:dyDescent="0.2">
      <c r="A1445" s="232"/>
      <c r="B1445" s="210"/>
      <c r="C1445" s="210"/>
      <c r="D1445" s="210"/>
      <c r="E1445" s="210"/>
      <c r="G1445" s="55"/>
      <c r="H1445" s="56"/>
      <c r="I1445" s="217"/>
      <c r="J1445" s="217"/>
      <c r="K1445" s="217"/>
      <c r="L1445" s="217"/>
      <c r="M1445" s="217"/>
      <c r="N1445" s="217"/>
      <c r="O1445" s="217"/>
      <c r="P1445" s="217"/>
      <c r="Q1445" s="217"/>
      <c r="R1445" s="217"/>
      <c r="S1445" s="217"/>
      <c r="T1445" s="217"/>
      <c r="U1445" s="217"/>
      <c r="V1445" s="217"/>
      <c r="W1445" s="217"/>
      <c r="X1445" s="217"/>
      <c r="Y1445" s="217"/>
      <c r="Z1445" s="217"/>
      <c r="AA1445" s="217"/>
      <c r="AB1445" s="217"/>
      <c r="AC1445" s="217"/>
      <c r="AD1445" s="217"/>
    </row>
    <row r="1446" spans="1:30" x14ac:dyDescent="0.2">
      <c r="A1446" s="232"/>
      <c r="B1446" s="210"/>
      <c r="C1446" s="210"/>
      <c r="D1446" s="210"/>
      <c r="E1446" s="210"/>
      <c r="G1446" s="55"/>
      <c r="H1446" s="56"/>
      <c r="I1446" s="217"/>
      <c r="J1446" s="217"/>
      <c r="K1446" s="217"/>
      <c r="L1446" s="217"/>
      <c r="M1446" s="217"/>
      <c r="N1446" s="217"/>
      <c r="O1446" s="217"/>
      <c r="P1446" s="217"/>
      <c r="Q1446" s="217"/>
      <c r="R1446" s="217"/>
      <c r="S1446" s="217"/>
      <c r="T1446" s="217"/>
      <c r="U1446" s="217"/>
      <c r="V1446" s="217"/>
      <c r="W1446" s="217"/>
      <c r="X1446" s="217"/>
      <c r="Y1446" s="217"/>
      <c r="Z1446" s="217"/>
      <c r="AA1446" s="217"/>
      <c r="AB1446" s="217"/>
      <c r="AC1446" s="217"/>
      <c r="AD1446" s="217"/>
    </row>
    <row r="1447" spans="1:30" x14ac:dyDescent="0.2">
      <c r="A1447" s="232"/>
      <c r="B1447" s="210"/>
      <c r="C1447" s="210"/>
      <c r="D1447" s="210"/>
      <c r="E1447" s="210"/>
      <c r="G1447" s="55"/>
      <c r="H1447" s="56"/>
      <c r="I1447" s="217"/>
      <c r="J1447" s="217"/>
      <c r="K1447" s="217"/>
      <c r="L1447" s="217"/>
      <c r="M1447" s="217"/>
      <c r="N1447" s="217"/>
      <c r="O1447" s="217"/>
      <c r="P1447" s="217"/>
      <c r="Q1447" s="217"/>
      <c r="R1447" s="217"/>
      <c r="S1447" s="217"/>
      <c r="T1447" s="217"/>
      <c r="U1447" s="217"/>
      <c r="V1447" s="217"/>
      <c r="W1447" s="217"/>
      <c r="X1447" s="217"/>
      <c r="Y1447" s="217"/>
      <c r="Z1447" s="217"/>
      <c r="AA1447" s="217"/>
      <c r="AB1447" s="217"/>
      <c r="AC1447" s="217"/>
      <c r="AD1447" s="217"/>
    </row>
    <row r="1448" spans="1:30" x14ac:dyDescent="0.2">
      <c r="A1448" s="232"/>
      <c r="B1448" s="210"/>
      <c r="C1448" s="210"/>
      <c r="D1448" s="210"/>
      <c r="E1448" s="210"/>
      <c r="G1448" s="55"/>
      <c r="H1448" s="56"/>
      <c r="I1448" s="217"/>
      <c r="J1448" s="217"/>
      <c r="K1448" s="217"/>
      <c r="L1448" s="217"/>
      <c r="M1448" s="217"/>
      <c r="N1448" s="217"/>
      <c r="O1448" s="217"/>
      <c r="P1448" s="217"/>
      <c r="Q1448" s="217"/>
      <c r="R1448" s="217"/>
      <c r="S1448" s="217"/>
      <c r="T1448" s="217"/>
      <c r="U1448" s="217"/>
      <c r="V1448" s="217"/>
      <c r="W1448" s="217"/>
      <c r="X1448" s="217"/>
      <c r="Y1448" s="217"/>
      <c r="Z1448" s="217"/>
      <c r="AA1448" s="217"/>
      <c r="AB1448" s="217"/>
      <c r="AC1448" s="217"/>
      <c r="AD1448" s="217"/>
    </row>
    <row r="1449" spans="1:30" x14ac:dyDescent="0.2">
      <c r="A1449" s="232"/>
      <c r="B1449" s="210"/>
      <c r="C1449" s="210"/>
      <c r="D1449" s="210"/>
      <c r="E1449" s="210"/>
      <c r="G1449" s="55"/>
      <c r="H1449" s="56"/>
      <c r="I1449" s="217"/>
      <c r="J1449" s="217"/>
      <c r="K1449" s="217"/>
      <c r="L1449" s="217"/>
      <c r="M1449" s="217"/>
      <c r="N1449" s="217"/>
      <c r="O1449" s="217"/>
      <c r="P1449" s="217"/>
      <c r="Q1449" s="217"/>
      <c r="R1449" s="217"/>
      <c r="S1449" s="217"/>
      <c r="T1449" s="217"/>
      <c r="U1449" s="217"/>
      <c r="V1449" s="217"/>
      <c r="W1449" s="217"/>
      <c r="X1449" s="217"/>
      <c r="Y1449" s="217"/>
      <c r="Z1449" s="217"/>
      <c r="AA1449" s="217"/>
      <c r="AB1449" s="217"/>
      <c r="AC1449" s="217"/>
      <c r="AD1449" s="217"/>
    </row>
    <row r="1450" spans="1:30" x14ac:dyDescent="0.2">
      <c r="A1450" s="232"/>
      <c r="B1450" s="210"/>
      <c r="C1450" s="210"/>
      <c r="D1450" s="210"/>
      <c r="E1450" s="210"/>
      <c r="G1450" s="55"/>
      <c r="H1450" s="56"/>
      <c r="I1450" s="217"/>
      <c r="J1450" s="217"/>
      <c r="K1450" s="217"/>
      <c r="L1450" s="217"/>
      <c r="M1450" s="217"/>
      <c r="N1450" s="217"/>
      <c r="O1450" s="217"/>
      <c r="P1450" s="217"/>
      <c r="Q1450" s="217"/>
      <c r="R1450" s="217"/>
      <c r="S1450" s="217"/>
      <c r="T1450" s="217"/>
      <c r="U1450" s="217"/>
      <c r="V1450" s="217"/>
      <c r="W1450" s="217"/>
      <c r="X1450" s="217"/>
      <c r="Y1450" s="217"/>
      <c r="Z1450" s="217"/>
      <c r="AA1450" s="217"/>
      <c r="AB1450" s="217"/>
      <c r="AC1450" s="217"/>
      <c r="AD1450" s="217"/>
    </row>
    <row r="1451" spans="1:30" x14ac:dyDescent="0.2">
      <c r="A1451" s="232"/>
      <c r="B1451" s="210"/>
      <c r="C1451" s="210"/>
      <c r="D1451" s="210"/>
      <c r="E1451" s="210"/>
      <c r="G1451" s="55"/>
      <c r="H1451" s="56"/>
      <c r="I1451" s="217"/>
      <c r="J1451" s="217"/>
      <c r="K1451" s="217"/>
      <c r="L1451" s="217"/>
      <c r="M1451" s="217"/>
      <c r="N1451" s="217"/>
      <c r="O1451" s="217"/>
      <c r="P1451" s="217"/>
      <c r="Q1451" s="217"/>
      <c r="R1451" s="217"/>
      <c r="S1451" s="217"/>
      <c r="T1451" s="217"/>
      <c r="U1451" s="217"/>
      <c r="V1451" s="217"/>
      <c r="W1451" s="217"/>
      <c r="X1451" s="217"/>
      <c r="Y1451" s="217"/>
      <c r="Z1451" s="217"/>
      <c r="AA1451" s="217"/>
      <c r="AB1451" s="217"/>
      <c r="AC1451" s="217"/>
      <c r="AD1451" s="217"/>
    </row>
    <row r="1452" spans="1:30" x14ac:dyDescent="0.2">
      <c r="A1452" s="232"/>
      <c r="B1452" s="210"/>
      <c r="C1452" s="210"/>
      <c r="D1452" s="210"/>
      <c r="E1452" s="210"/>
      <c r="G1452" s="55"/>
      <c r="H1452" s="56"/>
      <c r="I1452" s="217"/>
      <c r="J1452" s="217"/>
      <c r="K1452" s="217"/>
      <c r="L1452" s="217"/>
      <c r="M1452" s="217"/>
      <c r="N1452" s="217"/>
      <c r="O1452" s="217"/>
      <c r="P1452" s="217"/>
      <c r="Q1452" s="217"/>
      <c r="R1452" s="217"/>
      <c r="S1452" s="217"/>
      <c r="T1452" s="217"/>
      <c r="U1452" s="217"/>
      <c r="V1452" s="217"/>
      <c r="W1452" s="217"/>
      <c r="X1452" s="217"/>
      <c r="Y1452" s="217"/>
      <c r="Z1452" s="217"/>
      <c r="AA1452" s="217"/>
      <c r="AB1452" s="217"/>
      <c r="AC1452" s="217"/>
      <c r="AD1452" s="217"/>
    </row>
    <row r="1453" spans="1:30" x14ac:dyDescent="0.2">
      <c r="A1453" s="232"/>
      <c r="B1453" s="210"/>
      <c r="C1453" s="210"/>
      <c r="D1453" s="210"/>
      <c r="E1453" s="210"/>
      <c r="G1453" s="55"/>
      <c r="H1453" s="56"/>
      <c r="I1453" s="217"/>
      <c r="J1453" s="217"/>
      <c r="K1453" s="217"/>
      <c r="L1453" s="217"/>
      <c r="M1453" s="217"/>
      <c r="N1453" s="217"/>
      <c r="O1453" s="217"/>
      <c r="P1453" s="217"/>
      <c r="Q1453" s="217"/>
      <c r="R1453" s="217"/>
      <c r="S1453" s="217"/>
      <c r="T1453" s="217"/>
      <c r="U1453" s="217"/>
      <c r="V1453" s="217"/>
      <c r="W1453" s="217"/>
      <c r="X1453" s="217"/>
      <c r="Y1453" s="217"/>
      <c r="Z1453" s="217"/>
      <c r="AA1453" s="217"/>
      <c r="AB1453" s="217"/>
      <c r="AC1453" s="217"/>
      <c r="AD1453" s="217"/>
    </row>
    <row r="1454" spans="1:30" x14ac:dyDescent="0.2">
      <c r="A1454" s="232"/>
      <c r="B1454" s="210"/>
      <c r="C1454" s="210"/>
      <c r="D1454" s="210"/>
      <c r="E1454" s="210"/>
      <c r="G1454" s="55"/>
      <c r="H1454" s="56"/>
      <c r="I1454" s="217"/>
      <c r="J1454" s="217"/>
      <c r="K1454" s="217"/>
      <c r="L1454" s="217"/>
      <c r="M1454" s="217"/>
      <c r="N1454" s="217"/>
      <c r="O1454" s="217"/>
      <c r="P1454" s="217"/>
      <c r="Q1454" s="217"/>
      <c r="R1454" s="217"/>
      <c r="S1454" s="217"/>
      <c r="T1454" s="217"/>
      <c r="U1454" s="217"/>
      <c r="V1454" s="217"/>
      <c r="W1454" s="217"/>
      <c r="X1454" s="217"/>
      <c r="Y1454" s="217"/>
      <c r="Z1454" s="217"/>
      <c r="AA1454" s="217"/>
      <c r="AB1454" s="217"/>
      <c r="AC1454" s="217"/>
      <c r="AD1454" s="217"/>
    </row>
    <row r="1455" spans="1:30" x14ac:dyDescent="0.2">
      <c r="A1455" s="232"/>
      <c r="B1455" s="210"/>
      <c r="C1455" s="210"/>
      <c r="D1455" s="210"/>
      <c r="E1455" s="210"/>
      <c r="G1455" s="55"/>
      <c r="H1455" s="56"/>
      <c r="I1455" s="217"/>
      <c r="J1455" s="217"/>
      <c r="K1455" s="217"/>
      <c r="L1455" s="217"/>
      <c r="M1455" s="217"/>
      <c r="N1455" s="217"/>
      <c r="O1455" s="217"/>
      <c r="P1455" s="217"/>
      <c r="Q1455" s="217"/>
      <c r="R1455" s="217"/>
      <c r="S1455" s="217"/>
      <c r="T1455" s="217"/>
      <c r="U1455" s="217"/>
      <c r="V1455" s="217"/>
      <c r="W1455" s="217"/>
      <c r="X1455" s="217"/>
      <c r="Y1455" s="217"/>
      <c r="Z1455" s="217"/>
      <c r="AA1455" s="217"/>
      <c r="AB1455" s="217"/>
      <c r="AC1455" s="217"/>
      <c r="AD1455" s="217"/>
    </row>
    <row r="1456" spans="1:30" x14ac:dyDescent="0.2">
      <c r="A1456" s="232"/>
      <c r="B1456" s="210"/>
      <c r="C1456" s="210"/>
      <c r="D1456" s="210"/>
      <c r="E1456" s="210"/>
      <c r="G1456" s="55"/>
      <c r="H1456" s="56"/>
      <c r="I1456" s="217"/>
      <c r="J1456" s="217"/>
      <c r="K1456" s="217"/>
      <c r="L1456" s="217"/>
      <c r="M1456" s="217"/>
      <c r="N1456" s="217"/>
      <c r="O1456" s="217"/>
      <c r="P1456" s="217"/>
      <c r="Q1456" s="217"/>
      <c r="R1456" s="217"/>
      <c r="S1456" s="217"/>
      <c r="T1456" s="217"/>
      <c r="U1456" s="217"/>
      <c r="V1456" s="217"/>
      <c r="W1456" s="217"/>
      <c r="X1456" s="217"/>
      <c r="Y1456" s="217"/>
      <c r="Z1456" s="217"/>
      <c r="AA1456" s="217"/>
      <c r="AB1456" s="217"/>
      <c r="AC1456" s="217"/>
      <c r="AD1456" s="217"/>
    </row>
    <row r="1457" spans="1:30" x14ac:dyDescent="0.2">
      <c r="A1457" s="232"/>
      <c r="B1457" s="210"/>
      <c r="C1457" s="210"/>
      <c r="D1457" s="210"/>
      <c r="E1457" s="210"/>
      <c r="G1457" s="55"/>
      <c r="H1457" s="56"/>
      <c r="I1457" s="217"/>
      <c r="J1457" s="217"/>
      <c r="K1457" s="217"/>
      <c r="L1457" s="217"/>
      <c r="M1457" s="217"/>
      <c r="N1457" s="217"/>
      <c r="O1457" s="217"/>
      <c r="P1457" s="217"/>
      <c r="Q1457" s="217"/>
      <c r="R1457" s="217"/>
      <c r="S1457" s="217"/>
      <c r="T1457" s="217"/>
      <c r="U1457" s="217"/>
      <c r="V1457" s="217"/>
      <c r="W1457" s="217"/>
      <c r="X1457" s="217"/>
      <c r="Y1457" s="217"/>
      <c r="Z1457" s="217"/>
      <c r="AA1457" s="217"/>
      <c r="AB1457" s="217"/>
      <c r="AC1457" s="217"/>
      <c r="AD1457" s="217"/>
    </row>
    <row r="1458" spans="1:30" x14ac:dyDescent="0.2">
      <c r="A1458" s="232"/>
      <c r="B1458" s="210"/>
      <c r="C1458" s="210"/>
      <c r="D1458" s="210"/>
      <c r="E1458" s="210"/>
      <c r="G1458" s="55"/>
      <c r="H1458" s="56"/>
      <c r="I1458" s="217"/>
      <c r="J1458" s="217"/>
      <c r="K1458" s="217"/>
      <c r="L1458" s="217"/>
      <c r="M1458" s="217"/>
      <c r="N1458" s="217"/>
      <c r="O1458" s="217"/>
      <c r="P1458" s="217"/>
      <c r="Q1458" s="217"/>
      <c r="R1458" s="217"/>
      <c r="S1458" s="217"/>
      <c r="T1458" s="217"/>
      <c r="U1458" s="217"/>
      <c r="V1458" s="217"/>
      <c r="W1458" s="217"/>
      <c r="X1458" s="217"/>
      <c r="Y1458" s="217"/>
      <c r="Z1458" s="217"/>
      <c r="AA1458" s="217"/>
      <c r="AB1458" s="217"/>
      <c r="AC1458" s="217"/>
      <c r="AD1458" s="217"/>
    </row>
    <row r="1459" spans="1:30" x14ac:dyDescent="0.2">
      <c r="A1459" s="232"/>
      <c r="B1459" s="210"/>
      <c r="C1459" s="210"/>
      <c r="D1459" s="210"/>
      <c r="E1459" s="210"/>
      <c r="G1459" s="55"/>
      <c r="H1459" s="56"/>
      <c r="I1459" s="217"/>
      <c r="J1459" s="217"/>
      <c r="K1459" s="217"/>
      <c r="L1459" s="217"/>
      <c r="M1459" s="217"/>
      <c r="N1459" s="217"/>
      <c r="O1459" s="217"/>
      <c r="P1459" s="217"/>
      <c r="Q1459" s="217"/>
      <c r="R1459" s="217"/>
      <c r="S1459" s="217"/>
      <c r="T1459" s="217"/>
      <c r="U1459" s="217"/>
      <c r="V1459" s="217"/>
      <c r="W1459" s="217"/>
      <c r="X1459" s="217"/>
      <c r="Y1459" s="217"/>
      <c r="Z1459" s="217"/>
      <c r="AA1459" s="217"/>
      <c r="AB1459" s="217"/>
      <c r="AC1459" s="217"/>
      <c r="AD1459" s="217"/>
    </row>
    <row r="1460" spans="1:30" x14ac:dyDescent="0.2">
      <c r="A1460" s="232"/>
      <c r="B1460" s="210"/>
      <c r="C1460" s="210"/>
      <c r="D1460" s="210"/>
      <c r="E1460" s="210"/>
      <c r="G1460" s="55"/>
      <c r="H1460" s="56"/>
      <c r="I1460" s="217"/>
      <c r="J1460" s="217"/>
      <c r="K1460" s="217"/>
      <c r="L1460" s="217"/>
      <c r="M1460" s="217"/>
      <c r="N1460" s="217"/>
      <c r="O1460" s="217"/>
      <c r="P1460" s="217"/>
      <c r="Q1460" s="217"/>
      <c r="R1460" s="217"/>
      <c r="S1460" s="217"/>
      <c r="T1460" s="217"/>
      <c r="U1460" s="217"/>
      <c r="V1460" s="217"/>
      <c r="W1460" s="217"/>
      <c r="X1460" s="217"/>
      <c r="Y1460" s="217"/>
      <c r="Z1460" s="217"/>
      <c r="AA1460" s="217"/>
      <c r="AB1460" s="217"/>
      <c r="AC1460" s="217"/>
      <c r="AD1460" s="217"/>
    </row>
    <row r="1461" spans="1:30" x14ac:dyDescent="0.2">
      <c r="A1461" s="232"/>
      <c r="B1461" s="210"/>
      <c r="C1461" s="210"/>
      <c r="D1461" s="210"/>
      <c r="E1461" s="210"/>
      <c r="G1461" s="55"/>
      <c r="H1461" s="56"/>
      <c r="I1461" s="217"/>
      <c r="J1461" s="217"/>
      <c r="K1461" s="217"/>
      <c r="L1461" s="217"/>
      <c r="M1461" s="217"/>
      <c r="N1461" s="217"/>
      <c r="O1461" s="217"/>
      <c r="P1461" s="217"/>
      <c r="Q1461" s="217"/>
      <c r="R1461" s="217"/>
      <c r="S1461" s="217"/>
      <c r="T1461" s="217"/>
      <c r="U1461" s="217"/>
      <c r="V1461" s="217"/>
      <c r="W1461" s="217"/>
      <c r="X1461" s="217"/>
      <c r="Y1461" s="217"/>
      <c r="Z1461" s="217"/>
      <c r="AA1461" s="217"/>
      <c r="AB1461" s="217"/>
      <c r="AC1461" s="217"/>
      <c r="AD1461" s="217"/>
    </row>
    <row r="1462" spans="1:30" x14ac:dyDescent="0.2">
      <c r="A1462" s="232"/>
      <c r="B1462" s="210"/>
      <c r="C1462" s="210"/>
      <c r="D1462" s="210"/>
      <c r="E1462" s="210"/>
      <c r="G1462" s="55"/>
      <c r="H1462" s="56"/>
      <c r="I1462" s="217"/>
      <c r="J1462" s="217"/>
      <c r="K1462" s="217"/>
      <c r="L1462" s="217"/>
      <c r="M1462" s="217"/>
      <c r="N1462" s="217"/>
      <c r="O1462" s="217"/>
      <c r="P1462" s="217"/>
      <c r="Q1462" s="217"/>
      <c r="R1462" s="217"/>
      <c r="S1462" s="217"/>
      <c r="T1462" s="217"/>
      <c r="U1462" s="217"/>
      <c r="V1462" s="217"/>
      <c r="W1462" s="217"/>
      <c r="X1462" s="217"/>
      <c r="Y1462" s="217"/>
      <c r="Z1462" s="217"/>
      <c r="AA1462" s="217"/>
      <c r="AB1462" s="217"/>
      <c r="AC1462" s="217"/>
      <c r="AD1462" s="217"/>
    </row>
    <row r="1463" spans="1:30" x14ac:dyDescent="0.2">
      <c r="A1463" s="232"/>
      <c r="B1463" s="210"/>
      <c r="C1463" s="210"/>
      <c r="D1463" s="210"/>
      <c r="E1463" s="210"/>
      <c r="G1463" s="55"/>
      <c r="H1463" s="56"/>
      <c r="I1463" s="217"/>
      <c r="J1463" s="217"/>
      <c r="K1463" s="217"/>
      <c r="L1463" s="217"/>
      <c r="M1463" s="217"/>
      <c r="N1463" s="217"/>
      <c r="O1463" s="217"/>
      <c r="P1463" s="217"/>
      <c r="Q1463" s="217"/>
      <c r="R1463" s="217"/>
      <c r="S1463" s="217"/>
      <c r="T1463" s="217"/>
      <c r="U1463" s="217"/>
      <c r="V1463" s="217"/>
      <c r="W1463" s="217"/>
      <c r="X1463" s="217"/>
      <c r="Y1463" s="217"/>
      <c r="Z1463" s="217"/>
      <c r="AA1463" s="217"/>
      <c r="AB1463" s="217"/>
      <c r="AC1463" s="217"/>
      <c r="AD1463" s="217"/>
    </row>
    <row r="1464" spans="1:30" x14ac:dyDescent="0.2">
      <c r="A1464" s="232"/>
      <c r="B1464" s="210"/>
      <c r="C1464" s="210"/>
      <c r="D1464" s="210"/>
      <c r="E1464" s="210"/>
      <c r="G1464" s="55"/>
      <c r="H1464" s="56"/>
      <c r="I1464" s="217"/>
      <c r="J1464" s="217"/>
      <c r="K1464" s="217"/>
      <c r="L1464" s="217"/>
      <c r="M1464" s="217"/>
      <c r="N1464" s="217"/>
      <c r="O1464" s="217"/>
      <c r="P1464" s="217"/>
      <c r="Q1464" s="217"/>
      <c r="R1464" s="217"/>
      <c r="S1464" s="217"/>
      <c r="T1464" s="217"/>
      <c r="U1464" s="217"/>
      <c r="V1464" s="217"/>
      <c r="W1464" s="217"/>
      <c r="X1464" s="217"/>
      <c r="Y1464" s="217"/>
      <c r="Z1464" s="217"/>
      <c r="AA1464" s="217"/>
      <c r="AB1464" s="217"/>
      <c r="AC1464" s="217"/>
      <c r="AD1464" s="217"/>
    </row>
    <row r="1465" spans="1:30" x14ac:dyDescent="0.2">
      <c r="A1465" s="232"/>
      <c r="B1465" s="210"/>
      <c r="C1465" s="210"/>
      <c r="D1465" s="210"/>
      <c r="E1465" s="210"/>
      <c r="G1465" s="55"/>
      <c r="H1465" s="56"/>
      <c r="I1465" s="217"/>
      <c r="J1465" s="217"/>
      <c r="K1465" s="217"/>
      <c r="L1465" s="217"/>
      <c r="M1465" s="217"/>
      <c r="N1465" s="217"/>
      <c r="O1465" s="217"/>
      <c r="P1465" s="217"/>
      <c r="Q1465" s="217"/>
      <c r="R1465" s="217"/>
      <c r="S1465" s="217"/>
      <c r="T1465" s="217"/>
      <c r="U1465" s="217"/>
      <c r="V1465" s="217"/>
      <c r="W1465" s="217"/>
      <c r="X1465" s="217"/>
      <c r="Y1465" s="217"/>
      <c r="Z1465" s="217"/>
      <c r="AA1465" s="217"/>
      <c r="AB1465" s="217"/>
      <c r="AC1465" s="217"/>
      <c r="AD1465" s="217"/>
    </row>
    <row r="1466" spans="1:30" x14ac:dyDescent="0.2">
      <c r="A1466" s="232"/>
      <c r="B1466" s="210"/>
      <c r="C1466" s="210"/>
      <c r="D1466" s="210"/>
      <c r="E1466" s="210"/>
      <c r="G1466" s="55"/>
      <c r="H1466" s="56"/>
      <c r="I1466" s="217"/>
      <c r="J1466" s="217"/>
      <c r="K1466" s="217"/>
      <c r="L1466" s="217"/>
      <c r="M1466" s="217"/>
      <c r="N1466" s="217"/>
      <c r="O1466" s="217"/>
      <c r="P1466" s="217"/>
      <c r="Q1466" s="217"/>
      <c r="R1466" s="217"/>
      <c r="S1466" s="217"/>
      <c r="T1466" s="217"/>
      <c r="U1466" s="217"/>
      <c r="V1466" s="217"/>
      <c r="W1466" s="217"/>
      <c r="X1466" s="217"/>
      <c r="Y1466" s="217"/>
      <c r="Z1466" s="217"/>
      <c r="AA1466" s="217"/>
      <c r="AB1466" s="217"/>
      <c r="AC1466" s="217"/>
      <c r="AD1466" s="217"/>
    </row>
    <row r="1467" spans="1:30" x14ac:dyDescent="0.2">
      <c r="A1467" s="232"/>
      <c r="B1467" s="210"/>
      <c r="C1467" s="210"/>
      <c r="D1467" s="210"/>
      <c r="E1467" s="210"/>
      <c r="G1467" s="55"/>
      <c r="H1467" s="56"/>
      <c r="I1467" s="217"/>
      <c r="J1467" s="217"/>
      <c r="K1467" s="217"/>
      <c r="L1467" s="217"/>
      <c r="M1467" s="217"/>
      <c r="N1467" s="217"/>
      <c r="O1467" s="217"/>
      <c r="P1467" s="217"/>
      <c r="Q1467" s="217"/>
      <c r="R1467" s="217"/>
      <c r="S1467" s="217"/>
      <c r="T1467" s="217"/>
      <c r="U1467" s="217"/>
      <c r="V1467" s="217"/>
      <c r="W1467" s="217"/>
      <c r="X1467" s="217"/>
      <c r="Y1467" s="217"/>
      <c r="Z1467" s="217"/>
      <c r="AA1467" s="217"/>
      <c r="AB1467" s="217"/>
      <c r="AC1467" s="217"/>
      <c r="AD1467" s="217"/>
    </row>
    <row r="1468" spans="1:30" x14ac:dyDescent="0.2">
      <c r="A1468" s="232"/>
      <c r="B1468" s="210"/>
      <c r="C1468" s="210"/>
      <c r="D1468" s="210"/>
      <c r="E1468" s="210"/>
      <c r="G1468" s="55"/>
      <c r="H1468" s="56"/>
      <c r="I1468" s="217"/>
      <c r="J1468" s="217"/>
      <c r="K1468" s="217"/>
      <c r="L1468" s="217"/>
      <c r="M1468" s="217"/>
      <c r="N1468" s="217"/>
      <c r="O1468" s="217"/>
      <c r="P1468" s="217"/>
      <c r="Q1468" s="217"/>
      <c r="R1468" s="217"/>
      <c r="S1468" s="217"/>
      <c r="T1468" s="217"/>
      <c r="U1468" s="217"/>
      <c r="V1468" s="217"/>
      <c r="W1468" s="217"/>
      <c r="X1468" s="217"/>
      <c r="Y1468" s="217"/>
      <c r="Z1468" s="217"/>
      <c r="AA1468" s="217"/>
      <c r="AB1468" s="217"/>
      <c r="AC1468" s="217"/>
      <c r="AD1468" s="217"/>
    </row>
    <row r="1469" spans="1:30" x14ac:dyDescent="0.2">
      <c r="A1469" s="232"/>
      <c r="B1469" s="210"/>
      <c r="C1469" s="210"/>
      <c r="D1469" s="210"/>
      <c r="E1469" s="210"/>
      <c r="G1469" s="55"/>
      <c r="H1469" s="56"/>
      <c r="I1469" s="217"/>
      <c r="J1469" s="217"/>
      <c r="K1469" s="217"/>
      <c r="L1469" s="217"/>
      <c r="M1469" s="217"/>
      <c r="N1469" s="217"/>
      <c r="O1469" s="217"/>
      <c r="P1469" s="217"/>
      <c r="Q1469" s="217"/>
      <c r="R1469" s="217"/>
      <c r="S1469" s="217"/>
      <c r="T1469" s="217"/>
      <c r="U1469" s="217"/>
      <c r="V1469" s="217"/>
      <c r="W1469" s="217"/>
      <c r="X1469" s="217"/>
      <c r="Y1469" s="217"/>
      <c r="Z1469" s="217"/>
      <c r="AA1469" s="217"/>
      <c r="AB1469" s="217"/>
      <c r="AC1469" s="217"/>
      <c r="AD1469" s="217"/>
    </row>
    <row r="1470" spans="1:30" x14ac:dyDescent="0.2">
      <c r="A1470" s="232"/>
      <c r="B1470" s="210"/>
      <c r="C1470" s="210"/>
      <c r="D1470" s="210"/>
      <c r="E1470" s="210"/>
      <c r="G1470" s="55"/>
      <c r="H1470" s="56"/>
      <c r="I1470" s="217"/>
      <c r="J1470" s="217"/>
      <c r="K1470" s="217"/>
      <c r="L1470" s="217"/>
      <c r="M1470" s="217"/>
      <c r="N1470" s="217"/>
      <c r="O1470" s="217"/>
      <c r="P1470" s="217"/>
      <c r="Q1470" s="217"/>
      <c r="R1470" s="217"/>
      <c r="S1470" s="217"/>
      <c r="T1470" s="217"/>
      <c r="U1470" s="217"/>
      <c r="V1470" s="217"/>
      <c r="W1470" s="217"/>
      <c r="X1470" s="217"/>
      <c r="Y1470" s="217"/>
      <c r="Z1470" s="217"/>
      <c r="AA1470" s="217"/>
      <c r="AB1470" s="217"/>
      <c r="AC1470" s="217"/>
      <c r="AD1470" s="217"/>
    </row>
    <row r="1471" spans="1:30" x14ac:dyDescent="0.2">
      <c r="A1471" s="232"/>
      <c r="B1471" s="210"/>
      <c r="C1471" s="210"/>
      <c r="D1471" s="210"/>
      <c r="E1471" s="210"/>
      <c r="G1471" s="55"/>
      <c r="H1471" s="56"/>
      <c r="I1471" s="217"/>
      <c r="J1471" s="217"/>
      <c r="K1471" s="217"/>
      <c r="L1471" s="217"/>
      <c r="M1471" s="217"/>
      <c r="N1471" s="217"/>
      <c r="O1471" s="217"/>
      <c r="P1471" s="217"/>
      <c r="Q1471" s="217"/>
      <c r="R1471" s="217"/>
      <c r="S1471" s="217"/>
      <c r="T1471" s="217"/>
      <c r="U1471" s="217"/>
      <c r="V1471" s="217"/>
      <c r="W1471" s="217"/>
      <c r="X1471" s="217"/>
      <c r="Y1471" s="217"/>
      <c r="Z1471" s="217"/>
      <c r="AA1471" s="217"/>
      <c r="AB1471" s="217"/>
      <c r="AC1471" s="217"/>
      <c r="AD1471" s="217"/>
    </row>
    <row r="1472" spans="1:30" x14ac:dyDescent="0.2">
      <c r="A1472" s="232"/>
      <c r="B1472" s="210"/>
      <c r="C1472" s="210"/>
      <c r="D1472" s="210"/>
      <c r="E1472" s="210"/>
      <c r="G1472" s="55"/>
      <c r="H1472" s="56"/>
      <c r="I1472" s="217"/>
      <c r="J1472" s="217"/>
      <c r="K1472" s="217"/>
      <c r="L1472" s="217"/>
      <c r="M1472" s="217"/>
      <c r="N1472" s="217"/>
      <c r="O1472" s="217"/>
      <c r="P1472" s="217"/>
      <c r="Q1472" s="217"/>
      <c r="R1472" s="217"/>
      <c r="S1472" s="217"/>
      <c r="T1472" s="217"/>
      <c r="U1472" s="217"/>
      <c r="V1472" s="217"/>
      <c r="W1472" s="217"/>
      <c r="X1472" s="217"/>
      <c r="Y1472" s="217"/>
      <c r="Z1472" s="217"/>
      <c r="AA1472" s="217"/>
      <c r="AB1472" s="217"/>
      <c r="AC1472" s="217"/>
      <c r="AD1472" s="217"/>
    </row>
    <row r="1473" spans="1:30" x14ac:dyDescent="0.2">
      <c r="A1473" s="232"/>
      <c r="B1473" s="210"/>
      <c r="C1473" s="210"/>
      <c r="D1473" s="210"/>
      <c r="E1473" s="210"/>
      <c r="G1473" s="55"/>
      <c r="H1473" s="56"/>
      <c r="I1473" s="217"/>
      <c r="J1473" s="217"/>
      <c r="K1473" s="217"/>
      <c r="L1473" s="217"/>
      <c r="M1473" s="217"/>
      <c r="N1473" s="217"/>
      <c r="O1473" s="217"/>
      <c r="P1473" s="217"/>
      <c r="Q1473" s="217"/>
      <c r="R1473" s="217"/>
      <c r="S1473" s="217"/>
      <c r="T1473" s="217"/>
      <c r="U1473" s="217"/>
      <c r="V1473" s="217"/>
      <c r="W1473" s="217"/>
      <c r="X1473" s="217"/>
      <c r="Y1473" s="217"/>
      <c r="Z1473" s="217"/>
      <c r="AA1473" s="217"/>
      <c r="AB1473" s="217"/>
      <c r="AC1473" s="217"/>
      <c r="AD1473" s="217"/>
    </row>
    <row r="1474" spans="1:30" x14ac:dyDescent="0.2">
      <c r="A1474" s="232"/>
      <c r="B1474" s="210"/>
      <c r="C1474" s="210"/>
      <c r="D1474" s="210"/>
      <c r="E1474" s="210"/>
      <c r="G1474" s="55"/>
      <c r="H1474" s="56"/>
      <c r="I1474" s="217"/>
      <c r="J1474" s="217"/>
      <c r="K1474" s="217"/>
      <c r="L1474" s="217"/>
      <c r="M1474" s="217"/>
      <c r="N1474" s="217"/>
      <c r="O1474" s="217"/>
      <c r="P1474" s="217"/>
      <c r="Q1474" s="217"/>
      <c r="R1474" s="217"/>
      <c r="S1474" s="217"/>
      <c r="T1474" s="217"/>
      <c r="U1474" s="217"/>
      <c r="V1474" s="217"/>
      <c r="W1474" s="217"/>
      <c r="X1474" s="217"/>
      <c r="Y1474" s="217"/>
      <c r="Z1474" s="217"/>
      <c r="AA1474" s="217"/>
      <c r="AB1474" s="217"/>
      <c r="AC1474" s="217"/>
      <c r="AD1474" s="217"/>
    </row>
    <row r="1475" spans="1:30" x14ac:dyDescent="0.2">
      <c r="A1475" s="232"/>
      <c r="B1475" s="210"/>
      <c r="C1475" s="210"/>
      <c r="D1475" s="210"/>
      <c r="E1475" s="210"/>
      <c r="G1475" s="55"/>
      <c r="H1475" s="56"/>
      <c r="I1475" s="217"/>
      <c r="J1475" s="217"/>
      <c r="K1475" s="217"/>
      <c r="L1475" s="217"/>
      <c r="M1475" s="217"/>
      <c r="N1475" s="217"/>
      <c r="O1475" s="217"/>
      <c r="P1475" s="217"/>
      <c r="Q1475" s="217"/>
      <c r="R1475" s="217"/>
      <c r="S1475" s="217"/>
      <c r="T1475" s="217"/>
      <c r="U1475" s="217"/>
      <c r="V1475" s="217"/>
      <c r="W1475" s="217"/>
      <c r="X1475" s="217"/>
      <c r="Y1475" s="217"/>
      <c r="Z1475" s="217"/>
      <c r="AA1475" s="217"/>
      <c r="AB1475" s="217"/>
      <c r="AC1475" s="217"/>
      <c r="AD1475" s="217"/>
    </row>
    <row r="1476" spans="1:30" x14ac:dyDescent="0.2">
      <c r="A1476" s="232"/>
      <c r="B1476" s="210"/>
      <c r="C1476" s="210"/>
      <c r="D1476" s="210"/>
      <c r="E1476" s="210"/>
      <c r="G1476" s="55"/>
      <c r="H1476" s="56"/>
      <c r="I1476" s="217"/>
      <c r="J1476" s="217"/>
      <c r="K1476" s="217"/>
      <c r="L1476" s="217"/>
      <c r="M1476" s="217"/>
      <c r="N1476" s="217"/>
      <c r="O1476" s="217"/>
      <c r="P1476" s="217"/>
      <c r="Q1476" s="217"/>
      <c r="R1476" s="217"/>
      <c r="S1476" s="217"/>
      <c r="T1476" s="217"/>
      <c r="U1476" s="217"/>
      <c r="V1476" s="217"/>
      <c r="W1476" s="217"/>
      <c r="X1476" s="217"/>
      <c r="Y1476" s="217"/>
      <c r="Z1476" s="217"/>
      <c r="AA1476" s="217"/>
      <c r="AB1476" s="217"/>
      <c r="AC1476" s="217"/>
      <c r="AD1476" s="217"/>
    </row>
    <row r="1477" spans="1:30" x14ac:dyDescent="0.2">
      <c r="A1477" s="232"/>
      <c r="B1477" s="210"/>
      <c r="C1477" s="210"/>
      <c r="D1477" s="210"/>
      <c r="E1477" s="210"/>
      <c r="G1477" s="55"/>
      <c r="H1477" s="56"/>
      <c r="I1477" s="217"/>
      <c r="J1477" s="217"/>
      <c r="K1477" s="217"/>
      <c r="L1477" s="217"/>
      <c r="M1477" s="217"/>
      <c r="N1477" s="217"/>
      <c r="O1477" s="217"/>
      <c r="P1477" s="217"/>
      <c r="Q1477" s="217"/>
      <c r="R1477" s="217"/>
      <c r="S1477" s="217"/>
      <c r="T1477" s="217"/>
      <c r="U1477" s="217"/>
      <c r="V1477" s="217"/>
      <c r="W1477" s="217"/>
      <c r="X1477" s="217"/>
      <c r="Y1477" s="217"/>
      <c r="Z1477" s="217"/>
      <c r="AA1477" s="217"/>
      <c r="AB1477" s="217"/>
      <c r="AC1477" s="217"/>
      <c r="AD1477" s="217"/>
    </row>
    <row r="1478" spans="1:30" x14ac:dyDescent="0.2">
      <c r="A1478" s="232"/>
      <c r="B1478" s="210"/>
      <c r="C1478" s="210"/>
      <c r="D1478" s="210"/>
      <c r="E1478" s="210"/>
      <c r="G1478" s="55"/>
      <c r="H1478" s="56"/>
      <c r="I1478" s="217"/>
      <c r="J1478" s="217"/>
      <c r="K1478" s="217"/>
      <c r="L1478" s="217"/>
      <c r="M1478" s="217"/>
      <c r="N1478" s="217"/>
      <c r="O1478" s="217"/>
      <c r="P1478" s="217"/>
      <c r="Q1478" s="217"/>
      <c r="R1478" s="217"/>
      <c r="S1478" s="217"/>
      <c r="T1478" s="217"/>
      <c r="U1478" s="217"/>
      <c r="V1478" s="217"/>
      <c r="W1478" s="217"/>
      <c r="X1478" s="217"/>
      <c r="Y1478" s="217"/>
      <c r="Z1478" s="217"/>
      <c r="AA1478" s="217"/>
      <c r="AB1478" s="217"/>
      <c r="AC1478" s="217"/>
      <c r="AD1478" s="217"/>
    </row>
    <row r="1479" spans="1:30" x14ac:dyDescent="0.2">
      <c r="A1479" s="232"/>
      <c r="B1479" s="210"/>
      <c r="C1479" s="210"/>
      <c r="D1479" s="210"/>
      <c r="E1479" s="210"/>
      <c r="G1479" s="55"/>
      <c r="H1479" s="56"/>
      <c r="I1479" s="217"/>
      <c r="J1479" s="217"/>
      <c r="K1479" s="217"/>
      <c r="L1479" s="217"/>
      <c r="M1479" s="217"/>
      <c r="N1479" s="217"/>
      <c r="O1479" s="217"/>
      <c r="P1479" s="217"/>
      <c r="Q1479" s="217"/>
      <c r="R1479" s="217"/>
      <c r="S1479" s="217"/>
      <c r="T1479" s="217"/>
      <c r="U1479" s="217"/>
      <c r="V1479" s="217"/>
      <c r="W1479" s="217"/>
      <c r="X1479" s="217"/>
      <c r="Y1479" s="217"/>
      <c r="Z1479" s="217"/>
      <c r="AA1479" s="217"/>
      <c r="AB1479" s="217"/>
      <c r="AC1479" s="217"/>
      <c r="AD1479" s="217"/>
    </row>
    <row r="1480" spans="1:30" x14ac:dyDescent="0.2">
      <c r="A1480" s="232"/>
      <c r="B1480" s="210"/>
      <c r="C1480" s="210"/>
      <c r="D1480" s="210"/>
      <c r="E1480" s="210"/>
      <c r="G1480" s="55"/>
      <c r="H1480" s="56"/>
      <c r="I1480" s="217"/>
      <c r="J1480" s="217"/>
      <c r="K1480" s="217"/>
      <c r="L1480" s="217"/>
      <c r="M1480" s="217"/>
      <c r="N1480" s="217"/>
      <c r="O1480" s="217"/>
      <c r="P1480" s="217"/>
      <c r="Q1480" s="217"/>
      <c r="R1480" s="217"/>
      <c r="S1480" s="217"/>
      <c r="T1480" s="217"/>
      <c r="U1480" s="217"/>
      <c r="V1480" s="217"/>
      <c r="W1480" s="217"/>
      <c r="X1480" s="217"/>
      <c r="Y1480" s="217"/>
      <c r="Z1480" s="217"/>
      <c r="AA1480" s="217"/>
      <c r="AB1480" s="217"/>
      <c r="AC1480" s="217"/>
      <c r="AD1480" s="217"/>
    </row>
    <row r="1481" spans="1:30" x14ac:dyDescent="0.2">
      <c r="A1481" s="232"/>
      <c r="B1481" s="210"/>
      <c r="C1481" s="210"/>
      <c r="D1481" s="210"/>
      <c r="E1481" s="210"/>
      <c r="G1481" s="55"/>
      <c r="H1481" s="56"/>
      <c r="I1481" s="217"/>
      <c r="J1481" s="217"/>
      <c r="K1481" s="217"/>
      <c r="L1481" s="217"/>
      <c r="M1481" s="217"/>
      <c r="N1481" s="217"/>
      <c r="O1481" s="217"/>
      <c r="P1481" s="217"/>
      <c r="Q1481" s="217"/>
      <c r="R1481" s="217"/>
      <c r="S1481" s="217"/>
      <c r="T1481" s="217"/>
      <c r="U1481" s="217"/>
      <c r="V1481" s="217"/>
      <c r="W1481" s="217"/>
      <c r="X1481" s="217"/>
      <c r="Y1481" s="217"/>
      <c r="Z1481" s="217"/>
      <c r="AA1481" s="217"/>
      <c r="AB1481" s="217"/>
      <c r="AC1481" s="217"/>
      <c r="AD1481" s="217"/>
    </row>
    <row r="1482" spans="1:30" x14ac:dyDescent="0.2">
      <c r="A1482" s="232"/>
      <c r="B1482" s="210"/>
      <c r="C1482" s="210"/>
      <c r="D1482" s="210"/>
      <c r="E1482" s="210"/>
      <c r="G1482" s="55"/>
      <c r="H1482" s="56"/>
      <c r="I1482" s="217"/>
      <c r="J1482" s="217"/>
      <c r="K1482" s="217"/>
      <c r="L1482" s="217"/>
      <c r="M1482" s="217"/>
      <c r="N1482" s="217"/>
      <c r="O1482" s="217"/>
      <c r="P1482" s="217"/>
      <c r="Q1482" s="217"/>
      <c r="R1482" s="217"/>
      <c r="S1482" s="217"/>
      <c r="T1482" s="217"/>
      <c r="U1482" s="217"/>
      <c r="V1482" s="217"/>
      <c r="W1482" s="217"/>
      <c r="X1482" s="217"/>
      <c r="Y1482" s="217"/>
      <c r="Z1482" s="217"/>
      <c r="AA1482" s="217"/>
      <c r="AB1482" s="217"/>
      <c r="AC1482" s="217"/>
      <c r="AD1482" s="217"/>
    </row>
    <row r="1483" spans="1:30" x14ac:dyDescent="0.2">
      <c r="A1483" s="232"/>
      <c r="B1483" s="210"/>
      <c r="C1483" s="210"/>
      <c r="D1483" s="210"/>
      <c r="E1483" s="210"/>
      <c r="G1483" s="55"/>
      <c r="H1483" s="56"/>
      <c r="I1483" s="217"/>
      <c r="J1483" s="217"/>
      <c r="K1483" s="217"/>
      <c r="L1483" s="217"/>
      <c r="M1483" s="217"/>
      <c r="N1483" s="217"/>
      <c r="O1483" s="217"/>
      <c r="P1483" s="217"/>
      <c r="Q1483" s="217"/>
      <c r="R1483" s="217"/>
      <c r="S1483" s="217"/>
      <c r="T1483" s="217"/>
      <c r="U1483" s="217"/>
      <c r="V1483" s="217"/>
      <c r="W1483" s="217"/>
      <c r="X1483" s="217"/>
      <c r="Y1483" s="217"/>
      <c r="Z1483" s="217"/>
      <c r="AA1483" s="217"/>
      <c r="AB1483" s="217"/>
      <c r="AC1483" s="217"/>
      <c r="AD1483" s="217"/>
    </row>
    <row r="1484" spans="1:30" x14ac:dyDescent="0.2">
      <c r="A1484" s="232"/>
      <c r="B1484" s="210"/>
      <c r="C1484" s="210"/>
      <c r="D1484" s="210"/>
      <c r="E1484" s="210"/>
      <c r="G1484" s="55"/>
      <c r="H1484" s="56"/>
      <c r="I1484" s="217"/>
      <c r="J1484" s="217"/>
      <c r="K1484" s="217"/>
      <c r="L1484" s="217"/>
      <c r="M1484" s="217"/>
      <c r="N1484" s="217"/>
      <c r="O1484" s="217"/>
      <c r="P1484" s="217"/>
      <c r="Q1484" s="217"/>
      <c r="R1484" s="217"/>
      <c r="S1484" s="217"/>
      <c r="T1484" s="217"/>
      <c r="U1484" s="217"/>
      <c r="V1484" s="217"/>
      <c r="W1484" s="217"/>
      <c r="X1484" s="217"/>
      <c r="Y1484" s="217"/>
      <c r="Z1484" s="217"/>
      <c r="AA1484" s="217"/>
      <c r="AB1484" s="217"/>
      <c r="AC1484" s="217"/>
      <c r="AD1484" s="217"/>
    </row>
    <row r="1485" spans="1:30" x14ac:dyDescent="0.2">
      <c r="A1485" s="232"/>
      <c r="B1485" s="210"/>
      <c r="C1485" s="210"/>
      <c r="D1485" s="210"/>
      <c r="E1485" s="210"/>
      <c r="G1485" s="55"/>
      <c r="H1485" s="56"/>
      <c r="I1485" s="217"/>
      <c r="J1485" s="217"/>
      <c r="K1485" s="217"/>
      <c r="L1485" s="217"/>
      <c r="M1485" s="217"/>
      <c r="N1485" s="217"/>
      <c r="O1485" s="217"/>
      <c r="P1485" s="217"/>
      <c r="Q1485" s="217"/>
      <c r="R1485" s="217"/>
      <c r="S1485" s="217"/>
      <c r="T1485" s="217"/>
      <c r="U1485" s="217"/>
      <c r="V1485" s="217"/>
      <c r="W1485" s="217"/>
      <c r="X1485" s="217"/>
      <c r="Y1485" s="217"/>
      <c r="Z1485" s="217"/>
      <c r="AA1485" s="217"/>
      <c r="AB1485" s="217"/>
      <c r="AC1485" s="217"/>
      <c r="AD1485" s="217"/>
    </row>
    <row r="1486" spans="1:30" x14ac:dyDescent="0.2">
      <c r="A1486" s="232"/>
      <c r="B1486" s="210"/>
      <c r="C1486" s="210"/>
      <c r="D1486" s="210"/>
      <c r="E1486" s="210"/>
      <c r="G1486" s="55"/>
      <c r="H1486" s="56"/>
      <c r="I1486" s="217"/>
      <c r="J1486" s="217"/>
      <c r="K1486" s="217"/>
      <c r="L1486" s="217"/>
      <c r="M1486" s="217"/>
      <c r="N1486" s="217"/>
      <c r="O1486" s="217"/>
      <c r="P1486" s="217"/>
      <c r="Q1486" s="217"/>
      <c r="R1486" s="217"/>
      <c r="S1486" s="217"/>
      <c r="T1486" s="217"/>
      <c r="U1486" s="217"/>
      <c r="V1486" s="217"/>
      <c r="W1486" s="217"/>
      <c r="X1486" s="217"/>
      <c r="Y1486" s="217"/>
      <c r="Z1486" s="217"/>
      <c r="AA1486" s="217"/>
      <c r="AB1486" s="217"/>
      <c r="AC1486" s="217"/>
      <c r="AD1486" s="217"/>
    </row>
    <row r="1487" spans="1:30" x14ac:dyDescent="0.2">
      <c r="A1487" s="232"/>
      <c r="B1487" s="210"/>
      <c r="C1487" s="210"/>
      <c r="D1487" s="210"/>
      <c r="E1487" s="210"/>
      <c r="G1487" s="55"/>
      <c r="H1487" s="56"/>
      <c r="I1487" s="217"/>
      <c r="J1487" s="217"/>
      <c r="K1487" s="217"/>
      <c r="L1487" s="217"/>
      <c r="M1487" s="217"/>
      <c r="N1487" s="217"/>
      <c r="O1487" s="217"/>
      <c r="P1487" s="217"/>
      <c r="Q1487" s="217"/>
      <c r="R1487" s="217"/>
      <c r="S1487" s="217"/>
      <c r="T1487" s="217"/>
      <c r="U1487" s="217"/>
      <c r="V1487" s="217"/>
      <c r="W1487" s="217"/>
      <c r="X1487" s="217"/>
      <c r="Y1487" s="217"/>
      <c r="Z1487" s="217"/>
      <c r="AA1487" s="217"/>
      <c r="AB1487" s="217"/>
      <c r="AC1487" s="217"/>
      <c r="AD1487" s="217"/>
    </row>
    <row r="1488" spans="1:30" x14ac:dyDescent="0.2">
      <c r="A1488" s="232"/>
      <c r="B1488" s="210"/>
      <c r="C1488" s="210"/>
      <c r="D1488" s="210"/>
      <c r="E1488" s="210"/>
      <c r="G1488" s="55"/>
      <c r="H1488" s="56"/>
      <c r="I1488" s="217"/>
      <c r="J1488" s="217"/>
      <c r="K1488" s="217"/>
      <c r="L1488" s="217"/>
      <c r="M1488" s="217"/>
      <c r="N1488" s="217"/>
      <c r="O1488" s="217"/>
      <c r="P1488" s="217"/>
      <c r="Q1488" s="217"/>
      <c r="R1488" s="217"/>
      <c r="S1488" s="217"/>
      <c r="T1488" s="217"/>
      <c r="U1488" s="217"/>
      <c r="V1488" s="217"/>
      <c r="W1488" s="217"/>
      <c r="X1488" s="217"/>
      <c r="Y1488" s="217"/>
      <c r="Z1488" s="217"/>
      <c r="AA1488" s="217"/>
      <c r="AB1488" s="217"/>
      <c r="AC1488" s="217"/>
      <c r="AD1488" s="217"/>
    </row>
    <row r="1489" spans="1:30" x14ac:dyDescent="0.2">
      <c r="A1489" s="232"/>
      <c r="B1489" s="210"/>
      <c r="C1489" s="210"/>
      <c r="D1489" s="210"/>
      <c r="E1489" s="210"/>
      <c r="G1489" s="55"/>
      <c r="H1489" s="56"/>
      <c r="I1489" s="217"/>
      <c r="J1489" s="217"/>
      <c r="K1489" s="217"/>
      <c r="L1489" s="217"/>
      <c r="M1489" s="217"/>
      <c r="N1489" s="217"/>
      <c r="O1489" s="217"/>
      <c r="P1489" s="217"/>
      <c r="Q1489" s="217"/>
      <c r="R1489" s="217"/>
      <c r="S1489" s="217"/>
      <c r="T1489" s="217"/>
      <c r="U1489" s="217"/>
      <c r="V1489" s="217"/>
      <c r="W1489" s="217"/>
      <c r="X1489" s="217"/>
      <c r="Y1489" s="217"/>
      <c r="Z1489" s="217"/>
      <c r="AA1489" s="217"/>
      <c r="AB1489" s="217"/>
      <c r="AC1489" s="217"/>
      <c r="AD1489" s="217"/>
    </row>
    <row r="1490" spans="1:30" x14ac:dyDescent="0.2">
      <c r="A1490" s="232"/>
      <c r="B1490" s="210"/>
      <c r="C1490" s="210"/>
      <c r="D1490" s="210"/>
      <c r="E1490" s="210"/>
      <c r="G1490" s="55"/>
      <c r="H1490" s="56"/>
      <c r="I1490" s="217"/>
      <c r="J1490" s="217"/>
      <c r="K1490" s="217"/>
      <c r="L1490" s="217"/>
      <c r="M1490" s="217"/>
      <c r="N1490" s="217"/>
      <c r="O1490" s="217"/>
      <c r="P1490" s="217"/>
      <c r="Q1490" s="217"/>
      <c r="R1490" s="217"/>
      <c r="S1490" s="217"/>
      <c r="T1490" s="217"/>
      <c r="U1490" s="217"/>
      <c r="V1490" s="217"/>
      <c r="W1490" s="217"/>
      <c r="X1490" s="217"/>
      <c r="Y1490" s="217"/>
      <c r="Z1490" s="217"/>
      <c r="AA1490" s="217"/>
      <c r="AB1490" s="217"/>
      <c r="AC1490" s="217"/>
      <c r="AD1490" s="217"/>
    </row>
    <row r="1491" spans="1:30" x14ac:dyDescent="0.2">
      <c r="A1491" s="232"/>
      <c r="B1491" s="210"/>
      <c r="C1491" s="210"/>
      <c r="D1491" s="210"/>
      <c r="E1491" s="210"/>
      <c r="G1491" s="55"/>
      <c r="H1491" s="56"/>
      <c r="I1491" s="217"/>
      <c r="J1491" s="217"/>
      <c r="K1491" s="217"/>
      <c r="L1491" s="217"/>
      <c r="M1491" s="217"/>
      <c r="N1491" s="217"/>
      <c r="O1491" s="217"/>
      <c r="P1491" s="217"/>
      <c r="Q1491" s="217"/>
      <c r="R1491" s="217"/>
      <c r="S1491" s="217"/>
      <c r="T1491" s="217"/>
      <c r="U1491" s="217"/>
      <c r="V1491" s="217"/>
      <c r="W1491" s="217"/>
      <c r="X1491" s="217"/>
      <c r="Y1491" s="217"/>
      <c r="Z1491" s="217"/>
      <c r="AA1491" s="217"/>
      <c r="AB1491" s="217"/>
      <c r="AC1491" s="217"/>
      <c r="AD1491" s="217"/>
    </row>
    <row r="1492" spans="1:30" x14ac:dyDescent="0.2">
      <c r="A1492" s="232"/>
      <c r="B1492" s="210"/>
      <c r="C1492" s="210"/>
      <c r="D1492" s="210"/>
      <c r="E1492" s="210"/>
      <c r="G1492" s="55"/>
      <c r="H1492" s="56"/>
      <c r="I1492" s="217"/>
      <c r="J1492" s="217"/>
      <c r="K1492" s="217"/>
      <c r="L1492" s="217"/>
      <c r="M1492" s="217"/>
      <c r="N1492" s="217"/>
      <c r="O1492" s="217"/>
      <c r="P1492" s="217"/>
      <c r="Q1492" s="217"/>
      <c r="R1492" s="217"/>
      <c r="S1492" s="217"/>
      <c r="T1492" s="217"/>
      <c r="U1492" s="217"/>
      <c r="V1492" s="217"/>
      <c r="W1492" s="217"/>
      <c r="X1492" s="217"/>
      <c r="Y1492" s="217"/>
      <c r="Z1492" s="217"/>
      <c r="AA1492" s="217"/>
      <c r="AB1492" s="217"/>
      <c r="AC1492" s="217"/>
      <c r="AD1492" s="217"/>
    </row>
    <row r="1493" spans="1:30" x14ac:dyDescent="0.2">
      <c r="A1493" s="232"/>
      <c r="B1493" s="210"/>
      <c r="C1493" s="210"/>
      <c r="D1493" s="210"/>
      <c r="E1493" s="210"/>
      <c r="G1493" s="55"/>
      <c r="H1493" s="56"/>
      <c r="I1493" s="217"/>
      <c r="J1493" s="217"/>
      <c r="K1493" s="217"/>
      <c r="L1493" s="217"/>
      <c r="M1493" s="217"/>
      <c r="N1493" s="217"/>
      <c r="O1493" s="217"/>
      <c r="P1493" s="217"/>
      <c r="Q1493" s="217"/>
      <c r="R1493" s="217"/>
      <c r="S1493" s="217"/>
      <c r="T1493" s="217"/>
      <c r="U1493" s="217"/>
      <c r="V1493" s="217"/>
      <c r="W1493" s="217"/>
      <c r="X1493" s="217"/>
      <c r="Y1493" s="217"/>
      <c r="Z1493" s="217"/>
      <c r="AA1493" s="217"/>
      <c r="AB1493" s="217"/>
      <c r="AC1493" s="217"/>
      <c r="AD1493" s="217"/>
    </row>
    <row r="1494" spans="1:30" x14ac:dyDescent="0.2">
      <c r="A1494" s="232"/>
      <c r="B1494" s="210"/>
      <c r="C1494" s="210"/>
      <c r="D1494" s="210"/>
      <c r="E1494" s="210"/>
      <c r="G1494" s="55"/>
      <c r="H1494" s="56"/>
      <c r="I1494" s="217"/>
      <c r="J1494" s="217"/>
      <c r="K1494" s="217"/>
      <c r="L1494" s="217"/>
      <c r="M1494" s="217"/>
      <c r="N1494" s="217"/>
      <c r="O1494" s="217"/>
      <c r="P1494" s="217"/>
      <c r="Q1494" s="217"/>
      <c r="R1494" s="217"/>
      <c r="S1494" s="217"/>
      <c r="T1494" s="217"/>
      <c r="U1494" s="217"/>
      <c r="V1494" s="217"/>
      <c r="W1494" s="217"/>
      <c r="X1494" s="217"/>
      <c r="Y1494" s="217"/>
      <c r="Z1494" s="217"/>
      <c r="AA1494" s="217"/>
      <c r="AB1494" s="217"/>
      <c r="AC1494" s="217"/>
      <c r="AD1494" s="217"/>
    </row>
    <row r="1495" spans="1:30" x14ac:dyDescent="0.2">
      <c r="A1495" s="232"/>
      <c r="B1495" s="210"/>
      <c r="C1495" s="210"/>
      <c r="D1495" s="210"/>
      <c r="E1495" s="210"/>
      <c r="G1495" s="55"/>
      <c r="H1495" s="56"/>
      <c r="I1495" s="217"/>
      <c r="J1495" s="217"/>
      <c r="K1495" s="217"/>
      <c r="L1495" s="217"/>
      <c r="M1495" s="217"/>
      <c r="N1495" s="217"/>
      <c r="O1495" s="217"/>
      <c r="P1495" s="217"/>
      <c r="Q1495" s="217"/>
      <c r="R1495" s="217"/>
      <c r="S1495" s="217"/>
      <c r="T1495" s="217"/>
      <c r="U1495" s="217"/>
      <c r="V1495" s="217"/>
      <c r="W1495" s="217"/>
      <c r="X1495" s="217"/>
      <c r="Y1495" s="217"/>
      <c r="Z1495" s="217"/>
      <c r="AA1495" s="217"/>
      <c r="AB1495" s="217"/>
      <c r="AC1495" s="217"/>
      <c r="AD1495" s="217"/>
    </row>
    <row r="1496" spans="1:30" x14ac:dyDescent="0.2">
      <c r="A1496" s="232"/>
      <c r="B1496" s="210"/>
      <c r="C1496" s="210"/>
      <c r="D1496" s="210"/>
      <c r="E1496" s="210"/>
      <c r="G1496" s="55"/>
      <c r="H1496" s="56"/>
      <c r="I1496" s="217"/>
      <c r="J1496" s="217"/>
      <c r="K1496" s="217"/>
      <c r="L1496" s="217"/>
      <c r="M1496" s="217"/>
      <c r="N1496" s="217"/>
      <c r="O1496" s="217"/>
      <c r="P1496" s="217"/>
      <c r="Q1496" s="217"/>
      <c r="R1496" s="217"/>
      <c r="S1496" s="217"/>
      <c r="T1496" s="217"/>
      <c r="U1496" s="217"/>
      <c r="V1496" s="217"/>
      <c r="W1496" s="217"/>
      <c r="X1496" s="217"/>
      <c r="Y1496" s="217"/>
      <c r="Z1496" s="217"/>
      <c r="AA1496" s="217"/>
      <c r="AB1496" s="217"/>
      <c r="AC1496" s="217"/>
      <c r="AD1496" s="217"/>
    </row>
    <row r="1497" spans="1:30" x14ac:dyDescent="0.2">
      <c r="A1497" s="232"/>
      <c r="B1497" s="210"/>
      <c r="C1497" s="210"/>
      <c r="D1497" s="210"/>
      <c r="E1497" s="210"/>
      <c r="G1497" s="55"/>
      <c r="H1497" s="56"/>
      <c r="I1497" s="217"/>
      <c r="J1497" s="217"/>
      <c r="K1497" s="217"/>
      <c r="L1497" s="217"/>
      <c r="M1497" s="217"/>
      <c r="N1497" s="217"/>
      <c r="O1497" s="217"/>
      <c r="P1497" s="217"/>
      <c r="Q1497" s="217"/>
      <c r="R1497" s="217"/>
      <c r="S1497" s="217"/>
      <c r="T1497" s="217"/>
      <c r="U1497" s="217"/>
      <c r="V1497" s="217"/>
      <c r="W1497" s="217"/>
      <c r="X1497" s="217"/>
      <c r="Y1497" s="217"/>
      <c r="Z1497" s="217"/>
      <c r="AA1497" s="217"/>
      <c r="AB1497" s="217"/>
      <c r="AC1497" s="217"/>
      <c r="AD1497" s="217"/>
    </row>
    <row r="1498" spans="1:30" x14ac:dyDescent="0.2">
      <c r="A1498" s="232"/>
      <c r="B1498" s="210"/>
      <c r="C1498" s="210"/>
      <c r="D1498" s="210"/>
      <c r="E1498" s="210"/>
      <c r="G1498" s="55"/>
      <c r="H1498" s="56"/>
      <c r="I1498" s="217"/>
      <c r="J1498" s="217"/>
      <c r="K1498" s="217"/>
      <c r="L1498" s="217"/>
      <c r="M1498" s="217"/>
      <c r="N1498" s="217"/>
      <c r="O1498" s="217"/>
      <c r="P1498" s="217"/>
      <c r="Q1498" s="217"/>
      <c r="R1498" s="217"/>
      <c r="S1498" s="217"/>
      <c r="T1498" s="217"/>
      <c r="U1498" s="217"/>
      <c r="V1498" s="217"/>
      <c r="W1498" s="217"/>
      <c r="X1498" s="217"/>
      <c r="Y1498" s="217"/>
      <c r="Z1498" s="217"/>
      <c r="AA1498" s="217"/>
      <c r="AB1498" s="217"/>
      <c r="AC1498" s="217"/>
      <c r="AD1498" s="217"/>
    </row>
    <row r="1499" spans="1:30" x14ac:dyDescent="0.2">
      <c r="A1499" s="232"/>
      <c r="B1499" s="210"/>
      <c r="C1499" s="210"/>
      <c r="D1499" s="210"/>
      <c r="E1499" s="210"/>
      <c r="G1499" s="55"/>
      <c r="H1499" s="56"/>
      <c r="I1499" s="217"/>
      <c r="J1499" s="217"/>
      <c r="K1499" s="217"/>
      <c r="L1499" s="217"/>
      <c r="M1499" s="217"/>
      <c r="N1499" s="217"/>
      <c r="O1499" s="217"/>
      <c r="P1499" s="217"/>
      <c r="Q1499" s="217"/>
      <c r="R1499" s="217"/>
      <c r="S1499" s="217"/>
      <c r="T1499" s="217"/>
      <c r="U1499" s="217"/>
      <c r="V1499" s="217"/>
      <c r="W1499" s="217"/>
      <c r="X1499" s="217"/>
      <c r="Y1499" s="217"/>
      <c r="Z1499" s="217"/>
      <c r="AA1499" s="217"/>
      <c r="AB1499" s="217"/>
      <c r="AC1499" s="217"/>
      <c r="AD1499" s="217"/>
    </row>
    <row r="1500" spans="1:30" x14ac:dyDescent="0.2">
      <c r="A1500" s="232"/>
      <c r="B1500" s="210"/>
      <c r="C1500" s="210"/>
      <c r="D1500" s="210"/>
      <c r="E1500" s="210"/>
      <c r="G1500" s="55"/>
      <c r="H1500" s="56"/>
      <c r="I1500" s="217"/>
      <c r="J1500" s="217"/>
      <c r="K1500" s="217"/>
      <c r="L1500" s="217"/>
      <c r="M1500" s="217"/>
      <c r="N1500" s="217"/>
      <c r="O1500" s="217"/>
      <c r="P1500" s="217"/>
      <c r="Q1500" s="217"/>
      <c r="R1500" s="217"/>
      <c r="S1500" s="217"/>
      <c r="T1500" s="217"/>
      <c r="U1500" s="217"/>
      <c r="V1500" s="217"/>
      <c r="W1500" s="217"/>
      <c r="X1500" s="217"/>
      <c r="Y1500" s="217"/>
      <c r="Z1500" s="217"/>
      <c r="AA1500" s="217"/>
      <c r="AB1500" s="217"/>
      <c r="AC1500" s="217"/>
      <c r="AD1500" s="217"/>
    </row>
    <row r="1501" spans="1:30" x14ac:dyDescent="0.2">
      <c r="A1501" s="232"/>
      <c r="B1501" s="210"/>
      <c r="C1501" s="210"/>
      <c r="D1501" s="210"/>
      <c r="E1501" s="210"/>
      <c r="G1501" s="55"/>
      <c r="H1501" s="56"/>
      <c r="I1501" s="217"/>
      <c r="J1501" s="217"/>
      <c r="K1501" s="217"/>
      <c r="L1501" s="217"/>
      <c r="M1501" s="217"/>
      <c r="N1501" s="217"/>
      <c r="O1501" s="217"/>
      <c r="P1501" s="217"/>
      <c r="Q1501" s="217"/>
      <c r="R1501" s="217"/>
      <c r="S1501" s="217"/>
      <c r="T1501" s="217"/>
      <c r="U1501" s="217"/>
      <c r="V1501" s="217"/>
      <c r="W1501" s="217"/>
      <c r="X1501" s="217"/>
      <c r="Y1501" s="217"/>
      <c r="Z1501" s="217"/>
      <c r="AA1501" s="217"/>
      <c r="AB1501" s="217"/>
      <c r="AC1501" s="217"/>
      <c r="AD1501" s="217"/>
    </row>
    <row r="1502" spans="1:30" x14ac:dyDescent="0.2">
      <c r="A1502" s="232"/>
      <c r="B1502" s="210"/>
      <c r="C1502" s="210"/>
      <c r="D1502" s="210"/>
      <c r="E1502" s="210"/>
      <c r="G1502" s="55"/>
      <c r="H1502" s="56"/>
      <c r="I1502" s="217"/>
      <c r="J1502" s="217"/>
      <c r="K1502" s="217"/>
      <c r="L1502" s="217"/>
      <c r="M1502" s="217"/>
      <c r="N1502" s="217"/>
      <c r="O1502" s="217"/>
      <c r="P1502" s="217"/>
      <c r="Q1502" s="217"/>
      <c r="R1502" s="217"/>
      <c r="S1502" s="217"/>
      <c r="T1502" s="217"/>
      <c r="U1502" s="217"/>
      <c r="V1502" s="217"/>
      <c r="W1502" s="217"/>
      <c r="X1502" s="217"/>
      <c r="Y1502" s="217"/>
      <c r="Z1502" s="217"/>
      <c r="AA1502" s="217"/>
      <c r="AB1502" s="217"/>
      <c r="AC1502" s="217"/>
      <c r="AD1502" s="217"/>
    </row>
    <row r="1503" spans="1:30" x14ac:dyDescent="0.2">
      <c r="A1503" s="232"/>
      <c r="B1503" s="210"/>
      <c r="C1503" s="210"/>
      <c r="D1503" s="210"/>
      <c r="E1503" s="210"/>
      <c r="G1503" s="55"/>
      <c r="H1503" s="56"/>
      <c r="I1503" s="217"/>
      <c r="J1503" s="217"/>
      <c r="K1503" s="217"/>
      <c r="L1503" s="217"/>
      <c r="M1503" s="217"/>
      <c r="N1503" s="217"/>
      <c r="O1503" s="217"/>
      <c r="P1503" s="217"/>
      <c r="Q1503" s="217"/>
      <c r="R1503" s="217"/>
      <c r="S1503" s="217"/>
      <c r="T1503" s="217"/>
      <c r="U1503" s="217"/>
      <c r="V1503" s="217"/>
      <c r="W1503" s="217"/>
      <c r="X1503" s="217"/>
      <c r="Y1503" s="217"/>
      <c r="Z1503" s="217"/>
      <c r="AA1503" s="217"/>
      <c r="AB1503" s="217"/>
      <c r="AC1503" s="217"/>
      <c r="AD1503" s="217"/>
    </row>
    <row r="1504" spans="1:30" x14ac:dyDescent="0.2">
      <c r="A1504" s="232"/>
      <c r="B1504" s="210"/>
      <c r="C1504" s="210"/>
      <c r="D1504" s="210"/>
      <c r="E1504" s="210"/>
      <c r="G1504" s="55"/>
      <c r="H1504" s="56"/>
      <c r="I1504" s="217"/>
      <c r="J1504" s="217"/>
      <c r="K1504" s="217"/>
      <c r="L1504" s="217"/>
      <c r="M1504" s="217"/>
      <c r="N1504" s="217"/>
      <c r="O1504" s="217"/>
      <c r="P1504" s="217"/>
      <c r="Q1504" s="217"/>
      <c r="R1504" s="217"/>
      <c r="S1504" s="217"/>
      <c r="T1504" s="217"/>
      <c r="U1504" s="217"/>
      <c r="V1504" s="217"/>
      <c r="W1504" s="217"/>
      <c r="X1504" s="217"/>
      <c r="Y1504" s="217"/>
      <c r="Z1504" s="217"/>
      <c r="AA1504" s="217"/>
      <c r="AB1504" s="217"/>
      <c r="AC1504" s="217"/>
      <c r="AD1504" s="217"/>
    </row>
    <row r="1505" spans="1:30" x14ac:dyDescent="0.2">
      <c r="A1505" s="232"/>
      <c r="B1505" s="210"/>
      <c r="C1505" s="210"/>
      <c r="D1505" s="210"/>
      <c r="E1505" s="210"/>
      <c r="G1505" s="55"/>
      <c r="H1505" s="56"/>
      <c r="I1505" s="217"/>
      <c r="J1505" s="217"/>
      <c r="K1505" s="217"/>
      <c r="L1505" s="217"/>
      <c r="M1505" s="217"/>
      <c r="N1505" s="217"/>
      <c r="O1505" s="217"/>
      <c r="P1505" s="217"/>
      <c r="Q1505" s="217"/>
      <c r="R1505" s="217"/>
      <c r="S1505" s="217"/>
      <c r="T1505" s="217"/>
      <c r="U1505" s="217"/>
      <c r="V1505" s="217"/>
      <c r="W1505" s="217"/>
      <c r="X1505" s="217"/>
      <c r="Y1505" s="217"/>
      <c r="Z1505" s="217"/>
      <c r="AA1505" s="217"/>
      <c r="AB1505" s="217"/>
      <c r="AC1505" s="217"/>
      <c r="AD1505" s="217"/>
    </row>
    <row r="1506" spans="1:30" x14ac:dyDescent="0.2">
      <c r="A1506" s="232"/>
      <c r="B1506" s="210"/>
      <c r="C1506" s="210"/>
      <c r="D1506" s="210"/>
      <c r="E1506" s="210"/>
      <c r="G1506" s="55"/>
      <c r="H1506" s="56"/>
      <c r="I1506" s="217"/>
      <c r="J1506" s="217"/>
      <c r="K1506" s="217"/>
      <c r="L1506" s="217"/>
      <c r="M1506" s="217"/>
      <c r="N1506" s="217"/>
      <c r="O1506" s="217"/>
      <c r="P1506" s="217"/>
      <c r="Q1506" s="217"/>
      <c r="R1506" s="217"/>
      <c r="S1506" s="217"/>
      <c r="T1506" s="217"/>
      <c r="U1506" s="217"/>
      <c r="V1506" s="217"/>
      <c r="W1506" s="217"/>
      <c r="X1506" s="217"/>
      <c r="Y1506" s="217"/>
      <c r="Z1506" s="217"/>
      <c r="AA1506" s="217"/>
      <c r="AB1506" s="217"/>
      <c r="AC1506" s="217"/>
      <c r="AD1506" s="217"/>
    </row>
    <row r="1507" spans="1:30" x14ac:dyDescent="0.2">
      <c r="A1507" s="232"/>
      <c r="B1507" s="210"/>
      <c r="C1507" s="210"/>
      <c r="D1507" s="210"/>
      <c r="E1507" s="210"/>
      <c r="G1507" s="55"/>
      <c r="H1507" s="56"/>
      <c r="I1507" s="217"/>
      <c r="J1507" s="217"/>
      <c r="K1507" s="217"/>
      <c r="L1507" s="217"/>
      <c r="M1507" s="217"/>
      <c r="N1507" s="217"/>
      <c r="O1507" s="217"/>
      <c r="P1507" s="217"/>
      <c r="Q1507" s="217"/>
      <c r="R1507" s="217"/>
      <c r="S1507" s="217"/>
      <c r="T1507" s="217"/>
      <c r="U1507" s="217"/>
      <c r="V1507" s="217"/>
      <c r="W1507" s="217"/>
      <c r="X1507" s="217"/>
      <c r="Y1507" s="217"/>
      <c r="Z1507" s="217"/>
      <c r="AA1507" s="217"/>
      <c r="AB1507" s="217"/>
      <c r="AC1507" s="217"/>
      <c r="AD1507" s="217"/>
    </row>
    <row r="1508" spans="1:30" x14ac:dyDescent="0.2">
      <c r="A1508" s="232"/>
      <c r="B1508" s="210"/>
      <c r="C1508" s="210"/>
      <c r="D1508" s="210"/>
      <c r="E1508" s="210"/>
      <c r="G1508" s="55"/>
      <c r="H1508" s="56"/>
      <c r="I1508" s="217"/>
      <c r="J1508" s="217"/>
      <c r="K1508" s="217"/>
      <c r="L1508" s="217"/>
      <c r="M1508" s="217"/>
      <c r="N1508" s="217"/>
      <c r="O1508" s="217"/>
      <c r="P1508" s="217"/>
      <c r="Q1508" s="217"/>
      <c r="R1508" s="217"/>
      <c r="S1508" s="217"/>
      <c r="T1508" s="217"/>
      <c r="U1508" s="217"/>
      <c r="V1508" s="217"/>
      <c r="W1508" s="217"/>
      <c r="X1508" s="217"/>
      <c r="Y1508" s="217"/>
      <c r="Z1508" s="217"/>
      <c r="AA1508" s="217"/>
      <c r="AB1508" s="217"/>
      <c r="AC1508" s="217"/>
      <c r="AD1508" s="217"/>
    </row>
    <row r="1509" spans="1:30" x14ac:dyDescent="0.2">
      <c r="A1509" s="232"/>
      <c r="B1509" s="210"/>
      <c r="C1509" s="210"/>
      <c r="D1509" s="210"/>
      <c r="E1509" s="210"/>
      <c r="G1509" s="55"/>
      <c r="H1509" s="56"/>
      <c r="I1509" s="217"/>
      <c r="J1509" s="217"/>
      <c r="K1509" s="217"/>
      <c r="L1509" s="217"/>
      <c r="M1509" s="217"/>
      <c r="N1509" s="217"/>
      <c r="O1509" s="217"/>
      <c r="P1509" s="217"/>
      <c r="Q1509" s="217"/>
      <c r="R1509" s="217"/>
      <c r="S1509" s="217"/>
      <c r="T1509" s="217"/>
      <c r="U1509" s="217"/>
      <c r="V1509" s="217"/>
      <c r="W1509" s="217"/>
      <c r="X1509" s="217"/>
      <c r="Y1509" s="217"/>
      <c r="Z1509" s="217"/>
      <c r="AA1509" s="217"/>
      <c r="AB1509" s="217"/>
      <c r="AC1509" s="217"/>
      <c r="AD1509" s="217"/>
    </row>
    <row r="1510" spans="1:30" x14ac:dyDescent="0.2">
      <c r="A1510" s="232"/>
      <c r="B1510" s="210"/>
      <c r="C1510" s="210"/>
      <c r="D1510" s="210"/>
      <c r="E1510" s="210"/>
      <c r="G1510" s="55"/>
      <c r="H1510" s="56"/>
      <c r="I1510" s="217"/>
      <c r="J1510" s="217"/>
      <c r="K1510" s="217"/>
      <c r="L1510" s="217"/>
      <c r="M1510" s="217"/>
      <c r="N1510" s="217"/>
      <c r="O1510" s="217"/>
      <c r="P1510" s="217"/>
      <c r="Q1510" s="217"/>
      <c r="R1510" s="217"/>
      <c r="S1510" s="217"/>
      <c r="T1510" s="217"/>
      <c r="U1510" s="217"/>
      <c r="V1510" s="217"/>
      <c r="W1510" s="217"/>
      <c r="X1510" s="217"/>
      <c r="Y1510" s="217"/>
      <c r="Z1510" s="217"/>
      <c r="AA1510" s="217"/>
      <c r="AB1510" s="217"/>
      <c r="AC1510" s="217"/>
      <c r="AD1510" s="217"/>
    </row>
    <row r="1511" spans="1:30" x14ac:dyDescent="0.2">
      <c r="A1511" s="232"/>
      <c r="B1511" s="210"/>
      <c r="C1511" s="210"/>
      <c r="D1511" s="210"/>
      <c r="E1511" s="210"/>
      <c r="G1511" s="55"/>
      <c r="H1511" s="56"/>
      <c r="I1511" s="217"/>
      <c r="J1511" s="217"/>
      <c r="K1511" s="217"/>
      <c r="L1511" s="217"/>
      <c r="M1511" s="217"/>
      <c r="N1511" s="217"/>
      <c r="O1511" s="217"/>
      <c r="P1511" s="217"/>
      <c r="Q1511" s="217"/>
      <c r="R1511" s="217"/>
      <c r="S1511" s="217"/>
      <c r="T1511" s="217"/>
      <c r="U1511" s="217"/>
      <c r="V1511" s="217"/>
      <c r="W1511" s="217"/>
      <c r="X1511" s="217"/>
      <c r="Y1511" s="217"/>
      <c r="Z1511" s="217"/>
      <c r="AA1511" s="217"/>
      <c r="AB1511" s="217"/>
      <c r="AC1511" s="217"/>
      <c r="AD1511" s="217"/>
    </row>
    <row r="1512" spans="1:30" x14ac:dyDescent="0.2">
      <c r="A1512" s="232"/>
      <c r="B1512" s="210"/>
      <c r="C1512" s="210"/>
      <c r="D1512" s="210"/>
      <c r="E1512" s="210"/>
      <c r="G1512" s="55"/>
      <c r="H1512" s="56"/>
      <c r="I1512" s="217"/>
      <c r="J1512" s="217"/>
      <c r="K1512" s="217"/>
      <c r="L1512" s="217"/>
      <c r="M1512" s="217"/>
      <c r="N1512" s="217"/>
      <c r="O1512" s="217"/>
      <c r="P1512" s="217"/>
      <c r="Q1512" s="217"/>
      <c r="R1512" s="217"/>
      <c r="S1512" s="217"/>
      <c r="T1512" s="217"/>
      <c r="U1512" s="217"/>
      <c r="V1512" s="217"/>
      <c r="W1512" s="217"/>
      <c r="X1512" s="217"/>
      <c r="Y1512" s="217"/>
      <c r="Z1512" s="217"/>
      <c r="AA1512" s="217"/>
      <c r="AB1512" s="217"/>
      <c r="AC1512" s="217"/>
      <c r="AD1512" s="217"/>
    </row>
    <row r="1513" spans="1:30" x14ac:dyDescent="0.2">
      <c r="A1513" s="232"/>
      <c r="B1513" s="210"/>
      <c r="C1513" s="210"/>
      <c r="D1513" s="210"/>
      <c r="E1513" s="210"/>
      <c r="G1513" s="55"/>
      <c r="H1513" s="56"/>
      <c r="I1513" s="217"/>
      <c r="J1513" s="217"/>
      <c r="K1513" s="217"/>
      <c r="L1513" s="217"/>
      <c r="M1513" s="217"/>
      <c r="N1513" s="217"/>
      <c r="O1513" s="217"/>
      <c r="P1513" s="217"/>
      <c r="Q1513" s="217"/>
      <c r="R1513" s="217"/>
      <c r="S1513" s="217"/>
      <c r="T1513" s="217"/>
      <c r="U1513" s="217"/>
      <c r="V1513" s="217"/>
      <c r="W1513" s="217"/>
      <c r="X1513" s="217"/>
      <c r="Y1513" s="217"/>
      <c r="Z1513" s="217"/>
      <c r="AA1513" s="217"/>
      <c r="AB1513" s="217"/>
      <c r="AC1513" s="217"/>
      <c r="AD1513" s="217"/>
    </row>
    <row r="1514" spans="1:30" x14ac:dyDescent="0.2">
      <c r="A1514" s="232"/>
      <c r="B1514" s="210"/>
      <c r="C1514" s="210"/>
      <c r="D1514" s="210"/>
      <c r="E1514" s="210"/>
      <c r="G1514" s="55"/>
      <c r="H1514" s="56"/>
      <c r="I1514" s="217"/>
      <c r="J1514" s="217"/>
      <c r="K1514" s="217"/>
      <c r="L1514" s="217"/>
      <c r="M1514" s="217"/>
      <c r="N1514" s="217"/>
      <c r="O1514" s="217"/>
      <c r="P1514" s="217"/>
      <c r="Q1514" s="217"/>
      <c r="R1514" s="217"/>
      <c r="S1514" s="217"/>
      <c r="T1514" s="217"/>
      <c r="U1514" s="217"/>
      <c r="V1514" s="217"/>
      <c r="W1514" s="217"/>
      <c r="X1514" s="217"/>
      <c r="Y1514" s="217"/>
      <c r="Z1514" s="217"/>
      <c r="AA1514" s="217"/>
      <c r="AB1514" s="217"/>
      <c r="AC1514" s="217"/>
      <c r="AD1514" s="217"/>
    </row>
    <row r="1515" spans="1:30" x14ac:dyDescent="0.2">
      <c r="A1515" s="232"/>
      <c r="B1515" s="210"/>
      <c r="C1515" s="210"/>
      <c r="D1515" s="210"/>
      <c r="E1515" s="210"/>
      <c r="G1515" s="55"/>
      <c r="H1515" s="56"/>
      <c r="I1515" s="217"/>
      <c r="J1515" s="217"/>
      <c r="K1515" s="217"/>
      <c r="L1515" s="217"/>
      <c r="M1515" s="217"/>
      <c r="N1515" s="217"/>
      <c r="O1515" s="217"/>
      <c r="P1515" s="217"/>
      <c r="Q1515" s="217"/>
      <c r="R1515" s="217"/>
      <c r="S1515" s="217"/>
      <c r="T1515" s="217"/>
      <c r="U1515" s="217"/>
      <c r="V1515" s="217"/>
      <c r="W1515" s="217"/>
      <c r="X1515" s="217"/>
      <c r="Y1515" s="217"/>
      <c r="Z1515" s="217"/>
      <c r="AA1515" s="217"/>
      <c r="AB1515" s="217"/>
      <c r="AC1515" s="217"/>
      <c r="AD1515" s="217"/>
    </row>
    <row r="1516" spans="1:30" x14ac:dyDescent="0.2">
      <c r="A1516" s="232"/>
      <c r="B1516" s="210"/>
      <c r="C1516" s="210"/>
      <c r="D1516" s="210"/>
      <c r="E1516" s="210"/>
      <c r="G1516" s="55"/>
      <c r="H1516" s="56"/>
      <c r="I1516" s="217"/>
      <c r="J1516" s="217"/>
      <c r="K1516" s="217"/>
      <c r="L1516" s="217"/>
      <c r="M1516" s="217"/>
      <c r="N1516" s="217"/>
      <c r="O1516" s="217"/>
      <c r="P1516" s="217"/>
      <c r="Q1516" s="217"/>
      <c r="R1516" s="217"/>
      <c r="S1516" s="217"/>
      <c r="T1516" s="217"/>
      <c r="U1516" s="217"/>
      <c r="V1516" s="217"/>
      <c r="W1516" s="217"/>
      <c r="X1516" s="217"/>
      <c r="Y1516" s="217"/>
      <c r="Z1516" s="217"/>
      <c r="AA1516" s="217"/>
      <c r="AB1516" s="217"/>
      <c r="AC1516" s="217"/>
      <c r="AD1516" s="217"/>
    </row>
    <row r="1517" spans="1:30" x14ac:dyDescent="0.2">
      <c r="A1517" s="232"/>
      <c r="B1517" s="210"/>
      <c r="C1517" s="210"/>
      <c r="D1517" s="210"/>
      <c r="E1517" s="210"/>
      <c r="G1517" s="55"/>
      <c r="H1517" s="56"/>
      <c r="I1517" s="217"/>
      <c r="J1517" s="217"/>
      <c r="K1517" s="217"/>
      <c r="L1517" s="217"/>
      <c r="M1517" s="217"/>
      <c r="N1517" s="217"/>
      <c r="O1517" s="217"/>
      <c r="P1517" s="217"/>
      <c r="Q1517" s="217"/>
      <c r="R1517" s="217"/>
      <c r="S1517" s="217"/>
      <c r="T1517" s="217"/>
      <c r="U1517" s="217"/>
      <c r="V1517" s="217"/>
      <c r="W1517" s="217"/>
      <c r="X1517" s="217"/>
      <c r="Y1517" s="217"/>
      <c r="Z1517" s="217"/>
      <c r="AA1517" s="217"/>
      <c r="AB1517" s="217"/>
      <c r="AC1517" s="217"/>
      <c r="AD1517" s="217"/>
    </row>
    <row r="1518" spans="1:30" x14ac:dyDescent="0.2">
      <c r="A1518" s="232"/>
      <c r="B1518" s="210"/>
      <c r="C1518" s="210"/>
      <c r="D1518" s="210"/>
      <c r="E1518" s="210"/>
      <c r="G1518" s="55"/>
      <c r="H1518" s="56"/>
      <c r="I1518" s="217"/>
      <c r="J1518" s="217"/>
      <c r="K1518" s="217"/>
      <c r="L1518" s="217"/>
      <c r="M1518" s="217"/>
      <c r="N1518" s="217"/>
      <c r="O1518" s="217"/>
      <c r="P1518" s="217"/>
      <c r="Q1518" s="217"/>
      <c r="R1518" s="217"/>
      <c r="S1518" s="217"/>
      <c r="T1518" s="217"/>
      <c r="U1518" s="217"/>
      <c r="V1518" s="217"/>
      <c r="W1518" s="217"/>
      <c r="X1518" s="217"/>
      <c r="Y1518" s="217"/>
      <c r="Z1518" s="217"/>
      <c r="AA1518" s="217"/>
      <c r="AB1518" s="217"/>
      <c r="AC1518" s="217"/>
      <c r="AD1518" s="217"/>
    </row>
    <row r="1519" spans="1:30" x14ac:dyDescent="0.2">
      <c r="A1519" s="232"/>
      <c r="B1519" s="210"/>
      <c r="C1519" s="210"/>
      <c r="D1519" s="210"/>
      <c r="E1519" s="210"/>
      <c r="G1519" s="55"/>
      <c r="H1519" s="56"/>
      <c r="I1519" s="217"/>
      <c r="J1519" s="217"/>
      <c r="K1519" s="217"/>
      <c r="L1519" s="217"/>
      <c r="M1519" s="217"/>
      <c r="N1519" s="217"/>
      <c r="O1519" s="217"/>
      <c r="P1519" s="217"/>
      <c r="Q1519" s="217"/>
      <c r="R1519" s="217"/>
      <c r="S1519" s="217"/>
      <c r="T1519" s="217"/>
      <c r="U1519" s="217"/>
      <c r="V1519" s="217"/>
      <c r="W1519" s="217"/>
      <c r="X1519" s="217"/>
      <c r="Y1519" s="217"/>
      <c r="Z1519" s="217"/>
      <c r="AA1519" s="217"/>
      <c r="AB1519" s="217"/>
      <c r="AC1519" s="217"/>
      <c r="AD1519" s="217"/>
    </row>
    <row r="1520" spans="1:30" x14ac:dyDescent="0.2">
      <c r="A1520" s="232"/>
      <c r="B1520" s="210"/>
      <c r="C1520" s="210"/>
      <c r="D1520" s="210"/>
      <c r="E1520" s="210"/>
      <c r="G1520" s="55"/>
      <c r="H1520" s="56"/>
      <c r="I1520" s="217"/>
      <c r="J1520" s="217"/>
      <c r="K1520" s="217"/>
      <c r="L1520" s="217"/>
      <c r="M1520" s="217"/>
      <c r="N1520" s="217"/>
      <c r="O1520" s="217"/>
      <c r="P1520" s="217"/>
      <c r="Q1520" s="217"/>
      <c r="R1520" s="217"/>
      <c r="S1520" s="217"/>
      <c r="T1520" s="217"/>
      <c r="U1520" s="217"/>
      <c r="V1520" s="217"/>
      <c r="W1520" s="217"/>
      <c r="X1520" s="217"/>
      <c r="Y1520" s="217"/>
      <c r="Z1520" s="217"/>
      <c r="AA1520" s="217"/>
      <c r="AB1520" s="217"/>
      <c r="AC1520" s="217"/>
      <c r="AD1520" s="217"/>
    </row>
    <row r="1521" spans="1:30" x14ac:dyDescent="0.2">
      <c r="A1521" s="232"/>
      <c r="B1521" s="210"/>
      <c r="C1521" s="210"/>
      <c r="D1521" s="210"/>
      <c r="E1521" s="210"/>
      <c r="G1521" s="55"/>
      <c r="H1521" s="56"/>
      <c r="I1521" s="217"/>
      <c r="J1521" s="217"/>
      <c r="K1521" s="217"/>
      <c r="L1521" s="217"/>
      <c r="M1521" s="217"/>
      <c r="N1521" s="217"/>
      <c r="O1521" s="217"/>
      <c r="P1521" s="217"/>
      <c r="Q1521" s="217"/>
      <c r="R1521" s="217"/>
      <c r="S1521" s="217"/>
      <c r="T1521" s="217"/>
      <c r="U1521" s="217"/>
      <c r="V1521" s="217"/>
      <c r="W1521" s="217"/>
      <c r="X1521" s="217"/>
      <c r="Y1521" s="217"/>
      <c r="Z1521" s="217"/>
      <c r="AA1521" s="217"/>
      <c r="AB1521" s="217"/>
      <c r="AC1521" s="217"/>
      <c r="AD1521" s="217"/>
    </row>
    <row r="1522" spans="1:30" x14ac:dyDescent="0.2">
      <c r="A1522" s="232"/>
      <c r="B1522" s="210"/>
      <c r="C1522" s="210"/>
      <c r="D1522" s="210"/>
      <c r="E1522" s="210"/>
      <c r="G1522" s="55"/>
      <c r="H1522" s="56"/>
      <c r="I1522" s="217"/>
      <c r="J1522" s="217"/>
      <c r="K1522" s="217"/>
      <c r="L1522" s="217"/>
      <c r="M1522" s="217"/>
      <c r="N1522" s="217"/>
      <c r="O1522" s="217"/>
      <c r="P1522" s="217"/>
      <c r="Q1522" s="217"/>
      <c r="R1522" s="217"/>
      <c r="S1522" s="217"/>
      <c r="T1522" s="217"/>
      <c r="U1522" s="217"/>
      <c r="V1522" s="217"/>
      <c r="W1522" s="217"/>
      <c r="X1522" s="217"/>
      <c r="Y1522" s="217"/>
      <c r="Z1522" s="217"/>
      <c r="AA1522" s="217"/>
      <c r="AB1522" s="217"/>
      <c r="AC1522" s="217"/>
      <c r="AD1522" s="217"/>
    </row>
    <row r="1523" spans="1:30" x14ac:dyDescent="0.2">
      <c r="A1523" s="232"/>
      <c r="B1523" s="210"/>
      <c r="C1523" s="210"/>
      <c r="D1523" s="210"/>
      <c r="E1523" s="210"/>
      <c r="G1523" s="55"/>
      <c r="H1523" s="56"/>
      <c r="I1523" s="217"/>
      <c r="J1523" s="217"/>
      <c r="K1523" s="217"/>
      <c r="L1523" s="217"/>
      <c r="M1523" s="217"/>
      <c r="N1523" s="217"/>
      <c r="O1523" s="217"/>
      <c r="P1523" s="217"/>
      <c r="Q1523" s="217"/>
      <c r="R1523" s="217"/>
      <c r="S1523" s="217"/>
      <c r="T1523" s="217"/>
      <c r="U1523" s="217"/>
      <c r="V1523" s="217"/>
      <c r="W1523" s="217"/>
      <c r="X1523" s="217"/>
      <c r="Y1523" s="217"/>
      <c r="Z1523" s="217"/>
      <c r="AA1523" s="217"/>
      <c r="AB1523" s="217"/>
      <c r="AC1523" s="217"/>
      <c r="AD1523" s="217"/>
    </row>
    <row r="1524" spans="1:30" x14ac:dyDescent="0.2">
      <c r="A1524" s="232"/>
      <c r="B1524" s="210"/>
      <c r="C1524" s="210"/>
      <c r="D1524" s="210"/>
      <c r="E1524" s="210"/>
      <c r="G1524" s="55"/>
      <c r="H1524" s="56"/>
      <c r="I1524" s="217"/>
      <c r="J1524" s="217"/>
      <c r="K1524" s="217"/>
      <c r="L1524" s="217"/>
      <c r="M1524" s="217"/>
      <c r="N1524" s="217"/>
      <c r="O1524" s="217"/>
      <c r="P1524" s="217"/>
      <c r="Q1524" s="217"/>
      <c r="R1524" s="217"/>
      <c r="S1524" s="217"/>
      <c r="T1524" s="217"/>
      <c r="U1524" s="217"/>
      <c r="V1524" s="217"/>
      <c r="W1524" s="217"/>
      <c r="X1524" s="217"/>
      <c r="Y1524" s="217"/>
      <c r="Z1524" s="217"/>
      <c r="AA1524" s="217"/>
      <c r="AB1524" s="217"/>
      <c r="AC1524" s="217"/>
      <c r="AD1524" s="217"/>
    </row>
    <row r="1525" spans="1:30" x14ac:dyDescent="0.2">
      <c r="A1525" s="232"/>
      <c r="B1525" s="210"/>
      <c r="C1525" s="210"/>
      <c r="D1525" s="210"/>
      <c r="E1525" s="210"/>
      <c r="G1525" s="55"/>
      <c r="H1525" s="56"/>
      <c r="I1525" s="217"/>
      <c r="J1525" s="217"/>
      <c r="K1525" s="217"/>
      <c r="L1525" s="217"/>
      <c r="M1525" s="217"/>
      <c r="N1525" s="217"/>
      <c r="O1525" s="217"/>
      <c r="P1525" s="217"/>
      <c r="Q1525" s="217"/>
      <c r="R1525" s="217"/>
      <c r="S1525" s="217"/>
      <c r="T1525" s="217"/>
      <c r="U1525" s="217"/>
      <c r="V1525" s="217"/>
      <c r="W1525" s="217"/>
      <c r="X1525" s="217"/>
      <c r="Y1525" s="217"/>
      <c r="Z1525" s="217"/>
      <c r="AA1525" s="217"/>
      <c r="AB1525" s="217"/>
      <c r="AC1525" s="217"/>
      <c r="AD1525" s="217"/>
    </row>
    <row r="1526" spans="1:30" x14ac:dyDescent="0.2">
      <c r="A1526" s="232"/>
      <c r="B1526" s="210"/>
      <c r="C1526" s="210"/>
      <c r="D1526" s="210"/>
      <c r="E1526" s="210"/>
      <c r="G1526" s="55"/>
      <c r="H1526" s="56"/>
      <c r="I1526" s="217"/>
      <c r="J1526" s="217"/>
      <c r="K1526" s="217"/>
      <c r="L1526" s="217"/>
      <c r="M1526" s="217"/>
      <c r="N1526" s="217"/>
      <c r="O1526" s="217"/>
      <c r="P1526" s="217"/>
      <c r="Q1526" s="217"/>
      <c r="R1526" s="217"/>
      <c r="S1526" s="217"/>
      <c r="T1526" s="217"/>
      <c r="U1526" s="217"/>
      <c r="V1526" s="217"/>
      <c r="W1526" s="217"/>
      <c r="X1526" s="217"/>
      <c r="Y1526" s="217"/>
      <c r="Z1526" s="217"/>
      <c r="AA1526" s="217"/>
      <c r="AB1526" s="217"/>
      <c r="AC1526" s="217"/>
      <c r="AD1526" s="217"/>
    </row>
    <row r="1527" spans="1:30" x14ac:dyDescent="0.2">
      <c r="A1527" s="232"/>
      <c r="B1527" s="210"/>
      <c r="C1527" s="210"/>
      <c r="D1527" s="210"/>
      <c r="E1527" s="210"/>
      <c r="G1527" s="55"/>
      <c r="H1527" s="56"/>
      <c r="I1527" s="217"/>
      <c r="J1527" s="217"/>
      <c r="K1527" s="217"/>
      <c r="L1527" s="217"/>
      <c r="M1527" s="217"/>
      <c r="N1527" s="217"/>
      <c r="O1527" s="217"/>
      <c r="P1527" s="217"/>
      <c r="Q1527" s="217"/>
      <c r="R1527" s="217"/>
      <c r="S1527" s="217"/>
      <c r="T1527" s="217"/>
      <c r="U1527" s="217"/>
      <c r="V1527" s="217"/>
      <c r="W1527" s="217"/>
      <c r="X1527" s="217"/>
      <c r="Y1527" s="217"/>
      <c r="Z1527" s="217"/>
      <c r="AA1527" s="217"/>
      <c r="AB1527" s="217"/>
      <c r="AC1527" s="217"/>
      <c r="AD1527" s="217"/>
    </row>
    <row r="1528" spans="1:30" x14ac:dyDescent="0.2">
      <c r="A1528" s="232"/>
      <c r="B1528" s="210"/>
      <c r="C1528" s="210"/>
      <c r="D1528" s="210"/>
      <c r="E1528" s="210"/>
      <c r="G1528" s="55"/>
      <c r="H1528" s="56"/>
      <c r="I1528" s="217"/>
      <c r="J1528" s="217"/>
      <c r="K1528" s="217"/>
      <c r="L1528" s="217"/>
      <c r="M1528" s="217"/>
      <c r="N1528" s="217"/>
      <c r="O1528" s="217"/>
      <c r="P1528" s="217"/>
      <c r="Q1528" s="217"/>
      <c r="R1528" s="217"/>
      <c r="S1528" s="217"/>
      <c r="T1528" s="217"/>
      <c r="U1528" s="217"/>
      <c r="V1528" s="217"/>
      <c r="W1528" s="217"/>
      <c r="X1528" s="217"/>
      <c r="Y1528" s="217"/>
      <c r="Z1528" s="217"/>
      <c r="AA1528" s="217"/>
      <c r="AB1528" s="217"/>
      <c r="AC1528" s="217"/>
      <c r="AD1528" s="217"/>
    </row>
    <row r="1529" spans="1:30" x14ac:dyDescent="0.2">
      <c r="A1529" s="232"/>
      <c r="B1529" s="210"/>
      <c r="C1529" s="210"/>
      <c r="D1529" s="210"/>
      <c r="E1529" s="210"/>
      <c r="G1529" s="55"/>
      <c r="H1529" s="56"/>
      <c r="I1529" s="217"/>
      <c r="J1529" s="217"/>
      <c r="K1529" s="217"/>
      <c r="L1529" s="217"/>
      <c r="M1529" s="217"/>
      <c r="N1529" s="217"/>
      <c r="O1529" s="217"/>
      <c r="P1529" s="217"/>
      <c r="Q1529" s="217"/>
      <c r="R1529" s="217"/>
      <c r="S1529" s="217"/>
      <c r="T1529" s="217"/>
      <c r="U1529" s="217"/>
      <c r="V1529" s="217"/>
      <c r="W1529" s="217"/>
      <c r="X1529" s="217"/>
      <c r="Y1529" s="217"/>
      <c r="Z1529" s="217"/>
      <c r="AA1529" s="217"/>
      <c r="AB1529" s="217"/>
      <c r="AC1529" s="217"/>
      <c r="AD1529" s="217"/>
    </row>
    <row r="1530" spans="1:30" x14ac:dyDescent="0.2">
      <c r="A1530" s="232"/>
      <c r="B1530" s="210"/>
      <c r="C1530" s="210"/>
      <c r="D1530" s="210"/>
      <c r="E1530" s="210"/>
      <c r="G1530" s="55"/>
      <c r="H1530" s="56"/>
      <c r="I1530" s="217"/>
      <c r="J1530" s="217"/>
      <c r="K1530" s="217"/>
      <c r="L1530" s="217"/>
      <c r="M1530" s="217"/>
      <c r="N1530" s="217"/>
      <c r="O1530" s="217"/>
      <c r="P1530" s="217"/>
      <c r="Q1530" s="217"/>
      <c r="R1530" s="217"/>
      <c r="S1530" s="217"/>
      <c r="T1530" s="217"/>
      <c r="U1530" s="217"/>
      <c r="V1530" s="217"/>
      <c r="W1530" s="217"/>
      <c r="X1530" s="217"/>
      <c r="Y1530" s="217"/>
      <c r="Z1530" s="217"/>
      <c r="AA1530" s="217"/>
      <c r="AB1530" s="217"/>
      <c r="AC1530" s="217"/>
      <c r="AD1530" s="217"/>
    </row>
    <row r="1531" spans="1:30" x14ac:dyDescent="0.2">
      <c r="A1531" s="232"/>
      <c r="B1531" s="210"/>
      <c r="C1531" s="210"/>
      <c r="D1531" s="210"/>
      <c r="E1531" s="210"/>
      <c r="G1531" s="55"/>
      <c r="H1531" s="56"/>
      <c r="I1531" s="217"/>
      <c r="J1531" s="217"/>
      <c r="K1531" s="217"/>
      <c r="L1531" s="217"/>
      <c r="M1531" s="217"/>
      <c r="N1531" s="217"/>
      <c r="O1531" s="217"/>
      <c r="P1531" s="217"/>
      <c r="Q1531" s="217"/>
      <c r="R1531" s="217"/>
      <c r="S1531" s="217"/>
      <c r="T1531" s="217"/>
      <c r="U1531" s="217"/>
      <c r="V1531" s="217"/>
      <c r="W1531" s="217"/>
      <c r="X1531" s="217"/>
      <c r="Y1531" s="217"/>
      <c r="Z1531" s="217"/>
      <c r="AA1531" s="217"/>
      <c r="AB1531" s="217"/>
      <c r="AC1531" s="217"/>
      <c r="AD1531" s="217"/>
    </row>
    <row r="1532" spans="1:30" x14ac:dyDescent="0.2">
      <c r="A1532" s="232"/>
      <c r="B1532" s="210"/>
      <c r="C1532" s="210"/>
      <c r="D1532" s="210"/>
      <c r="E1532" s="210"/>
      <c r="G1532" s="55"/>
      <c r="H1532" s="56"/>
      <c r="I1532" s="217"/>
      <c r="J1532" s="217"/>
      <c r="K1532" s="217"/>
      <c r="L1532" s="217"/>
      <c r="M1532" s="217"/>
      <c r="N1532" s="217"/>
      <c r="O1532" s="217"/>
      <c r="P1532" s="217"/>
      <c r="Q1532" s="217"/>
      <c r="R1532" s="217"/>
      <c r="S1532" s="217"/>
      <c r="T1532" s="217"/>
      <c r="U1532" s="217"/>
      <c r="V1532" s="217"/>
      <c r="W1532" s="217"/>
      <c r="X1532" s="217"/>
      <c r="Y1532" s="217"/>
      <c r="Z1532" s="217"/>
      <c r="AA1532" s="217"/>
      <c r="AB1532" s="217"/>
      <c r="AC1532" s="217"/>
      <c r="AD1532" s="217"/>
    </row>
    <row r="1533" spans="1:30" x14ac:dyDescent="0.2">
      <c r="A1533" s="232"/>
      <c r="B1533" s="210"/>
      <c r="C1533" s="210"/>
      <c r="D1533" s="210"/>
      <c r="E1533" s="210"/>
      <c r="G1533" s="55"/>
      <c r="H1533" s="56"/>
      <c r="I1533" s="217"/>
      <c r="J1533" s="217"/>
      <c r="K1533" s="217"/>
      <c r="L1533" s="217"/>
      <c r="M1533" s="217"/>
      <c r="N1533" s="217"/>
      <c r="O1533" s="217"/>
      <c r="P1533" s="217"/>
      <c r="Q1533" s="217"/>
      <c r="R1533" s="217"/>
      <c r="S1533" s="217"/>
      <c r="T1533" s="217"/>
      <c r="U1533" s="217"/>
      <c r="V1533" s="217"/>
      <c r="W1533" s="217"/>
      <c r="X1533" s="217"/>
      <c r="Y1533" s="217"/>
      <c r="Z1533" s="217"/>
      <c r="AA1533" s="217"/>
      <c r="AB1533" s="217"/>
      <c r="AC1533" s="217"/>
      <c r="AD1533" s="217"/>
    </row>
    <row r="1534" spans="1:30" x14ac:dyDescent="0.2">
      <c r="A1534" s="232"/>
      <c r="B1534" s="210"/>
      <c r="C1534" s="210"/>
      <c r="D1534" s="210"/>
      <c r="E1534" s="210"/>
      <c r="G1534" s="55"/>
      <c r="H1534" s="56"/>
      <c r="I1534" s="217"/>
      <c r="J1534" s="217"/>
      <c r="K1534" s="217"/>
      <c r="L1534" s="217"/>
      <c r="M1534" s="217"/>
      <c r="N1534" s="217"/>
      <c r="O1534" s="217"/>
      <c r="P1534" s="217"/>
      <c r="Q1534" s="217"/>
      <c r="R1534" s="217"/>
      <c r="S1534" s="217"/>
      <c r="T1534" s="217"/>
      <c r="U1534" s="217"/>
      <c r="V1534" s="217"/>
      <c r="W1534" s="217"/>
      <c r="X1534" s="217"/>
      <c r="Y1534" s="217"/>
      <c r="Z1534" s="217"/>
      <c r="AA1534" s="217"/>
      <c r="AB1534" s="217"/>
      <c r="AC1534" s="217"/>
      <c r="AD1534" s="217"/>
    </row>
    <row r="1535" spans="1:30" x14ac:dyDescent="0.2">
      <c r="A1535" s="232"/>
      <c r="B1535" s="210"/>
      <c r="C1535" s="210"/>
      <c r="D1535" s="210"/>
      <c r="E1535" s="210"/>
      <c r="G1535" s="55"/>
      <c r="H1535" s="56"/>
      <c r="I1535" s="217"/>
      <c r="J1535" s="217"/>
      <c r="K1535" s="217"/>
      <c r="L1535" s="217"/>
      <c r="M1535" s="217"/>
      <c r="N1535" s="217"/>
      <c r="O1535" s="217"/>
      <c r="P1535" s="217"/>
      <c r="Q1535" s="217"/>
      <c r="R1535" s="217"/>
      <c r="S1535" s="217"/>
      <c r="T1535" s="217"/>
      <c r="U1535" s="217"/>
      <c r="V1535" s="217"/>
      <c r="W1535" s="217"/>
      <c r="X1535" s="217"/>
      <c r="Y1535" s="217"/>
      <c r="Z1535" s="217"/>
      <c r="AA1535" s="217"/>
      <c r="AB1535" s="217"/>
      <c r="AC1535" s="217"/>
      <c r="AD1535" s="217"/>
    </row>
    <row r="1536" spans="1:30" x14ac:dyDescent="0.2">
      <c r="A1536" s="232"/>
      <c r="B1536" s="210"/>
      <c r="C1536" s="210"/>
      <c r="D1536" s="210"/>
      <c r="E1536" s="210"/>
      <c r="G1536" s="55"/>
      <c r="H1536" s="56"/>
      <c r="I1536" s="217"/>
      <c r="J1536" s="217"/>
      <c r="K1536" s="217"/>
      <c r="L1536" s="217"/>
      <c r="M1536" s="217"/>
      <c r="N1536" s="217"/>
      <c r="O1536" s="217"/>
      <c r="P1536" s="217"/>
      <c r="Q1536" s="217"/>
      <c r="R1536" s="217"/>
      <c r="S1536" s="217"/>
      <c r="T1536" s="217"/>
      <c r="U1536" s="217"/>
      <c r="V1536" s="217"/>
      <c r="W1536" s="217"/>
      <c r="X1536" s="217"/>
      <c r="Y1536" s="217"/>
      <c r="Z1536" s="217"/>
      <c r="AA1536" s="217"/>
      <c r="AB1536" s="217"/>
      <c r="AC1536" s="217"/>
      <c r="AD1536" s="217"/>
    </row>
    <row r="1537" spans="1:30" x14ac:dyDescent="0.2">
      <c r="A1537" s="232"/>
      <c r="B1537" s="210"/>
      <c r="C1537" s="210"/>
      <c r="D1537" s="210"/>
      <c r="E1537" s="210"/>
      <c r="G1537" s="55"/>
      <c r="H1537" s="56"/>
      <c r="I1537" s="217"/>
      <c r="J1537" s="217"/>
      <c r="K1537" s="217"/>
      <c r="L1537" s="217"/>
      <c r="M1537" s="217"/>
      <c r="N1537" s="217"/>
      <c r="O1537" s="217"/>
      <c r="P1537" s="217"/>
      <c r="Q1537" s="217"/>
      <c r="R1537" s="217"/>
      <c r="S1537" s="217"/>
      <c r="T1537" s="217"/>
      <c r="U1537" s="217"/>
      <c r="V1537" s="217"/>
      <c r="W1537" s="217"/>
      <c r="X1537" s="217"/>
      <c r="Y1537" s="217"/>
      <c r="Z1537" s="217"/>
      <c r="AA1537" s="217"/>
      <c r="AB1537" s="217"/>
      <c r="AC1537" s="217"/>
      <c r="AD1537" s="217"/>
    </row>
    <row r="1538" spans="1:30" x14ac:dyDescent="0.2">
      <c r="A1538" s="232"/>
      <c r="B1538" s="210"/>
      <c r="C1538" s="210"/>
      <c r="D1538" s="210"/>
      <c r="E1538" s="210"/>
      <c r="G1538" s="55"/>
      <c r="H1538" s="56"/>
      <c r="I1538" s="217"/>
      <c r="J1538" s="217"/>
      <c r="K1538" s="217"/>
      <c r="L1538" s="217"/>
      <c r="M1538" s="217"/>
      <c r="N1538" s="217"/>
      <c r="O1538" s="217"/>
      <c r="P1538" s="217"/>
      <c r="Q1538" s="217"/>
      <c r="R1538" s="217"/>
      <c r="S1538" s="217"/>
      <c r="T1538" s="217"/>
      <c r="U1538" s="217"/>
      <c r="V1538" s="217"/>
      <c r="W1538" s="217"/>
      <c r="X1538" s="217"/>
      <c r="Y1538" s="217"/>
      <c r="Z1538" s="217"/>
      <c r="AA1538" s="217"/>
      <c r="AB1538" s="217"/>
      <c r="AC1538" s="217"/>
      <c r="AD1538" s="217"/>
    </row>
    <row r="1539" spans="1:30" x14ac:dyDescent="0.2">
      <c r="A1539" s="232"/>
      <c r="B1539" s="210"/>
      <c r="C1539" s="210"/>
      <c r="D1539" s="210"/>
      <c r="E1539" s="210"/>
      <c r="G1539" s="55"/>
      <c r="H1539" s="56"/>
      <c r="I1539" s="217"/>
      <c r="J1539" s="217"/>
      <c r="K1539" s="217"/>
      <c r="L1539" s="217"/>
      <c r="M1539" s="217"/>
      <c r="N1539" s="217"/>
      <c r="O1539" s="217"/>
      <c r="P1539" s="217"/>
      <c r="Q1539" s="217"/>
      <c r="R1539" s="217"/>
      <c r="S1539" s="217"/>
      <c r="T1539" s="217"/>
      <c r="U1539" s="217"/>
      <c r="V1539" s="217"/>
      <c r="W1539" s="217"/>
      <c r="X1539" s="217"/>
      <c r="Y1539" s="217"/>
      <c r="Z1539" s="217"/>
      <c r="AA1539" s="217"/>
      <c r="AB1539" s="217"/>
      <c r="AC1539" s="217"/>
      <c r="AD1539" s="217"/>
    </row>
    <row r="1540" spans="1:30" x14ac:dyDescent="0.2">
      <c r="A1540" s="232"/>
      <c r="B1540" s="210"/>
      <c r="C1540" s="210"/>
      <c r="D1540" s="210"/>
      <c r="E1540" s="210"/>
      <c r="G1540" s="55"/>
      <c r="H1540" s="56"/>
      <c r="I1540" s="217"/>
      <c r="J1540" s="217"/>
      <c r="K1540" s="217"/>
      <c r="L1540" s="217"/>
      <c r="M1540" s="217"/>
      <c r="N1540" s="217"/>
      <c r="O1540" s="217"/>
      <c r="P1540" s="217"/>
      <c r="Q1540" s="217"/>
      <c r="R1540" s="217"/>
      <c r="S1540" s="217"/>
      <c r="T1540" s="217"/>
      <c r="U1540" s="217"/>
      <c r="V1540" s="217"/>
      <c r="W1540" s="217"/>
      <c r="X1540" s="217"/>
      <c r="Y1540" s="217"/>
      <c r="Z1540" s="217"/>
      <c r="AA1540" s="217"/>
      <c r="AB1540" s="217"/>
      <c r="AC1540" s="217"/>
      <c r="AD1540" s="217"/>
    </row>
    <row r="1541" spans="1:30" x14ac:dyDescent="0.2">
      <c r="A1541" s="232"/>
      <c r="B1541" s="210"/>
      <c r="C1541" s="210"/>
      <c r="D1541" s="210"/>
      <c r="E1541" s="210"/>
      <c r="G1541" s="55"/>
      <c r="H1541" s="56"/>
      <c r="I1541" s="217"/>
      <c r="J1541" s="217"/>
      <c r="K1541" s="217"/>
      <c r="L1541" s="217"/>
      <c r="M1541" s="217"/>
      <c r="N1541" s="217"/>
      <c r="O1541" s="217"/>
      <c r="P1541" s="217"/>
      <c r="Q1541" s="217"/>
      <c r="R1541" s="217"/>
      <c r="S1541" s="217"/>
      <c r="T1541" s="217"/>
      <c r="U1541" s="217"/>
      <c r="V1541" s="217"/>
      <c r="W1541" s="217"/>
      <c r="X1541" s="217"/>
      <c r="Y1541" s="217"/>
      <c r="Z1541" s="217"/>
      <c r="AA1541" s="217"/>
      <c r="AB1541" s="217"/>
      <c r="AC1541" s="217"/>
      <c r="AD1541" s="217"/>
    </row>
    <row r="1542" spans="1:30" x14ac:dyDescent="0.2">
      <c r="A1542" s="232"/>
      <c r="B1542" s="210"/>
      <c r="C1542" s="210"/>
      <c r="D1542" s="210"/>
      <c r="E1542" s="210"/>
      <c r="G1542" s="55"/>
      <c r="H1542" s="56"/>
      <c r="I1542" s="217"/>
      <c r="J1542" s="217"/>
      <c r="K1542" s="217"/>
      <c r="L1542" s="217"/>
      <c r="M1542" s="217"/>
      <c r="N1542" s="217"/>
      <c r="O1542" s="217"/>
      <c r="P1542" s="217"/>
      <c r="Q1542" s="217"/>
      <c r="R1542" s="217"/>
      <c r="S1542" s="217"/>
      <c r="T1542" s="217"/>
      <c r="U1542" s="217"/>
      <c r="V1542" s="217"/>
      <c r="W1542" s="217"/>
      <c r="X1542" s="217"/>
      <c r="Y1542" s="217"/>
      <c r="Z1542" s="217"/>
      <c r="AA1542" s="217"/>
      <c r="AB1542" s="217"/>
      <c r="AC1542" s="217"/>
      <c r="AD1542" s="217"/>
    </row>
    <row r="1543" spans="1:30" x14ac:dyDescent="0.2">
      <c r="A1543" s="232"/>
      <c r="B1543" s="210"/>
      <c r="C1543" s="210"/>
      <c r="D1543" s="210"/>
      <c r="E1543" s="210"/>
      <c r="G1543" s="55"/>
      <c r="H1543" s="56"/>
      <c r="I1543" s="217"/>
      <c r="J1543" s="217"/>
      <c r="K1543" s="217"/>
      <c r="L1543" s="217"/>
      <c r="M1543" s="217"/>
      <c r="N1543" s="217"/>
      <c r="O1543" s="217"/>
      <c r="P1543" s="217"/>
      <c r="Q1543" s="217"/>
      <c r="R1543" s="217"/>
      <c r="S1543" s="217"/>
      <c r="T1543" s="217"/>
      <c r="U1543" s="217"/>
      <c r="V1543" s="217"/>
      <c r="W1543" s="217"/>
      <c r="X1543" s="217"/>
      <c r="Y1543" s="217"/>
      <c r="Z1543" s="217"/>
      <c r="AA1543" s="217"/>
      <c r="AB1543" s="217"/>
      <c r="AC1543" s="217"/>
      <c r="AD1543" s="217"/>
    </row>
    <row r="1544" spans="1:30" x14ac:dyDescent="0.2">
      <c r="A1544" s="232"/>
      <c r="B1544" s="210"/>
      <c r="C1544" s="210"/>
      <c r="D1544" s="210"/>
      <c r="E1544" s="210"/>
      <c r="G1544" s="55"/>
      <c r="H1544" s="56"/>
      <c r="I1544" s="217"/>
      <c r="J1544" s="217"/>
      <c r="K1544" s="217"/>
      <c r="L1544" s="217"/>
      <c r="M1544" s="217"/>
      <c r="N1544" s="217"/>
      <c r="O1544" s="217"/>
      <c r="P1544" s="217"/>
      <c r="Q1544" s="217"/>
      <c r="R1544" s="217"/>
      <c r="S1544" s="217"/>
      <c r="T1544" s="217"/>
      <c r="U1544" s="217"/>
      <c r="V1544" s="217"/>
      <c r="W1544" s="217"/>
      <c r="X1544" s="217"/>
      <c r="Y1544" s="217"/>
      <c r="Z1544" s="217"/>
      <c r="AA1544" s="217"/>
      <c r="AB1544" s="217"/>
      <c r="AC1544" s="217"/>
      <c r="AD1544" s="217"/>
    </row>
    <row r="1545" spans="1:30" x14ac:dyDescent="0.2">
      <c r="A1545" s="232"/>
      <c r="B1545" s="210"/>
      <c r="C1545" s="210"/>
      <c r="D1545" s="210"/>
      <c r="E1545" s="210"/>
      <c r="G1545" s="55"/>
      <c r="H1545" s="56"/>
      <c r="I1545" s="217"/>
      <c r="J1545" s="217"/>
      <c r="K1545" s="217"/>
      <c r="L1545" s="217"/>
      <c r="M1545" s="217"/>
      <c r="N1545" s="217"/>
      <c r="O1545" s="217"/>
      <c r="P1545" s="217"/>
      <c r="Q1545" s="217"/>
      <c r="R1545" s="217"/>
      <c r="S1545" s="217"/>
      <c r="T1545" s="217"/>
      <c r="U1545" s="217"/>
      <c r="V1545" s="217"/>
      <c r="W1545" s="217"/>
      <c r="X1545" s="217"/>
      <c r="Y1545" s="217"/>
      <c r="Z1545" s="217"/>
      <c r="AA1545" s="217"/>
      <c r="AB1545" s="217"/>
      <c r="AC1545" s="217"/>
      <c r="AD1545" s="217"/>
    </row>
    <row r="1546" spans="1:30" x14ac:dyDescent="0.2">
      <c r="A1546" s="232"/>
      <c r="B1546" s="210"/>
      <c r="C1546" s="210"/>
      <c r="D1546" s="210"/>
      <c r="E1546" s="210"/>
      <c r="G1546" s="55"/>
      <c r="H1546" s="56"/>
      <c r="I1546" s="217"/>
      <c r="J1546" s="217"/>
      <c r="K1546" s="217"/>
      <c r="L1546" s="217"/>
      <c r="M1546" s="217"/>
      <c r="N1546" s="217"/>
      <c r="O1546" s="217"/>
      <c r="P1546" s="217"/>
      <c r="Q1546" s="217"/>
      <c r="R1546" s="217"/>
      <c r="S1546" s="217"/>
      <c r="T1546" s="217"/>
      <c r="U1546" s="217"/>
      <c r="V1546" s="217"/>
      <c r="W1546" s="217"/>
      <c r="X1546" s="217"/>
      <c r="Y1546" s="217"/>
      <c r="Z1546" s="217"/>
      <c r="AA1546" s="217"/>
      <c r="AB1546" s="217"/>
      <c r="AC1546" s="217"/>
      <c r="AD1546" s="217"/>
    </row>
    <row r="1547" spans="1:30" x14ac:dyDescent="0.2">
      <c r="A1547" s="232"/>
      <c r="B1547" s="210"/>
      <c r="C1547" s="210"/>
      <c r="D1547" s="210"/>
      <c r="E1547" s="210"/>
      <c r="G1547" s="55"/>
      <c r="H1547" s="56"/>
      <c r="I1547" s="217"/>
      <c r="J1547" s="217"/>
      <c r="K1547" s="217"/>
      <c r="L1547" s="217"/>
      <c r="M1547" s="217"/>
      <c r="N1547" s="217"/>
      <c r="O1547" s="217"/>
      <c r="P1547" s="217"/>
      <c r="Q1547" s="217"/>
      <c r="R1547" s="217"/>
      <c r="S1547" s="217"/>
      <c r="T1547" s="217"/>
      <c r="U1547" s="217"/>
      <c r="V1547" s="217"/>
      <c r="W1547" s="217"/>
      <c r="X1547" s="217"/>
      <c r="Y1547" s="217"/>
      <c r="Z1547" s="217"/>
      <c r="AA1547" s="217"/>
      <c r="AB1547" s="217"/>
      <c r="AC1547" s="217"/>
      <c r="AD1547" s="217"/>
    </row>
    <row r="1548" spans="1:30" x14ac:dyDescent="0.2">
      <c r="A1548" s="232"/>
      <c r="B1548" s="210"/>
      <c r="C1548" s="210"/>
      <c r="D1548" s="210"/>
      <c r="E1548" s="210"/>
      <c r="G1548" s="55"/>
      <c r="H1548" s="56"/>
      <c r="I1548" s="217"/>
      <c r="J1548" s="217"/>
      <c r="K1548" s="217"/>
      <c r="L1548" s="217"/>
      <c r="M1548" s="217"/>
      <c r="N1548" s="217"/>
      <c r="O1548" s="217"/>
      <c r="P1548" s="217"/>
      <c r="Q1548" s="217"/>
      <c r="R1548" s="217"/>
      <c r="S1548" s="217"/>
      <c r="T1548" s="217"/>
      <c r="U1548" s="217"/>
      <c r="V1548" s="217"/>
      <c r="W1548" s="217"/>
      <c r="X1548" s="217"/>
      <c r="Y1548" s="217"/>
      <c r="Z1548" s="217"/>
      <c r="AA1548" s="217"/>
      <c r="AB1548" s="217"/>
      <c r="AC1548" s="217"/>
      <c r="AD1548" s="217"/>
    </row>
    <row r="1549" spans="1:30" x14ac:dyDescent="0.2">
      <c r="A1549" s="232"/>
      <c r="B1549" s="210"/>
      <c r="C1549" s="210"/>
      <c r="D1549" s="210"/>
      <c r="E1549" s="210"/>
      <c r="G1549" s="55"/>
      <c r="H1549" s="56"/>
      <c r="I1549" s="217"/>
      <c r="J1549" s="217"/>
      <c r="K1549" s="217"/>
      <c r="L1549" s="217"/>
      <c r="M1549" s="217"/>
      <c r="N1549" s="217"/>
      <c r="O1549" s="217"/>
      <c r="P1549" s="217"/>
      <c r="Q1549" s="217"/>
      <c r="R1549" s="217"/>
      <c r="S1549" s="217"/>
      <c r="T1549" s="217"/>
      <c r="U1549" s="217"/>
      <c r="V1549" s="217"/>
      <c r="W1549" s="217"/>
      <c r="X1549" s="217"/>
      <c r="Y1549" s="217"/>
      <c r="Z1549" s="217"/>
      <c r="AA1549" s="217"/>
      <c r="AB1549" s="217"/>
      <c r="AC1549" s="217"/>
      <c r="AD1549" s="217"/>
    </row>
    <row r="1550" spans="1:30" x14ac:dyDescent="0.2">
      <c r="A1550" s="232"/>
      <c r="B1550" s="210"/>
      <c r="C1550" s="210"/>
      <c r="D1550" s="210"/>
      <c r="E1550" s="210"/>
      <c r="G1550" s="55"/>
      <c r="H1550" s="56"/>
      <c r="I1550" s="217"/>
      <c r="J1550" s="217"/>
      <c r="K1550" s="217"/>
      <c r="L1550" s="217"/>
      <c r="M1550" s="217"/>
      <c r="N1550" s="217"/>
      <c r="O1550" s="217"/>
      <c r="P1550" s="217"/>
      <c r="Q1550" s="217"/>
      <c r="R1550" s="217"/>
      <c r="S1550" s="217"/>
      <c r="T1550" s="217"/>
      <c r="U1550" s="217"/>
      <c r="V1550" s="217"/>
      <c r="W1550" s="217"/>
      <c r="X1550" s="217"/>
      <c r="Y1550" s="217"/>
      <c r="Z1550" s="217"/>
      <c r="AA1550" s="217"/>
      <c r="AB1550" s="217"/>
      <c r="AC1550" s="217"/>
      <c r="AD1550" s="217"/>
    </row>
    <row r="1551" spans="1:30" x14ac:dyDescent="0.2">
      <c r="A1551" s="232"/>
      <c r="B1551" s="210"/>
      <c r="C1551" s="210"/>
      <c r="D1551" s="210"/>
      <c r="E1551" s="210"/>
      <c r="G1551" s="55"/>
      <c r="H1551" s="56"/>
      <c r="I1551" s="217"/>
      <c r="J1551" s="217"/>
      <c r="K1551" s="217"/>
      <c r="L1551" s="217"/>
      <c r="M1551" s="217"/>
      <c r="N1551" s="217"/>
      <c r="O1551" s="217"/>
      <c r="P1551" s="217"/>
      <c r="Q1551" s="217"/>
      <c r="R1551" s="217"/>
      <c r="S1551" s="217"/>
      <c r="T1551" s="217"/>
      <c r="U1551" s="217"/>
      <c r="V1551" s="217"/>
      <c r="W1551" s="217"/>
      <c r="X1551" s="217"/>
      <c r="Y1551" s="217"/>
      <c r="Z1551" s="217"/>
      <c r="AA1551" s="217"/>
      <c r="AB1551" s="217"/>
      <c r="AC1551" s="217"/>
      <c r="AD1551" s="217"/>
    </row>
    <row r="1552" spans="1:30" x14ac:dyDescent="0.2">
      <c r="A1552" s="232"/>
      <c r="B1552" s="210"/>
      <c r="C1552" s="210"/>
      <c r="D1552" s="210"/>
      <c r="E1552" s="210"/>
      <c r="G1552" s="55"/>
      <c r="H1552" s="56"/>
      <c r="I1552" s="217"/>
      <c r="J1552" s="217"/>
      <c r="K1552" s="217"/>
      <c r="L1552" s="217"/>
      <c r="M1552" s="217"/>
      <c r="N1552" s="217"/>
      <c r="O1552" s="217"/>
      <c r="P1552" s="217"/>
      <c r="Q1552" s="217"/>
      <c r="R1552" s="217"/>
      <c r="S1552" s="217"/>
      <c r="T1552" s="217"/>
      <c r="U1552" s="217"/>
      <c r="V1552" s="217"/>
      <c r="W1552" s="217"/>
      <c r="X1552" s="217"/>
      <c r="Y1552" s="217"/>
      <c r="Z1552" s="217"/>
      <c r="AA1552" s="217"/>
      <c r="AB1552" s="217"/>
      <c r="AC1552" s="217"/>
      <c r="AD1552" s="217"/>
    </row>
    <row r="1553" spans="1:30" x14ac:dyDescent="0.2">
      <c r="A1553" s="232"/>
      <c r="B1553" s="210"/>
      <c r="C1553" s="210"/>
      <c r="D1553" s="210"/>
      <c r="E1553" s="210"/>
      <c r="G1553" s="55"/>
      <c r="H1553" s="56"/>
      <c r="I1553" s="217"/>
      <c r="J1553" s="217"/>
      <c r="K1553" s="217"/>
      <c r="L1553" s="217"/>
      <c r="M1553" s="217"/>
      <c r="N1553" s="217"/>
      <c r="O1553" s="217"/>
      <c r="P1553" s="217"/>
      <c r="Q1553" s="217"/>
      <c r="R1553" s="217"/>
      <c r="S1553" s="217"/>
      <c r="T1553" s="217"/>
      <c r="U1553" s="217"/>
      <c r="V1553" s="217"/>
      <c r="W1553" s="217"/>
      <c r="X1553" s="217"/>
      <c r="Y1553" s="217"/>
      <c r="Z1553" s="217"/>
      <c r="AA1553" s="217"/>
      <c r="AB1553" s="217"/>
      <c r="AC1553" s="217"/>
      <c r="AD1553" s="217"/>
    </row>
    <row r="1554" spans="1:30" x14ac:dyDescent="0.2">
      <c r="A1554" s="232"/>
      <c r="B1554" s="210"/>
      <c r="C1554" s="210"/>
      <c r="D1554" s="210"/>
      <c r="E1554" s="210"/>
      <c r="G1554" s="55"/>
      <c r="H1554" s="56"/>
      <c r="I1554" s="217"/>
      <c r="J1554" s="217"/>
      <c r="K1554" s="217"/>
      <c r="L1554" s="217"/>
      <c r="M1554" s="217"/>
      <c r="N1554" s="217"/>
      <c r="O1554" s="217"/>
      <c r="P1554" s="217"/>
      <c r="Q1554" s="217"/>
      <c r="R1554" s="217"/>
      <c r="S1554" s="217"/>
      <c r="T1554" s="217"/>
      <c r="U1554" s="217"/>
      <c r="V1554" s="217"/>
      <c r="W1554" s="217"/>
      <c r="X1554" s="217"/>
      <c r="Y1554" s="217"/>
      <c r="Z1554" s="217"/>
      <c r="AA1554" s="217"/>
      <c r="AB1554" s="217"/>
      <c r="AC1554" s="217"/>
      <c r="AD1554" s="217"/>
    </row>
    <row r="1555" spans="1:30" x14ac:dyDescent="0.2">
      <c r="A1555" s="232"/>
      <c r="B1555" s="210"/>
      <c r="C1555" s="210"/>
      <c r="D1555" s="210"/>
      <c r="E1555" s="210"/>
      <c r="G1555" s="55"/>
      <c r="H1555" s="56"/>
      <c r="I1555" s="217"/>
      <c r="J1555" s="217"/>
      <c r="K1555" s="217"/>
      <c r="L1555" s="217"/>
      <c r="M1555" s="217"/>
      <c r="N1555" s="217"/>
      <c r="O1555" s="217"/>
      <c r="P1555" s="217"/>
      <c r="Q1555" s="217"/>
      <c r="R1555" s="217"/>
      <c r="S1555" s="217"/>
      <c r="T1555" s="217"/>
      <c r="U1555" s="217"/>
      <c r="V1555" s="217"/>
      <c r="W1555" s="217"/>
      <c r="X1555" s="217"/>
      <c r="Y1555" s="217"/>
      <c r="Z1555" s="217"/>
      <c r="AA1555" s="217"/>
      <c r="AB1555" s="217"/>
      <c r="AC1555" s="217"/>
      <c r="AD1555" s="217"/>
    </row>
    <row r="1556" spans="1:30" x14ac:dyDescent="0.2">
      <c r="A1556" s="232"/>
      <c r="B1556" s="210"/>
      <c r="C1556" s="210"/>
      <c r="D1556" s="210"/>
      <c r="E1556" s="210"/>
      <c r="G1556" s="55"/>
      <c r="H1556" s="56"/>
      <c r="I1556" s="217"/>
      <c r="J1556" s="217"/>
      <c r="K1556" s="217"/>
      <c r="L1556" s="217"/>
      <c r="M1556" s="217"/>
      <c r="N1556" s="217"/>
      <c r="O1556" s="217"/>
      <c r="P1556" s="217"/>
      <c r="Q1556" s="217"/>
      <c r="R1556" s="217"/>
      <c r="S1556" s="217"/>
      <c r="T1556" s="217"/>
      <c r="U1556" s="217"/>
      <c r="V1556" s="217"/>
      <c r="W1556" s="217"/>
      <c r="X1556" s="217"/>
      <c r="Y1556" s="217"/>
      <c r="Z1556" s="217"/>
      <c r="AA1556" s="217"/>
      <c r="AB1556" s="217"/>
      <c r="AC1556" s="217"/>
      <c r="AD1556" s="217"/>
    </row>
    <row r="1557" spans="1:30" x14ac:dyDescent="0.2">
      <c r="A1557" s="232"/>
      <c r="B1557" s="210"/>
      <c r="C1557" s="210"/>
      <c r="D1557" s="210"/>
      <c r="E1557" s="210"/>
      <c r="G1557" s="55"/>
      <c r="H1557" s="56"/>
      <c r="I1557" s="217"/>
      <c r="J1557" s="217"/>
      <c r="K1557" s="217"/>
      <c r="L1557" s="217"/>
      <c r="M1557" s="217"/>
      <c r="N1557" s="217"/>
      <c r="O1557" s="217"/>
      <c r="P1557" s="217"/>
      <c r="Q1557" s="217"/>
      <c r="R1557" s="217"/>
      <c r="S1557" s="217"/>
      <c r="T1557" s="217"/>
      <c r="U1557" s="217"/>
      <c r="V1557" s="217"/>
      <c r="W1557" s="217"/>
      <c r="X1557" s="217"/>
      <c r="Y1557" s="217"/>
      <c r="Z1557" s="217"/>
      <c r="AA1557" s="217"/>
      <c r="AB1557" s="217"/>
      <c r="AC1557" s="217"/>
      <c r="AD1557" s="217"/>
    </row>
    <row r="1558" spans="1:30" x14ac:dyDescent="0.2">
      <c r="A1558" s="232"/>
      <c r="B1558" s="210"/>
      <c r="C1558" s="210"/>
      <c r="D1558" s="210"/>
      <c r="E1558" s="210"/>
      <c r="G1558" s="55"/>
      <c r="H1558" s="56"/>
      <c r="I1558" s="217"/>
      <c r="J1558" s="217"/>
      <c r="K1558" s="217"/>
      <c r="L1558" s="217"/>
      <c r="M1558" s="217"/>
      <c r="N1558" s="217"/>
      <c r="O1558" s="217"/>
      <c r="P1558" s="217"/>
      <c r="Q1558" s="217"/>
      <c r="R1558" s="217"/>
      <c r="S1558" s="217"/>
      <c r="T1558" s="217"/>
      <c r="U1558" s="217"/>
      <c r="V1558" s="217"/>
      <c r="W1558" s="217"/>
      <c r="X1558" s="217"/>
      <c r="Y1558" s="217"/>
      <c r="Z1558" s="217"/>
      <c r="AA1558" s="217"/>
      <c r="AB1558" s="217"/>
      <c r="AC1558" s="217"/>
      <c r="AD1558" s="217"/>
    </row>
    <row r="1559" spans="1:30" x14ac:dyDescent="0.2">
      <c r="A1559" s="232"/>
      <c r="B1559" s="210"/>
      <c r="C1559" s="210"/>
      <c r="D1559" s="210"/>
      <c r="E1559" s="210"/>
      <c r="G1559" s="55"/>
      <c r="H1559" s="56"/>
      <c r="I1559" s="217"/>
      <c r="J1559" s="217"/>
      <c r="K1559" s="217"/>
      <c r="L1559" s="217"/>
      <c r="M1559" s="217"/>
      <c r="N1559" s="217"/>
      <c r="O1559" s="217"/>
      <c r="P1559" s="217"/>
      <c r="Q1559" s="217"/>
      <c r="R1559" s="217"/>
      <c r="S1559" s="217"/>
      <c r="T1559" s="217"/>
      <c r="U1559" s="217"/>
      <c r="V1559" s="217"/>
      <c r="W1559" s="217"/>
      <c r="X1559" s="217"/>
      <c r="Y1559" s="217"/>
      <c r="Z1559" s="217"/>
      <c r="AA1559" s="217"/>
      <c r="AB1559" s="217"/>
      <c r="AC1559" s="217"/>
      <c r="AD1559" s="217"/>
    </row>
    <row r="1560" spans="1:30" x14ac:dyDescent="0.2">
      <c r="A1560" s="232"/>
      <c r="B1560" s="210"/>
      <c r="C1560" s="210"/>
      <c r="D1560" s="210"/>
      <c r="E1560" s="210"/>
      <c r="G1560" s="55"/>
      <c r="H1560" s="56"/>
      <c r="I1560" s="217"/>
      <c r="J1560" s="217"/>
      <c r="K1560" s="217"/>
      <c r="L1560" s="217"/>
      <c r="M1560" s="217"/>
      <c r="N1560" s="217"/>
      <c r="O1560" s="217"/>
      <c r="P1560" s="217"/>
      <c r="Q1560" s="217"/>
      <c r="R1560" s="217"/>
      <c r="S1560" s="217"/>
      <c r="T1560" s="217"/>
      <c r="U1560" s="217"/>
      <c r="V1560" s="217"/>
      <c r="W1560" s="217"/>
      <c r="X1560" s="217"/>
      <c r="Y1560" s="217"/>
      <c r="Z1560" s="217"/>
      <c r="AA1560" s="217"/>
      <c r="AB1560" s="217"/>
      <c r="AC1560" s="217"/>
      <c r="AD1560" s="217"/>
    </row>
    <row r="1561" spans="1:30" x14ac:dyDescent="0.2">
      <c r="A1561" s="232"/>
      <c r="B1561" s="210"/>
      <c r="C1561" s="210"/>
      <c r="D1561" s="210"/>
      <c r="E1561" s="210"/>
      <c r="G1561" s="55"/>
      <c r="H1561" s="56"/>
      <c r="I1561" s="217"/>
      <c r="J1561" s="217"/>
      <c r="K1561" s="217"/>
      <c r="L1561" s="217"/>
      <c r="M1561" s="217"/>
      <c r="N1561" s="217"/>
      <c r="O1561" s="217"/>
      <c r="P1561" s="217"/>
      <c r="Q1561" s="217"/>
      <c r="R1561" s="217"/>
      <c r="S1561" s="217"/>
      <c r="T1561" s="217"/>
      <c r="U1561" s="217"/>
      <c r="V1561" s="217"/>
      <c r="W1561" s="217"/>
      <c r="X1561" s="217"/>
      <c r="Y1561" s="217"/>
      <c r="Z1561" s="217"/>
      <c r="AA1561" s="217"/>
      <c r="AB1561" s="217"/>
      <c r="AC1561" s="217"/>
      <c r="AD1561" s="217"/>
    </row>
    <row r="1562" spans="1:30" x14ac:dyDescent="0.2">
      <c r="A1562" s="232"/>
      <c r="B1562" s="210"/>
      <c r="C1562" s="210"/>
      <c r="D1562" s="210"/>
      <c r="E1562" s="210"/>
      <c r="G1562" s="55"/>
      <c r="H1562" s="56"/>
      <c r="I1562" s="217"/>
      <c r="J1562" s="217"/>
      <c r="K1562" s="217"/>
      <c r="L1562" s="217"/>
      <c r="M1562" s="217"/>
      <c r="N1562" s="217"/>
      <c r="O1562" s="217"/>
      <c r="P1562" s="217"/>
      <c r="Q1562" s="217"/>
      <c r="R1562" s="217"/>
      <c r="S1562" s="217"/>
      <c r="T1562" s="217"/>
      <c r="U1562" s="217"/>
      <c r="V1562" s="217"/>
      <c r="W1562" s="217"/>
      <c r="X1562" s="217"/>
      <c r="Y1562" s="217"/>
      <c r="Z1562" s="217"/>
      <c r="AA1562" s="217"/>
      <c r="AB1562" s="217"/>
      <c r="AC1562" s="217"/>
      <c r="AD1562" s="217"/>
    </row>
    <row r="1563" spans="1:30" x14ac:dyDescent="0.2">
      <c r="A1563" s="232"/>
      <c r="B1563" s="210"/>
      <c r="C1563" s="210"/>
      <c r="D1563" s="210"/>
      <c r="E1563" s="210"/>
      <c r="G1563" s="55"/>
      <c r="H1563" s="56"/>
      <c r="I1563" s="217"/>
      <c r="J1563" s="217"/>
      <c r="K1563" s="217"/>
      <c r="L1563" s="217"/>
      <c r="M1563" s="217"/>
      <c r="N1563" s="217"/>
      <c r="O1563" s="217"/>
      <c r="P1563" s="217"/>
      <c r="Q1563" s="217"/>
      <c r="R1563" s="217"/>
      <c r="S1563" s="217"/>
      <c r="T1563" s="217"/>
      <c r="U1563" s="217"/>
      <c r="V1563" s="217"/>
      <c r="W1563" s="217"/>
      <c r="X1563" s="217"/>
      <c r="Y1563" s="217"/>
      <c r="Z1563" s="217"/>
      <c r="AA1563" s="217"/>
      <c r="AB1563" s="217"/>
      <c r="AC1563" s="217"/>
      <c r="AD1563" s="217"/>
    </row>
    <row r="1564" spans="1:30" x14ac:dyDescent="0.2">
      <c r="A1564" s="232"/>
      <c r="B1564" s="210"/>
      <c r="C1564" s="210"/>
      <c r="D1564" s="210"/>
      <c r="E1564" s="210"/>
      <c r="G1564" s="55"/>
      <c r="H1564" s="56"/>
      <c r="I1564" s="217"/>
      <c r="J1564" s="217"/>
      <c r="K1564" s="217"/>
      <c r="L1564" s="217"/>
      <c r="M1564" s="217"/>
      <c r="N1564" s="217"/>
      <c r="O1564" s="217"/>
      <c r="P1564" s="217"/>
      <c r="Q1564" s="217"/>
      <c r="R1564" s="217"/>
      <c r="S1564" s="217"/>
      <c r="T1564" s="217"/>
      <c r="U1564" s="217"/>
      <c r="V1564" s="217"/>
      <c r="W1564" s="217"/>
      <c r="X1564" s="217"/>
      <c r="Y1564" s="217"/>
      <c r="Z1564" s="217"/>
      <c r="AA1564" s="217"/>
      <c r="AB1564" s="217"/>
      <c r="AC1564" s="217"/>
      <c r="AD1564" s="217"/>
    </row>
    <row r="1565" spans="1:30" x14ac:dyDescent="0.2">
      <c r="A1565" s="232"/>
      <c r="B1565" s="210"/>
      <c r="C1565" s="210"/>
      <c r="D1565" s="210"/>
      <c r="E1565" s="210"/>
      <c r="G1565" s="55"/>
      <c r="H1565" s="56"/>
      <c r="I1565" s="217"/>
      <c r="J1565" s="217"/>
      <c r="K1565" s="217"/>
      <c r="L1565" s="217"/>
      <c r="M1565" s="217"/>
      <c r="N1565" s="217"/>
      <c r="O1565" s="217"/>
      <c r="P1565" s="217"/>
      <c r="Q1565" s="217"/>
      <c r="R1565" s="217"/>
      <c r="S1565" s="217"/>
      <c r="T1565" s="217"/>
      <c r="U1565" s="217"/>
      <c r="V1565" s="217"/>
      <c r="W1565" s="217"/>
      <c r="X1565" s="217"/>
      <c r="Y1565" s="217"/>
      <c r="Z1565" s="217"/>
      <c r="AA1565" s="217"/>
      <c r="AB1565" s="217"/>
      <c r="AC1565" s="217"/>
      <c r="AD1565" s="217"/>
    </row>
    <row r="1566" spans="1:30" x14ac:dyDescent="0.2">
      <c r="A1566" s="232"/>
      <c r="B1566" s="210"/>
      <c r="C1566" s="210"/>
      <c r="D1566" s="210"/>
      <c r="E1566" s="210"/>
      <c r="G1566" s="55"/>
      <c r="H1566" s="56"/>
      <c r="I1566" s="217"/>
      <c r="J1566" s="217"/>
      <c r="K1566" s="217"/>
      <c r="L1566" s="217"/>
      <c r="M1566" s="217"/>
      <c r="N1566" s="217"/>
      <c r="O1566" s="217"/>
      <c r="P1566" s="217"/>
      <c r="Q1566" s="217"/>
      <c r="R1566" s="217"/>
      <c r="S1566" s="217"/>
      <c r="T1566" s="217"/>
      <c r="U1566" s="217"/>
      <c r="V1566" s="217"/>
      <c r="W1566" s="217"/>
      <c r="X1566" s="217"/>
      <c r="Y1566" s="217"/>
      <c r="Z1566" s="217"/>
      <c r="AA1566" s="217"/>
      <c r="AB1566" s="217"/>
      <c r="AC1566" s="217"/>
      <c r="AD1566" s="217"/>
    </row>
    <row r="1567" spans="1:30" x14ac:dyDescent="0.2">
      <c r="A1567" s="232"/>
      <c r="B1567" s="210"/>
      <c r="C1567" s="210"/>
      <c r="D1567" s="210"/>
      <c r="E1567" s="210"/>
      <c r="G1567" s="55"/>
      <c r="H1567" s="56"/>
      <c r="I1567" s="217"/>
      <c r="J1567" s="217"/>
      <c r="K1567" s="217"/>
      <c r="L1567" s="217"/>
      <c r="M1567" s="217"/>
      <c r="N1567" s="217"/>
      <c r="O1567" s="217"/>
      <c r="P1567" s="217"/>
      <c r="Q1567" s="217"/>
      <c r="R1567" s="217"/>
      <c r="S1567" s="217"/>
      <c r="T1567" s="217"/>
      <c r="U1567" s="217"/>
      <c r="V1567" s="217"/>
      <c r="W1567" s="217"/>
      <c r="X1567" s="217"/>
      <c r="Y1567" s="217"/>
      <c r="Z1567" s="217"/>
      <c r="AA1567" s="217"/>
      <c r="AB1567" s="217"/>
      <c r="AC1567" s="217"/>
      <c r="AD1567" s="217"/>
    </row>
    <row r="1568" spans="1:30" x14ac:dyDescent="0.2">
      <c r="A1568" s="232"/>
      <c r="B1568" s="210"/>
      <c r="C1568" s="210"/>
      <c r="D1568" s="210"/>
      <c r="E1568" s="210"/>
      <c r="G1568" s="55"/>
      <c r="H1568" s="56"/>
      <c r="I1568" s="217"/>
      <c r="J1568" s="217"/>
      <c r="K1568" s="217"/>
      <c r="L1568" s="217"/>
      <c r="M1568" s="217"/>
      <c r="N1568" s="217"/>
      <c r="O1568" s="217"/>
      <c r="P1568" s="217"/>
      <c r="Q1568" s="217"/>
      <c r="R1568" s="217"/>
      <c r="S1568" s="217"/>
      <c r="T1568" s="217"/>
      <c r="U1568" s="217"/>
      <c r="V1568" s="217"/>
      <c r="W1568" s="217"/>
      <c r="X1568" s="217"/>
      <c r="Y1568" s="217"/>
      <c r="Z1568" s="217"/>
      <c r="AA1568" s="217"/>
      <c r="AB1568" s="217"/>
      <c r="AC1568" s="217"/>
      <c r="AD1568" s="217"/>
    </row>
    <row r="1569" spans="1:30" x14ac:dyDescent="0.2">
      <c r="A1569" s="232"/>
      <c r="B1569" s="210"/>
      <c r="C1569" s="210"/>
      <c r="D1569" s="210"/>
      <c r="E1569" s="210"/>
      <c r="G1569" s="55"/>
      <c r="H1569" s="56"/>
      <c r="I1569" s="217"/>
      <c r="J1569" s="217"/>
      <c r="K1569" s="217"/>
      <c r="L1569" s="217"/>
      <c r="M1569" s="217"/>
      <c r="N1569" s="217"/>
      <c r="O1569" s="217"/>
      <c r="P1569" s="217"/>
      <c r="Q1569" s="217"/>
      <c r="R1569" s="217"/>
      <c r="S1569" s="217"/>
      <c r="T1569" s="217"/>
      <c r="U1569" s="217"/>
      <c r="V1569" s="217"/>
      <c r="W1569" s="217"/>
      <c r="X1569" s="217"/>
      <c r="Y1569" s="217"/>
      <c r="Z1569" s="217"/>
      <c r="AA1569" s="217"/>
      <c r="AB1569" s="217"/>
      <c r="AC1569" s="217"/>
      <c r="AD1569" s="217"/>
    </row>
    <row r="1570" spans="1:30" x14ac:dyDescent="0.2">
      <c r="A1570" s="232"/>
      <c r="B1570" s="210"/>
      <c r="C1570" s="210"/>
      <c r="D1570" s="210"/>
      <c r="E1570" s="210"/>
      <c r="G1570" s="55"/>
      <c r="H1570" s="56"/>
      <c r="I1570" s="217"/>
      <c r="J1570" s="217"/>
      <c r="K1570" s="217"/>
      <c r="L1570" s="217"/>
      <c r="M1570" s="217"/>
      <c r="N1570" s="217"/>
      <c r="O1570" s="217"/>
      <c r="P1570" s="217"/>
      <c r="Q1570" s="217"/>
      <c r="R1570" s="217"/>
      <c r="S1570" s="217"/>
      <c r="T1570" s="217"/>
      <c r="U1570" s="217"/>
      <c r="V1570" s="217"/>
      <c r="W1570" s="217"/>
      <c r="X1570" s="217"/>
      <c r="Y1570" s="217"/>
      <c r="Z1570" s="217"/>
      <c r="AA1570" s="217"/>
      <c r="AB1570" s="217"/>
      <c r="AC1570" s="217"/>
      <c r="AD1570" s="217"/>
    </row>
    <row r="1571" spans="1:30" x14ac:dyDescent="0.2">
      <c r="A1571" s="232"/>
      <c r="B1571" s="210"/>
      <c r="C1571" s="210"/>
      <c r="D1571" s="210"/>
      <c r="E1571" s="210"/>
      <c r="G1571" s="55"/>
      <c r="H1571" s="56"/>
      <c r="I1571" s="217"/>
      <c r="J1571" s="217"/>
      <c r="K1571" s="217"/>
      <c r="L1571" s="217"/>
      <c r="M1571" s="217"/>
      <c r="N1571" s="217"/>
      <c r="O1571" s="217"/>
      <c r="P1571" s="217"/>
      <c r="Q1571" s="217"/>
      <c r="R1571" s="217"/>
      <c r="S1571" s="217"/>
      <c r="T1571" s="217"/>
      <c r="U1571" s="217"/>
      <c r="V1571" s="217"/>
      <c r="W1571" s="217"/>
      <c r="X1571" s="217"/>
      <c r="Y1571" s="217"/>
      <c r="Z1571" s="217"/>
      <c r="AA1571" s="217"/>
      <c r="AB1571" s="217"/>
      <c r="AC1571" s="217"/>
      <c r="AD1571" s="217"/>
    </row>
    <row r="1572" spans="1:30" x14ac:dyDescent="0.2">
      <c r="A1572" s="232"/>
      <c r="B1572" s="210"/>
      <c r="C1572" s="210"/>
      <c r="D1572" s="210"/>
      <c r="E1572" s="210"/>
      <c r="G1572" s="55"/>
      <c r="H1572" s="56"/>
      <c r="I1572" s="217"/>
      <c r="J1572" s="217"/>
      <c r="K1572" s="217"/>
      <c r="L1572" s="217"/>
      <c r="M1572" s="217"/>
      <c r="N1572" s="217"/>
      <c r="O1572" s="217"/>
      <c r="P1572" s="217"/>
      <c r="Q1572" s="217"/>
      <c r="R1572" s="217"/>
      <c r="S1572" s="217"/>
      <c r="T1572" s="217"/>
      <c r="U1572" s="217"/>
      <c r="V1572" s="217"/>
      <c r="W1572" s="217"/>
      <c r="X1572" s="217"/>
      <c r="Y1572" s="217"/>
      <c r="Z1572" s="217"/>
      <c r="AA1572" s="217"/>
      <c r="AB1572" s="217"/>
      <c r="AC1572" s="217"/>
      <c r="AD1572" s="217"/>
    </row>
    <row r="1573" spans="1:30" x14ac:dyDescent="0.2">
      <c r="A1573" s="232"/>
      <c r="B1573" s="210"/>
      <c r="C1573" s="210"/>
      <c r="D1573" s="210"/>
      <c r="E1573" s="210"/>
      <c r="G1573" s="55"/>
      <c r="H1573" s="56"/>
      <c r="I1573" s="217"/>
      <c r="J1573" s="217"/>
      <c r="K1573" s="217"/>
      <c r="L1573" s="217"/>
      <c r="M1573" s="217"/>
      <c r="N1573" s="217"/>
      <c r="O1573" s="217"/>
      <c r="P1573" s="217"/>
      <c r="Q1573" s="217"/>
      <c r="R1573" s="217"/>
      <c r="S1573" s="217"/>
      <c r="T1573" s="217"/>
      <c r="U1573" s="217"/>
      <c r="V1573" s="217"/>
      <c r="W1573" s="217"/>
      <c r="X1573" s="217"/>
      <c r="Y1573" s="217"/>
      <c r="Z1573" s="217"/>
      <c r="AA1573" s="217"/>
      <c r="AB1573" s="217"/>
      <c r="AC1573" s="217"/>
      <c r="AD1573" s="217"/>
    </row>
    <row r="1574" spans="1:30" x14ac:dyDescent="0.2">
      <c r="A1574" s="232"/>
      <c r="B1574" s="210"/>
      <c r="C1574" s="210"/>
      <c r="D1574" s="210"/>
      <c r="E1574" s="210"/>
      <c r="G1574" s="55"/>
      <c r="H1574" s="56"/>
      <c r="I1574" s="217"/>
      <c r="J1574" s="217"/>
      <c r="K1574" s="217"/>
      <c r="L1574" s="217"/>
      <c r="M1574" s="217"/>
      <c r="N1574" s="217"/>
      <c r="O1574" s="217"/>
      <c r="P1574" s="217"/>
      <c r="Q1574" s="217"/>
      <c r="R1574" s="217"/>
      <c r="S1574" s="217"/>
      <c r="T1574" s="217"/>
      <c r="U1574" s="217"/>
      <c r="V1574" s="217"/>
      <c r="W1574" s="217"/>
      <c r="X1574" s="217"/>
      <c r="Y1574" s="217"/>
      <c r="Z1574" s="217"/>
      <c r="AA1574" s="217"/>
      <c r="AB1574" s="217"/>
      <c r="AC1574" s="217"/>
      <c r="AD1574" s="217"/>
    </row>
    <row r="1575" spans="1:30" x14ac:dyDescent="0.2">
      <c r="A1575" s="232"/>
      <c r="B1575" s="210"/>
      <c r="C1575" s="210"/>
      <c r="D1575" s="210"/>
      <c r="E1575" s="210"/>
      <c r="G1575" s="55"/>
      <c r="H1575" s="56"/>
      <c r="I1575" s="217"/>
      <c r="J1575" s="217"/>
      <c r="K1575" s="217"/>
      <c r="L1575" s="217"/>
      <c r="M1575" s="217"/>
      <c r="N1575" s="217"/>
      <c r="O1575" s="217"/>
      <c r="P1575" s="217"/>
      <c r="Q1575" s="217"/>
      <c r="R1575" s="217"/>
      <c r="S1575" s="217"/>
      <c r="T1575" s="217"/>
      <c r="U1575" s="217"/>
      <c r="V1575" s="217"/>
      <c r="W1575" s="217"/>
      <c r="X1575" s="217"/>
      <c r="Y1575" s="217"/>
      <c r="Z1575" s="217"/>
      <c r="AA1575" s="217"/>
      <c r="AB1575" s="217"/>
      <c r="AC1575" s="217"/>
      <c r="AD1575" s="217"/>
    </row>
    <row r="1576" spans="1:30" x14ac:dyDescent="0.2">
      <c r="A1576" s="232"/>
      <c r="B1576" s="210"/>
      <c r="C1576" s="210"/>
      <c r="D1576" s="210"/>
      <c r="E1576" s="210"/>
      <c r="G1576" s="55"/>
      <c r="H1576" s="56"/>
      <c r="I1576" s="217"/>
      <c r="J1576" s="217"/>
      <c r="K1576" s="217"/>
      <c r="L1576" s="217"/>
      <c r="M1576" s="217"/>
      <c r="N1576" s="217"/>
      <c r="O1576" s="217"/>
      <c r="P1576" s="217"/>
      <c r="Q1576" s="217"/>
      <c r="R1576" s="217"/>
      <c r="S1576" s="217"/>
      <c r="T1576" s="217"/>
      <c r="U1576" s="217"/>
      <c r="V1576" s="217"/>
      <c r="W1576" s="217"/>
      <c r="X1576" s="217"/>
      <c r="Y1576" s="217"/>
      <c r="Z1576" s="217"/>
      <c r="AA1576" s="217"/>
      <c r="AB1576" s="217"/>
      <c r="AC1576" s="217"/>
      <c r="AD1576" s="217"/>
    </row>
    <row r="1577" spans="1:30" x14ac:dyDescent="0.2">
      <c r="A1577" s="232"/>
      <c r="B1577" s="210"/>
      <c r="C1577" s="210"/>
      <c r="D1577" s="210"/>
      <c r="E1577" s="210"/>
      <c r="G1577" s="55"/>
      <c r="H1577" s="56"/>
      <c r="I1577" s="217"/>
      <c r="J1577" s="217"/>
      <c r="K1577" s="217"/>
      <c r="L1577" s="217"/>
      <c r="M1577" s="217"/>
      <c r="N1577" s="217"/>
      <c r="O1577" s="217"/>
      <c r="P1577" s="217"/>
      <c r="Q1577" s="217"/>
      <c r="R1577" s="217"/>
      <c r="S1577" s="217"/>
      <c r="T1577" s="217"/>
      <c r="U1577" s="217"/>
      <c r="V1577" s="217"/>
      <c r="W1577" s="217"/>
      <c r="X1577" s="217"/>
      <c r="Y1577" s="217"/>
      <c r="Z1577" s="217"/>
      <c r="AA1577" s="217"/>
      <c r="AB1577" s="217"/>
      <c r="AC1577" s="217"/>
      <c r="AD1577" s="217"/>
    </row>
    <row r="1578" spans="1:30" x14ac:dyDescent="0.2">
      <c r="A1578" s="232"/>
      <c r="B1578" s="210"/>
      <c r="C1578" s="210"/>
      <c r="D1578" s="210"/>
      <c r="E1578" s="210"/>
      <c r="G1578" s="55"/>
      <c r="H1578" s="56"/>
      <c r="I1578" s="217"/>
      <c r="J1578" s="217"/>
      <c r="K1578" s="217"/>
      <c r="L1578" s="217"/>
      <c r="M1578" s="217"/>
      <c r="N1578" s="217"/>
      <c r="O1578" s="217"/>
      <c r="P1578" s="217"/>
      <c r="Q1578" s="217"/>
      <c r="R1578" s="217"/>
      <c r="S1578" s="217"/>
      <c r="T1578" s="217"/>
      <c r="U1578" s="217"/>
      <c r="V1578" s="217"/>
      <c r="W1578" s="217"/>
      <c r="X1578" s="217"/>
      <c r="Y1578" s="217"/>
      <c r="Z1578" s="217"/>
      <c r="AA1578" s="217"/>
      <c r="AB1578" s="217"/>
      <c r="AC1578" s="217"/>
      <c r="AD1578" s="217"/>
    </row>
    <row r="1579" spans="1:30" x14ac:dyDescent="0.2">
      <c r="A1579" s="232"/>
      <c r="B1579" s="210"/>
      <c r="C1579" s="210"/>
      <c r="D1579" s="210"/>
      <c r="E1579" s="210"/>
      <c r="G1579" s="55"/>
      <c r="H1579" s="56"/>
      <c r="I1579" s="217"/>
      <c r="J1579" s="217"/>
      <c r="K1579" s="217"/>
      <c r="L1579" s="217"/>
      <c r="M1579" s="217"/>
      <c r="N1579" s="217"/>
      <c r="O1579" s="217"/>
      <c r="P1579" s="217"/>
      <c r="Q1579" s="217"/>
      <c r="R1579" s="217"/>
      <c r="S1579" s="217"/>
      <c r="T1579" s="217"/>
      <c r="U1579" s="217"/>
      <c r="V1579" s="217"/>
      <c r="W1579" s="217"/>
      <c r="X1579" s="217"/>
      <c r="Y1579" s="217"/>
      <c r="Z1579" s="217"/>
      <c r="AA1579" s="217"/>
      <c r="AB1579" s="217"/>
      <c r="AC1579" s="217"/>
      <c r="AD1579" s="217"/>
    </row>
    <row r="1580" spans="1:30" x14ac:dyDescent="0.2">
      <c r="A1580" s="232"/>
      <c r="B1580" s="210"/>
      <c r="C1580" s="210"/>
      <c r="D1580" s="210"/>
      <c r="E1580" s="210"/>
      <c r="G1580" s="55"/>
      <c r="H1580" s="56"/>
      <c r="I1580" s="217"/>
      <c r="J1580" s="217"/>
      <c r="K1580" s="217"/>
      <c r="L1580" s="217"/>
      <c r="M1580" s="217"/>
      <c r="N1580" s="217"/>
      <c r="O1580" s="217"/>
      <c r="P1580" s="217"/>
      <c r="Q1580" s="217"/>
      <c r="R1580" s="217"/>
      <c r="S1580" s="217"/>
      <c r="T1580" s="217"/>
      <c r="U1580" s="217"/>
      <c r="V1580" s="217"/>
      <c r="W1580" s="217"/>
      <c r="X1580" s="217"/>
      <c r="Y1580" s="217"/>
      <c r="Z1580" s="217"/>
      <c r="AA1580" s="217"/>
      <c r="AB1580" s="217"/>
      <c r="AC1580" s="217"/>
      <c r="AD1580" s="217"/>
    </row>
    <row r="1581" spans="1:30" x14ac:dyDescent="0.2">
      <c r="A1581" s="232"/>
      <c r="B1581" s="210"/>
      <c r="C1581" s="210"/>
      <c r="D1581" s="210"/>
      <c r="E1581" s="210"/>
      <c r="G1581" s="55"/>
      <c r="H1581" s="56"/>
      <c r="I1581" s="217"/>
      <c r="J1581" s="217"/>
      <c r="K1581" s="217"/>
      <c r="L1581" s="217"/>
      <c r="M1581" s="217"/>
      <c r="N1581" s="217"/>
      <c r="O1581" s="217"/>
      <c r="P1581" s="217"/>
      <c r="Q1581" s="217"/>
      <c r="R1581" s="217"/>
      <c r="S1581" s="217"/>
      <c r="T1581" s="217"/>
      <c r="U1581" s="217"/>
      <c r="V1581" s="217"/>
      <c r="W1581" s="217"/>
      <c r="X1581" s="217"/>
      <c r="Y1581" s="217"/>
      <c r="Z1581" s="217"/>
      <c r="AA1581" s="217"/>
      <c r="AB1581" s="217"/>
      <c r="AC1581" s="217"/>
      <c r="AD1581" s="217"/>
    </row>
    <row r="1582" spans="1:30" x14ac:dyDescent="0.2">
      <c r="A1582" s="232"/>
      <c r="B1582" s="210"/>
      <c r="C1582" s="210"/>
      <c r="D1582" s="210"/>
      <c r="E1582" s="210"/>
      <c r="G1582" s="55"/>
      <c r="H1582" s="56"/>
      <c r="I1582" s="217"/>
      <c r="J1582" s="217"/>
      <c r="K1582" s="217"/>
      <c r="L1582" s="217"/>
      <c r="M1582" s="217"/>
      <c r="N1582" s="217"/>
      <c r="O1582" s="217"/>
      <c r="P1582" s="217"/>
      <c r="Q1582" s="217"/>
      <c r="R1582" s="217"/>
      <c r="S1582" s="217"/>
      <c r="T1582" s="217"/>
      <c r="U1582" s="217"/>
      <c r="V1582" s="217"/>
      <c r="W1582" s="217"/>
      <c r="X1582" s="217"/>
      <c r="Y1582" s="217"/>
      <c r="Z1582" s="217"/>
      <c r="AA1582" s="217"/>
      <c r="AB1582" s="217"/>
      <c r="AC1582" s="217"/>
      <c r="AD1582" s="217"/>
    </row>
    <row r="1583" spans="1:30" x14ac:dyDescent="0.2">
      <c r="A1583" s="232"/>
      <c r="B1583" s="210"/>
      <c r="C1583" s="210"/>
      <c r="D1583" s="210"/>
      <c r="E1583" s="210"/>
      <c r="G1583" s="55"/>
      <c r="H1583" s="56"/>
      <c r="I1583" s="217"/>
      <c r="J1583" s="217"/>
      <c r="K1583" s="217"/>
      <c r="L1583" s="217"/>
      <c r="M1583" s="217"/>
      <c r="N1583" s="217"/>
      <c r="O1583" s="217"/>
      <c r="P1583" s="217"/>
      <c r="Q1583" s="217"/>
      <c r="R1583" s="217"/>
      <c r="S1583" s="217"/>
      <c r="T1583" s="217"/>
      <c r="U1583" s="217"/>
      <c r="V1583" s="217"/>
      <c r="W1583" s="217"/>
      <c r="X1583" s="217"/>
      <c r="Y1583" s="217"/>
      <c r="Z1583" s="217"/>
      <c r="AA1583" s="217"/>
      <c r="AB1583" s="217"/>
      <c r="AC1583" s="217"/>
      <c r="AD1583" s="217"/>
    </row>
    <row r="1584" spans="1:30" x14ac:dyDescent="0.2">
      <c r="A1584" s="232"/>
      <c r="B1584" s="210"/>
      <c r="C1584" s="210"/>
      <c r="D1584" s="210"/>
      <c r="E1584" s="210"/>
      <c r="G1584" s="55"/>
      <c r="H1584" s="56"/>
      <c r="I1584" s="217"/>
      <c r="J1584" s="217"/>
      <c r="K1584" s="217"/>
      <c r="L1584" s="217"/>
      <c r="M1584" s="217"/>
      <c r="N1584" s="217"/>
      <c r="O1584" s="217"/>
      <c r="P1584" s="217"/>
      <c r="Q1584" s="217"/>
      <c r="R1584" s="217"/>
      <c r="S1584" s="217"/>
      <c r="T1584" s="217"/>
      <c r="U1584" s="217"/>
      <c r="V1584" s="217"/>
      <c r="W1584" s="217"/>
      <c r="X1584" s="217"/>
      <c r="Y1584" s="217"/>
      <c r="Z1584" s="217"/>
      <c r="AA1584" s="217"/>
      <c r="AB1584" s="217"/>
      <c r="AC1584" s="217"/>
      <c r="AD1584" s="217"/>
    </row>
    <row r="1585" spans="1:30" x14ac:dyDescent="0.2">
      <c r="A1585" s="232"/>
      <c r="B1585" s="210"/>
      <c r="C1585" s="210"/>
      <c r="D1585" s="210"/>
      <c r="E1585" s="210"/>
      <c r="G1585" s="55"/>
      <c r="H1585" s="56"/>
      <c r="I1585" s="217"/>
      <c r="J1585" s="217"/>
      <c r="K1585" s="217"/>
      <c r="L1585" s="217"/>
      <c r="M1585" s="217"/>
      <c r="N1585" s="217"/>
      <c r="O1585" s="217"/>
      <c r="P1585" s="217"/>
      <c r="Q1585" s="217"/>
      <c r="R1585" s="217"/>
      <c r="S1585" s="217"/>
      <c r="T1585" s="217"/>
      <c r="U1585" s="217"/>
      <c r="V1585" s="217"/>
      <c r="W1585" s="217"/>
      <c r="X1585" s="217"/>
      <c r="Y1585" s="217"/>
      <c r="Z1585" s="217"/>
      <c r="AA1585" s="217"/>
      <c r="AB1585" s="217"/>
      <c r="AC1585" s="217"/>
      <c r="AD1585" s="217"/>
    </row>
    <row r="1586" spans="1:30" x14ac:dyDescent="0.2">
      <c r="A1586" s="232"/>
      <c r="B1586" s="210"/>
      <c r="C1586" s="210"/>
      <c r="D1586" s="210"/>
      <c r="E1586" s="210"/>
      <c r="G1586" s="55"/>
      <c r="H1586" s="56"/>
      <c r="I1586" s="217"/>
      <c r="J1586" s="217"/>
      <c r="K1586" s="217"/>
      <c r="L1586" s="217"/>
      <c r="M1586" s="217"/>
      <c r="N1586" s="217"/>
      <c r="O1586" s="217"/>
      <c r="P1586" s="217"/>
      <c r="Q1586" s="217"/>
      <c r="R1586" s="217"/>
      <c r="S1586" s="217"/>
      <c r="T1586" s="217"/>
      <c r="U1586" s="217"/>
      <c r="V1586" s="217"/>
      <c r="W1586" s="217"/>
      <c r="X1586" s="217"/>
      <c r="Y1586" s="217"/>
      <c r="Z1586" s="217"/>
      <c r="AA1586" s="217"/>
      <c r="AB1586" s="217"/>
      <c r="AC1586" s="217"/>
      <c r="AD1586" s="217"/>
    </row>
    <row r="1587" spans="1:30" x14ac:dyDescent="0.2">
      <c r="A1587" s="232"/>
      <c r="B1587" s="210"/>
      <c r="C1587" s="210"/>
      <c r="D1587" s="210"/>
      <c r="E1587" s="210"/>
      <c r="G1587" s="55"/>
      <c r="H1587" s="56"/>
      <c r="I1587" s="217"/>
      <c r="J1587" s="217"/>
      <c r="K1587" s="217"/>
      <c r="L1587" s="217"/>
      <c r="M1587" s="217"/>
      <c r="N1587" s="217"/>
      <c r="O1587" s="217"/>
      <c r="P1587" s="217"/>
      <c r="Q1587" s="217"/>
      <c r="R1587" s="217"/>
      <c r="S1587" s="217"/>
      <c r="T1587" s="217"/>
      <c r="U1587" s="217"/>
      <c r="V1587" s="217"/>
      <c r="W1587" s="217"/>
      <c r="X1587" s="217"/>
      <c r="Y1587" s="217"/>
      <c r="Z1587" s="217"/>
      <c r="AA1587" s="217"/>
      <c r="AB1587" s="217"/>
      <c r="AC1587" s="217"/>
      <c r="AD1587" s="217"/>
    </row>
    <row r="1588" spans="1:30" x14ac:dyDescent="0.2">
      <c r="A1588" s="232"/>
      <c r="B1588" s="210"/>
      <c r="C1588" s="210"/>
      <c r="D1588" s="210"/>
      <c r="E1588" s="210"/>
      <c r="G1588" s="55"/>
      <c r="H1588" s="56"/>
      <c r="I1588" s="217"/>
      <c r="J1588" s="217"/>
      <c r="K1588" s="217"/>
      <c r="L1588" s="217"/>
      <c r="M1588" s="217"/>
      <c r="N1588" s="217"/>
      <c r="O1588" s="217"/>
      <c r="P1588" s="217"/>
      <c r="Q1588" s="217"/>
      <c r="R1588" s="217"/>
      <c r="S1588" s="217"/>
      <c r="T1588" s="217"/>
      <c r="U1588" s="217"/>
      <c r="V1588" s="217"/>
      <c r="W1588" s="217"/>
      <c r="X1588" s="217"/>
      <c r="Y1588" s="217"/>
      <c r="Z1588" s="217"/>
      <c r="AA1588" s="217"/>
      <c r="AB1588" s="217"/>
      <c r="AC1588" s="217"/>
      <c r="AD1588" s="217"/>
    </row>
    <row r="1589" spans="1:30" x14ac:dyDescent="0.2">
      <c r="A1589" s="232"/>
      <c r="B1589" s="210"/>
      <c r="C1589" s="210"/>
      <c r="D1589" s="210"/>
      <c r="E1589" s="210"/>
      <c r="G1589" s="55"/>
      <c r="H1589" s="56"/>
      <c r="I1589" s="217"/>
      <c r="J1589" s="217"/>
      <c r="K1589" s="217"/>
      <c r="L1589" s="217"/>
      <c r="M1589" s="217"/>
      <c r="N1589" s="217"/>
      <c r="O1589" s="217"/>
      <c r="P1589" s="217"/>
      <c r="Q1589" s="217"/>
      <c r="R1589" s="217"/>
      <c r="S1589" s="217"/>
      <c r="T1589" s="217"/>
      <c r="U1589" s="217"/>
      <c r="V1589" s="217"/>
      <c r="W1589" s="217"/>
      <c r="X1589" s="217"/>
      <c r="Y1589" s="217"/>
      <c r="Z1589" s="217"/>
      <c r="AA1589" s="217"/>
      <c r="AB1589" s="217"/>
      <c r="AC1589" s="217"/>
      <c r="AD1589" s="217"/>
    </row>
    <row r="1590" spans="1:30" x14ac:dyDescent="0.2">
      <c r="A1590" s="232"/>
      <c r="B1590" s="210"/>
      <c r="C1590" s="210"/>
      <c r="D1590" s="210"/>
      <c r="E1590" s="210"/>
      <c r="G1590" s="55"/>
      <c r="H1590" s="56"/>
      <c r="I1590" s="217"/>
      <c r="J1590" s="217"/>
      <c r="K1590" s="217"/>
      <c r="L1590" s="217"/>
      <c r="M1590" s="217"/>
      <c r="N1590" s="217"/>
      <c r="O1590" s="217"/>
      <c r="P1590" s="217"/>
      <c r="Q1590" s="217"/>
      <c r="R1590" s="217"/>
      <c r="S1590" s="217"/>
      <c r="T1590" s="217"/>
      <c r="U1590" s="217"/>
      <c r="V1590" s="217"/>
      <c r="W1590" s="217"/>
      <c r="X1590" s="217"/>
      <c r="Y1590" s="217"/>
      <c r="Z1590" s="217"/>
      <c r="AA1590" s="217"/>
      <c r="AB1590" s="217"/>
      <c r="AC1590" s="217"/>
      <c r="AD1590" s="217"/>
    </row>
    <row r="1591" spans="1:30" x14ac:dyDescent="0.2">
      <c r="A1591" s="232"/>
      <c r="B1591" s="210"/>
      <c r="C1591" s="210"/>
      <c r="D1591" s="210"/>
      <c r="E1591" s="210"/>
      <c r="G1591" s="55"/>
      <c r="H1591" s="56"/>
      <c r="I1591" s="217"/>
      <c r="J1591" s="217"/>
      <c r="K1591" s="217"/>
      <c r="L1591" s="217"/>
      <c r="M1591" s="217"/>
      <c r="N1591" s="217"/>
      <c r="O1591" s="217"/>
      <c r="P1591" s="217"/>
      <c r="Q1591" s="217"/>
      <c r="R1591" s="217"/>
      <c r="S1591" s="217"/>
      <c r="T1591" s="217"/>
      <c r="U1591" s="217"/>
      <c r="V1591" s="217"/>
      <c r="W1591" s="217"/>
      <c r="X1591" s="217"/>
      <c r="Y1591" s="217"/>
      <c r="Z1591" s="217"/>
      <c r="AA1591" s="217"/>
      <c r="AB1591" s="217"/>
      <c r="AC1591" s="217"/>
      <c r="AD1591" s="217"/>
    </row>
    <row r="1592" spans="1:30" x14ac:dyDescent="0.2">
      <c r="A1592" s="232"/>
      <c r="B1592" s="210"/>
      <c r="C1592" s="210"/>
      <c r="D1592" s="210"/>
      <c r="E1592" s="210"/>
      <c r="G1592" s="55"/>
      <c r="H1592" s="56"/>
      <c r="I1592" s="217"/>
      <c r="J1592" s="217"/>
      <c r="K1592" s="217"/>
      <c r="L1592" s="217"/>
      <c r="M1592" s="217"/>
      <c r="N1592" s="217"/>
      <c r="O1592" s="217"/>
      <c r="P1592" s="217"/>
      <c r="Q1592" s="217"/>
      <c r="R1592" s="217"/>
      <c r="S1592" s="217"/>
      <c r="T1592" s="217"/>
      <c r="U1592" s="217"/>
      <c r="V1592" s="217"/>
      <c r="W1592" s="217"/>
      <c r="X1592" s="217"/>
      <c r="Y1592" s="217"/>
      <c r="Z1592" s="217"/>
      <c r="AA1592" s="217"/>
      <c r="AB1592" s="217"/>
      <c r="AC1592" s="217"/>
      <c r="AD1592" s="217"/>
    </row>
    <row r="1593" spans="1:30" x14ac:dyDescent="0.2">
      <c r="A1593" s="232"/>
      <c r="B1593" s="210"/>
      <c r="C1593" s="210"/>
      <c r="D1593" s="210"/>
      <c r="E1593" s="210"/>
      <c r="G1593" s="55"/>
      <c r="H1593" s="56"/>
      <c r="I1593" s="217"/>
      <c r="J1593" s="217"/>
      <c r="K1593" s="217"/>
      <c r="L1593" s="217"/>
      <c r="M1593" s="217"/>
      <c r="N1593" s="217"/>
      <c r="O1593" s="217"/>
      <c r="P1593" s="217"/>
      <c r="Q1593" s="217"/>
      <c r="R1593" s="217"/>
      <c r="S1593" s="217"/>
      <c r="T1593" s="217"/>
      <c r="U1593" s="217"/>
      <c r="V1593" s="217"/>
      <c r="W1593" s="217"/>
      <c r="X1593" s="217"/>
      <c r="Y1593" s="217"/>
      <c r="Z1593" s="217"/>
      <c r="AA1593" s="217"/>
      <c r="AB1593" s="217"/>
      <c r="AC1593" s="217"/>
      <c r="AD1593" s="217"/>
    </row>
    <row r="1594" spans="1:30" x14ac:dyDescent="0.2">
      <c r="A1594" s="232"/>
      <c r="B1594" s="210"/>
      <c r="C1594" s="210"/>
      <c r="D1594" s="210"/>
      <c r="E1594" s="210"/>
      <c r="G1594" s="55"/>
      <c r="H1594" s="56"/>
      <c r="I1594" s="217"/>
      <c r="J1594" s="217"/>
      <c r="K1594" s="217"/>
      <c r="L1594" s="217"/>
      <c r="M1594" s="217"/>
      <c r="N1594" s="217"/>
      <c r="O1594" s="217"/>
      <c r="P1594" s="217"/>
      <c r="Q1594" s="217"/>
      <c r="R1594" s="217"/>
      <c r="S1594" s="217"/>
      <c r="T1594" s="217"/>
      <c r="U1594" s="217"/>
      <c r="V1594" s="217"/>
      <c r="W1594" s="217"/>
      <c r="X1594" s="217"/>
      <c r="Y1594" s="217"/>
      <c r="Z1594" s="217"/>
      <c r="AA1594" s="217"/>
      <c r="AB1594" s="217"/>
      <c r="AC1594" s="217"/>
      <c r="AD1594" s="217"/>
    </row>
    <row r="1595" spans="1:30" x14ac:dyDescent="0.2">
      <c r="A1595" s="232"/>
      <c r="B1595" s="210"/>
      <c r="C1595" s="210"/>
      <c r="D1595" s="210"/>
      <c r="E1595" s="210"/>
      <c r="G1595" s="55"/>
      <c r="H1595" s="56"/>
      <c r="I1595" s="217"/>
      <c r="J1595" s="217"/>
      <c r="K1595" s="217"/>
      <c r="L1595" s="217"/>
      <c r="M1595" s="217"/>
      <c r="N1595" s="217"/>
      <c r="O1595" s="217"/>
      <c r="P1595" s="217"/>
      <c r="Q1595" s="217"/>
      <c r="R1595" s="217"/>
      <c r="S1595" s="217"/>
      <c r="T1595" s="217"/>
      <c r="U1595" s="217"/>
      <c r="V1595" s="217"/>
      <c r="W1595" s="217"/>
      <c r="X1595" s="217"/>
      <c r="Y1595" s="217"/>
      <c r="Z1595" s="217"/>
      <c r="AA1595" s="217"/>
      <c r="AB1595" s="217"/>
      <c r="AC1595" s="217"/>
      <c r="AD1595" s="217"/>
    </row>
    <row r="1596" spans="1:30" x14ac:dyDescent="0.2">
      <c r="A1596" s="232"/>
      <c r="B1596" s="210"/>
      <c r="C1596" s="210"/>
      <c r="D1596" s="210"/>
      <c r="E1596" s="210"/>
      <c r="G1596" s="55"/>
      <c r="H1596" s="56"/>
      <c r="I1596" s="217"/>
      <c r="J1596" s="217"/>
      <c r="K1596" s="217"/>
      <c r="L1596" s="217"/>
      <c r="M1596" s="217"/>
      <c r="N1596" s="217"/>
      <c r="O1596" s="217"/>
      <c r="P1596" s="217"/>
      <c r="Q1596" s="217"/>
      <c r="R1596" s="217"/>
      <c r="S1596" s="217"/>
      <c r="T1596" s="217"/>
      <c r="U1596" s="217"/>
      <c r="V1596" s="217"/>
      <c r="W1596" s="217"/>
      <c r="X1596" s="217"/>
      <c r="Y1596" s="217"/>
      <c r="Z1596" s="217"/>
      <c r="AA1596" s="217"/>
      <c r="AB1596" s="217"/>
      <c r="AC1596" s="217"/>
      <c r="AD1596" s="217"/>
    </row>
    <row r="1597" spans="1:30" x14ac:dyDescent="0.2">
      <c r="A1597" s="232"/>
      <c r="B1597" s="210"/>
      <c r="C1597" s="210"/>
      <c r="D1597" s="210"/>
      <c r="E1597" s="210"/>
      <c r="G1597" s="55"/>
      <c r="H1597" s="56"/>
      <c r="I1597" s="217"/>
      <c r="J1597" s="217"/>
      <c r="K1597" s="217"/>
      <c r="L1597" s="217"/>
      <c r="M1597" s="217"/>
      <c r="N1597" s="217"/>
      <c r="O1597" s="217"/>
      <c r="P1597" s="217"/>
      <c r="Q1597" s="217"/>
      <c r="R1597" s="217"/>
      <c r="S1597" s="217"/>
      <c r="T1597" s="217"/>
      <c r="U1597" s="217"/>
      <c r="V1597" s="217"/>
      <c r="W1597" s="217"/>
      <c r="X1597" s="217"/>
      <c r="Y1597" s="217"/>
      <c r="Z1597" s="217"/>
      <c r="AA1597" s="217"/>
      <c r="AB1597" s="217"/>
      <c r="AC1597" s="217"/>
      <c r="AD1597" s="217"/>
    </row>
    <row r="1598" spans="1:30" x14ac:dyDescent="0.2">
      <c r="A1598" s="232"/>
      <c r="B1598" s="210"/>
      <c r="C1598" s="210"/>
      <c r="D1598" s="210"/>
      <c r="E1598" s="210"/>
      <c r="G1598" s="55"/>
      <c r="H1598" s="56"/>
      <c r="I1598" s="217"/>
      <c r="J1598" s="217"/>
      <c r="K1598" s="217"/>
      <c r="L1598" s="217"/>
      <c r="M1598" s="217"/>
      <c r="N1598" s="217"/>
      <c r="O1598" s="217"/>
      <c r="P1598" s="217"/>
      <c r="Q1598" s="217"/>
      <c r="R1598" s="217"/>
      <c r="S1598" s="217"/>
      <c r="T1598" s="217"/>
      <c r="U1598" s="217"/>
      <c r="V1598" s="217"/>
      <c r="W1598" s="217"/>
      <c r="X1598" s="217"/>
      <c r="Y1598" s="217"/>
      <c r="Z1598" s="217"/>
      <c r="AA1598" s="217"/>
      <c r="AB1598" s="217"/>
      <c r="AC1598" s="217"/>
      <c r="AD1598" s="217"/>
    </row>
    <row r="1599" spans="1:30" x14ac:dyDescent="0.2">
      <c r="A1599" s="232"/>
      <c r="B1599" s="210"/>
      <c r="C1599" s="210"/>
      <c r="D1599" s="210"/>
      <c r="E1599" s="210"/>
      <c r="G1599" s="55"/>
      <c r="H1599" s="56"/>
      <c r="I1599" s="217"/>
      <c r="J1599" s="217"/>
      <c r="K1599" s="217"/>
      <c r="L1599" s="217"/>
      <c r="M1599" s="217"/>
      <c r="N1599" s="217"/>
      <c r="O1599" s="217"/>
      <c r="P1599" s="217"/>
      <c r="Q1599" s="217"/>
      <c r="R1599" s="217"/>
      <c r="S1599" s="217"/>
      <c r="T1599" s="217"/>
      <c r="U1599" s="217"/>
      <c r="V1599" s="217"/>
      <c r="W1599" s="217"/>
      <c r="X1599" s="217"/>
      <c r="Y1599" s="217"/>
      <c r="Z1599" s="217"/>
      <c r="AA1599" s="217"/>
      <c r="AB1599" s="217"/>
      <c r="AC1599" s="217"/>
      <c r="AD1599" s="217"/>
    </row>
    <row r="1600" spans="1:30" x14ac:dyDescent="0.2">
      <c r="A1600" s="232"/>
      <c r="B1600" s="210"/>
      <c r="C1600" s="210"/>
      <c r="D1600" s="210"/>
      <c r="E1600" s="210"/>
      <c r="G1600" s="55"/>
      <c r="H1600" s="56"/>
      <c r="I1600" s="217"/>
      <c r="J1600" s="217"/>
      <c r="K1600" s="217"/>
      <c r="L1600" s="217"/>
      <c r="M1600" s="217"/>
      <c r="N1600" s="217"/>
      <c r="O1600" s="217"/>
      <c r="P1600" s="217"/>
      <c r="Q1600" s="217"/>
      <c r="R1600" s="217"/>
      <c r="S1600" s="217"/>
      <c r="T1600" s="217"/>
      <c r="U1600" s="217"/>
      <c r="V1600" s="217"/>
      <c r="W1600" s="217"/>
      <c r="X1600" s="217"/>
      <c r="Y1600" s="217"/>
      <c r="Z1600" s="217"/>
      <c r="AA1600" s="217"/>
      <c r="AB1600" s="217"/>
      <c r="AC1600" s="217"/>
      <c r="AD1600" s="217"/>
    </row>
    <row r="1601" spans="1:30" x14ac:dyDescent="0.2">
      <c r="A1601" s="232"/>
      <c r="B1601" s="210"/>
      <c r="C1601" s="210"/>
      <c r="D1601" s="210"/>
      <c r="E1601" s="210"/>
      <c r="G1601" s="55"/>
      <c r="H1601" s="56"/>
      <c r="I1601" s="217"/>
      <c r="J1601" s="217"/>
      <c r="K1601" s="217"/>
      <c r="L1601" s="217"/>
      <c r="M1601" s="217"/>
      <c r="N1601" s="217"/>
      <c r="O1601" s="217"/>
      <c r="P1601" s="217"/>
      <c r="Q1601" s="217"/>
      <c r="R1601" s="217"/>
      <c r="S1601" s="217"/>
      <c r="T1601" s="217"/>
      <c r="U1601" s="217"/>
      <c r="V1601" s="217"/>
      <c r="W1601" s="217"/>
      <c r="X1601" s="217"/>
      <c r="Y1601" s="217"/>
      <c r="Z1601" s="217"/>
      <c r="AA1601" s="217"/>
      <c r="AB1601" s="217"/>
      <c r="AC1601" s="217"/>
      <c r="AD1601" s="217"/>
    </row>
    <row r="1602" spans="1:30" x14ac:dyDescent="0.2">
      <c r="A1602" s="232"/>
      <c r="B1602" s="210"/>
      <c r="C1602" s="210"/>
      <c r="D1602" s="210"/>
      <c r="E1602" s="210"/>
      <c r="G1602" s="55"/>
      <c r="H1602" s="56"/>
      <c r="I1602" s="217"/>
      <c r="J1602" s="217"/>
      <c r="K1602" s="217"/>
      <c r="L1602" s="217"/>
      <c r="M1602" s="217"/>
      <c r="N1602" s="217"/>
      <c r="O1602" s="217"/>
      <c r="P1602" s="217"/>
      <c r="Q1602" s="217"/>
      <c r="R1602" s="217"/>
      <c r="S1602" s="217"/>
      <c r="T1602" s="217"/>
      <c r="U1602" s="217"/>
      <c r="V1602" s="217"/>
      <c r="W1602" s="217"/>
      <c r="X1602" s="217"/>
      <c r="Y1602" s="217"/>
      <c r="Z1602" s="217"/>
      <c r="AA1602" s="217"/>
      <c r="AB1602" s="217"/>
      <c r="AC1602" s="217"/>
      <c r="AD1602" s="217"/>
    </row>
    <row r="1603" spans="1:30" x14ac:dyDescent="0.2">
      <c r="A1603" s="232"/>
      <c r="B1603" s="210"/>
      <c r="C1603" s="210"/>
      <c r="D1603" s="210"/>
      <c r="E1603" s="210"/>
      <c r="G1603" s="55"/>
      <c r="H1603" s="56"/>
      <c r="I1603" s="217"/>
      <c r="J1603" s="217"/>
      <c r="K1603" s="217"/>
      <c r="L1603" s="217"/>
      <c r="M1603" s="217"/>
      <c r="N1603" s="217"/>
      <c r="O1603" s="217"/>
      <c r="P1603" s="217"/>
      <c r="Q1603" s="217"/>
      <c r="R1603" s="217"/>
      <c r="S1603" s="217"/>
      <c r="T1603" s="217"/>
      <c r="U1603" s="217"/>
      <c r="V1603" s="217"/>
      <c r="W1603" s="217"/>
      <c r="X1603" s="217"/>
      <c r="Y1603" s="217"/>
      <c r="Z1603" s="217"/>
      <c r="AA1603" s="217"/>
      <c r="AB1603" s="217"/>
      <c r="AC1603" s="217"/>
      <c r="AD1603" s="217"/>
    </row>
    <row r="1604" spans="1:30" x14ac:dyDescent="0.2">
      <c r="A1604" s="232"/>
      <c r="B1604" s="210"/>
      <c r="C1604" s="210"/>
      <c r="D1604" s="210"/>
      <c r="E1604" s="210"/>
      <c r="G1604" s="55"/>
      <c r="H1604" s="56"/>
      <c r="I1604" s="217"/>
      <c r="J1604" s="217"/>
      <c r="K1604" s="217"/>
      <c r="L1604" s="217"/>
      <c r="M1604" s="217"/>
      <c r="N1604" s="217"/>
      <c r="O1604" s="217"/>
      <c r="P1604" s="217"/>
      <c r="Q1604" s="217"/>
      <c r="R1604" s="217"/>
      <c r="S1604" s="217"/>
      <c r="T1604" s="217"/>
      <c r="U1604" s="217"/>
      <c r="V1604" s="217"/>
      <c r="W1604" s="217"/>
      <c r="X1604" s="217"/>
      <c r="Y1604" s="217"/>
      <c r="Z1604" s="217"/>
      <c r="AA1604" s="217"/>
      <c r="AB1604" s="217"/>
      <c r="AC1604" s="217"/>
      <c r="AD1604" s="217"/>
    </row>
    <row r="1605" spans="1:30" x14ac:dyDescent="0.2">
      <c r="A1605" s="232"/>
      <c r="B1605" s="210"/>
      <c r="C1605" s="210"/>
      <c r="D1605" s="210"/>
      <c r="E1605" s="210"/>
      <c r="G1605" s="55"/>
      <c r="H1605" s="56"/>
      <c r="I1605" s="217"/>
      <c r="J1605" s="217"/>
      <c r="K1605" s="217"/>
      <c r="L1605" s="217"/>
      <c r="M1605" s="217"/>
      <c r="N1605" s="217"/>
      <c r="O1605" s="217"/>
      <c r="P1605" s="217"/>
      <c r="Q1605" s="217"/>
      <c r="R1605" s="217"/>
      <c r="S1605" s="217"/>
      <c r="T1605" s="217"/>
      <c r="U1605" s="217"/>
      <c r="V1605" s="217"/>
      <c r="W1605" s="217"/>
      <c r="X1605" s="217"/>
      <c r="Y1605" s="217"/>
      <c r="Z1605" s="217"/>
      <c r="AA1605" s="217"/>
      <c r="AB1605" s="217"/>
      <c r="AC1605" s="217"/>
      <c r="AD1605" s="217"/>
    </row>
    <row r="1606" spans="1:30" x14ac:dyDescent="0.2">
      <c r="A1606" s="232"/>
      <c r="B1606" s="210"/>
      <c r="C1606" s="210"/>
      <c r="D1606" s="210"/>
      <c r="E1606" s="210"/>
      <c r="G1606" s="55"/>
      <c r="H1606" s="56"/>
      <c r="I1606" s="217"/>
      <c r="J1606" s="217"/>
      <c r="K1606" s="217"/>
      <c r="L1606" s="217"/>
      <c r="M1606" s="217"/>
      <c r="N1606" s="217"/>
      <c r="O1606" s="217"/>
      <c r="P1606" s="217"/>
      <c r="Q1606" s="217"/>
      <c r="R1606" s="217"/>
      <c r="S1606" s="217"/>
      <c r="T1606" s="217"/>
      <c r="U1606" s="217"/>
      <c r="V1606" s="217"/>
      <c r="W1606" s="217"/>
      <c r="X1606" s="217"/>
      <c r="Y1606" s="217"/>
      <c r="Z1606" s="217"/>
      <c r="AA1606" s="217"/>
      <c r="AB1606" s="217"/>
      <c r="AC1606" s="217"/>
      <c r="AD1606" s="217"/>
    </row>
    <row r="1607" spans="1:30" x14ac:dyDescent="0.2">
      <c r="A1607" s="232"/>
      <c r="B1607" s="210"/>
      <c r="C1607" s="210"/>
      <c r="D1607" s="210"/>
      <c r="E1607" s="210"/>
      <c r="G1607" s="55"/>
      <c r="H1607" s="56"/>
      <c r="I1607" s="217"/>
      <c r="J1607" s="217"/>
      <c r="K1607" s="217"/>
      <c r="L1607" s="217"/>
      <c r="M1607" s="217"/>
      <c r="N1607" s="217"/>
      <c r="O1607" s="217"/>
      <c r="P1607" s="217"/>
      <c r="Q1607" s="217"/>
      <c r="R1607" s="217"/>
      <c r="S1607" s="217"/>
      <c r="T1607" s="217"/>
      <c r="U1607" s="217"/>
      <c r="V1607" s="217"/>
      <c r="W1607" s="217"/>
      <c r="X1607" s="217"/>
      <c r="Y1607" s="217"/>
      <c r="Z1607" s="217"/>
      <c r="AA1607" s="217"/>
      <c r="AB1607" s="217"/>
      <c r="AC1607" s="217"/>
      <c r="AD1607" s="217"/>
    </row>
    <row r="1608" spans="1:30" x14ac:dyDescent="0.2">
      <c r="A1608" s="232"/>
      <c r="B1608" s="210"/>
      <c r="C1608" s="210"/>
      <c r="D1608" s="210"/>
      <c r="E1608" s="210"/>
      <c r="G1608" s="55"/>
      <c r="H1608" s="56"/>
      <c r="I1608" s="217"/>
      <c r="J1608" s="217"/>
      <c r="K1608" s="217"/>
      <c r="L1608" s="217"/>
      <c r="M1608" s="217"/>
      <c r="N1608" s="217"/>
      <c r="O1608" s="217"/>
      <c r="P1608" s="217"/>
      <c r="Q1608" s="217"/>
      <c r="R1608" s="217"/>
      <c r="S1608" s="217"/>
      <c r="T1608" s="217"/>
      <c r="U1608" s="217"/>
      <c r="V1608" s="217"/>
      <c r="W1608" s="217"/>
      <c r="X1608" s="217"/>
      <c r="Y1608" s="217"/>
      <c r="Z1608" s="217"/>
      <c r="AA1608" s="217"/>
      <c r="AB1608" s="217"/>
      <c r="AC1608" s="217"/>
      <c r="AD1608" s="217"/>
    </row>
    <row r="1609" spans="1:30" x14ac:dyDescent="0.2">
      <c r="A1609" s="232"/>
      <c r="B1609" s="210"/>
      <c r="C1609" s="210"/>
      <c r="D1609" s="210"/>
      <c r="E1609" s="210"/>
      <c r="G1609" s="55"/>
      <c r="H1609" s="56"/>
      <c r="I1609" s="217"/>
      <c r="J1609" s="217"/>
      <c r="K1609" s="217"/>
      <c r="L1609" s="217"/>
      <c r="M1609" s="217"/>
      <c r="N1609" s="217"/>
      <c r="O1609" s="217"/>
      <c r="P1609" s="217"/>
      <c r="Q1609" s="217"/>
      <c r="R1609" s="217"/>
      <c r="S1609" s="217"/>
      <c r="T1609" s="217"/>
      <c r="U1609" s="217"/>
      <c r="V1609" s="217"/>
      <c r="W1609" s="217"/>
      <c r="X1609" s="217"/>
      <c r="Y1609" s="217"/>
      <c r="Z1609" s="217"/>
      <c r="AA1609" s="217"/>
      <c r="AB1609" s="217"/>
      <c r="AC1609" s="217"/>
      <c r="AD1609" s="217"/>
    </row>
    <row r="1610" spans="1:30" x14ac:dyDescent="0.2">
      <c r="A1610" s="232"/>
      <c r="B1610" s="210"/>
      <c r="C1610" s="210"/>
      <c r="D1610" s="210"/>
      <c r="E1610" s="210"/>
      <c r="G1610" s="55"/>
      <c r="H1610" s="56"/>
      <c r="I1610" s="217"/>
      <c r="J1610" s="217"/>
      <c r="K1610" s="217"/>
      <c r="L1610" s="217"/>
      <c r="M1610" s="217"/>
      <c r="N1610" s="217"/>
      <c r="O1610" s="217"/>
      <c r="P1610" s="217"/>
      <c r="Q1610" s="217"/>
      <c r="R1610" s="217"/>
      <c r="S1610" s="217"/>
      <c r="T1610" s="217"/>
      <c r="U1610" s="217"/>
      <c r="V1610" s="217"/>
      <c r="W1610" s="217"/>
      <c r="X1610" s="217"/>
      <c r="Y1610" s="217"/>
      <c r="Z1610" s="217"/>
      <c r="AA1610" s="217"/>
      <c r="AB1610" s="217"/>
      <c r="AC1610" s="217"/>
      <c r="AD1610" s="217"/>
    </row>
    <row r="1611" spans="1:30" x14ac:dyDescent="0.2">
      <c r="A1611" s="232"/>
      <c r="B1611" s="210"/>
      <c r="C1611" s="210"/>
      <c r="D1611" s="210"/>
      <c r="E1611" s="210"/>
      <c r="G1611" s="55"/>
      <c r="H1611" s="56"/>
      <c r="I1611" s="217"/>
      <c r="J1611" s="217"/>
      <c r="K1611" s="217"/>
      <c r="L1611" s="217"/>
      <c r="M1611" s="217"/>
      <c r="N1611" s="217"/>
      <c r="O1611" s="217"/>
      <c r="P1611" s="217"/>
      <c r="Q1611" s="217"/>
      <c r="R1611" s="217"/>
      <c r="S1611" s="217"/>
      <c r="T1611" s="217"/>
      <c r="U1611" s="217"/>
      <c r="V1611" s="217"/>
      <c r="W1611" s="217"/>
      <c r="X1611" s="217"/>
      <c r="Y1611" s="217"/>
      <c r="Z1611" s="217"/>
      <c r="AA1611" s="217"/>
      <c r="AB1611" s="217"/>
      <c r="AC1611" s="217"/>
      <c r="AD1611" s="217"/>
    </row>
    <row r="1612" spans="1:30" x14ac:dyDescent="0.2">
      <c r="A1612" s="232"/>
      <c r="B1612" s="210"/>
      <c r="C1612" s="210"/>
      <c r="D1612" s="210"/>
      <c r="E1612" s="210"/>
      <c r="G1612" s="55"/>
      <c r="H1612" s="56"/>
      <c r="I1612" s="217"/>
      <c r="J1612" s="217"/>
      <c r="K1612" s="217"/>
      <c r="L1612" s="217"/>
      <c r="M1612" s="217"/>
      <c r="N1612" s="217"/>
      <c r="O1612" s="217"/>
      <c r="P1612" s="217"/>
      <c r="Q1612" s="217"/>
      <c r="R1612" s="217"/>
      <c r="S1612" s="217"/>
      <c r="T1612" s="217"/>
      <c r="U1612" s="217"/>
      <c r="V1612" s="217"/>
      <c r="W1612" s="217"/>
      <c r="X1612" s="217"/>
      <c r="Y1612" s="217"/>
      <c r="Z1612" s="217"/>
      <c r="AA1612" s="217"/>
      <c r="AB1612" s="217"/>
      <c r="AC1612" s="217"/>
      <c r="AD1612" s="217"/>
    </row>
    <row r="1613" spans="1:30" x14ac:dyDescent="0.2">
      <c r="A1613" s="232"/>
      <c r="B1613" s="210"/>
      <c r="C1613" s="210"/>
      <c r="D1613" s="210"/>
      <c r="E1613" s="210"/>
      <c r="G1613" s="55"/>
      <c r="H1613" s="56"/>
      <c r="I1613" s="217"/>
      <c r="J1613" s="217"/>
      <c r="K1613" s="217"/>
      <c r="L1613" s="217"/>
      <c r="M1613" s="217"/>
      <c r="N1613" s="217"/>
      <c r="O1613" s="217"/>
      <c r="P1613" s="217"/>
      <c r="Q1613" s="217"/>
      <c r="R1613" s="217"/>
      <c r="S1613" s="217"/>
      <c r="T1613" s="217"/>
      <c r="U1613" s="217"/>
      <c r="V1613" s="217"/>
      <c r="W1613" s="217"/>
      <c r="X1613" s="217"/>
      <c r="Y1613" s="217"/>
      <c r="Z1613" s="217"/>
      <c r="AA1613" s="217"/>
      <c r="AB1613" s="217"/>
      <c r="AC1613" s="217"/>
      <c r="AD1613" s="217"/>
    </row>
    <row r="1614" spans="1:30" x14ac:dyDescent="0.2">
      <c r="A1614" s="232"/>
      <c r="B1614" s="210"/>
      <c r="C1614" s="210"/>
      <c r="D1614" s="210"/>
      <c r="E1614" s="210"/>
      <c r="G1614" s="55"/>
      <c r="H1614" s="56"/>
      <c r="I1614" s="217"/>
      <c r="J1614" s="217"/>
      <c r="K1614" s="217"/>
      <c r="L1614" s="217"/>
      <c r="M1614" s="217"/>
      <c r="N1614" s="217"/>
      <c r="O1614" s="217"/>
      <c r="P1614" s="217"/>
      <c r="Q1614" s="217"/>
      <c r="R1614" s="217"/>
      <c r="S1614" s="217"/>
      <c r="T1614" s="217"/>
      <c r="U1614" s="217"/>
      <c r="V1614" s="217"/>
      <c r="W1614" s="217"/>
      <c r="X1614" s="217"/>
      <c r="Y1614" s="217"/>
      <c r="Z1614" s="217"/>
      <c r="AA1614" s="217"/>
      <c r="AB1614" s="217"/>
      <c r="AC1614" s="217"/>
      <c r="AD1614" s="217"/>
    </row>
    <row r="1615" spans="1:30" x14ac:dyDescent="0.2">
      <c r="A1615" s="232"/>
      <c r="B1615" s="210"/>
      <c r="C1615" s="210"/>
      <c r="D1615" s="210"/>
      <c r="E1615" s="210"/>
      <c r="G1615" s="55"/>
      <c r="H1615" s="56"/>
      <c r="I1615" s="217"/>
      <c r="J1615" s="217"/>
      <c r="K1615" s="217"/>
      <c r="L1615" s="217"/>
      <c r="M1615" s="217"/>
      <c r="N1615" s="217"/>
      <c r="O1615" s="217"/>
      <c r="P1615" s="217"/>
      <c r="Q1615" s="217"/>
      <c r="R1615" s="217"/>
      <c r="S1615" s="217"/>
      <c r="T1615" s="217"/>
      <c r="U1615" s="217"/>
      <c r="V1615" s="217"/>
      <c r="W1615" s="217"/>
      <c r="X1615" s="217"/>
      <c r="Y1615" s="217"/>
      <c r="Z1615" s="217"/>
      <c r="AA1615" s="217"/>
      <c r="AB1615" s="217"/>
      <c r="AC1615" s="217"/>
      <c r="AD1615" s="217"/>
    </row>
    <row r="1616" spans="1:30" x14ac:dyDescent="0.2">
      <c r="A1616" s="232"/>
      <c r="B1616" s="210"/>
      <c r="C1616" s="210"/>
      <c r="D1616" s="210"/>
      <c r="E1616" s="210"/>
      <c r="G1616" s="55"/>
      <c r="H1616" s="56"/>
      <c r="I1616" s="217"/>
      <c r="J1616" s="217"/>
      <c r="K1616" s="217"/>
      <c r="L1616" s="217"/>
      <c r="M1616" s="217"/>
      <c r="N1616" s="217"/>
      <c r="O1616" s="217"/>
      <c r="P1616" s="217"/>
      <c r="Q1616" s="217"/>
      <c r="R1616" s="217"/>
      <c r="S1616" s="217"/>
      <c r="T1616" s="217"/>
      <c r="U1616" s="217"/>
      <c r="V1616" s="217"/>
      <c r="W1616" s="217"/>
      <c r="X1616" s="217"/>
      <c r="Y1616" s="217"/>
      <c r="Z1616" s="217"/>
      <c r="AA1616" s="217"/>
      <c r="AB1616" s="217"/>
      <c r="AC1616" s="217"/>
      <c r="AD1616" s="217"/>
    </row>
    <row r="1617" spans="1:30" x14ac:dyDescent="0.2">
      <c r="A1617" s="232"/>
      <c r="B1617" s="210"/>
      <c r="C1617" s="210"/>
      <c r="D1617" s="210"/>
      <c r="E1617" s="210"/>
      <c r="G1617" s="55"/>
      <c r="H1617" s="56"/>
      <c r="I1617" s="217"/>
      <c r="J1617" s="217"/>
      <c r="K1617" s="217"/>
      <c r="L1617" s="217"/>
      <c r="M1617" s="217"/>
      <c r="N1617" s="217"/>
      <c r="O1617" s="217"/>
      <c r="P1617" s="217"/>
      <c r="Q1617" s="217"/>
      <c r="R1617" s="217"/>
      <c r="S1617" s="217"/>
      <c r="T1617" s="217"/>
      <c r="U1617" s="217"/>
      <c r="V1617" s="217"/>
      <c r="W1617" s="217"/>
      <c r="X1617" s="217"/>
      <c r="Y1617" s="217"/>
      <c r="Z1617" s="217"/>
      <c r="AA1617" s="217"/>
      <c r="AB1617" s="217"/>
      <c r="AC1617" s="217"/>
      <c r="AD1617" s="217"/>
    </row>
    <row r="1618" spans="1:30" x14ac:dyDescent="0.2">
      <c r="A1618" s="232"/>
      <c r="B1618" s="210"/>
      <c r="C1618" s="210"/>
      <c r="D1618" s="210"/>
      <c r="E1618" s="210"/>
      <c r="G1618" s="55"/>
      <c r="H1618" s="56"/>
      <c r="I1618" s="217"/>
      <c r="J1618" s="217"/>
      <c r="K1618" s="217"/>
      <c r="L1618" s="217"/>
      <c r="M1618" s="217"/>
      <c r="N1618" s="217"/>
      <c r="O1618" s="217"/>
      <c r="P1618" s="217"/>
      <c r="Q1618" s="217"/>
      <c r="R1618" s="217"/>
      <c r="S1618" s="217"/>
      <c r="T1618" s="217"/>
      <c r="U1618" s="217"/>
      <c r="V1618" s="217"/>
      <c r="W1618" s="217"/>
      <c r="X1618" s="217"/>
      <c r="Y1618" s="217"/>
      <c r="Z1618" s="217"/>
      <c r="AA1618" s="217"/>
      <c r="AB1618" s="217"/>
      <c r="AC1618" s="217"/>
      <c r="AD1618" s="217"/>
    </row>
    <row r="1619" spans="1:30" x14ac:dyDescent="0.2">
      <c r="A1619" s="232"/>
      <c r="B1619" s="210"/>
      <c r="C1619" s="210"/>
      <c r="D1619" s="210"/>
      <c r="E1619" s="210"/>
      <c r="G1619" s="55"/>
      <c r="H1619" s="56"/>
      <c r="I1619" s="217"/>
      <c r="J1619" s="217"/>
      <c r="K1619" s="217"/>
      <c r="L1619" s="217"/>
      <c r="M1619" s="217"/>
      <c r="N1619" s="217"/>
      <c r="O1619" s="217"/>
      <c r="P1619" s="217"/>
      <c r="Q1619" s="217"/>
      <c r="R1619" s="217"/>
      <c r="S1619" s="217"/>
      <c r="T1619" s="217"/>
      <c r="U1619" s="217"/>
      <c r="V1619" s="217"/>
      <c r="W1619" s="217"/>
      <c r="X1619" s="217"/>
      <c r="Y1619" s="217"/>
      <c r="Z1619" s="217"/>
      <c r="AA1619" s="217"/>
      <c r="AB1619" s="217"/>
      <c r="AC1619" s="217"/>
      <c r="AD1619" s="217"/>
    </row>
    <row r="1620" spans="1:30" x14ac:dyDescent="0.2">
      <c r="A1620" s="232"/>
      <c r="B1620" s="210"/>
      <c r="C1620" s="210"/>
      <c r="D1620" s="210"/>
      <c r="E1620" s="210"/>
      <c r="G1620" s="55"/>
      <c r="H1620" s="56"/>
      <c r="I1620" s="217"/>
      <c r="J1620" s="217"/>
      <c r="K1620" s="217"/>
      <c r="L1620" s="217"/>
      <c r="M1620" s="217"/>
      <c r="N1620" s="217"/>
      <c r="O1620" s="217"/>
      <c r="P1620" s="217"/>
      <c r="Q1620" s="217"/>
      <c r="R1620" s="217"/>
      <c r="S1620" s="217"/>
      <c r="T1620" s="217"/>
      <c r="U1620" s="217"/>
      <c r="V1620" s="217"/>
      <c r="W1620" s="217"/>
      <c r="X1620" s="217"/>
      <c r="Y1620" s="217"/>
      <c r="Z1620" s="217"/>
      <c r="AA1620" s="217"/>
      <c r="AB1620" s="217"/>
      <c r="AC1620" s="217"/>
      <c r="AD1620" s="217"/>
    </row>
    <row r="1621" spans="1:30" x14ac:dyDescent="0.2">
      <c r="A1621" s="232"/>
      <c r="B1621" s="210"/>
      <c r="C1621" s="210"/>
      <c r="D1621" s="210"/>
      <c r="E1621" s="210"/>
      <c r="G1621" s="55"/>
      <c r="H1621" s="56"/>
      <c r="I1621" s="217"/>
      <c r="J1621" s="217"/>
      <c r="K1621" s="217"/>
      <c r="L1621" s="217"/>
      <c r="M1621" s="217"/>
      <c r="N1621" s="217"/>
      <c r="O1621" s="217"/>
      <c r="P1621" s="217"/>
      <c r="Q1621" s="217"/>
      <c r="R1621" s="217"/>
      <c r="S1621" s="217"/>
      <c r="T1621" s="217"/>
      <c r="U1621" s="217"/>
      <c r="V1621" s="217"/>
      <c r="W1621" s="217"/>
      <c r="X1621" s="217"/>
      <c r="Y1621" s="217"/>
      <c r="Z1621" s="217"/>
      <c r="AA1621" s="217"/>
      <c r="AB1621" s="217"/>
      <c r="AC1621" s="217"/>
      <c r="AD1621" s="217"/>
    </row>
    <row r="1622" spans="1:30" x14ac:dyDescent="0.2">
      <c r="A1622" s="232"/>
      <c r="B1622" s="210"/>
      <c r="C1622" s="210"/>
      <c r="D1622" s="210"/>
      <c r="E1622" s="210"/>
      <c r="G1622" s="55"/>
      <c r="H1622" s="56"/>
      <c r="I1622" s="217"/>
      <c r="J1622" s="217"/>
      <c r="K1622" s="217"/>
      <c r="L1622" s="217"/>
      <c r="M1622" s="217"/>
      <c r="N1622" s="217"/>
      <c r="O1622" s="217"/>
      <c r="P1622" s="217"/>
      <c r="Q1622" s="217"/>
      <c r="R1622" s="217"/>
      <c r="S1622" s="217"/>
      <c r="T1622" s="217"/>
      <c r="U1622" s="217"/>
      <c r="V1622" s="217"/>
      <c r="W1622" s="217"/>
      <c r="X1622" s="217"/>
      <c r="Y1622" s="217"/>
      <c r="Z1622" s="217"/>
      <c r="AA1622" s="217"/>
      <c r="AB1622" s="217"/>
      <c r="AC1622" s="217"/>
      <c r="AD1622" s="217"/>
    </row>
    <row r="1623" spans="1:30" x14ac:dyDescent="0.2">
      <c r="A1623" s="232"/>
      <c r="B1623" s="210"/>
      <c r="C1623" s="210"/>
      <c r="D1623" s="210"/>
      <c r="E1623" s="210"/>
      <c r="G1623" s="55"/>
      <c r="H1623" s="56"/>
      <c r="I1623" s="217"/>
      <c r="J1623" s="217"/>
      <c r="K1623" s="217"/>
      <c r="L1623" s="217"/>
      <c r="M1623" s="217"/>
      <c r="N1623" s="217"/>
      <c r="O1623" s="217"/>
      <c r="P1623" s="217"/>
      <c r="Q1623" s="217"/>
      <c r="R1623" s="217"/>
      <c r="S1623" s="217"/>
      <c r="T1623" s="217"/>
      <c r="U1623" s="217"/>
      <c r="V1623" s="217"/>
      <c r="W1623" s="217"/>
      <c r="X1623" s="217"/>
      <c r="Y1623" s="217"/>
      <c r="Z1623" s="217"/>
      <c r="AA1623" s="217"/>
      <c r="AB1623" s="217"/>
      <c r="AC1623" s="217"/>
      <c r="AD1623" s="217"/>
    </row>
    <row r="1624" spans="1:30" x14ac:dyDescent="0.2">
      <c r="A1624" s="232"/>
      <c r="B1624" s="210"/>
      <c r="C1624" s="210"/>
      <c r="D1624" s="210"/>
      <c r="E1624" s="210"/>
      <c r="G1624" s="55"/>
      <c r="H1624" s="56"/>
      <c r="I1624" s="217"/>
      <c r="J1624" s="217"/>
      <c r="K1624" s="217"/>
      <c r="L1624" s="217"/>
      <c r="M1624" s="217"/>
      <c r="N1624" s="217"/>
      <c r="O1624" s="217"/>
      <c r="P1624" s="217"/>
      <c r="Q1624" s="217"/>
      <c r="R1624" s="217"/>
      <c r="S1624" s="217"/>
      <c r="T1624" s="217"/>
      <c r="U1624" s="217"/>
      <c r="V1624" s="217"/>
      <c r="W1624" s="217"/>
      <c r="X1624" s="217"/>
      <c r="Y1624" s="217"/>
      <c r="Z1624" s="217"/>
      <c r="AA1624" s="217"/>
      <c r="AB1624" s="217"/>
      <c r="AC1624" s="217"/>
      <c r="AD1624" s="217"/>
    </row>
    <row r="1625" spans="1:30" x14ac:dyDescent="0.2">
      <c r="A1625" s="232"/>
      <c r="B1625" s="210"/>
      <c r="C1625" s="210"/>
      <c r="D1625" s="210"/>
      <c r="E1625" s="210"/>
      <c r="G1625" s="55"/>
      <c r="H1625" s="56"/>
      <c r="I1625" s="217"/>
      <c r="J1625" s="217"/>
      <c r="K1625" s="217"/>
      <c r="L1625" s="217"/>
      <c r="M1625" s="217"/>
      <c r="N1625" s="217"/>
      <c r="O1625" s="217"/>
      <c r="P1625" s="217"/>
      <c r="Q1625" s="217"/>
      <c r="R1625" s="217"/>
      <c r="S1625" s="217"/>
      <c r="T1625" s="217"/>
      <c r="U1625" s="217"/>
      <c r="V1625" s="217"/>
      <c r="W1625" s="217"/>
      <c r="X1625" s="217"/>
      <c r="Y1625" s="217"/>
      <c r="Z1625" s="217"/>
      <c r="AA1625" s="217"/>
      <c r="AB1625" s="217"/>
      <c r="AC1625" s="217"/>
      <c r="AD1625" s="217"/>
    </row>
    <row r="1626" spans="1:30" x14ac:dyDescent="0.2">
      <c r="A1626" s="232"/>
      <c r="B1626" s="210"/>
      <c r="C1626" s="210"/>
      <c r="D1626" s="210"/>
      <c r="E1626" s="210"/>
      <c r="G1626" s="55"/>
      <c r="H1626" s="56"/>
      <c r="I1626" s="217"/>
      <c r="J1626" s="217"/>
      <c r="K1626" s="217"/>
      <c r="L1626" s="217"/>
      <c r="M1626" s="217"/>
      <c r="N1626" s="217"/>
      <c r="O1626" s="217"/>
      <c r="P1626" s="217"/>
      <c r="Q1626" s="217"/>
      <c r="R1626" s="217"/>
      <c r="S1626" s="217"/>
      <c r="T1626" s="217"/>
      <c r="U1626" s="217"/>
      <c r="V1626" s="217"/>
      <c r="W1626" s="217"/>
      <c r="X1626" s="217"/>
      <c r="Y1626" s="217"/>
      <c r="Z1626" s="217"/>
      <c r="AA1626" s="217"/>
      <c r="AB1626" s="217"/>
      <c r="AC1626" s="217"/>
      <c r="AD1626" s="217"/>
    </row>
    <row r="1627" spans="1:30" x14ac:dyDescent="0.2">
      <c r="A1627" s="232"/>
      <c r="B1627" s="210"/>
      <c r="C1627" s="210"/>
      <c r="D1627" s="210"/>
      <c r="E1627" s="210"/>
      <c r="G1627" s="55"/>
      <c r="H1627" s="56"/>
      <c r="I1627" s="217"/>
      <c r="J1627" s="217"/>
      <c r="K1627" s="217"/>
      <c r="L1627" s="217"/>
      <c r="M1627" s="217"/>
      <c r="N1627" s="217"/>
      <c r="O1627" s="217"/>
      <c r="P1627" s="217"/>
      <c r="Q1627" s="217"/>
      <c r="R1627" s="217"/>
      <c r="S1627" s="217"/>
      <c r="T1627" s="217"/>
      <c r="U1627" s="217"/>
      <c r="V1627" s="217"/>
      <c r="W1627" s="217"/>
      <c r="X1627" s="217"/>
      <c r="Y1627" s="217"/>
      <c r="Z1627" s="217"/>
      <c r="AA1627" s="217"/>
      <c r="AB1627" s="217"/>
      <c r="AC1627" s="217"/>
      <c r="AD1627" s="217"/>
    </row>
    <row r="1628" spans="1:30" x14ac:dyDescent="0.2">
      <c r="A1628" s="232"/>
      <c r="B1628" s="210"/>
      <c r="C1628" s="210"/>
      <c r="D1628" s="210"/>
      <c r="E1628" s="210"/>
      <c r="G1628" s="55"/>
      <c r="H1628" s="56"/>
      <c r="I1628" s="217"/>
      <c r="J1628" s="217"/>
      <c r="K1628" s="217"/>
      <c r="L1628" s="217"/>
      <c r="M1628" s="217"/>
      <c r="N1628" s="217"/>
      <c r="O1628" s="217"/>
      <c r="P1628" s="217"/>
      <c r="Q1628" s="217"/>
      <c r="R1628" s="217"/>
      <c r="S1628" s="217"/>
      <c r="T1628" s="217"/>
      <c r="U1628" s="217"/>
      <c r="V1628" s="217"/>
      <c r="W1628" s="217"/>
      <c r="X1628" s="217"/>
      <c r="Y1628" s="217"/>
      <c r="Z1628" s="217"/>
      <c r="AA1628" s="217"/>
      <c r="AB1628" s="217"/>
      <c r="AC1628" s="217"/>
      <c r="AD1628" s="217"/>
    </row>
    <row r="1629" spans="1:30" x14ac:dyDescent="0.2">
      <c r="A1629" s="232"/>
      <c r="B1629" s="210"/>
      <c r="C1629" s="210"/>
      <c r="D1629" s="210"/>
      <c r="E1629" s="210"/>
      <c r="G1629" s="55"/>
      <c r="H1629" s="56"/>
      <c r="I1629" s="217"/>
      <c r="J1629" s="217"/>
      <c r="K1629" s="217"/>
      <c r="L1629" s="217"/>
      <c r="M1629" s="217"/>
      <c r="N1629" s="217"/>
      <c r="O1629" s="217"/>
      <c r="P1629" s="217"/>
      <c r="Q1629" s="217"/>
      <c r="R1629" s="217"/>
      <c r="S1629" s="217"/>
      <c r="T1629" s="217"/>
      <c r="U1629" s="217"/>
      <c r="V1629" s="217"/>
      <c r="W1629" s="217"/>
      <c r="X1629" s="217"/>
      <c r="Y1629" s="217"/>
      <c r="Z1629" s="217"/>
      <c r="AA1629" s="217"/>
      <c r="AB1629" s="217"/>
      <c r="AC1629" s="217"/>
      <c r="AD1629" s="217"/>
    </row>
    <row r="1630" spans="1:30" x14ac:dyDescent="0.2">
      <c r="A1630" s="232"/>
      <c r="B1630" s="210"/>
      <c r="C1630" s="210"/>
      <c r="D1630" s="210"/>
      <c r="E1630" s="210"/>
      <c r="G1630" s="55"/>
      <c r="H1630" s="56"/>
      <c r="I1630" s="217"/>
      <c r="J1630" s="217"/>
      <c r="K1630" s="217"/>
      <c r="L1630" s="217"/>
      <c r="M1630" s="217"/>
      <c r="N1630" s="217"/>
      <c r="O1630" s="217"/>
      <c r="P1630" s="217"/>
      <c r="Q1630" s="217"/>
      <c r="R1630" s="217"/>
      <c r="S1630" s="217"/>
      <c r="T1630" s="217"/>
      <c r="U1630" s="217"/>
      <c r="V1630" s="217"/>
      <c r="W1630" s="217"/>
      <c r="X1630" s="217"/>
      <c r="Y1630" s="217"/>
      <c r="Z1630" s="217"/>
      <c r="AA1630" s="217"/>
      <c r="AB1630" s="217"/>
      <c r="AC1630" s="217"/>
      <c r="AD1630" s="217"/>
    </row>
    <row r="1631" spans="1:30" x14ac:dyDescent="0.2">
      <c r="A1631" s="232"/>
      <c r="B1631" s="210"/>
      <c r="C1631" s="210"/>
      <c r="D1631" s="210"/>
      <c r="E1631" s="210"/>
      <c r="G1631" s="55"/>
      <c r="H1631" s="56"/>
      <c r="I1631" s="217"/>
      <c r="J1631" s="217"/>
      <c r="K1631" s="217"/>
      <c r="L1631" s="217"/>
      <c r="M1631" s="217"/>
      <c r="N1631" s="217"/>
      <c r="O1631" s="217"/>
      <c r="P1631" s="217"/>
      <c r="Q1631" s="217"/>
      <c r="R1631" s="217"/>
      <c r="S1631" s="217"/>
      <c r="T1631" s="217"/>
      <c r="U1631" s="217"/>
      <c r="V1631" s="217"/>
      <c r="W1631" s="217"/>
      <c r="X1631" s="217"/>
      <c r="Y1631" s="217"/>
      <c r="Z1631" s="217"/>
      <c r="AA1631" s="217"/>
      <c r="AB1631" s="217"/>
      <c r="AC1631" s="217"/>
      <c r="AD1631" s="217"/>
    </row>
    <row r="1632" spans="1:30" x14ac:dyDescent="0.2">
      <c r="A1632" s="232"/>
      <c r="B1632" s="210"/>
      <c r="C1632" s="210"/>
      <c r="D1632" s="210"/>
      <c r="E1632" s="210"/>
      <c r="G1632" s="55"/>
      <c r="H1632" s="56"/>
      <c r="I1632" s="217"/>
      <c r="J1632" s="217"/>
      <c r="K1632" s="217"/>
      <c r="L1632" s="217"/>
      <c r="M1632" s="217"/>
      <c r="N1632" s="217"/>
      <c r="O1632" s="217"/>
      <c r="P1632" s="217"/>
      <c r="Q1632" s="217"/>
      <c r="R1632" s="217"/>
      <c r="S1632" s="217"/>
      <c r="T1632" s="217"/>
      <c r="U1632" s="217"/>
      <c r="V1632" s="217"/>
      <c r="W1632" s="217"/>
      <c r="X1632" s="217"/>
      <c r="Y1632" s="217"/>
      <c r="Z1632" s="217"/>
      <c r="AA1632" s="217"/>
      <c r="AB1632" s="217"/>
      <c r="AC1632" s="217"/>
      <c r="AD1632" s="217"/>
    </row>
    <row r="1633" spans="1:30" x14ac:dyDescent="0.2">
      <c r="A1633" s="232"/>
      <c r="B1633" s="210"/>
      <c r="C1633" s="210"/>
      <c r="D1633" s="210"/>
      <c r="E1633" s="210"/>
      <c r="G1633" s="55"/>
      <c r="H1633" s="56"/>
      <c r="I1633" s="217"/>
      <c r="J1633" s="217"/>
      <c r="K1633" s="217"/>
      <c r="L1633" s="217"/>
      <c r="M1633" s="217"/>
      <c r="N1633" s="217"/>
      <c r="O1633" s="217"/>
      <c r="P1633" s="217"/>
      <c r="Q1633" s="217"/>
      <c r="R1633" s="217"/>
      <c r="S1633" s="217"/>
      <c r="T1633" s="217"/>
      <c r="U1633" s="217"/>
      <c r="V1633" s="217"/>
      <c r="W1633" s="217"/>
      <c r="X1633" s="217"/>
      <c r="Y1633" s="217"/>
      <c r="Z1633" s="217"/>
      <c r="AA1633" s="217"/>
      <c r="AB1633" s="217"/>
      <c r="AC1633" s="217"/>
      <c r="AD1633" s="217"/>
    </row>
    <row r="1634" spans="1:30" x14ac:dyDescent="0.2">
      <c r="A1634" s="232"/>
      <c r="B1634" s="210"/>
      <c r="C1634" s="210"/>
      <c r="D1634" s="210"/>
      <c r="E1634" s="210"/>
      <c r="G1634" s="55"/>
      <c r="H1634" s="56"/>
      <c r="I1634" s="217"/>
      <c r="J1634" s="217"/>
      <c r="K1634" s="217"/>
      <c r="L1634" s="217"/>
      <c r="M1634" s="217"/>
      <c r="N1634" s="217"/>
      <c r="O1634" s="217"/>
      <c r="P1634" s="217"/>
      <c r="Q1634" s="217"/>
      <c r="R1634" s="217"/>
      <c r="S1634" s="217"/>
      <c r="T1634" s="217"/>
      <c r="U1634" s="217"/>
      <c r="V1634" s="217"/>
      <c r="W1634" s="217"/>
      <c r="X1634" s="217"/>
      <c r="Y1634" s="217"/>
      <c r="Z1634" s="217"/>
      <c r="AA1634" s="217"/>
      <c r="AB1634" s="217"/>
      <c r="AC1634" s="217"/>
      <c r="AD1634" s="217"/>
    </row>
    <row r="1635" spans="1:30" x14ac:dyDescent="0.2">
      <c r="A1635" s="232"/>
      <c r="B1635" s="210"/>
      <c r="C1635" s="210"/>
      <c r="D1635" s="210"/>
      <c r="E1635" s="210"/>
      <c r="G1635" s="55"/>
      <c r="H1635" s="56"/>
      <c r="I1635" s="217"/>
      <c r="J1635" s="217"/>
      <c r="K1635" s="217"/>
      <c r="L1635" s="217"/>
      <c r="M1635" s="217"/>
      <c r="N1635" s="217"/>
      <c r="O1635" s="217"/>
      <c r="P1635" s="217"/>
      <c r="Q1635" s="217"/>
      <c r="R1635" s="217"/>
      <c r="S1635" s="217"/>
      <c r="T1635" s="217"/>
      <c r="U1635" s="217"/>
      <c r="V1635" s="217"/>
      <c r="W1635" s="217"/>
      <c r="X1635" s="217"/>
      <c r="Y1635" s="217"/>
      <c r="Z1635" s="217"/>
      <c r="AA1635" s="217"/>
      <c r="AB1635" s="217"/>
      <c r="AC1635" s="217"/>
      <c r="AD1635" s="217"/>
    </row>
    <row r="1636" spans="1:30" x14ac:dyDescent="0.2">
      <c r="A1636" s="232"/>
      <c r="B1636" s="210"/>
      <c r="C1636" s="210"/>
      <c r="D1636" s="210"/>
      <c r="E1636" s="210"/>
      <c r="G1636" s="55"/>
      <c r="H1636" s="56"/>
      <c r="I1636" s="217"/>
      <c r="J1636" s="217"/>
      <c r="K1636" s="217"/>
      <c r="L1636" s="217"/>
      <c r="M1636" s="217"/>
      <c r="N1636" s="217"/>
      <c r="O1636" s="217"/>
      <c r="P1636" s="217"/>
      <c r="Q1636" s="217"/>
      <c r="R1636" s="217"/>
      <c r="S1636" s="217"/>
      <c r="T1636" s="217"/>
      <c r="U1636" s="217"/>
      <c r="V1636" s="217"/>
      <c r="W1636" s="217"/>
      <c r="X1636" s="217"/>
      <c r="Y1636" s="217"/>
      <c r="Z1636" s="217"/>
      <c r="AA1636" s="217"/>
      <c r="AB1636" s="217"/>
      <c r="AC1636" s="217"/>
      <c r="AD1636" s="217"/>
    </row>
    <row r="1637" spans="1:30" x14ac:dyDescent="0.2">
      <c r="A1637" s="232"/>
      <c r="B1637" s="210"/>
      <c r="C1637" s="210"/>
      <c r="D1637" s="210"/>
      <c r="E1637" s="210"/>
      <c r="G1637" s="55"/>
      <c r="H1637" s="56"/>
      <c r="I1637" s="217"/>
      <c r="J1637" s="217"/>
      <c r="K1637" s="217"/>
      <c r="L1637" s="217"/>
      <c r="M1637" s="217"/>
      <c r="N1637" s="217"/>
      <c r="O1637" s="217"/>
      <c r="P1637" s="217"/>
      <c r="Q1637" s="217"/>
      <c r="R1637" s="217"/>
      <c r="S1637" s="217"/>
      <c r="T1637" s="217"/>
      <c r="U1637" s="217"/>
      <c r="V1637" s="217"/>
      <c r="W1637" s="217"/>
      <c r="X1637" s="217"/>
      <c r="Y1637" s="217"/>
      <c r="Z1637" s="217"/>
      <c r="AA1637" s="217"/>
      <c r="AB1637" s="217"/>
      <c r="AC1637" s="217"/>
      <c r="AD1637" s="217"/>
    </row>
    <row r="1638" spans="1:30" x14ac:dyDescent="0.2">
      <c r="A1638" s="232"/>
      <c r="B1638" s="210"/>
      <c r="C1638" s="210"/>
      <c r="D1638" s="210"/>
      <c r="E1638" s="210"/>
      <c r="G1638" s="55"/>
      <c r="H1638" s="56"/>
      <c r="I1638" s="217"/>
      <c r="J1638" s="217"/>
      <c r="K1638" s="217"/>
      <c r="L1638" s="217"/>
      <c r="M1638" s="217"/>
      <c r="N1638" s="217"/>
      <c r="O1638" s="217"/>
      <c r="P1638" s="217"/>
      <c r="Q1638" s="217"/>
      <c r="R1638" s="217"/>
      <c r="S1638" s="217"/>
      <c r="T1638" s="217"/>
      <c r="U1638" s="217"/>
      <c r="V1638" s="217"/>
      <c r="W1638" s="217"/>
      <c r="X1638" s="217"/>
      <c r="Y1638" s="217"/>
      <c r="Z1638" s="217"/>
      <c r="AA1638" s="217"/>
      <c r="AB1638" s="217"/>
      <c r="AC1638" s="217"/>
      <c r="AD1638" s="217"/>
    </row>
    <row r="1639" spans="1:30" x14ac:dyDescent="0.2">
      <c r="A1639" s="232"/>
      <c r="B1639" s="210"/>
      <c r="C1639" s="210"/>
      <c r="D1639" s="210"/>
      <c r="E1639" s="210"/>
      <c r="G1639" s="55"/>
      <c r="H1639" s="56"/>
      <c r="I1639" s="217"/>
      <c r="J1639" s="217"/>
      <c r="K1639" s="217"/>
      <c r="L1639" s="217"/>
      <c r="M1639" s="217"/>
      <c r="N1639" s="217"/>
      <c r="O1639" s="217"/>
      <c r="P1639" s="217"/>
      <c r="Q1639" s="217"/>
      <c r="R1639" s="217"/>
      <c r="S1639" s="217"/>
      <c r="T1639" s="217"/>
      <c r="U1639" s="217"/>
      <c r="V1639" s="217"/>
      <c r="W1639" s="217"/>
      <c r="X1639" s="217"/>
      <c r="Y1639" s="217"/>
      <c r="Z1639" s="217"/>
      <c r="AA1639" s="217"/>
      <c r="AB1639" s="217"/>
      <c r="AC1639" s="217"/>
      <c r="AD1639" s="217"/>
    </row>
    <row r="1640" spans="1:30" x14ac:dyDescent="0.2">
      <c r="A1640" s="232"/>
      <c r="B1640" s="210"/>
      <c r="C1640" s="210"/>
      <c r="D1640" s="210"/>
      <c r="E1640" s="210"/>
      <c r="G1640" s="55"/>
      <c r="H1640" s="56"/>
      <c r="I1640" s="217"/>
      <c r="J1640" s="217"/>
      <c r="K1640" s="217"/>
      <c r="L1640" s="217"/>
      <c r="M1640" s="217"/>
      <c r="N1640" s="217"/>
      <c r="O1640" s="217"/>
      <c r="P1640" s="217"/>
      <c r="Q1640" s="217"/>
      <c r="R1640" s="217"/>
      <c r="S1640" s="217"/>
      <c r="T1640" s="217"/>
      <c r="U1640" s="217"/>
      <c r="V1640" s="217"/>
      <c r="W1640" s="217"/>
      <c r="X1640" s="217"/>
      <c r="Y1640" s="217"/>
      <c r="Z1640" s="217"/>
      <c r="AA1640" s="217"/>
      <c r="AB1640" s="217"/>
      <c r="AC1640" s="217"/>
      <c r="AD1640" s="217"/>
    </row>
    <row r="1641" spans="1:30" x14ac:dyDescent="0.2">
      <c r="A1641" s="232"/>
      <c r="B1641" s="210"/>
      <c r="C1641" s="210"/>
      <c r="D1641" s="210"/>
      <c r="E1641" s="210"/>
      <c r="G1641" s="55"/>
      <c r="H1641" s="56"/>
      <c r="I1641" s="217"/>
      <c r="J1641" s="217"/>
      <c r="K1641" s="217"/>
      <c r="L1641" s="217"/>
      <c r="M1641" s="217"/>
      <c r="N1641" s="217"/>
      <c r="O1641" s="217"/>
      <c r="P1641" s="217"/>
      <c r="Q1641" s="217"/>
      <c r="R1641" s="217"/>
      <c r="S1641" s="217"/>
      <c r="T1641" s="217"/>
      <c r="U1641" s="217"/>
      <c r="V1641" s="217"/>
      <c r="W1641" s="217"/>
      <c r="X1641" s="217"/>
      <c r="Y1641" s="217"/>
      <c r="Z1641" s="217"/>
      <c r="AA1641" s="217"/>
      <c r="AB1641" s="217"/>
      <c r="AC1641" s="217"/>
      <c r="AD1641" s="217"/>
    </row>
    <row r="1642" spans="1:30" x14ac:dyDescent="0.2">
      <c r="A1642" s="232"/>
      <c r="B1642" s="210"/>
      <c r="C1642" s="210"/>
      <c r="D1642" s="210"/>
      <c r="E1642" s="210"/>
      <c r="G1642" s="55"/>
      <c r="H1642" s="56"/>
      <c r="I1642" s="217"/>
      <c r="J1642" s="217"/>
      <c r="K1642" s="217"/>
      <c r="L1642" s="217"/>
      <c r="M1642" s="217"/>
      <c r="N1642" s="217"/>
      <c r="O1642" s="217"/>
      <c r="P1642" s="217"/>
      <c r="Q1642" s="217"/>
      <c r="R1642" s="217"/>
      <c r="S1642" s="217"/>
      <c r="T1642" s="217"/>
      <c r="U1642" s="217"/>
      <c r="V1642" s="217"/>
      <c r="W1642" s="217"/>
      <c r="X1642" s="217"/>
      <c r="Y1642" s="217"/>
      <c r="Z1642" s="217"/>
      <c r="AA1642" s="217"/>
      <c r="AB1642" s="217"/>
      <c r="AC1642" s="217"/>
      <c r="AD1642" s="217"/>
    </row>
    <row r="1643" spans="1:30" x14ac:dyDescent="0.2">
      <c r="A1643" s="232"/>
      <c r="B1643" s="210"/>
      <c r="C1643" s="210"/>
      <c r="D1643" s="210"/>
      <c r="E1643" s="210"/>
      <c r="G1643" s="55"/>
      <c r="H1643" s="56"/>
      <c r="I1643" s="217"/>
      <c r="J1643" s="217"/>
      <c r="K1643" s="217"/>
      <c r="L1643" s="217"/>
      <c r="M1643" s="217"/>
      <c r="N1643" s="217"/>
      <c r="O1643" s="217"/>
      <c r="P1643" s="217"/>
      <c r="Q1643" s="217"/>
      <c r="R1643" s="217"/>
      <c r="S1643" s="217"/>
      <c r="T1643" s="217"/>
      <c r="U1643" s="217"/>
      <c r="V1643" s="217"/>
      <c r="W1643" s="217"/>
      <c r="X1643" s="217"/>
      <c r="Y1643" s="217"/>
      <c r="Z1643" s="217"/>
      <c r="AA1643" s="217"/>
      <c r="AB1643" s="217"/>
      <c r="AC1643" s="217"/>
      <c r="AD1643" s="217"/>
    </row>
    <row r="1644" spans="1:30" x14ac:dyDescent="0.2">
      <c r="A1644" s="232"/>
      <c r="B1644" s="210"/>
      <c r="C1644" s="210"/>
      <c r="D1644" s="210"/>
      <c r="E1644" s="210"/>
      <c r="G1644" s="55"/>
      <c r="H1644" s="56"/>
      <c r="I1644" s="217"/>
      <c r="J1644" s="217"/>
      <c r="K1644" s="217"/>
      <c r="L1644" s="217"/>
      <c r="M1644" s="217"/>
      <c r="N1644" s="217"/>
      <c r="O1644" s="217"/>
      <c r="P1644" s="217"/>
      <c r="Q1644" s="217"/>
      <c r="R1644" s="217"/>
      <c r="S1644" s="217"/>
      <c r="T1644" s="217"/>
      <c r="U1644" s="217"/>
      <c r="V1644" s="217"/>
      <c r="W1644" s="217"/>
      <c r="X1644" s="217"/>
      <c r="Y1644" s="217"/>
      <c r="Z1644" s="217"/>
      <c r="AA1644" s="217"/>
      <c r="AB1644" s="217"/>
      <c r="AC1644" s="217"/>
      <c r="AD1644" s="217"/>
    </row>
    <row r="1645" spans="1:30" x14ac:dyDescent="0.2">
      <c r="A1645" s="232"/>
      <c r="B1645" s="210"/>
      <c r="C1645" s="210"/>
      <c r="D1645" s="210"/>
      <c r="E1645" s="210"/>
      <c r="G1645" s="55"/>
      <c r="H1645" s="56"/>
      <c r="I1645" s="217"/>
      <c r="J1645" s="217"/>
      <c r="K1645" s="217"/>
      <c r="L1645" s="217"/>
      <c r="M1645" s="217"/>
      <c r="N1645" s="217"/>
      <c r="O1645" s="217"/>
      <c r="P1645" s="217"/>
      <c r="Q1645" s="217"/>
      <c r="R1645" s="217"/>
      <c r="S1645" s="217"/>
      <c r="T1645" s="217"/>
      <c r="U1645" s="217"/>
      <c r="V1645" s="217"/>
      <c r="W1645" s="217"/>
      <c r="X1645" s="217"/>
      <c r="Y1645" s="217"/>
      <c r="Z1645" s="217"/>
      <c r="AA1645" s="217"/>
      <c r="AB1645" s="217"/>
      <c r="AC1645" s="217"/>
      <c r="AD1645" s="217"/>
    </row>
    <row r="1646" spans="1:30" x14ac:dyDescent="0.2">
      <c r="A1646" s="232"/>
      <c r="B1646" s="210"/>
      <c r="C1646" s="210"/>
      <c r="D1646" s="210"/>
      <c r="E1646" s="210"/>
      <c r="G1646" s="55"/>
      <c r="H1646" s="56"/>
      <c r="I1646" s="217"/>
      <c r="J1646" s="217"/>
      <c r="K1646" s="217"/>
      <c r="L1646" s="217"/>
      <c r="M1646" s="217"/>
      <c r="N1646" s="217"/>
      <c r="O1646" s="217"/>
      <c r="P1646" s="217"/>
      <c r="Q1646" s="217"/>
      <c r="R1646" s="217"/>
      <c r="S1646" s="217"/>
      <c r="T1646" s="217"/>
      <c r="U1646" s="217"/>
      <c r="V1646" s="217"/>
      <c r="W1646" s="217"/>
      <c r="X1646" s="217"/>
      <c r="Y1646" s="217"/>
      <c r="Z1646" s="217"/>
      <c r="AA1646" s="217"/>
      <c r="AB1646" s="217"/>
      <c r="AC1646" s="217"/>
      <c r="AD1646" s="217"/>
    </row>
    <row r="1647" spans="1:30" x14ac:dyDescent="0.2">
      <c r="A1647" s="232"/>
      <c r="B1647" s="210"/>
      <c r="C1647" s="210"/>
      <c r="D1647" s="210"/>
      <c r="E1647" s="210"/>
      <c r="G1647" s="55"/>
      <c r="H1647" s="56"/>
      <c r="I1647" s="217"/>
      <c r="J1647" s="217"/>
      <c r="K1647" s="217"/>
      <c r="L1647" s="217"/>
      <c r="M1647" s="217"/>
      <c r="N1647" s="217"/>
      <c r="O1647" s="217"/>
      <c r="P1647" s="217"/>
      <c r="Q1647" s="217"/>
      <c r="R1647" s="217"/>
      <c r="S1647" s="217"/>
      <c r="T1647" s="217"/>
      <c r="U1647" s="217"/>
      <c r="V1647" s="217"/>
      <c r="W1647" s="217"/>
      <c r="X1647" s="217"/>
      <c r="Y1647" s="217"/>
      <c r="Z1647" s="217"/>
      <c r="AA1647" s="217"/>
      <c r="AB1647" s="217"/>
      <c r="AC1647" s="217"/>
      <c r="AD1647" s="217"/>
    </row>
    <row r="1648" spans="1:30" x14ac:dyDescent="0.2">
      <c r="A1648" s="232"/>
      <c r="B1648" s="210"/>
      <c r="C1648" s="210"/>
      <c r="D1648" s="210"/>
      <c r="E1648" s="210"/>
      <c r="G1648" s="55"/>
      <c r="H1648" s="56"/>
      <c r="I1648" s="217"/>
      <c r="J1648" s="217"/>
      <c r="K1648" s="217"/>
      <c r="L1648" s="217"/>
      <c r="M1648" s="217"/>
      <c r="N1648" s="217"/>
      <c r="O1648" s="217"/>
      <c r="P1648" s="217"/>
      <c r="Q1648" s="217"/>
      <c r="R1648" s="217"/>
      <c r="S1648" s="217"/>
      <c r="T1648" s="217"/>
      <c r="U1648" s="217"/>
      <c r="V1648" s="217"/>
      <c r="W1648" s="217"/>
      <c r="X1648" s="217"/>
      <c r="Y1648" s="217"/>
      <c r="Z1648" s="217"/>
      <c r="AA1648" s="217"/>
      <c r="AB1648" s="217"/>
      <c r="AC1648" s="217"/>
      <c r="AD1648" s="217"/>
    </row>
    <row r="1649" spans="1:30" x14ac:dyDescent="0.2">
      <c r="A1649" s="232"/>
      <c r="B1649" s="210"/>
      <c r="C1649" s="210"/>
      <c r="D1649" s="210"/>
      <c r="E1649" s="210"/>
      <c r="G1649" s="55"/>
      <c r="H1649" s="56"/>
      <c r="I1649" s="217"/>
      <c r="J1649" s="217"/>
      <c r="K1649" s="217"/>
      <c r="L1649" s="217"/>
      <c r="M1649" s="217"/>
      <c r="N1649" s="217"/>
      <c r="O1649" s="217"/>
      <c r="P1649" s="217"/>
      <c r="Q1649" s="217"/>
      <c r="R1649" s="217"/>
      <c r="S1649" s="217"/>
      <c r="T1649" s="217"/>
      <c r="U1649" s="217"/>
      <c r="V1649" s="217"/>
      <c r="W1649" s="217"/>
      <c r="X1649" s="217"/>
      <c r="Y1649" s="217"/>
      <c r="Z1649" s="217"/>
      <c r="AA1649" s="217"/>
      <c r="AB1649" s="217"/>
      <c r="AC1649" s="217"/>
      <c r="AD1649" s="217"/>
    </row>
    <row r="1650" spans="1:30" x14ac:dyDescent="0.2">
      <c r="A1650" s="232"/>
      <c r="B1650" s="210"/>
      <c r="C1650" s="210"/>
      <c r="D1650" s="210"/>
      <c r="E1650" s="210"/>
      <c r="G1650" s="55"/>
      <c r="H1650" s="56"/>
      <c r="I1650" s="217"/>
      <c r="J1650" s="217"/>
      <c r="K1650" s="217"/>
      <c r="L1650" s="217"/>
      <c r="M1650" s="217"/>
      <c r="N1650" s="217"/>
      <c r="O1650" s="217"/>
      <c r="P1650" s="217"/>
      <c r="Q1650" s="217"/>
      <c r="R1650" s="217"/>
      <c r="S1650" s="217"/>
      <c r="T1650" s="217"/>
      <c r="U1650" s="217"/>
      <c r="V1650" s="217"/>
      <c r="W1650" s="217"/>
      <c r="X1650" s="217"/>
      <c r="Y1650" s="217"/>
      <c r="Z1650" s="217"/>
      <c r="AA1650" s="217"/>
      <c r="AB1650" s="217"/>
      <c r="AC1650" s="217"/>
      <c r="AD1650" s="217"/>
    </row>
    <row r="1651" spans="1:30" x14ac:dyDescent="0.2">
      <c r="A1651" s="232"/>
      <c r="B1651" s="210"/>
      <c r="C1651" s="210"/>
      <c r="D1651" s="210"/>
      <c r="E1651" s="210"/>
      <c r="G1651" s="55"/>
      <c r="H1651" s="56"/>
      <c r="I1651" s="217"/>
      <c r="J1651" s="217"/>
      <c r="K1651" s="217"/>
      <c r="L1651" s="217"/>
      <c r="M1651" s="217"/>
      <c r="N1651" s="217"/>
      <c r="O1651" s="217"/>
      <c r="P1651" s="217"/>
      <c r="Q1651" s="217"/>
      <c r="R1651" s="217"/>
      <c r="S1651" s="217"/>
      <c r="T1651" s="217"/>
      <c r="U1651" s="217"/>
      <c r="V1651" s="217"/>
      <c r="W1651" s="217"/>
      <c r="X1651" s="217"/>
      <c r="Y1651" s="217"/>
      <c r="Z1651" s="217"/>
      <c r="AA1651" s="217"/>
      <c r="AB1651" s="217"/>
      <c r="AC1651" s="217"/>
      <c r="AD1651" s="217"/>
    </row>
    <row r="1652" spans="1:30" x14ac:dyDescent="0.2">
      <c r="A1652" s="232"/>
      <c r="B1652" s="210"/>
      <c r="C1652" s="210"/>
      <c r="D1652" s="210"/>
      <c r="E1652" s="210"/>
      <c r="G1652" s="55"/>
      <c r="H1652" s="56"/>
      <c r="I1652" s="217"/>
      <c r="J1652" s="217"/>
      <c r="K1652" s="217"/>
      <c r="L1652" s="217"/>
      <c r="M1652" s="217"/>
      <c r="N1652" s="217"/>
      <c r="O1652" s="217"/>
      <c r="P1652" s="217"/>
      <c r="Q1652" s="217"/>
      <c r="R1652" s="217"/>
      <c r="S1652" s="217"/>
      <c r="T1652" s="217"/>
      <c r="U1652" s="217"/>
      <c r="V1652" s="217"/>
      <c r="W1652" s="217"/>
      <c r="X1652" s="217"/>
      <c r="Y1652" s="217"/>
      <c r="Z1652" s="217"/>
      <c r="AA1652" s="217"/>
      <c r="AB1652" s="217"/>
      <c r="AC1652" s="217"/>
      <c r="AD1652" s="217"/>
    </row>
    <row r="1653" spans="1:30" x14ac:dyDescent="0.2">
      <c r="A1653" s="232"/>
      <c r="B1653" s="210"/>
      <c r="C1653" s="210"/>
      <c r="D1653" s="210"/>
      <c r="E1653" s="210"/>
      <c r="G1653" s="55"/>
      <c r="H1653" s="56"/>
      <c r="I1653" s="217"/>
      <c r="J1653" s="217"/>
      <c r="K1653" s="217"/>
      <c r="L1653" s="217"/>
      <c r="M1653" s="217"/>
      <c r="N1653" s="217"/>
      <c r="O1653" s="217"/>
      <c r="P1653" s="217"/>
      <c r="Q1653" s="217"/>
      <c r="R1653" s="217"/>
      <c r="S1653" s="217"/>
      <c r="T1653" s="217"/>
      <c r="U1653" s="217"/>
      <c r="V1653" s="217"/>
      <c r="W1653" s="217"/>
      <c r="X1653" s="217"/>
      <c r="Y1653" s="217"/>
      <c r="Z1653" s="217"/>
      <c r="AA1653" s="217"/>
      <c r="AB1653" s="217"/>
      <c r="AC1653" s="217"/>
      <c r="AD1653" s="217"/>
    </row>
    <row r="1654" spans="1:30" x14ac:dyDescent="0.2">
      <c r="A1654" s="232"/>
      <c r="B1654" s="210"/>
      <c r="C1654" s="210"/>
      <c r="D1654" s="210"/>
      <c r="E1654" s="210"/>
      <c r="G1654" s="55"/>
      <c r="H1654" s="56"/>
      <c r="I1654" s="217"/>
      <c r="J1654" s="217"/>
      <c r="K1654" s="217"/>
      <c r="L1654" s="217"/>
      <c r="M1654" s="217"/>
      <c r="N1654" s="217"/>
      <c r="O1654" s="217"/>
      <c r="P1654" s="217"/>
      <c r="Q1654" s="217"/>
      <c r="R1654" s="217"/>
      <c r="S1654" s="217"/>
      <c r="T1654" s="217"/>
      <c r="U1654" s="217"/>
      <c r="V1654" s="217"/>
      <c r="W1654" s="217"/>
      <c r="X1654" s="217"/>
      <c r="Y1654" s="217"/>
      <c r="Z1654" s="217"/>
      <c r="AA1654" s="217"/>
      <c r="AB1654" s="217"/>
      <c r="AC1654" s="217"/>
      <c r="AD1654" s="217"/>
    </row>
    <row r="1655" spans="1:30" x14ac:dyDescent="0.2">
      <c r="A1655" s="232"/>
      <c r="B1655" s="210"/>
      <c r="C1655" s="210"/>
      <c r="D1655" s="210"/>
      <c r="E1655" s="210"/>
      <c r="G1655" s="55"/>
      <c r="H1655" s="56"/>
      <c r="I1655" s="217"/>
      <c r="J1655" s="217"/>
      <c r="K1655" s="217"/>
      <c r="L1655" s="217"/>
      <c r="M1655" s="217"/>
      <c r="N1655" s="217"/>
      <c r="O1655" s="217"/>
      <c r="P1655" s="217"/>
      <c r="Q1655" s="217"/>
      <c r="R1655" s="217"/>
      <c r="S1655" s="217"/>
      <c r="T1655" s="217"/>
      <c r="U1655" s="217"/>
      <c r="V1655" s="217"/>
      <c r="W1655" s="217"/>
      <c r="X1655" s="217"/>
      <c r="Y1655" s="217"/>
      <c r="Z1655" s="217"/>
      <c r="AA1655" s="217"/>
      <c r="AB1655" s="217"/>
      <c r="AC1655" s="217"/>
      <c r="AD1655" s="217"/>
    </row>
    <row r="1656" spans="1:30" x14ac:dyDescent="0.2">
      <c r="A1656" s="232"/>
      <c r="B1656" s="210"/>
      <c r="C1656" s="210"/>
      <c r="D1656" s="210"/>
      <c r="E1656" s="210"/>
      <c r="G1656" s="55"/>
      <c r="H1656" s="56"/>
      <c r="I1656" s="217"/>
      <c r="J1656" s="217"/>
      <c r="K1656" s="217"/>
      <c r="L1656" s="217"/>
      <c r="M1656" s="217"/>
      <c r="N1656" s="217"/>
      <c r="O1656" s="217"/>
      <c r="P1656" s="217"/>
      <c r="Q1656" s="217"/>
      <c r="R1656" s="217"/>
      <c r="S1656" s="217"/>
      <c r="T1656" s="217"/>
      <c r="U1656" s="217"/>
      <c r="V1656" s="217"/>
      <c r="W1656" s="217"/>
      <c r="X1656" s="217"/>
      <c r="Y1656" s="217"/>
      <c r="Z1656" s="217"/>
      <c r="AA1656" s="217"/>
      <c r="AB1656" s="217"/>
      <c r="AC1656" s="217"/>
      <c r="AD1656" s="217"/>
    </row>
    <row r="1657" spans="1:30" x14ac:dyDescent="0.2">
      <c r="A1657" s="232"/>
      <c r="B1657" s="210"/>
      <c r="C1657" s="210"/>
      <c r="D1657" s="210"/>
      <c r="E1657" s="210"/>
      <c r="G1657" s="55"/>
      <c r="H1657" s="56"/>
      <c r="I1657" s="217"/>
      <c r="J1657" s="217"/>
      <c r="K1657" s="217"/>
      <c r="L1657" s="217"/>
      <c r="M1657" s="217"/>
      <c r="N1657" s="217"/>
      <c r="O1657" s="217"/>
      <c r="P1657" s="217"/>
      <c r="Q1657" s="217"/>
      <c r="R1657" s="217"/>
      <c r="S1657" s="217"/>
      <c r="T1657" s="217"/>
      <c r="U1657" s="217"/>
      <c r="V1657" s="217"/>
      <c r="W1657" s="217"/>
      <c r="X1657" s="217"/>
      <c r="Y1657" s="217"/>
      <c r="Z1657" s="217"/>
      <c r="AA1657" s="217"/>
      <c r="AB1657" s="217"/>
      <c r="AC1657" s="217"/>
      <c r="AD1657" s="217"/>
    </row>
    <row r="1658" spans="1:30" x14ac:dyDescent="0.2">
      <c r="A1658" s="232"/>
      <c r="B1658" s="210"/>
      <c r="C1658" s="210"/>
      <c r="D1658" s="210"/>
      <c r="E1658" s="210"/>
      <c r="G1658" s="55"/>
      <c r="H1658" s="56"/>
      <c r="I1658" s="217"/>
      <c r="J1658" s="217"/>
      <c r="K1658" s="217"/>
      <c r="L1658" s="217"/>
      <c r="M1658" s="217"/>
      <c r="N1658" s="217"/>
      <c r="O1658" s="217"/>
      <c r="P1658" s="217"/>
      <c r="Q1658" s="217"/>
      <c r="R1658" s="217"/>
      <c r="S1658" s="217"/>
      <c r="T1658" s="217"/>
      <c r="U1658" s="217"/>
      <c r="V1658" s="217"/>
      <c r="W1658" s="217"/>
      <c r="X1658" s="217"/>
      <c r="Y1658" s="217"/>
      <c r="Z1658" s="217"/>
      <c r="AA1658" s="217"/>
      <c r="AB1658" s="217"/>
      <c r="AC1658" s="217"/>
      <c r="AD1658" s="217"/>
    </row>
    <row r="1659" spans="1:30" x14ac:dyDescent="0.2">
      <c r="A1659" s="232"/>
      <c r="B1659" s="210"/>
      <c r="C1659" s="210"/>
      <c r="D1659" s="210"/>
      <c r="E1659" s="210"/>
      <c r="G1659" s="55"/>
      <c r="H1659" s="56"/>
      <c r="I1659" s="217"/>
      <c r="J1659" s="217"/>
      <c r="K1659" s="217"/>
      <c r="L1659" s="217"/>
      <c r="M1659" s="217"/>
      <c r="N1659" s="217"/>
      <c r="O1659" s="217"/>
      <c r="P1659" s="217"/>
      <c r="Q1659" s="217"/>
      <c r="R1659" s="217"/>
      <c r="S1659" s="217"/>
      <c r="T1659" s="217"/>
      <c r="U1659" s="217"/>
      <c r="V1659" s="217"/>
      <c r="W1659" s="217"/>
      <c r="X1659" s="217"/>
      <c r="Y1659" s="217"/>
      <c r="Z1659" s="217"/>
      <c r="AA1659" s="217"/>
      <c r="AB1659" s="217"/>
      <c r="AC1659" s="217"/>
      <c r="AD1659" s="217"/>
    </row>
    <row r="1660" spans="1:30" x14ac:dyDescent="0.2">
      <c r="A1660" s="232"/>
      <c r="B1660" s="210"/>
      <c r="C1660" s="210"/>
      <c r="D1660" s="210"/>
      <c r="E1660" s="210"/>
      <c r="G1660" s="55"/>
      <c r="H1660" s="56"/>
      <c r="I1660" s="217"/>
      <c r="J1660" s="217"/>
      <c r="K1660" s="217"/>
      <c r="L1660" s="217"/>
      <c r="M1660" s="217"/>
      <c r="N1660" s="217"/>
      <c r="O1660" s="217"/>
      <c r="P1660" s="217"/>
      <c r="Q1660" s="217"/>
      <c r="R1660" s="217"/>
      <c r="S1660" s="217"/>
      <c r="T1660" s="217"/>
      <c r="U1660" s="217"/>
      <c r="V1660" s="217"/>
      <c r="W1660" s="217"/>
      <c r="X1660" s="217"/>
      <c r="Y1660" s="217"/>
      <c r="Z1660" s="217"/>
      <c r="AA1660" s="217"/>
      <c r="AB1660" s="217"/>
      <c r="AC1660" s="217"/>
      <c r="AD1660" s="217"/>
    </row>
    <row r="1661" spans="1:30" x14ac:dyDescent="0.2">
      <c r="A1661" s="232"/>
      <c r="B1661" s="210"/>
      <c r="C1661" s="210"/>
      <c r="D1661" s="210"/>
      <c r="E1661" s="210"/>
      <c r="G1661" s="55"/>
      <c r="H1661" s="56"/>
      <c r="I1661" s="217"/>
      <c r="J1661" s="217"/>
      <c r="K1661" s="217"/>
      <c r="L1661" s="217"/>
      <c r="M1661" s="217"/>
      <c r="N1661" s="217"/>
      <c r="O1661" s="217"/>
      <c r="P1661" s="217"/>
      <c r="Q1661" s="217"/>
      <c r="R1661" s="217"/>
      <c r="S1661" s="217"/>
      <c r="T1661" s="217"/>
      <c r="U1661" s="217"/>
      <c r="V1661" s="217"/>
      <c r="W1661" s="217"/>
      <c r="X1661" s="217"/>
      <c r="Y1661" s="217"/>
      <c r="Z1661" s="217"/>
      <c r="AA1661" s="217"/>
      <c r="AB1661" s="217"/>
      <c r="AC1661" s="217"/>
      <c r="AD1661" s="217"/>
    </row>
    <row r="1662" spans="1:30" x14ac:dyDescent="0.2">
      <c r="A1662" s="232"/>
      <c r="B1662" s="210"/>
      <c r="C1662" s="210"/>
      <c r="D1662" s="210"/>
      <c r="E1662" s="210"/>
      <c r="G1662" s="55"/>
      <c r="H1662" s="56"/>
      <c r="I1662" s="217"/>
      <c r="J1662" s="217"/>
      <c r="K1662" s="217"/>
      <c r="L1662" s="217"/>
      <c r="M1662" s="217"/>
      <c r="N1662" s="217"/>
      <c r="O1662" s="217"/>
      <c r="P1662" s="217"/>
      <c r="Q1662" s="217"/>
      <c r="R1662" s="217"/>
      <c r="S1662" s="217"/>
      <c r="T1662" s="217"/>
      <c r="U1662" s="217"/>
      <c r="V1662" s="217"/>
      <c r="W1662" s="217"/>
      <c r="X1662" s="217"/>
      <c r="Y1662" s="217"/>
      <c r="Z1662" s="217"/>
      <c r="AA1662" s="217"/>
      <c r="AB1662" s="217"/>
      <c r="AC1662" s="217"/>
      <c r="AD1662" s="217"/>
    </row>
    <row r="1663" spans="1:30" x14ac:dyDescent="0.2">
      <c r="A1663" s="232"/>
      <c r="B1663" s="210"/>
      <c r="C1663" s="210"/>
      <c r="D1663" s="210"/>
      <c r="E1663" s="210"/>
      <c r="G1663" s="55"/>
      <c r="H1663" s="56"/>
      <c r="I1663" s="217"/>
      <c r="J1663" s="217"/>
      <c r="K1663" s="217"/>
      <c r="L1663" s="217"/>
      <c r="M1663" s="217"/>
      <c r="N1663" s="217"/>
      <c r="O1663" s="217"/>
      <c r="P1663" s="217"/>
      <c r="Q1663" s="217"/>
      <c r="R1663" s="217"/>
      <c r="S1663" s="217"/>
      <c r="T1663" s="217"/>
      <c r="U1663" s="217"/>
      <c r="V1663" s="217"/>
      <c r="W1663" s="217"/>
      <c r="X1663" s="217"/>
      <c r="Y1663" s="217"/>
      <c r="Z1663" s="217"/>
      <c r="AA1663" s="217"/>
      <c r="AB1663" s="217"/>
      <c r="AC1663" s="217"/>
      <c r="AD1663" s="217"/>
    </row>
    <row r="1664" spans="1:30" x14ac:dyDescent="0.2">
      <c r="A1664" s="232"/>
      <c r="B1664" s="210"/>
      <c r="C1664" s="210"/>
      <c r="D1664" s="210"/>
      <c r="E1664" s="210"/>
      <c r="G1664" s="55"/>
      <c r="H1664" s="56"/>
      <c r="I1664" s="217"/>
      <c r="J1664" s="217"/>
      <c r="K1664" s="217"/>
      <c r="L1664" s="217"/>
      <c r="M1664" s="217"/>
      <c r="N1664" s="217"/>
      <c r="O1664" s="217"/>
      <c r="P1664" s="217"/>
      <c r="Q1664" s="217"/>
      <c r="R1664" s="217"/>
      <c r="S1664" s="217"/>
      <c r="T1664" s="217"/>
      <c r="U1664" s="217"/>
      <c r="V1664" s="217"/>
      <c r="W1664" s="217"/>
      <c r="X1664" s="217"/>
      <c r="Y1664" s="217"/>
      <c r="Z1664" s="217"/>
      <c r="AA1664" s="217"/>
      <c r="AB1664" s="217"/>
      <c r="AC1664" s="217"/>
      <c r="AD1664" s="217"/>
    </row>
    <row r="1665" spans="1:30" x14ac:dyDescent="0.2">
      <c r="A1665" s="232"/>
      <c r="B1665" s="210"/>
      <c r="C1665" s="210"/>
      <c r="D1665" s="210"/>
      <c r="E1665" s="210"/>
      <c r="G1665" s="55"/>
      <c r="H1665" s="56"/>
      <c r="I1665" s="217"/>
      <c r="J1665" s="217"/>
      <c r="K1665" s="217"/>
      <c r="L1665" s="217"/>
      <c r="M1665" s="217"/>
      <c r="N1665" s="217"/>
      <c r="O1665" s="217"/>
      <c r="P1665" s="217"/>
      <c r="Q1665" s="217"/>
      <c r="R1665" s="217"/>
      <c r="S1665" s="217"/>
      <c r="T1665" s="217"/>
      <c r="U1665" s="217"/>
      <c r="V1665" s="217"/>
      <c r="W1665" s="217"/>
      <c r="X1665" s="217"/>
      <c r="Y1665" s="217"/>
      <c r="Z1665" s="217"/>
      <c r="AA1665" s="217"/>
      <c r="AB1665" s="217"/>
      <c r="AC1665" s="217"/>
      <c r="AD1665" s="217"/>
    </row>
    <row r="1666" spans="1:30" x14ac:dyDescent="0.2">
      <c r="A1666" s="232"/>
      <c r="B1666" s="210"/>
      <c r="C1666" s="210"/>
      <c r="D1666" s="210"/>
      <c r="E1666" s="210"/>
      <c r="G1666" s="55"/>
      <c r="H1666" s="56"/>
      <c r="I1666" s="217"/>
      <c r="J1666" s="217"/>
      <c r="K1666" s="217"/>
      <c r="L1666" s="217"/>
      <c r="M1666" s="217"/>
      <c r="N1666" s="217"/>
      <c r="O1666" s="217"/>
      <c r="P1666" s="217"/>
      <c r="Q1666" s="217"/>
      <c r="R1666" s="217"/>
      <c r="S1666" s="217"/>
      <c r="T1666" s="217"/>
      <c r="U1666" s="217"/>
      <c r="V1666" s="217"/>
      <c r="W1666" s="217"/>
      <c r="X1666" s="217"/>
      <c r="Y1666" s="217"/>
      <c r="Z1666" s="217"/>
      <c r="AA1666" s="217"/>
      <c r="AB1666" s="217"/>
      <c r="AC1666" s="217"/>
      <c r="AD1666" s="217"/>
    </row>
    <row r="1667" spans="1:30" x14ac:dyDescent="0.2">
      <c r="A1667" s="232"/>
      <c r="B1667" s="210"/>
      <c r="C1667" s="210"/>
      <c r="D1667" s="210"/>
      <c r="E1667" s="210"/>
      <c r="G1667" s="55"/>
      <c r="H1667" s="56"/>
      <c r="I1667" s="217"/>
      <c r="J1667" s="217"/>
      <c r="K1667" s="217"/>
      <c r="L1667" s="217"/>
      <c r="M1667" s="217"/>
      <c r="N1667" s="217"/>
      <c r="O1667" s="217"/>
      <c r="P1667" s="217"/>
      <c r="Q1667" s="217"/>
      <c r="R1667" s="217"/>
      <c r="S1667" s="217"/>
      <c r="T1667" s="217"/>
      <c r="U1667" s="217"/>
      <c r="V1667" s="217"/>
      <c r="W1667" s="217"/>
      <c r="X1667" s="217"/>
      <c r="Y1667" s="217"/>
      <c r="Z1667" s="217"/>
      <c r="AA1667" s="217"/>
      <c r="AB1667" s="217"/>
      <c r="AC1667" s="217"/>
      <c r="AD1667" s="217"/>
    </row>
    <row r="1668" spans="1:30" x14ac:dyDescent="0.2">
      <c r="A1668" s="232"/>
      <c r="B1668" s="210"/>
      <c r="C1668" s="210"/>
      <c r="D1668" s="210"/>
      <c r="E1668" s="210"/>
      <c r="G1668" s="55"/>
      <c r="H1668" s="56"/>
      <c r="I1668" s="217"/>
      <c r="J1668" s="217"/>
      <c r="K1668" s="217"/>
      <c r="L1668" s="217"/>
      <c r="M1668" s="217"/>
      <c r="N1668" s="217"/>
      <c r="O1668" s="217"/>
      <c r="P1668" s="217"/>
      <c r="Q1668" s="217"/>
      <c r="R1668" s="217"/>
      <c r="S1668" s="217"/>
      <c r="T1668" s="217"/>
      <c r="U1668" s="217"/>
      <c r="V1668" s="217"/>
      <c r="W1668" s="217"/>
      <c r="X1668" s="217"/>
      <c r="Y1668" s="217"/>
      <c r="Z1668" s="217"/>
      <c r="AA1668" s="217"/>
      <c r="AB1668" s="217"/>
      <c r="AC1668" s="217"/>
      <c r="AD1668" s="217"/>
    </row>
    <row r="1669" spans="1:30" x14ac:dyDescent="0.2">
      <c r="A1669" s="232"/>
      <c r="B1669" s="210"/>
      <c r="C1669" s="210"/>
      <c r="D1669" s="210"/>
      <c r="E1669" s="210"/>
      <c r="G1669" s="55"/>
      <c r="H1669" s="56"/>
      <c r="I1669" s="217"/>
      <c r="J1669" s="217"/>
      <c r="K1669" s="217"/>
      <c r="L1669" s="217"/>
      <c r="M1669" s="217"/>
      <c r="N1669" s="217"/>
      <c r="O1669" s="217"/>
      <c r="P1669" s="217"/>
      <c r="Q1669" s="217"/>
      <c r="R1669" s="217"/>
      <c r="S1669" s="217"/>
      <c r="T1669" s="217"/>
      <c r="U1669" s="217"/>
      <c r="V1669" s="217"/>
      <c r="W1669" s="217"/>
      <c r="X1669" s="217"/>
      <c r="Y1669" s="217"/>
      <c r="Z1669" s="217"/>
      <c r="AA1669" s="217"/>
      <c r="AB1669" s="217"/>
      <c r="AC1669" s="217"/>
      <c r="AD1669" s="217"/>
    </row>
    <row r="1670" spans="1:30" x14ac:dyDescent="0.2">
      <c r="A1670" s="232"/>
      <c r="B1670" s="210"/>
      <c r="C1670" s="210"/>
      <c r="D1670" s="210"/>
      <c r="E1670" s="210"/>
      <c r="G1670" s="55"/>
      <c r="H1670" s="56"/>
      <c r="I1670" s="217"/>
      <c r="J1670" s="217"/>
      <c r="K1670" s="217"/>
      <c r="L1670" s="217"/>
      <c r="M1670" s="217"/>
      <c r="N1670" s="217"/>
      <c r="O1670" s="217"/>
      <c r="P1670" s="217"/>
      <c r="Q1670" s="217"/>
      <c r="R1670" s="217"/>
      <c r="S1670" s="217"/>
      <c r="T1670" s="217"/>
      <c r="U1670" s="217"/>
      <c r="V1670" s="217"/>
      <c r="W1670" s="217"/>
      <c r="X1670" s="217"/>
      <c r="Y1670" s="217"/>
      <c r="Z1670" s="217"/>
      <c r="AA1670" s="217"/>
      <c r="AB1670" s="217"/>
      <c r="AC1670" s="217"/>
      <c r="AD1670" s="217"/>
    </row>
    <row r="1671" spans="1:30" x14ac:dyDescent="0.2">
      <c r="A1671" s="232"/>
      <c r="B1671" s="210"/>
      <c r="C1671" s="210"/>
      <c r="D1671" s="210"/>
      <c r="E1671" s="210"/>
      <c r="G1671" s="55"/>
      <c r="H1671" s="56"/>
      <c r="I1671" s="217"/>
      <c r="J1671" s="217"/>
      <c r="K1671" s="217"/>
      <c r="L1671" s="217"/>
      <c r="M1671" s="217"/>
      <c r="N1671" s="217"/>
      <c r="O1671" s="217"/>
      <c r="P1671" s="217"/>
      <c r="Q1671" s="217"/>
      <c r="R1671" s="217"/>
      <c r="S1671" s="217"/>
      <c r="T1671" s="217"/>
      <c r="U1671" s="217"/>
      <c r="V1671" s="217"/>
      <c r="W1671" s="217"/>
      <c r="X1671" s="217"/>
      <c r="Y1671" s="217"/>
      <c r="Z1671" s="217"/>
      <c r="AA1671" s="217"/>
      <c r="AB1671" s="217"/>
      <c r="AC1671" s="217"/>
      <c r="AD1671" s="217"/>
    </row>
    <row r="1672" spans="1:30" x14ac:dyDescent="0.2">
      <c r="A1672" s="232"/>
      <c r="B1672" s="210"/>
      <c r="C1672" s="210"/>
      <c r="D1672" s="210"/>
      <c r="E1672" s="210"/>
      <c r="G1672" s="55"/>
      <c r="H1672" s="56"/>
      <c r="I1672" s="217"/>
      <c r="J1672" s="217"/>
      <c r="K1672" s="217"/>
      <c r="L1672" s="217"/>
      <c r="M1672" s="217"/>
      <c r="N1672" s="217"/>
      <c r="O1672" s="217"/>
      <c r="P1672" s="217"/>
      <c r="Q1672" s="217"/>
      <c r="R1672" s="217"/>
      <c r="S1672" s="217"/>
      <c r="T1672" s="217"/>
      <c r="U1672" s="217"/>
      <c r="V1672" s="217"/>
      <c r="W1672" s="217"/>
      <c r="X1672" s="217"/>
      <c r="Y1672" s="217"/>
      <c r="Z1672" s="217"/>
      <c r="AA1672" s="217"/>
      <c r="AB1672" s="217"/>
      <c r="AC1672" s="217"/>
      <c r="AD1672" s="217"/>
    </row>
    <row r="1673" spans="1:30" x14ac:dyDescent="0.2">
      <c r="A1673" s="232"/>
      <c r="B1673" s="210"/>
      <c r="C1673" s="210"/>
      <c r="D1673" s="210"/>
      <c r="E1673" s="210"/>
      <c r="G1673" s="55"/>
      <c r="H1673" s="56"/>
      <c r="I1673" s="217"/>
      <c r="J1673" s="217"/>
      <c r="K1673" s="217"/>
      <c r="L1673" s="217"/>
      <c r="M1673" s="217"/>
      <c r="N1673" s="217"/>
      <c r="O1673" s="217"/>
      <c r="P1673" s="217"/>
      <c r="Q1673" s="217"/>
      <c r="R1673" s="217"/>
      <c r="S1673" s="217"/>
      <c r="T1673" s="217"/>
      <c r="U1673" s="217"/>
      <c r="V1673" s="217"/>
      <c r="W1673" s="217"/>
      <c r="X1673" s="217"/>
      <c r="Y1673" s="217"/>
      <c r="Z1673" s="217"/>
      <c r="AA1673" s="217"/>
      <c r="AB1673" s="217"/>
      <c r="AC1673" s="217"/>
      <c r="AD1673" s="217"/>
    </row>
    <row r="1674" spans="1:30" x14ac:dyDescent="0.2">
      <c r="A1674" s="232"/>
      <c r="B1674" s="210"/>
      <c r="C1674" s="210"/>
      <c r="D1674" s="210"/>
      <c r="E1674" s="210"/>
      <c r="G1674" s="55"/>
      <c r="H1674" s="56"/>
      <c r="I1674" s="217"/>
      <c r="J1674" s="217"/>
      <c r="K1674" s="217"/>
      <c r="L1674" s="217"/>
      <c r="M1674" s="217"/>
      <c r="N1674" s="217"/>
      <c r="O1674" s="217"/>
      <c r="P1674" s="217"/>
      <c r="Q1674" s="217"/>
      <c r="R1674" s="217"/>
      <c r="S1674" s="217"/>
      <c r="T1674" s="217"/>
      <c r="U1674" s="217"/>
      <c r="V1674" s="217"/>
      <c r="W1674" s="217"/>
      <c r="X1674" s="217"/>
      <c r="Y1674" s="217"/>
      <c r="Z1674" s="217"/>
      <c r="AA1674" s="217"/>
      <c r="AB1674" s="217"/>
      <c r="AC1674" s="217"/>
      <c r="AD1674" s="217"/>
    </row>
    <row r="1675" spans="1:30" x14ac:dyDescent="0.2">
      <c r="A1675" s="232"/>
      <c r="B1675" s="210"/>
      <c r="C1675" s="210"/>
      <c r="D1675" s="210"/>
      <c r="E1675" s="210"/>
      <c r="G1675" s="55"/>
      <c r="H1675" s="56"/>
      <c r="I1675" s="217"/>
      <c r="J1675" s="217"/>
      <c r="K1675" s="217"/>
      <c r="L1675" s="217"/>
      <c r="M1675" s="217"/>
      <c r="N1675" s="217"/>
      <c r="O1675" s="217"/>
      <c r="P1675" s="217"/>
      <c r="Q1675" s="217"/>
      <c r="R1675" s="217"/>
      <c r="S1675" s="217"/>
      <c r="T1675" s="217"/>
      <c r="U1675" s="217"/>
      <c r="V1675" s="217"/>
      <c r="W1675" s="217"/>
      <c r="X1675" s="217"/>
      <c r="Y1675" s="217"/>
      <c r="Z1675" s="217"/>
      <c r="AA1675" s="217"/>
      <c r="AB1675" s="217"/>
      <c r="AC1675" s="217"/>
      <c r="AD1675" s="217"/>
    </row>
    <row r="1676" spans="1:30" x14ac:dyDescent="0.2">
      <c r="A1676" s="232"/>
      <c r="B1676" s="210"/>
      <c r="C1676" s="210"/>
      <c r="D1676" s="210"/>
      <c r="E1676" s="210"/>
      <c r="G1676" s="55"/>
      <c r="H1676" s="56"/>
      <c r="I1676" s="217"/>
      <c r="J1676" s="217"/>
      <c r="K1676" s="217"/>
      <c r="L1676" s="217"/>
      <c r="M1676" s="217"/>
      <c r="N1676" s="217"/>
      <c r="O1676" s="217"/>
      <c r="P1676" s="217"/>
      <c r="Q1676" s="217"/>
      <c r="R1676" s="217"/>
      <c r="S1676" s="217"/>
      <c r="T1676" s="217"/>
      <c r="U1676" s="217"/>
      <c r="V1676" s="217"/>
      <c r="W1676" s="217"/>
      <c r="X1676" s="217"/>
      <c r="Y1676" s="217"/>
      <c r="Z1676" s="217"/>
      <c r="AA1676" s="217"/>
      <c r="AB1676" s="217"/>
      <c r="AC1676" s="217"/>
      <c r="AD1676" s="217"/>
    </row>
    <row r="1677" spans="1:30" x14ac:dyDescent="0.2">
      <c r="A1677" s="232"/>
      <c r="B1677" s="210"/>
      <c r="C1677" s="210"/>
      <c r="D1677" s="210"/>
      <c r="E1677" s="210"/>
      <c r="G1677" s="55"/>
      <c r="H1677" s="56"/>
      <c r="I1677" s="217"/>
      <c r="J1677" s="217"/>
      <c r="K1677" s="217"/>
      <c r="L1677" s="217"/>
      <c r="M1677" s="217"/>
      <c r="N1677" s="217"/>
      <c r="O1677" s="217"/>
      <c r="P1677" s="217"/>
      <c r="Q1677" s="217"/>
      <c r="R1677" s="217"/>
      <c r="S1677" s="217"/>
      <c r="T1677" s="217"/>
      <c r="U1677" s="217"/>
      <c r="V1677" s="217"/>
      <c r="W1677" s="217"/>
      <c r="X1677" s="217"/>
      <c r="Y1677" s="217"/>
      <c r="Z1677" s="217"/>
      <c r="AA1677" s="217"/>
      <c r="AB1677" s="217"/>
      <c r="AC1677" s="217"/>
      <c r="AD1677" s="217"/>
    </row>
    <row r="1678" spans="1:30" x14ac:dyDescent="0.2">
      <c r="A1678" s="232"/>
      <c r="B1678" s="210"/>
      <c r="C1678" s="210"/>
      <c r="D1678" s="210"/>
      <c r="E1678" s="210"/>
      <c r="G1678" s="55"/>
      <c r="H1678" s="56"/>
      <c r="I1678" s="217"/>
      <c r="J1678" s="217"/>
      <c r="K1678" s="217"/>
      <c r="L1678" s="217"/>
      <c r="M1678" s="217"/>
      <c r="N1678" s="217"/>
      <c r="O1678" s="217"/>
      <c r="P1678" s="217"/>
      <c r="Q1678" s="217"/>
      <c r="R1678" s="217"/>
      <c r="S1678" s="217"/>
      <c r="T1678" s="217"/>
      <c r="U1678" s="217"/>
      <c r="V1678" s="217"/>
      <c r="W1678" s="217"/>
      <c r="X1678" s="217"/>
      <c r="Y1678" s="217"/>
      <c r="Z1678" s="217"/>
      <c r="AA1678" s="217"/>
      <c r="AB1678" s="217"/>
      <c r="AC1678" s="217"/>
      <c r="AD1678" s="217"/>
    </row>
    <row r="1679" spans="1:30" x14ac:dyDescent="0.2">
      <c r="A1679" s="232"/>
      <c r="B1679" s="210"/>
      <c r="C1679" s="210"/>
      <c r="D1679" s="210"/>
      <c r="E1679" s="210"/>
      <c r="G1679" s="55"/>
      <c r="H1679" s="56"/>
      <c r="I1679" s="217"/>
      <c r="J1679" s="217"/>
      <c r="K1679" s="217"/>
      <c r="L1679" s="217"/>
      <c r="M1679" s="217"/>
      <c r="N1679" s="217"/>
      <c r="O1679" s="217"/>
      <c r="P1679" s="217"/>
      <c r="Q1679" s="217"/>
      <c r="R1679" s="217"/>
      <c r="S1679" s="217"/>
      <c r="T1679" s="217"/>
      <c r="U1679" s="217"/>
      <c r="V1679" s="217"/>
      <c r="W1679" s="217"/>
      <c r="X1679" s="217"/>
      <c r="Y1679" s="217"/>
      <c r="Z1679" s="217"/>
      <c r="AA1679" s="217"/>
      <c r="AB1679" s="217"/>
      <c r="AC1679" s="217"/>
      <c r="AD1679" s="217"/>
    </row>
    <row r="1680" spans="1:30" x14ac:dyDescent="0.2">
      <c r="A1680" s="232"/>
      <c r="B1680" s="210"/>
      <c r="C1680" s="210"/>
      <c r="D1680" s="210"/>
      <c r="E1680" s="210"/>
      <c r="G1680" s="55"/>
      <c r="H1680" s="56"/>
      <c r="I1680" s="217"/>
      <c r="J1680" s="217"/>
      <c r="K1680" s="217"/>
      <c r="L1680" s="217"/>
      <c r="M1680" s="217"/>
      <c r="N1680" s="217"/>
      <c r="O1680" s="217"/>
      <c r="P1680" s="217"/>
      <c r="Q1680" s="217"/>
      <c r="R1680" s="217"/>
      <c r="S1680" s="217"/>
      <c r="T1680" s="217"/>
      <c r="U1680" s="217"/>
      <c r="V1680" s="217"/>
      <c r="W1680" s="217"/>
      <c r="X1680" s="217"/>
      <c r="Y1680" s="217"/>
      <c r="Z1680" s="217"/>
      <c r="AA1680" s="217"/>
      <c r="AB1680" s="217"/>
      <c r="AC1680" s="217"/>
      <c r="AD1680" s="217"/>
    </row>
    <row r="1681" spans="1:30" x14ac:dyDescent="0.2">
      <c r="A1681" s="232"/>
      <c r="B1681" s="210"/>
      <c r="C1681" s="210"/>
      <c r="D1681" s="210"/>
      <c r="E1681" s="210"/>
      <c r="G1681" s="55"/>
      <c r="H1681" s="56"/>
      <c r="I1681" s="217"/>
      <c r="J1681" s="217"/>
      <c r="K1681" s="217"/>
      <c r="L1681" s="217"/>
      <c r="M1681" s="217"/>
      <c r="N1681" s="217"/>
      <c r="O1681" s="217"/>
      <c r="P1681" s="217"/>
      <c r="Q1681" s="217"/>
      <c r="R1681" s="217"/>
      <c r="S1681" s="217"/>
      <c r="T1681" s="217"/>
      <c r="U1681" s="217"/>
      <c r="V1681" s="217"/>
      <c r="W1681" s="217"/>
      <c r="X1681" s="217"/>
      <c r="Y1681" s="217"/>
      <c r="Z1681" s="217"/>
      <c r="AA1681" s="217"/>
      <c r="AB1681" s="217"/>
      <c r="AC1681" s="217"/>
      <c r="AD1681" s="217"/>
    </row>
    <row r="1682" spans="1:30" x14ac:dyDescent="0.2">
      <c r="A1682" s="232"/>
      <c r="B1682" s="210"/>
      <c r="C1682" s="210"/>
      <c r="D1682" s="210"/>
      <c r="E1682" s="210"/>
      <c r="G1682" s="55"/>
      <c r="H1682" s="56"/>
      <c r="I1682" s="217"/>
      <c r="J1682" s="217"/>
      <c r="K1682" s="217"/>
      <c r="L1682" s="217"/>
      <c r="M1682" s="217"/>
      <c r="N1682" s="217"/>
      <c r="O1682" s="217"/>
      <c r="P1682" s="217"/>
      <c r="Q1682" s="217"/>
      <c r="R1682" s="217"/>
      <c r="S1682" s="217"/>
      <c r="T1682" s="217"/>
      <c r="U1682" s="217"/>
      <c r="V1682" s="217"/>
      <c r="W1682" s="217"/>
      <c r="X1682" s="217"/>
      <c r="Y1682" s="217"/>
      <c r="Z1682" s="217"/>
      <c r="AA1682" s="217"/>
      <c r="AB1682" s="217"/>
      <c r="AC1682" s="217"/>
      <c r="AD1682" s="217"/>
    </row>
    <row r="1683" spans="1:30" x14ac:dyDescent="0.2">
      <c r="A1683" s="232"/>
      <c r="B1683" s="210"/>
      <c r="C1683" s="210"/>
      <c r="D1683" s="210"/>
      <c r="E1683" s="210"/>
      <c r="G1683" s="55"/>
      <c r="H1683" s="56"/>
      <c r="I1683" s="217"/>
      <c r="J1683" s="217"/>
      <c r="K1683" s="217"/>
      <c r="L1683" s="217"/>
      <c r="M1683" s="217"/>
      <c r="N1683" s="217"/>
      <c r="O1683" s="217"/>
      <c r="P1683" s="217"/>
      <c r="Q1683" s="217"/>
      <c r="R1683" s="217"/>
      <c r="S1683" s="217"/>
      <c r="T1683" s="217"/>
      <c r="U1683" s="217"/>
      <c r="V1683" s="217"/>
      <c r="W1683" s="217"/>
      <c r="X1683" s="217"/>
      <c r="Y1683" s="217"/>
      <c r="Z1683" s="217"/>
      <c r="AA1683" s="217"/>
      <c r="AB1683" s="217"/>
      <c r="AC1683" s="217"/>
      <c r="AD1683" s="217"/>
    </row>
    <row r="1684" spans="1:30" x14ac:dyDescent="0.2">
      <c r="A1684" s="232"/>
      <c r="B1684" s="210"/>
      <c r="C1684" s="210"/>
      <c r="D1684" s="210"/>
      <c r="E1684" s="210"/>
      <c r="G1684" s="55"/>
      <c r="H1684" s="56"/>
      <c r="I1684" s="217"/>
      <c r="J1684" s="217"/>
      <c r="K1684" s="217"/>
      <c r="L1684" s="217"/>
      <c r="M1684" s="217"/>
      <c r="N1684" s="217"/>
      <c r="O1684" s="217"/>
      <c r="P1684" s="217"/>
      <c r="Q1684" s="217"/>
      <c r="R1684" s="217"/>
      <c r="S1684" s="217"/>
      <c r="T1684" s="217"/>
      <c r="U1684" s="217"/>
      <c r="V1684" s="217"/>
      <c r="W1684" s="217"/>
      <c r="X1684" s="217"/>
      <c r="Y1684" s="217"/>
      <c r="Z1684" s="217"/>
      <c r="AA1684" s="217"/>
      <c r="AB1684" s="217"/>
      <c r="AC1684" s="217"/>
      <c r="AD1684" s="217"/>
    </row>
    <row r="1685" spans="1:30" x14ac:dyDescent="0.2">
      <c r="A1685" s="232"/>
      <c r="B1685" s="210"/>
      <c r="C1685" s="210"/>
      <c r="D1685" s="210"/>
      <c r="E1685" s="210"/>
      <c r="G1685" s="55"/>
      <c r="H1685" s="56"/>
      <c r="I1685" s="217"/>
      <c r="J1685" s="217"/>
      <c r="K1685" s="217"/>
      <c r="L1685" s="217"/>
      <c r="M1685" s="217"/>
      <c r="N1685" s="217"/>
      <c r="O1685" s="217"/>
      <c r="P1685" s="217"/>
      <c r="Q1685" s="217"/>
      <c r="R1685" s="217"/>
      <c r="S1685" s="217"/>
      <c r="T1685" s="217"/>
      <c r="U1685" s="217"/>
      <c r="V1685" s="217"/>
      <c r="W1685" s="217"/>
      <c r="X1685" s="217"/>
      <c r="Y1685" s="217"/>
      <c r="Z1685" s="217"/>
      <c r="AA1685" s="217"/>
      <c r="AB1685" s="217"/>
      <c r="AC1685" s="217"/>
      <c r="AD1685" s="217"/>
    </row>
    <row r="1686" spans="1:30" x14ac:dyDescent="0.2">
      <c r="A1686" s="232"/>
      <c r="B1686" s="210"/>
      <c r="C1686" s="210"/>
      <c r="D1686" s="210"/>
      <c r="E1686" s="210"/>
      <c r="G1686" s="55"/>
      <c r="H1686" s="56"/>
      <c r="I1686" s="217"/>
      <c r="J1686" s="217"/>
      <c r="K1686" s="217"/>
      <c r="L1686" s="217"/>
      <c r="M1686" s="217"/>
      <c r="N1686" s="217"/>
      <c r="O1686" s="217"/>
      <c r="P1686" s="217"/>
      <c r="Q1686" s="217"/>
      <c r="R1686" s="217"/>
      <c r="S1686" s="217"/>
      <c r="T1686" s="217"/>
      <c r="U1686" s="217"/>
      <c r="V1686" s="217"/>
      <c r="W1686" s="217"/>
      <c r="X1686" s="217"/>
      <c r="Y1686" s="217"/>
      <c r="Z1686" s="217"/>
      <c r="AA1686" s="217"/>
      <c r="AB1686" s="217"/>
      <c r="AC1686" s="217"/>
      <c r="AD1686" s="217"/>
    </row>
    <row r="1687" spans="1:30" x14ac:dyDescent="0.2">
      <c r="A1687" s="232"/>
      <c r="B1687" s="210"/>
      <c r="C1687" s="210"/>
      <c r="D1687" s="210"/>
      <c r="E1687" s="210"/>
      <c r="G1687" s="55"/>
      <c r="H1687" s="56"/>
      <c r="I1687" s="217"/>
      <c r="J1687" s="217"/>
      <c r="K1687" s="217"/>
      <c r="L1687" s="217"/>
      <c r="M1687" s="217"/>
      <c r="N1687" s="217"/>
      <c r="O1687" s="217"/>
      <c r="P1687" s="217"/>
      <c r="Q1687" s="217"/>
      <c r="R1687" s="217"/>
      <c r="S1687" s="217"/>
      <c r="T1687" s="217"/>
      <c r="U1687" s="217"/>
      <c r="V1687" s="217"/>
      <c r="W1687" s="217"/>
      <c r="X1687" s="217"/>
      <c r="Y1687" s="217"/>
      <c r="Z1687" s="217"/>
      <c r="AA1687" s="217"/>
      <c r="AB1687" s="217"/>
      <c r="AC1687" s="217"/>
      <c r="AD1687" s="217"/>
    </row>
    <row r="1688" spans="1:30" x14ac:dyDescent="0.2">
      <c r="A1688" s="232"/>
      <c r="B1688" s="210"/>
      <c r="C1688" s="210"/>
      <c r="D1688" s="210"/>
      <c r="E1688" s="210"/>
      <c r="G1688" s="55"/>
      <c r="H1688" s="56"/>
      <c r="I1688" s="217"/>
      <c r="J1688" s="217"/>
      <c r="K1688" s="217"/>
      <c r="L1688" s="217"/>
      <c r="M1688" s="217"/>
      <c r="N1688" s="217"/>
      <c r="O1688" s="217"/>
      <c r="P1688" s="217"/>
      <c r="Q1688" s="217"/>
      <c r="R1688" s="217"/>
      <c r="S1688" s="217"/>
      <c r="T1688" s="217"/>
      <c r="U1688" s="217"/>
      <c r="V1688" s="217"/>
      <c r="W1688" s="217"/>
      <c r="X1688" s="217"/>
      <c r="Y1688" s="217"/>
      <c r="Z1688" s="217"/>
      <c r="AA1688" s="217"/>
      <c r="AB1688" s="217"/>
      <c r="AC1688" s="217"/>
      <c r="AD1688" s="217"/>
    </row>
    <row r="1689" spans="1:30" x14ac:dyDescent="0.2">
      <c r="A1689" s="232"/>
      <c r="B1689" s="210"/>
      <c r="C1689" s="210"/>
      <c r="D1689" s="210"/>
      <c r="E1689" s="210"/>
      <c r="G1689" s="55"/>
      <c r="H1689" s="56"/>
      <c r="I1689" s="217"/>
      <c r="J1689" s="217"/>
      <c r="K1689" s="217"/>
      <c r="L1689" s="217"/>
      <c r="M1689" s="217"/>
      <c r="N1689" s="217"/>
      <c r="O1689" s="217"/>
      <c r="P1689" s="217"/>
      <c r="Q1689" s="217"/>
      <c r="R1689" s="217"/>
      <c r="S1689" s="217"/>
      <c r="T1689" s="217"/>
      <c r="U1689" s="217"/>
      <c r="V1689" s="217"/>
      <c r="W1689" s="217"/>
      <c r="X1689" s="217"/>
      <c r="Y1689" s="217"/>
      <c r="Z1689" s="217"/>
      <c r="AA1689" s="217"/>
      <c r="AB1689" s="217"/>
      <c r="AC1689" s="217"/>
      <c r="AD1689" s="217"/>
    </row>
    <row r="1690" spans="1:30" x14ac:dyDescent="0.2">
      <c r="A1690" s="232"/>
      <c r="B1690" s="210"/>
      <c r="C1690" s="210"/>
      <c r="D1690" s="210"/>
      <c r="E1690" s="210"/>
      <c r="G1690" s="55"/>
      <c r="H1690" s="56"/>
      <c r="I1690" s="217"/>
      <c r="J1690" s="217"/>
      <c r="K1690" s="217"/>
      <c r="L1690" s="217"/>
      <c r="M1690" s="217"/>
      <c r="N1690" s="217"/>
      <c r="O1690" s="217"/>
      <c r="P1690" s="217"/>
      <c r="Q1690" s="217"/>
      <c r="R1690" s="217"/>
      <c r="S1690" s="217"/>
      <c r="T1690" s="217"/>
      <c r="U1690" s="217"/>
      <c r="V1690" s="217"/>
      <c r="W1690" s="217"/>
      <c r="X1690" s="217"/>
      <c r="Y1690" s="217"/>
      <c r="Z1690" s="217"/>
      <c r="AA1690" s="217"/>
      <c r="AB1690" s="217"/>
      <c r="AC1690" s="217"/>
      <c r="AD1690" s="217"/>
    </row>
    <row r="1691" spans="1:30" x14ac:dyDescent="0.2">
      <c r="A1691" s="232"/>
      <c r="B1691" s="210"/>
      <c r="C1691" s="210"/>
      <c r="D1691" s="210"/>
      <c r="E1691" s="210"/>
      <c r="G1691" s="55"/>
      <c r="H1691" s="56"/>
      <c r="I1691" s="217"/>
      <c r="J1691" s="217"/>
      <c r="K1691" s="217"/>
      <c r="L1691" s="217"/>
      <c r="M1691" s="217"/>
      <c r="N1691" s="217"/>
      <c r="O1691" s="217"/>
      <c r="P1691" s="217"/>
      <c r="Q1691" s="217"/>
      <c r="R1691" s="217"/>
      <c r="S1691" s="217"/>
      <c r="T1691" s="217"/>
      <c r="U1691" s="217"/>
      <c r="V1691" s="217"/>
      <c r="W1691" s="217"/>
      <c r="X1691" s="217"/>
      <c r="Y1691" s="217"/>
      <c r="Z1691" s="217"/>
      <c r="AA1691" s="217"/>
      <c r="AB1691" s="217"/>
      <c r="AC1691" s="217"/>
      <c r="AD1691" s="217"/>
    </row>
    <row r="1692" spans="1:30" x14ac:dyDescent="0.2">
      <c r="A1692" s="232"/>
      <c r="B1692" s="210"/>
      <c r="C1692" s="210"/>
      <c r="D1692" s="210"/>
      <c r="E1692" s="210"/>
      <c r="G1692" s="55"/>
      <c r="H1692" s="56"/>
      <c r="I1692" s="217"/>
      <c r="J1692" s="217"/>
      <c r="K1692" s="217"/>
      <c r="L1692" s="217"/>
      <c r="M1692" s="217"/>
      <c r="N1692" s="217"/>
      <c r="O1692" s="217"/>
      <c r="P1692" s="217"/>
      <c r="Q1692" s="217"/>
      <c r="R1692" s="217"/>
      <c r="S1692" s="217"/>
      <c r="T1692" s="217"/>
      <c r="U1692" s="217"/>
      <c r="V1692" s="217"/>
      <c r="W1692" s="217"/>
      <c r="X1692" s="217"/>
      <c r="Y1692" s="217"/>
      <c r="Z1692" s="217"/>
      <c r="AA1692" s="217"/>
      <c r="AB1692" s="217"/>
      <c r="AC1692" s="217"/>
      <c r="AD1692" s="217"/>
    </row>
    <row r="1693" spans="1:30" x14ac:dyDescent="0.2">
      <c r="A1693" s="232"/>
      <c r="B1693" s="210"/>
      <c r="C1693" s="210"/>
      <c r="D1693" s="210"/>
      <c r="E1693" s="210"/>
      <c r="G1693" s="55"/>
      <c r="H1693" s="56"/>
      <c r="I1693" s="217"/>
      <c r="J1693" s="217"/>
      <c r="K1693" s="217"/>
      <c r="L1693" s="217"/>
      <c r="M1693" s="217"/>
      <c r="N1693" s="217"/>
      <c r="O1693" s="217"/>
      <c r="P1693" s="217"/>
      <c r="Q1693" s="217"/>
      <c r="R1693" s="217"/>
      <c r="S1693" s="217"/>
      <c r="T1693" s="217"/>
      <c r="U1693" s="217"/>
      <c r="V1693" s="217"/>
      <c r="W1693" s="217"/>
      <c r="X1693" s="217"/>
      <c r="Y1693" s="217"/>
      <c r="Z1693" s="217"/>
      <c r="AA1693" s="217"/>
      <c r="AB1693" s="217"/>
      <c r="AC1693" s="217"/>
      <c r="AD1693" s="217"/>
    </row>
    <row r="1694" spans="1:30" x14ac:dyDescent="0.2">
      <c r="A1694" s="232"/>
      <c r="B1694" s="210"/>
      <c r="C1694" s="210"/>
      <c r="D1694" s="210"/>
      <c r="E1694" s="210"/>
      <c r="G1694" s="55"/>
      <c r="H1694" s="56"/>
      <c r="I1694" s="217"/>
      <c r="J1694" s="217"/>
      <c r="K1694" s="217"/>
      <c r="L1694" s="217"/>
      <c r="M1694" s="217"/>
      <c r="N1694" s="217"/>
      <c r="O1694" s="217"/>
      <c r="P1694" s="217"/>
      <c r="Q1694" s="217"/>
      <c r="R1694" s="217"/>
      <c r="S1694" s="217"/>
      <c r="T1694" s="217"/>
      <c r="U1694" s="217"/>
      <c r="V1694" s="217"/>
      <c r="W1694" s="217"/>
      <c r="X1694" s="217"/>
      <c r="Y1694" s="217"/>
      <c r="Z1694" s="217"/>
      <c r="AA1694" s="217"/>
      <c r="AB1694" s="217"/>
      <c r="AC1694" s="217"/>
      <c r="AD1694" s="217"/>
    </row>
    <row r="1695" spans="1:30" x14ac:dyDescent="0.2">
      <c r="A1695" s="232"/>
      <c r="B1695" s="210"/>
      <c r="C1695" s="210"/>
      <c r="D1695" s="210"/>
      <c r="E1695" s="210"/>
      <c r="G1695" s="55"/>
      <c r="H1695" s="56"/>
      <c r="I1695" s="217"/>
      <c r="J1695" s="217"/>
      <c r="K1695" s="217"/>
      <c r="L1695" s="217"/>
      <c r="M1695" s="217"/>
      <c r="N1695" s="217"/>
      <c r="O1695" s="217"/>
      <c r="P1695" s="217"/>
      <c r="Q1695" s="217"/>
      <c r="R1695" s="217"/>
      <c r="S1695" s="217"/>
      <c r="T1695" s="217"/>
      <c r="U1695" s="217"/>
      <c r="V1695" s="217"/>
      <c r="W1695" s="217"/>
      <c r="X1695" s="217"/>
      <c r="Y1695" s="217"/>
      <c r="Z1695" s="217"/>
      <c r="AA1695" s="217"/>
      <c r="AB1695" s="217"/>
      <c r="AC1695" s="217"/>
      <c r="AD1695" s="217"/>
    </row>
    <row r="1696" spans="1:30" x14ac:dyDescent="0.2">
      <c r="A1696" s="232"/>
      <c r="B1696" s="210"/>
      <c r="C1696" s="210"/>
      <c r="D1696" s="210"/>
      <c r="E1696" s="210"/>
      <c r="G1696" s="55"/>
      <c r="H1696" s="56"/>
      <c r="I1696" s="217"/>
      <c r="J1696" s="217"/>
      <c r="K1696" s="217"/>
      <c r="L1696" s="217"/>
      <c r="M1696" s="217"/>
      <c r="N1696" s="217"/>
      <c r="O1696" s="217"/>
      <c r="P1696" s="217"/>
      <c r="Q1696" s="217"/>
      <c r="R1696" s="217"/>
      <c r="S1696" s="217"/>
      <c r="T1696" s="217"/>
      <c r="U1696" s="217"/>
      <c r="V1696" s="217"/>
      <c r="W1696" s="217"/>
      <c r="X1696" s="217"/>
      <c r="Y1696" s="217"/>
      <c r="Z1696" s="217"/>
      <c r="AA1696" s="217"/>
      <c r="AB1696" s="217"/>
      <c r="AC1696" s="217"/>
      <c r="AD1696" s="217"/>
    </row>
    <row r="1697" spans="1:30" x14ac:dyDescent="0.2">
      <c r="A1697" s="232"/>
      <c r="B1697" s="210"/>
      <c r="C1697" s="210"/>
      <c r="D1697" s="210"/>
      <c r="E1697" s="210"/>
      <c r="G1697" s="55"/>
      <c r="H1697" s="56"/>
      <c r="I1697" s="217"/>
      <c r="J1697" s="217"/>
      <c r="K1697" s="217"/>
      <c r="L1697" s="217"/>
      <c r="M1697" s="217"/>
      <c r="N1697" s="217"/>
      <c r="O1697" s="217"/>
      <c r="P1697" s="217"/>
      <c r="Q1697" s="217"/>
      <c r="R1697" s="217"/>
      <c r="S1697" s="217"/>
      <c r="T1697" s="217"/>
      <c r="U1697" s="217"/>
      <c r="V1697" s="217"/>
      <c r="W1697" s="217"/>
      <c r="X1697" s="217"/>
      <c r="Y1697" s="217"/>
      <c r="Z1697" s="217"/>
      <c r="AA1697" s="217"/>
      <c r="AB1697" s="217"/>
      <c r="AC1697" s="217"/>
      <c r="AD1697" s="217"/>
    </row>
    <row r="1698" spans="1:30" x14ac:dyDescent="0.2">
      <c r="A1698" s="232"/>
      <c r="B1698" s="210"/>
      <c r="C1698" s="210"/>
      <c r="D1698" s="210"/>
      <c r="E1698" s="210"/>
      <c r="G1698" s="55"/>
      <c r="H1698" s="56"/>
      <c r="I1698" s="217"/>
      <c r="J1698" s="217"/>
      <c r="K1698" s="217"/>
      <c r="L1698" s="217"/>
      <c r="M1698" s="217"/>
      <c r="N1698" s="217"/>
      <c r="O1698" s="217"/>
      <c r="P1698" s="217"/>
      <c r="Q1698" s="217"/>
      <c r="R1698" s="217"/>
      <c r="S1698" s="217"/>
      <c r="T1698" s="217"/>
      <c r="U1698" s="217"/>
      <c r="V1698" s="217"/>
      <c r="W1698" s="217"/>
      <c r="X1698" s="217"/>
      <c r="Y1698" s="217"/>
      <c r="Z1698" s="217"/>
      <c r="AA1698" s="217"/>
      <c r="AB1698" s="217"/>
      <c r="AC1698" s="217"/>
      <c r="AD1698" s="217"/>
    </row>
    <row r="1699" spans="1:30" x14ac:dyDescent="0.2">
      <c r="A1699" s="232"/>
      <c r="B1699" s="210"/>
      <c r="C1699" s="210"/>
      <c r="D1699" s="210"/>
      <c r="E1699" s="210"/>
      <c r="G1699" s="55"/>
      <c r="H1699" s="56"/>
      <c r="I1699" s="217"/>
      <c r="J1699" s="217"/>
      <c r="K1699" s="217"/>
      <c r="L1699" s="217"/>
      <c r="M1699" s="217"/>
      <c r="N1699" s="217"/>
      <c r="O1699" s="217"/>
      <c r="P1699" s="217"/>
      <c r="Q1699" s="217"/>
      <c r="R1699" s="217"/>
      <c r="S1699" s="217"/>
      <c r="T1699" s="217"/>
      <c r="U1699" s="217"/>
      <c r="V1699" s="217"/>
      <c r="W1699" s="217"/>
      <c r="X1699" s="217"/>
      <c r="Y1699" s="217"/>
      <c r="Z1699" s="217"/>
      <c r="AA1699" s="217"/>
      <c r="AB1699" s="217"/>
      <c r="AC1699" s="217"/>
      <c r="AD1699" s="217"/>
    </row>
    <row r="1700" spans="1:30" x14ac:dyDescent="0.2">
      <c r="A1700" s="232"/>
      <c r="B1700" s="210"/>
      <c r="C1700" s="210"/>
      <c r="D1700" s="210"/>
      <c r="E1700" s="210"/>
      <c r="G1700" s="55"/>
      <c r="H1700" s="56"/>
      <c r="I1700" s="217"/>
      <c r="J1700" s="217"/>
      <c r="K1700" s="217"/>
      <c r="L1700" s="217"/>
      <c r="M1700" s="217"/>
      <c r="N1700" s="217"/>
      <c r="O1700" s="217"/>
      <c r="P1700" s="217"/>
      <c r="Q1700" s="217"/>
      <c r="R1700" s="217"/>
      <c r="S1700" s="217"/>
      <c r="T1700" s="217"/>
      <c r="U1700" s="217"/>
      <c r="V1700" s="217"/>
      <c r="W1700" s="217"/>
      <c r="X1700" s="217"/>
      <c r="Y1700" s="217"/>
      <c r="Z1700" s="217"/>
      <c r="AA1700" s="217"/>
      <c r="AB1700" s="217"/>
      <c r="AC1700" s="217"/>
      <c r="AD1700" s="217"/>
    </row>
    <row r="1701" spans="1:30" x14ac:dyDescent="0.2">
      <c r="A1701" s="232"/>
      <c r="B1701" s="210"/>
      <c r="C1701" s="210"/>
      <c r="D1701" s="210"/>
      <c r="E1701" s="210"/>
      <c r="G1701" s="55"/>
      <c r="H1701" s="56"/>
      <c r="I1701" s="217"/>
      <c r="J1701" s="217"/>
      <c r="K1701" s="217"/>
      <c r="L1701" s="217"/>
      <c r="M1701" s="217"/>
      <c r="N1701" s="217"/>
      <c r="O1701" s="217"/>
      <c r="P1701" s="217"/>
      <c r="Q1701" s="217"/>
      <c r="R1701" s="217"/>
      <c r="S1701" s="217"/>
      <c r="T1701" s="217"/>
      <c r="U1701" s="217"/>
      <c r="V1701" s="217"/>
      <c r="W1701" s="217"/>
      <c r="X1701" s="217"/>
      <c r="Y1701" s="217"/>
      <c r="Z1701" s="217"/>
      <c r="AA1701" s="217"/>
      <c r="AB1701" s="217"/>
      <c r="AC1701" s="217"/>
      <c r="AD1701" s="217"/>
    </row>
    <row r="1702" spans="1:30" x14ac:dyDescent="0.2">
      <c r="A1702" s="232"/>
      <c r="B1702" s="210"/>
      <c r="C1702" s="210"/>
      <c r="D1702" s="210"/>
      <c r="E1702" s="210"/>
      <c r="G1702" s="55"/>
      <c r="H1702" s="56"/>
      <c r="I1702" s="217"/>
      <c r="J1702" s="217"/>
      <c r="K1702" s="217"/>
      <c r="L1702" s="217"/>
      <c r="M1702" s="217"/>
      <c r="N1702" s="217"/>
      <c r="O1702" s="217"/>
      <c r="P1702" s="217"/>
      <c r="Q1702" s="217"/>
      <c r="R1702" s="217"/>
      <c r="S1702" s="217"/>
      <c r="T1702" s="217"/>
      <c r="U1702" s="217"/>
      <c r="V1702" s="217"/>
      <c r="W1702" s="217"/>
      <c r="X1702" s="217"/>
      <c r="Y1702" s="217"/>
      <c r="Z1702" s="217"/>
      <c r="AA1702" s="217"/>
      <c r="AB1702" s="217"/>
      <c r="AC1702" s="217"/>
      <c r="AD1702" s="217"/>
    </row>
    <row r="1703" spans="1:30" x14ac:dyDescent="0.2">
      <c r="A1703" s="232"/>
      <c r="B1703" s="210"/>
      <c r="C1703" s="210"/>
      <c r="D1703" s="210"/>
      <c r="E1703" s="210"/>
      <c r="G1703" s="55"/>
      <c r="H1703" s="56"/>
      <c r="I1703" s="217"/>
      <c r="J1703" s="217"/>
      <c r="K1703" s="217"/>
      <c r="L1703" s="217"/>
      <c r="M1703" s="217"/>
      <c r="N1703" s="217"/>
      <c r="O1703" s="217"/>
      <c r="P1703" s="217"/>
      <c r="Q1703" s="217"/>
      <c r="R1703" s="217"/>
      <c r="S1703" s="217"/>
      <c r="T1703" s="217"/>
      <c r="U1703" s="217"/>
      <c r="V1703" s="217"/>
      <c r="W1703" s="217"/>
      <c r="X1703" s="217"/>
      <c r="Y1703" s="217"/>
      <c r="Z1703" s="217"/>
      <c r="AA1703" s="217"/>
      <c r="AB1703" s="217"/>
      <c r="AC1703" s="217"/>
      <c r="AD1703" s="217"/>
    </row>
    <row r="1704" spans="1:30" x14ac:dyDescent="0.2">
      <c r="A1704" s="232"/>
      <c r="B1704" s="210"/>
      <c r="C1704" s="210"/>
      <c r="D1704" s="210"/>
      <c r="E1704" s="210"/>
      <c r="G1704" s="55"/>
      <c r="H1704" s="56"/>
      <c r="I1704" s="217"/>
      <c r="J1704" s="217"/>
      <c r="K1704" s="217"/>
      <c r="L1704" s="217"/>
      <c r="M1704" s="217"/>
      <c r="N1704" s="217"/>
      <c r="O1704" s="217"/>
      <c r="P1704" s="217"/>
      <c r="Q1704" s="217"/>
      <c r="R1704" s="217"/>
      <c r="S1704" s="217"/>
      <c r="T1704" s="217"/>
      <c r="U1704" s="217"/>
      <c r="V1704" s="217"/>
      <c r="W1704" s="217"/>
      <c r="X1704" s="217"/>
      <c r="Y1704" s="217"/>
      <c r="Z1704" s="217"/>
      <c r="AA1704" s="217"/>
      <c r="AB1704" s="217"/>
      <c r="AC1704" s="217"/>
      <c r="AD1704" s="217"/>
    </row>
    <row r="1705" spans="1:30" x14ac:dyDescent="0.2">
      <c r="A1705" s="232"/>
      <c r="B1705" s="210"/>
      <c r="C1705" s="210"/>
      <c r="D1705" s="210"/>
      <c r="E1705" s="210"/>
      <c r="G1705" s="55"/>
      <c r="H1705" s="56"/>
      <c r="I1705" s="217"/>
      <c r="J1705" s="217"/>
      <c r="K1705" s="217"/>
      <c r="L1705" s="217"/>
      <c r="M1705" s="217"/>
      <c r="N1705" s="217"/>
      <c r="O1705" s="217"/>
      <c r="P1705" s="217"/>
      <c r="Q1705" s="217"/>
      <c r="R1705" s="217"/>
      <c r="S1705" s="217"/>
      <c r="T1705" s="217"/>
      <c r="U1705" s="217"/>
      <c r="V1705" s="217"/>
      <c r="W1705" s="217"/>
      <c r="X1705" s="217"/>
      <c r="Y1705" s="217"/>
      <c r="Z1705" s="217"/>
      <c r="AA1705" s="217"/>
      <c r="AB1705" s="217"/>
      <c r="AC1705" s="217"/>
      <c r="AD1705" s="217"/>
    </row>
    <row r="1706" spans="1:30" x14ac:dyDescent="0.2">
      <c r="A1706" s="232"/>
      <c r="B1706" s="210"/>
      <c r="C1706" s="210"/>
      <c r="D1706" s="210"/>
      <c r="E1706" s="210"/>
      <c r="G1706" s="55"/>
      <c r="H1706" s="56"/>
      <c r="I1706" s="217"/>
      <c r="J1706" s="217"/>
      <c r="K1706" s="217"/>
      <c r="L1706" s="217"/>
      <c r="M1706" s="217"/>
      <c r="N1706" s="217"/>
      <c r="O1706" s="217"/>
      <c r="P1706" s="217"/>
      <c r="Q1706" s="217"/>
      <c r="R1706" s="217"/>
      <c r="S1706" s="217"/>
      <c r="T1706" s="217"/>
      <c r="U1706" s="217"/>
      <c r="V1706" s="217"/>
      <c r="W1706" s="217"/>
      <c r="X1706" s="217"/>
      <c r="Y1706" s="217"/>
      <c r="Z1706" s="217"/>
      <c r="AA1706" s="217"/>
      <c r="AB1706" s="217"/>
      <c r="AC1706" s="217"/>
      <c r="AD1706" s="217"/>
    </row>
    <row r="1707" spans="1:30" x14ac:dyDescent="0.2">
      <c r="A1707" s="232"/>
      <c r="B1707" s="210"/>
      <c r="C1707" s="210"/>
      <c r="D1707" s="210"/>
      <c r="E1707" s="210"/>
      <c r="G1707" s="55"/>
      <c r="H1707" s="56"/>
      <c r="I1707" s="217"/>
      <c r="J1707" s="217"/>
      <c r="K1707" s="217"/>
      <c r="L1707" s="217"/>
      <c r="M1707" s="217"/>
      <c r="N1707" s="217"/>
      <c r="O1707" s="217"/>
      <c r="P1707" s="217"/>
      <c r="Q1707" s="217"/>
      <c r="R1707" s="217"/>
      <c r="S1707" s="217"/>
      <c r="T1707" s="217"/>
      <c r="U1707" s="217"/>
      <c r="V1707" s="217"/>
      <c r="W1707" s="217"/>
      <c r="X1707" s="217"/>
      <c r="Y1707" s="217"/>
      <c r="Z1707" s="217"/>
      <c r="AA1707" s="217"/>
      <c r="AB1707" s="217"/>
      <c r="AC1707" s="217"/>
      <c r="AD1707" s="217"/>
    </row>
    <row r="1708" spans="1:30" x14ac:dyDescent="0.2">
      <c r="A1708" s="232"/>
      <c r="B1708" s="210"/>
      <c r="C1708" s="210"/>
      <c r="D1708" s="210"/>
      <c r="E1708" s="210"/>
      <c r="G1708" s="55"/>
      <c r="H1708" s="56"/>
      <c r="I1708" s="217"/>
      <c r="J1708" s="217"/>
      <c r="K1708" s="217"/>
      <c r="L1708" s="217"/>
      <c r="M1708" s="217"/>
      <c r="N1708" s="217"/>
      <c r="O1708" s="217"/>
      <c r="P1708" s="217"/>
      <c r="Q1708" s="217"/>
      <c r="R1708" s="217"/>
      <c r="S1708" s="217"/>
      <c r="T1708" s="217"/>
      <c r="U1708" s="217"/>
      <c r="V1708" s="217"/>
      <c r="W1708" s="217"/>
      <c r="X1708" s="217"/>
      <c r="Y1708" s="217"/>
      <c r="Z1708" s="217"/>
      <c r="AA1708" s="217"/>
      <c r="AB1708" s="217"/>
      <c r="AC1708" s="217"/>
      <c r="AD1708" s="217"/>
    </row>
    <row r="1709" spans="1:30" x14ac:dyDescent="0.2">
      <c r="A1709" s="232"/>
      <c r="B1709" s="210"/>
      <c r="C1709" s="210"/>
      <c r="D1709" s="210"/>
      <c r="E1709" s="210"/>
      <c r="G1709" s="55"/>
      <c r="H1709" s="56"/>
      <c r="I1709" s="217"/>
      <c r="J1709" s="217"/>
      <c r="K1709" s="217"/>
      <c r="L1709" s="217"/>
      <c r="M1709" s="217"/>
      <c r="N1709" s="217"/>
      <c r="O1709" s="217"/>
      <c r="P1709" s="217"/>
      <c r="Q1709" s="217"/>
      <c r="R1709" s="217"/>
      <c r="S1709" s="217"/>
      <c r="T1709" s="217"/>
      <c r="U1709" s="217"/>
      <c r="V1709" s="217"/>
      <c r="W1709" s="217"/>
      <c r="X1709" s="217"/>
      <c r="Y1709" s="217"/>
      <c r="Z1709" s="217"/>
      <c r="AA1709" s="217"/>
      <c r="AB1709" s="217"/>
      <c r="AC1709" s="217"/>
      <c r="AD1709" s="217"/>
    </row>
    <row r="1710" spans="1:30" x14ac:dyDescent="0.2">
      <c r="A1710" s="232"/>
      <c r="B1710" s="210"/>
      <c r="C1710" s="210"/>
      <c r="D1710" s="210"/>
      <c r="E1710" s="210"/>
      <c r="G1710" s="55"/>
      <c r="H1710" s="56"/>
      <c r="I1710" s="217"/>
      <c r="J1710" s="217"/>
      <c r="K1710" s="217"/>
      <c r="L1710" s="217"/>
      <c r="M1710" s="217"/>
      <c r="N1710" s="217"/>
      <c r="O1710" s="217"/>
      <c r="P1710" s="217"/>
      <c r="Q1710" s="217"/>
      <c r="R1710" s="217"/>
      <c r="S1710" s="217"/>
      <c r="T1710" s="217"/>
      <c r="U1710" s="217"/>
      <c r="V1710" s="217"/>
      <c r="W1710" s="217"/>
      <c r="X1710" s="217"/>
      <c r="Y1710" s="217"/>
      <c r="Z1710" s="217"/>
      <c r="AA1710" s="217"/>
      <c r="AB1710" s="217"/>
      <c r="AC1710" s="217"/>
      <c r="AD1710" s="217"/>
    </row>
    <row r="1711" spans="1:30" x14ac:dyDescent="0.2">
      <c r="A1711" s="232"/>
      <c r="B1711" s="210"/>
      <c r="C1711" s="210"/>
      <c r="D1711" s="210"/>
      <c r="E1711" s="210"/>
      <c r="G1711" s="55"/>
      <c r="H1711" s="56"/>
      <c r="I1711" s="217"/>
      <c r="J1711" s="217"/>
      <c r="K1711" s="217"/>
      <c r="L1711" s="217"/>
      <c r="M1711" s="217"/>
      <c r="N1711" s="217"/>
      <c r="O1711" s="217"/>
      <c r="P1711" s="217"/>
      <c r="Q1711" s="217"/>
      <c r="R1711" s="217"/>
      <c r="S1711" s="217"/>
      <c r="T1711" s="217"/>
      <c r="U1711" s="217"/>
      <c r="V1711" s="217"/>
      <c r="W1711" s="217"/>
      <c r="X1711" s="217"/>
      <c r="Y1711" s="217"/>
      <c r="Z1711" s="217"/>
      <c r="AA1711" s="217"/>
      <c r="AB1711" s="217"/>
      <c r="AC1711" s="217"/>
      <c r="AD1711" s="217"/>
    </row>
    <row r="1712" spans="1:30" x14ac:dyDescent="0.2">
      <c r="A1712" s="232"/>
      <c r="B1712" s="210"/>
      <c r="C1712" s="210"/>
      <c r="D1712" s="210"/>
      <c r="E1712" s="210"/>
      <c r="G1712" s="55"/>
      <c r="H1712" s="56"/>
      <c r="I1712" s="217"/>
      <c r="J1712" s="217"/>
      <c r="K1712" s="217"/>
      <c r="L1712" s="217"/>
      <c r="M1712" s="217"/>
      <c r="N1712" s="217"/>
      <c r="O1712" s="217"/>
      <c r="P1712" s="217"/>
      <c r="Q1712" s="217"/>
      <c r="R1712" s="217"/>
      <c r="S1712" s="217"/>
      <c r="T1712" s="217"/>
      <c r="U1712" s="217"/>
      <c r="V1712" s="217"/>
      <c r="W1712" s="217"/>
      <c r="X1712" s="217"/>
      <c r="Y1712" s="217"/>
      <c r="Z1712" s="217"/>
      <c r="AA1712" s="217"/>
      <c r="AB1712" s="217"/>
      <c r="AC1712" s="217"/>
      <c r="AD1712" s="217"/>
    </row>
    <row r="1713" spans="1:30" x14ac:dyDescent="0.2">
      <c r="A1713" s="232"/>
      <c r="B1713" s="210"/>
      <c r="C1713" s="210"/>
      <c r="D1713" s="210"/>
      <c r="E1713" s="210"/>
      <c r="G1713" s="55"/>
      <c r="H1713" s="56"/>
      <c r="I1713" s="217"/>
      <c r="J1713" s="217"/>
      <c r="K1713" s="217"/>
      <c r="L1713" s="217"/>
      <c r="M1713" s="217"/>
      <c r="N1713" s="217"/>
      <c r="O1713" s="217"/>
      <c r="P1713" s="217"/>
      <c r="Q1713" s="217"/>
      <c r="R1713" s="217"/>
      <c r="S1713" s="217"/>
      <c r="T1713" s="217"/>
      <c r="U1713" s="217"/>
      <c r="V1713" s="217"/>
      <c r="W1713" s="217"/>
      <c r="X1713" s="217"/>
      <c r="Y1713" s="217"/>
      <c r="Z1713" s="217"/>
      <c r="AA1713" s="217"/>
      <c r="AB1713" s="217"/>
      <c r="AC1713" s="217"/>
      <c r="AD1713" s="217"/>
    </row>
    <row r="1714" spans="1:30" x14ac:dyDescent="0.2">
      <c r="A1714" s="232"/>
      <c r="B1714" s="210"/>
      <c r="C1714" s="210"/>
      <c r="D1714" s="210"/>
      <c r="E1714" s="210"/>
      <c r="G1714" s="55"/>
      <c r="H1714" s="56"/>
      <c r="I1714" s="217"/>
      <c r="J1714" s="217"/>
      <c r="K1714" s="217"/>
      <c r="L1714" s="217"/>
      <c r="M1714" s="217"/>
      <c r="N1714" s="217"/>
      <c r="O1714" s="217"/>
      <c r="P1714" s="217"/>
      <c r="Q1714" s="217"/>
      <c r="R1714" s="217"/>
      <c r="S1714" s="217"/>
      <c r="T1714" s="217"/>
      <c r="U1714" s="217"/>
      <c r="V1714" s="217"/>
      <c r="W1714" s="217"/>
      <c r="X1714" s="217"/>
      <c r="Y1714" s="217"/>
      <c r="Z1714" s="217"/>
      <c r="AA1714" s="217"/>
      <c r="AB1714" s="217"/>
      <c r="AC1714" s="217"/>
      <c r="AD1714" s="217"/>
    </row>
    <row r="1715" spans="1:30" x14ac:dyDescent="0.2">
      <c r="A1715" s="232"/>
      <c r="B1715" s="210"/>
      <c r="C1715" s="210"/>
      <c r="D1715" s="210"/>
      <c r="E1715" s="210"/>
      <c r="G1715" s="55"/>
      <c r="H1715" s="56"/>
      <c r="I1715" s="217"/>
      <c r="J1715" s="217"/>
      <c r="K1715" s="217"/>
      <c r="L1715" s="217"/>
      <c r="M1715" s="217"/>
      <c r="N1715" s="217"/>
      <c r="O1715" s="217"/>
      <c r="P1715" s="217"/>
      <c r="Q1715" s="217"/>
      <c r="R1715" s="217"/>
      <c r="S1715" s="217"/>
      <c r="T1715" s="217"/>
      <c r="U1715" s="217"/>
      <c r="V1715" s="217"/>
      <c r="W1715" s="217"/>
      <c r="X1715" s="217"/>
      <c r="Y1715" s="217"/>
      <c r="Z1715" s="217"/>
      <c r="AA1715" s="217"/>
      <c r="AB1715" s="217"/>
      <c r="AC1715" s="217"/>
      <c r="AD1715" s="217"/>
    </row>
    <row r="1716" spans="1:30" x14ac:dyDescent="0.2">
      <c r="A1716" s="232"/>
      <c r="B1716" s="210"/>
      <c r="C1716" s="210"/>
      <c r="D1716" s="210"/>
      <c r="E1716" s="210"/>
      <c r="G1716" s="55"/>
      <c r="H1716" s="56"/>
      <c r="I1716" s="217"/>
      <c r="J1716" s="217"/>
      <c r="K1716" s="217"/>
      <c r="L1716" s="217"/>
      <c r="M1716" s="217"/>
      <c r="N1716" s="217"/>
      <c r="O1716" s="217"/>
      <c r="P1716" s="217"/>
      <c r="Q1716" s="217"/>
      <c r="R1716" s="217"/>
      <c r="S1716" s="217"/>
      <c r="T1716" s="217"/>
      <c r="U1716" s="217"/>
      <c r="V1716" s="217"/>
      <c r="W1716" s="217"/>
      <c r="X1716" s="217"/>
      <c r="Y1716" s="217"/>
      <c r="Z1716" s="217"/>
      <c r="AA1716" s="217"/>
      <c r="AB1716" s="217"/>
      <c r="AC1716" s="217"/>
      <c r="AD1716" s="217"/>
    </row>
    <row r="1717" spans="1:30" x14ac:dyDescent="0.2">
      <c r="A1717" s="232"/>
      <c r="B1717" s="210"/>
      <c r="C1717" s="210"/>
      <c r="D1717" s="210"/>
      <c r="E1717" s="210"/>
      <c r="G1717" s="55"/>
      <c r="H1717" s="56"/>
      <c r="I1717" s="217"/>
      <c r="J1717" s="217"/>
      <c r="K1717" s="217"/>
      <c r="L1717" s="217"/>
      <c r="M1717" s="217"/>
      <c r="N1717" s="217"/>
      <c r="O1717" s="217"/>
      <c r="P1717" s="217"/>
      <c r="Q1717" s="217"/>
      <c r="R1717" s="217"/>
      <c r="S1717" s="217"/>
      <c r="T1717" s="217"/>
      <c r="U1717" s="217"/>
      <c r="V1717" s="217"/>
      <c r="W1717" s="217"/>
      <c r="X1717" s="217"/>
      <c r="Y1717" s="217"/>
      <c r="Z1717" s="217"/>
      <c r="AA1717" s="217"/>
      <c r="AB1717" s="217"/>
      <c r="AC1717" s="217"/>
      <c r="AD1717" s="217"/>
    </row>
    <row r="1718" spans="1:30" x14ac:dyDescent="0.2">
      <c r="A1718" s="232"/>
      <c r="B1718" s="210"/>
      <c r="C1718" s="210"/>
      <c r="D1718" s="210"/>
      <c r="E1718" s="210"/>
      <c r="G1718" s="55"/>
      <c r="H1718" s="56"/>
      <c r="I1718" s="217"/>
      <c r="J1718" s="217"/>
      <c r="K1718" s="217"/>
      <c r="L1718" s="217"/>
      <c r="M1718" s="217"/>
      <c r="N1718" s="217"/>
      <c r="O1718" s="217"/>
      <c r="P1718" s="217"/>
      <c r="Q1718" s="217"/>
      <c r="R1718" s="217"/>
      <c r="S1718" s="217"/>
      <c r="T1718" s="217"/>
      <c r="U1718" s="217"/>
      <c r="V1718" s="217"/>
      <c r="W1718" s="217"/>
      <c r="X1718" s="217"/>
      <c r="Y1718" s="217"/>
      <c r="Z1718" s="217"/>
      <c r="AA1718" s="217"/>
      <c r="AB1718" s="217"/>
      <c r="AC1718" s="217"/>
      <c r="AD1718" s="217"/>
    </row>
    <row r="1719" spans="1:30" x14ac:dyDescent="0.2">
      <c r="A1719" s="232"/>
      <c r="B1719" s="210"/>
      <c r="C1719" s="210"/>
      <c r="D1719" s="210"/>
      <c r="E1719" s="210"/>
      <c r="G1719" s="55"/>
      <c r="H1719" s="56"/>
      <c r="I1719" s="217"/>
      <c r="J1719" s="217"/>
      <c r="K1719" s="217"/>
      <c r="L1719" s="217"/>
      <c r="M1719" s="217"/>
      <c r="N1719" s="217"/>
      <c r="O1719" s="217"/>
      <c r="P1719" s="217"/>
      <c r="Q1719" s="217"/>
      <c r="R1719" s="217"/>
      <c r="S1719" s="217"/>
      <c r="T1719" s="217"/>
      <c r="U1719" s="217"/>
      <c r="V1719" s="217"/>
      <c r="W1719" s="217"/>
      <c r="X1719" s="217"/>
      <c r="Y1719" s="217"/>
      <c r="Z1719" s="217"/>
      <c r="AA1719" s="217"/>
      <c r="AB1719" s="217"/>
      <c r="AC1719" s="217"/>
      <c r="AD1719" s="217"/>
    </row>
    <row r="1720" spans="1:30" x14ac:dyDescent="0.2">
      <c r="A1720" s="232"/>
      <c r="B1720" s="210"/>
      <c r="C1720" s="210"/>
      <c r="D1720" s="210"/>
      <c r="E1720" s="210"/>
      <c r="G1720" s="55"/>
      <c r="H1720" s="56"/>
      <c r="I1720" s="217"/>
      <c r="J1720" s="217"/>
      <c r="K1720" s="217"/>
      <c r="L1720" s="217"/>
      <c r="M1720" s="217"/>
      <c r="N1720" s="217"/>
      <c r="O1720" s="217"/>
      <c r="P1720" s="217"/>
      <c r="Q1720" s="217"/>
      <c r="R1720" s="217"/>
      <c r="S1720" s="217"/>
      <c r="T1720" s="217"/>
      <c r="U1720" s="217"/>
      <c r="V1720" s="217"/>
      <c r="W1720" s="217"/>
      <c r="X1720" s="217"/>
      <c r="Y1720" s="217"/>
      <c r="Z1720" s="217"/>
      <c r="AA1720" s="217"/>
      <c r="AB1720" s="217"/>
      <c r="AC1720" s="217"/>
      <c r="AD1720" s="217"/>
    </row>
    <row r="1721" spans="1:30" x14ac:dyDescent="0.2">
      <c r="A1721" s="232"/>
      <c r="B1721" s="210"/>
      <c r="C1721" s="210"/>
      <c r="D1721" s="210"/>
      <c r="E1721" s="210"/>
      <c r="G1721" s="55"/>
      <c r="H1721" s="56"/>
      <c r="I1721" s="217"/>
      <c r="J1721" s="217"/>
      <c r="K1721" s="217"/>
      <c r="L1721" s="217"/>
      <c r="M1721" s="217"/>
      <c r="N1721" s="217"/>
      <c r="O1721" s="217"/>
      <c r="P1721" s="217"/>
      <c r="Q1721" s="217"/>
      <c r="R1721" s="217"/>
      <c r="S1721" s="217"/>
      <c r="T1721" s="217"/>
      <c r="U1721" s="217"/>
      <c r="V1721" s="217"/>
      <c r="W1721" s="217"/>
      <c r="X1721" s="217"/>
      <c r="Y1721" s="217"/>
      <c r="Z1721" s="217"/>
      <c r="AA1721" s="217"/>
      <c r="AB1721" s="217"/>
      <c r="AC1721" s="217"/>
      <c r="AD1721" s="217"/>
    </row>
    <row r="1722" spans="1:30" x14ac:dyDescent="0.2">
      <c r="A1722" s="232"/>
      <c r="B1722" s="210"/>
      <c r="C1722" s="210"/>
      <c r="D1722" s="210"/>
      <c r="E1722" s="210"/>
      <c r="G1722" s="55"/>
      <c r="H1722" s="56"/>
      <c r="I1722" s="217"/>
      <c r="J1722" s="217"/>
      <c r="K1722" s="217"/>
      <c r="L1722" s="217"/>
      <c r="M1722" s="217"/>
      <c r="N1722" s="217"/>
      <c r="O1722" s="217"/>
      <c r="P1722" s="217"/>
      <c r="Q1722" s="217"/>
      <c r="R1722" s="217"/>
      <c r="S1722" s="217"/>
      <c r="T1722" s="217"/>
      <c r="U1722" s="217"/>
      <c r="V1722" s="217"/>
      <c r="W1722" s="217"/>
      <c r="X1722" s="217"/>
      <c r="Y1722" s="217"/>
      <c r="Z1722" s="217"/>
      <c r="AA1722" s="217"/>
      <c r="AB1722" s="217"/>
      <c r="AC1722" s="217"/>
      <c r="AD1722" s="217"/>
    </row>
    <row r="1723" spans="1:30" x14ac:dyDescent="0.2">
      <c r="A1723" s="232"/>
      <c r="B1723" s="210"/>
      <c r="C1723" s="210"/>
      <c r="D1723" s="210"/>
      <c r="E1723" s="210"/>
      <c r="G1723" s="55"/>
      <c r="H1723" s="56"/>
      <c r="I1723" s="217"/>
      <c r="J1723" s="217"/>
      <c r="K1723" s="217"/>
      <c r="L1723" s="217"/>
      <c r="M1723" s="217"/>
      <c r="N1723" s="217"/>
      <c r="O1723" s="217"/>
      <c r="P1723" s="217"/>
      <c r="Q1723" s="217"/>
      <c r="R1723" s="217"/>
      <c r="S1723" s="217"/>
      <c r="T1723" s="217"/>
      <c r="U1723" s="217"/>
      <c r="V1723" s="217"/>
      <c r="W1723" s="217"/>
      <c r="X1723" s="217"/>
      <c r="Y1723" s="217"/>
      <c r="Z1723" s="217"/>
      <c r="AA1723" s="217"/>
      <c r="AB1723" s="217"/>
      <c r="AC1723" s="217"/>
      <c r="AD1723" s="217"/>
    </row>
    <row r="1724" spans="1:30" x14ac:dyDescent="0.2">
      <c r="A1724" s="232"/>
      <c r="B1724" s="210"/>
      <c r="C1724" s="210"/>
      <c r="D1724" s="210"/>
      <c r="E1724" s="210"/>
      <c r="G1724" s="55"/>
      <c r="H1724" s="56"/>
      <c r="I1724" s="217"/>
      <c r="J1724" s="217"/>
      <c r="K1724" s="217"/>
      <c r="L1724" s="217"/>
      <c r="M1724" s="217"/>
      <c r="N1724" s="217"/>
      <c r="O1724" s="217"/>
      <c r="P1724" s="217"/>
      <c r="Q1724" s="217"/>
      <c r="R1724" s="217"/>
      <c r="S1724" s="217"/>
      <c r="T1724" s="217"/>
      <c r="U1724" s="217"/>
      <c r="V1724" s="217"/>
      <c r="W1724" s="217"/>
      <c r="X1724" s="217"/>
      <c r="Y1724" s="217"/>
      <c r="Z1724" s="217"/>
      <c r="AA1724" s="217"/>
      <c r="AB1724" s="217"/>
      <c r="AC1724" s="217"/>
      <c r="AD1724" s="217"/>
    </row>
    <row r="1725" spans="1:30" x14ac:dyDescent="0.2">
      <c r="A1725" s="232"/>
      <c r="B1725" s="210"/>
      <c r="C1725" s="210"/>
      <c r="D1725" s="210"/>
      <c r="E1725" s="210"/>
      <c r="G1725" s="55"/>
      <c r="H1725" s="56"/>
      <c r="I1725" s="217"/>
      <c r="J1725" s="217"/>
      <c r="K1725" s="217"/>
      <c r="L1725" s="217"/>
      <c r="M1725" s="217"/>
      <c r="N1725" s="217"/>
      <c r="O1725" s="217"/>
      <c r="P1725" s="217"/>
      <c r="Q1725" s="217"/>
      <c r="R1725" s="217"/>
      <c r="S1725" s="217"/>
      <c r="T1725" s="217"/>
      <c r="U1725" s="217"/>
      <c r="V1725" s="217"/>
      <c r="W1725" s="217"/>
      <c r="X1725" s="217"/>
      <c r="Y1725" s="217"/>
      <c r="Z1725" s="217"/>
      <c r="AA1725" s="217"/>
      <c r="AB1725" s="217"/>
      <c r="AC1725" s="217"/>
      <c r="AD1725" s="217"/>
    </row>
    <row r="1726" spans="1:30" x14ac:dyDescent="0.2">
      <c r="A1726" s="232"/>
      <c r="B1726" s="210"/>
      <c r="C1726" s="210"/>
      <c r="D1726" s="210"/>
      <c r="E1726" s="210"/>
      <c r="G1726" s="55"/>
      <c r="H1726" s="56"/>
      <c r="I1726" s="217"/>
      <c r="J1726" s="217"/>
      <c r="K1726" s="217"/>
      <c r="L1726" s="217"/>
      <c r="M1726" s="217"/>
      <c r="N1726" s="217"/>
      <c r="O1726" s="217"/>
      <c r="P1726" s="217"/>
      <c r="Q1726" s="217"/>
      <c r="R1726" s="217"/>
      <c r="S1726" s="217"/>
      <c r="T1726" s="217"/>
      <c r="U1726" s="217"/>
      <c r="V1726" s="217"/>
      <c r="W1726" s="217"/>
      <c r="X1726" s="217"/>
      <c r="Y1726" s="217"/>
      <c r="Z1726" s="217"/>
      <c r="AA1726" s="217"/>
      <c r="AB1726" s="217"/>
      <c r="AC1726" s="217"/>
      <c r="AD1726" s="217"/>
    </row>
    <row r="1727" spans="1:30" x14ac:dyDescent="0.2">
      <c r="A1727" s="232"/>
      <c r="B1727" s="210"/>
      <c r="C1727" s="210"/>
      <c r="D1727" s="210"/>
      <c r="E1727" s="210"/>
      <c r="G1727" s="55"/>
      <c r="H1727" s="56"/>
      <c r="I1727" s="217"/>
      <c r="J1727" s="217"/>
      <c r="K1727" s="217"/>
      <c r="L1727" s="217"/>
      <c r="M1727" s="217"/>
      <c r="N1727" s="217"/>
      <c r="O1727" s="217"/>
      <c r="P1727" s="217"/>
      <c r="Q1727" s="217"/>
      <c r="R1727" s="217"/>
      <c r="S1727" s="217"/>
      <c r="T1727" s="217"/>
      <c r="U1727" s="217"/>
      <c r="V1727" s="217"/>
      <c r="W1727" s="217"/>
      <c r="X1727" s="217"/>
      <c r="Y1727" s="217"/>
      <c r="Z1727" s="217"/>
      <c r="AA1727" s="217"/>
      <c r="AB1727" s="217"/>
      <c r="AC1727" s="217"/>
      <c r="AD1727" s="217"/>
    </row>
    <row r="1728" spans="1:30" x14ac:dyDescent="0.2">
      <c r="A1728" s="232"/>
      <c r="B1728" s="210"/>
      <c r="C1728" s="210"/>
      <c r="D1728" s="210"/>
      <c r="E1728" s="210"/>
      <c r="G1728" s="55"/>
      <c r="H1728" s="56"/>
      <c r="I1728" s="217"/>
      <c r="J1728" s="217"/>
      <c r="K1728" s="217"/>
      <c r="L1728" s="217"/>
      <c r="M1728" s="217"/>
      <c r="N1728" s="217"/>
      <c r="O1728" s="217"/>
      <c r="P1728" s="217"/>
      <c r="Q1728" s="217"/>
      <c r="R1728" s="217"/>
      <c r="S1728" s="217"/>
      <c r="T1728" s="217"/>
      <c r="U1728" s="217"/>
      <c r="V1728" s="217"/>
      <c r="W1728" s="217"/>
      <c r="X1728" s="217"/>
      <c r="Y1728" s="217"/>
      <c r="Z1728" s="217"/>
      <c r="AA1728" s="217"/>
      <c r="AB1728" s="217"/>
      <c r="AC1728" s="217"/>
      <c r="AD1728" s="217"/>
    </row>
    <row r="1729" spans="1:30" x14ac:dyDescent="0.2">
      <c r="A1729" s="232"/>
      <c r="B1729" s="210"/>
      <c r="C1729" s="210"/>
      <c r="D1729" s="210"/>
      <c r="E1729" s="210"/>
      <c r="G1729" s="55"/>
      <c r="H1729" s="56"/>
      <c r="I1729" s="217"/>
      <c r="J1729" s="217"/>
      <c r="K1729" s="217"/>
      <c r="L1729" s="217"/>
      <c r="M1729" s="217"/>
      <c r="N1729" s="217"/>
      <c r="O1729" s="217"/>
      <c r="P1729" s="217"/>
      <c r="Q1729" s="217"/>
      <c r="R1729" s="217"/>
      <c r="S1729" s="217"/>
      <c r="T1729" s="217"/>
      <c r="U1729" s="217"/>
      <c r="V1729" s="217"/>
      <c r="W1729" s="217"/>
      <c r="X1729" s="217"/>
      <c r="Y1729" s="217"/>
      <c r="Z1729" s="217"/>
      <c r="AA1729" s="217"/>
      <c r="AB1729" s="217"/>
      <c r="AC1729" s="217"/>
      <c r="AD1729" s="217"/>
    </row>
    <row r="1730" spans="1:30" x14ac:dyDescent="0.2">
      <c r="A1730" s="232"/>
      <c r="B1730" s="210"/>
      <c r="C1730" s="210"/>
      <c r="D1730" s="210"/>
      <c r="E1730" s="210"/>
      <c r="G1730" s="55"/>
      <c r="H1730" s="56"/>
      <c r="I1730" s="217"/>
      <c r="J1730" s="217"/>
      <c r="K1730" s="217"/>
      <c r="L1730" s="217"/>
      <c r="M1730" s="217"/>
      <c r="N1730" s="217"/>
      <c r="O1730" s="217"/>
      <c r="P1730" s="217"/>
      <c r="Q1730" s="217"/>
      <c r="R1730" s="217"/>
      <c r="S1730" s="217"/>
      <c r="T1730" s="217"/>
      <c r="U1730" s="217"/>
      <c r="V1730" s="217"/>
      <c r="W1730" s="217"/>
      <c r="X1730" s="217"/>
      <c r="Y1730" s="217"/>
      <c r="Z1730" s="217"/>
      <c r="AA1730" s="217"/>
      <c r="AB1730" s="217"/>
      <c r="AC1730" s="217"/>
      <c r="AD1730" s="217"/>
    </row>
    <row r="1731" spans="1:30" x14ac:dyDescent="0.2">
      <c r="A1731" s="232"/>
      <c r="B1731" s="210"/>
      <c r="C1731" s="210"/>
      <c r="D1731" s="210"/>
      <c r="E1731" s="210"/>
      <c r="G1731" s="55"/>
      <c r="H1731" s="56"/>
      <c r="I1731" s="217"/>
      <c r="J1731" s="217"/>
      <c r="K1731" s="217"/>
      <c r="L1731" s="217"/>
      <c r="M1731" s="217"/>
      <c r="N1731" s="217"/>
      <c r="O1731" s="217"/>
      <c r="P1731" s="217"/>
      <c r="Q1731" s="217"/>
      <c r="R1731" s="217"/>
      <c r="S1731" s="217"/>
      <c r="T1731" s="217"/>
      <c r="U1731" s="217"/>
      <c r="V1731" s="217"/>
      <c r="W1731" s="217"/>
      <c r="X1731" s="217"/>
      <c r="Y1731" s="217"/>
      <c r="Z1731" s="217"/>
      <c r="AA1731" s="217"/>
      <c r="AB1731" s="217"/>
      <c r="AC1731" s="217"/>
      <c r="AD1731" s="217"/>
    </row>
    <row r="1732" spans="1:30" x14ac:dyDescent="0.2">
      <c r="A1732" s="232"/>
      <c r="B1732" s="210"/>
      <c r="C1732" s="210"/>
      <c r="D1732" s="210"/>
      <c r="E1732" s="210"/>
      <c r="G1732" s="55"/>
      <c r="H1732" s="56"/>
      <c r="I1732" s="217"/>
      <c r="J1732" s="217"/>
      <c r="K1732" s="217"/>
      <c r="L1732" s="217"/>
      <c r="M1732" s="217"/>
      <c r="N1732" s="217"/>
      <c r="O1732" s="217"/>
      <c r="P1732" s="217"/>
      <c r="Q1732" s="217"/>
      <c r="R1732" s="217"/>
      <c r="S1732" s="217"/>
      <c r="T1732" s="217"/>
      <c r="U1732" s="217"/>
      <c r="V1732" s="217"/>
      <c r="W1732" s="217"/>
      <c r="X1732" s="217"/>
      <c r="Y1732" s="217"/>
      <c r="Z1732" s="217"/>
      <c r="AA1732" s="217"/>
      <c r="AB1732" s="217"/>
      <c r="AC1732" s="217"/>
      <c r="AD1732" s="217"/>
    </row>
    <row r="1733" spans="1:30" x14ac:dyDescent="0.2">
      <c r="A1733" s="232"/>
      <c r="B1733" s="210"/>
      <c r="C1733" s="210"/>
      <c r="D1733" s="210"/>
      <c r="E1733" s="210"/>
      <c r="G1733" s="55"/>
      <c r="H1733" s="56"/>
      <c r="I1733" s="217"/>
      <c r="J1733" s="217"/>
      <c r="K1733" s="217"/>
      <c r="L1733" s="217"/>
      <c r="M1733" s="217"/>
      <c r="N1733" s="217"/>
      <c r="O1733" s="217"/>
      <c r="P1733" s="217"/>
      <c r="Q1733" s="217"/>
      <c r="R1733" s="217"/>
      <c r="S1733" s="217"/>
      <c r="T1733" s="217"/>
      <c r="U1733" s="217"/>
      <c r="V1733" s="217"/>
      <c r="W1733" s="217"/>
      <c r="X1733" s="217"/>
      <c r="Y1733" s="217"/>
      <c r="Z1733" s="217"/>
      <c r="AA1733" s="217"/>
      <c r="AB1733" s="217"/>
      <c r="AC1733" s="217"/>
      <c r="AD1733" s="217"/>
    </row>
    <row r="1734" spans="1:30" x14ac:dyDescent="0.2">
      <c r="A1734" s="232"/>
      <c r="B1734" s="210"/>
      <c r="C1734" s="210"/>
      <c r="D1734" s="210"/>
      <c r="E1734" s="210"/>
      <c r="G1734" s="55"/>
      <c r="H1734" s="56"/>
      <c r="I1734" s="217"/>
      <c r="J1734" s="217"/>
      <c r="K1734" s="217"/>
      <c r="L1734" s="217"/>
      <c r="M1734" s="217"/>
      <c r="N1734" s="217"/>
      <c r="O1734" s="217"/>
      <c r="P1734" s="217"/>
      <c r="Q1734" s="217"/>
      <c r="R1734" s="217"/>
      <c r="S1734" s="217"/>
      <c r="T1734" s="217"/>
      <c r="U1734" s="217"/>
      <c r="V1734" s="217"/>
      <c r="W1734" s="217"/>
      <c r="X1734" s="217"/>
      <c r="Y1734" s="217"/>
      <c r="Z1734" s="217"/>
      <c r="AA1734" s="217"/>
      <c r="AB1734" s="217"/>
      <c r="AC1734" s="217"/>
      <c r="AD1734" s="217"/>
    </row>
    <row r="1735" spans="1:30" x14ac:dyDescent="0.2">
      <c r="A1735" s="232"/>
      <c r="B1735" s="210"/>
      <c r="C1735" s="210"/>
      <c r="D1735" s="210"/>
      <c r="E1735" s="210"/>
      <c r="G1735" s="55"/>
      <c r="H1735" s="56"/>
      <c r="I1735" s="217"/>
      <c r="J1735" s="217"/>
      <c r="K1735" s="217"/>
      <c r="L1735" s="217"/>
      <c r="M1735" s="217"/>
      <c r="N1735" s="217"/>
      <c r="O1735" s="217"/>
      <c r="P1735" s="217"/>
      <c r="Q1735" s="217"/>
      <c r="R1735" s="217"/>
      <c r="S1735" s="217"/>
      <c r="T1735" s="217"/>
      <c r="U1735" s="217"/>
      <c r="V1735" s="217"/>
      <c r="W1735" s="217"/>
      <c r="X1735" s="217"/>
      <c r="Y1735" s="217"/>
      <c r="Z1735" s="217"/>
      <c r="AA1735" s="217"/>
      <c r="AB1735" s="217"/>
      <c r="AC1735" s="217"/>
      <c r="AD1735" s="217"/>
    </row>
    <row r="1736" spans="1:30" x14ac:dyDescent="0.2">
      <c r="A1736" s="232"/>
      <c r="B1736" s="210"/>
      <c r="C1736" s="210"/>
      <c r="D1736" s="210"/>
      <c r="E1736" s="210"/>
      <c r="G1736" s="55"/>
      <c r="H1736" s="56"/>
      <c r="I1736" s="217"/>
      <c r="J1736" s="217"/>
      <c r="K1736" s="217"/>
      <c r="L1736" s="217"/>
      <c r="M1736" s="217"/>
      <c r="N1736" s="217"/>
      <c r="O1736" s="217"/>
      <c r="P1736" s="217"/>
      <c r="Q1736" s="217"/>
      <c r="R1736" s="217"/>
      <c r="S1736" s="217"/>
      <c r="T1736" s="217"/>
      <c r="U1736" s="217"/>
      <c r="V1736" s="217"/>
      <c r="W1736" s="217"/>
      <c r="X1736" s="217"/>
      <c r="Y1736" s="217"/>
      <c r="Z1736" s="217"/>
      <c r="AA1736" s="217"/>
      <c r="AB1736" s="217"/>
      <c r="AC1736" s="217"/>
      <c r="AD1736" s="217"/>
    </row>
    <row r="1737" spans="1:30" x14ac:dyDescent="0.2">
      <c r="A1737" s="232"/>
      <c r="B1737" s="210"/>
      <c r="C1737" s="210"/>
      <c r="D1737" s="210"/>
      <c r="E1737" s="210"/>
      <c r="G1737" s="55"/>
      <c r="H1737" s="56"/>
      <c r="I1737" s="217"/>
      <c r="J1737" s="217"/>
      <c r="K1737" s="217"/>
      <c r="L1737" s="217"/>
      <c r="M1737" s="217"/>
      <c r="N1737" s="217"/>
      <c r="O1737" s="217"/>
      <c r="P1737" s="217"/>
      <c r="Q1737" s="217"/>
      <c r="R1737" s="217"/>
      <c r="S1737" s="217"/>
      <c r="T1737" s="217"/>
      <c r="U1737" s="217"/>
      <c r="V1737" s="217"/>
      <c r="W1737" s="217"/>
      <c r="X1737" s="217"/>
      <c r="Y1737" s="217"/>
      <c r="Z1737" s="217"/>
      <c r="AA1737" s="217"/>
      <c r="AB1737" s="217"/>
      <c r="AC1737" s="217"/>
      <c r="AD1737" s="217"/>
    </row>
    <row r="1738" spans="1:30" x14ac:dyDescent="0.2">
      <c r="A1738" s="232"/>
      <c r="B1738" s="210"/>
      <c r="C1738" s="210"/>
      <c r="D1738" s="210"/>
      <c r="E1738" s="210"/>
      <c r="G1738" s="55"/>
      <c r="H1738" s="56"/>
      <c r="I1738" s="217"/>
      <c r="J1738" s="217"/>
      <c r="K1738" s="217"/>
      <c r="L1738" s="217"/>
      <c r="M1738" s="217"/>
      <c r="N1738" s="217"/>
      <c r="O1738" s="217"/>
      <c r="P1738" s="217"/>
      <c r="Q1738" s="217"/>
      <c r="R1738" s="217"/>
      <c r="S1738" s="217"/>
      <c r="T1738" s="217"/>
      <c r="U1738" s="217"/>
      <c r="V1738" s="217"/>
      <c r="W1738" s="217"/>
      <c r="X1738" s="217"/>
      <c r="Y1738" s="217"/>
      <c r="Z1738" s="217"/>
      <c r="AA1738" s="217"/>
      <c r="AB1738" s="217"/>
      <c r="AC1738" s="217"/>
      <c r="AD1738" s="217"/>
    </row>
    <row r="1739" spans="1:30" x14ac:dyDescent="0.2">
      <c r="A1739" s="232"/>
      <c r="B1739" s="210"/>
      <c r="C1739" s="210"/>
      <c r="D1739" s="210"/>
      <c r="E1739" s="210"/>
      <c r="G1739" s="55"/>
      <c r="H1739" s="56"/>
      <c r="I1739" s="217"/>
      <c r="J1739" s="217"/>
      <c r="K1739" s="217"/>
      <c r="L1739" s="217"/>
      <c r="M1739" s="217"/>
      <c r="N1739" s="217"/>
      <c r="O1739" s="217"/>
      <c r="P1739" s="217"/>
      <c r="Q1739" s="217"/>
      <c r="R1739" s="217"/>
      <c r="S1739" s="217"/>
      <c r="T1739" s="217"/>
      <c r="U1739" s="217"/>
      <c r="V1739" s="217"/>
      <c r="W1739" s="217"/>
      <c r="X1739" s="217"/>
      <c r="Y1739" s="217"/>
      <c r="Z1739" s="217"/>
      <c r="AA1739" s="217"/>
      <c r="AB1739" s="217"/>
      <c r="AC1739" s="217"/>
      <c r="AD1739" s="217"/>
    </row>
    <row r="1740" spans="1:30" x14ac:dyDescent="0.2">
      <c r="A1740" s="232"/>
      <c r="B1740" s="210"/>
      <c r="C1740" s="210"/>
      <c r="D1740" s="210"/>
      <c r="E1740" s="210"/>
      <c r="G1740" s="55"/>
      <c r="H1740" s="56"/>
      <c r="I1740" s="217"/>
      <c r="J1740" s="217"/>
      <c r="K1740" s="217"/>
      <c r="L1740" s="217"/>
      <c r="M1740" s="217"/>
      <c r="N1740" s="217"/>
      <c r="O1740" s="217"/>
      <c r="P1740" s="217"/>
      <c r="Q1740" s="217"/>
      <c r="R1740" s="217"/>
      <c r="S1740" s="217"/>
      <c r="T1740" s="217"/>
      <c r="U1740" s="217"/>
      <c r="V1740" s="217"/>
      <c r="W1740" s="217"/>
      <c r="X1740" s="217"/>
      <c r="Y1740" s="217"/>
      <c r="Z1740" s="217"/>
      <c r="AA1740" s="217"/>
      <c r="AB1740" s="217"/>
      <c r="AC1740" s="217"/>
      <c r="AD1740" s="217"/>
    </row>
    <row r="1741" spans="1:30" x14ac:dyDescent="0.2">
      <c r="A1741" s="232"/>
      <c r="B1741" s="210"/>
      <c r="C1741" s="210"/>
      <c r="D1741" s="210"/>
      <c r="E1741" s="210"/>
      <c r="G1741" s="55"/>
      <c r="H1741" s="56"/>
      <c r="I1741" s="217"/>
      <c r="J1741" s="217"/>
      <c r="K1741" s="217"/>
      <c r="L1741" s="217"/>
      <c r="M1741" s="217"/>
      <c r="N1741" s="217"/>
      <c r="O1741" s="217"/>
      <c r="P1741" s="217"/>
      <c r="Q1741" s="217"/>
      <c r="R1741" s="217"/>
      <c r="S1741" s="217"/>
      <c r="T1741" s="217"/>
      <c r="U1741" s="217"/>
      <c r="V1741" s="217"/>
      <c r="W1741" s="217"/>
      <c r="X1741" s="217"/>
      <c r="Y1741" s="217"/>
      <c r="Z1741" s="217"/>
      <c r="AA1741" s="217"/>
      <c r="AB1741" s="217"/>
      <c r="AC1741" s="217"/>
      <c r="AD1741" s="217"/>
    </row>
    <row r="1742" spans="1:30" x14ac:dyDescent="0.2">
      <c r="A1742" s="232"/>
      <c r="B1742" s="210"/>
      <c r="C1742" s="210"/>
      <c r="D1742" s="210"/>
      <c r="E1742" s="210"/>
      <c r="G1742" s="55"/>
      <c r="H1742" s="56"/>
      <c r="I1742" s="217"/>
      <c r="J1742" s="217"/>
      <c r="K1742" s="217"/>
      <c r="L1742" s="217"/>
      <c r="M1742" s="217"/>
      <c r="N1742" s="217"/>
      <c r="O1742" s="217"/>
      <c r="P1742" s="217"/>
      <c r="Q1742" s="217"/>
      <c r="R1742" s="217"/>
      <c r="S1742" s="217"/>
      <c r="T1742" s="217"/>
      <c r="U1742" s="217"/>
      <c r="V1742" s="217"/>
      <c r="W1742" s="217"/>
      <c r="X1742" s="217"/>
      <c r="Y1742" s="217"/>
      <c r="Z1742" s="217"/>
      <c r="AA1742" s="217"/>
      <c r="AB1742" s="217"/>
      <c r="AC1742" s="217"/>
      <c r="AD1742" s="217"/>
    </row>
    <row r="1743" spans="1:30" x14ac:dyDescent="0.2">
      <c r="A1743" s="232"/>
      <c r="B1743" s="210"/>
      <c r="C1743" s="210"/>
      <c r="D1743" s="210"/>
      <c r="E1743" s="210"/>
      <c r="G1743" s="55"/>
      <c r="H1743" s="56"/>
      <c r="I1743" s="217"/>
      <c r="J1743" s="217"/>
      <c r="K1743" s="217"/>
      <c r="L1743" s="217"/>
      <c r="M1743" s="217"/>
      <c r="N1743" s="217"/>
      <c r="O1743" s="217"/>
      <c r="P1743" s="217"/>
      <c r="Q1743" s="217"/>
      <c r="R1743" s="217"/>
      <c r="S1743" s="217"/>
      <c r="T1743" s="217"/>
      <c r="U1743" s="217"/>
      <c r="V1743" s="217"/>
      <c r="W1743" s="217"/>
      <c r="X1743" s="217"/>
      <c r="Y1743" s="217"/>
      <c r="Z1743" s="217"/>
      <c r="AA1743" s="217"/>
      <c r="AB1743" s="217"/>
      <c r="AC1743" s="217"/>
      <c r="AD1743" s="217"/>
    </row>
    <row r="1744" spans="1:30" x14ac:dyDescent="0.2">
      <c r="A1744" s="232"/>
      <c r="B1744" s="210"/>
      <c r="C1744" s="210"/>
      <c r="D1744" s="210"/>
      <c r="E1744" s="210"/>
      <c r="G1744" s="55"/>
      <c r="H1744" s="56"/>
      <c r="I1744" s="217"/>
      <c r="J1744" s="217"/>
      <c r="K1744" s="217"/>
      <c r="L1744" s="217"/>
      <c r="M1744" s="217"/>
      <c r="N1744" s="217"/>
      <c r="O1744" s="217"/>
      <c r="P1744" s="217"/>
      <c r="Q1744" s="217"/>
      <c r="R1744" s="217"/>
      <c r="S1744" s="217"/>
      <c r="T1744" s="217"/>
      <c r="U1744" s="217"/>
      <c r="V1744" s="217"/>
      <c r="W1744" s="217"/>
      <c r="X1744" s="217"/>
      <c r="Y1744" s="217"/>
      <c r="Z1744" s="217"/>
      <c r="AA1744" s="217"/>
      <c r="AB1744" s="217"/>
      <c r="AC1744" s="217"/>
      <c r="AD1744" s="217"/>
    </row>
    <row r="1745" spans="1:30" x14ac:dyDescent="0.2">
      <c r="A1745" s="232"/>
      <c r="B1745" s="210"/>
      <c r="C1745" s="210"/>
      <c r="D1745" s="210"/>
      <c r="E1745" s="210"/>
      <c r="G1745" s="55"/>
      <c r="H1745" s="56"/>
      <c r="I1745" s="217"/>
      <c r="J1745" s="217"/>
      <c r="K1745" s="217"/>
      <c r="L1745" s="217"/>
      <c r="M1745" s="217"/>
      <c r="N1745" s="217"/>
      <c r="O1745" s="217"/>
      <c r="P1745" s="217"/>
      <c r="Q1745" s="217"/>
      <c r="R1745" s="217"/>
      <c r="S1745" s="217"/>
      <c r="T1745" s="217"/>
      <c r="U1745" s="217"/>
      <c r="V1745" s="217"/>
      <c r="W1745" s="217"/>
      <c r="X1745" s="217"/>
      <c r="Y1745" s="217"/>
      <c r="Z1745" s="217"/>
      <c r="AA1745" s="217"/>
      <c r="AB1745" s="217"/>
      <c r="AC1745" s="217"/>
      <c r="AD1745" s="217"/>
    </row>
    <row r="1746" spans="1:30" x14ac:dyDescent="0.2">
      <c r="A1746" s="232"/>
      <c r="B1746" s="210"/>
      <c r="C1746" s="210"/>
      <c r="D1746" s="210"/>
      <c r="E1746" s="210"/>
      <c r="G1746" s="55"/>
      <c r="H1746" s="56"/>
      <c r="I1746" s="217"/>
      <c r="J1746" s="217"/>
      <c r="K1746" s="217"/>
      <c r="L1746" s="217"/>
      <c r="M1746" s="217"/>
      <c r="N1746" s="217"/>
      <c r="O1746" s="217"/>
      <c r="P1746" s="217"/>
      <c r="Q1746" s="217"/>
      <c r="R1746" s="217"/>
      <c r="S1746" s="217"/>
      <c r="T1746" s="217"/>
      <c r="U1746" s="217"/>
      <c r="V1746" s="217"/>
      <c r="W1746" s="217"/>
      <c r="X1746" s="217"/>
      <c r="Y1746" s="217"/>
      <c r="Z1746" s="217"/>
      <c r="AA1746" s="217"/>
      <c r="AB1746" s="217"/>
      <c r="AC1746" s="217"/>
      <c r="AD1746" s="217"/>
    </row>
    <row r="1747" spans="1:30" x14ac:dyDescent="0.2">
      <c r="A1747" s="232"/>
      <c r="B1747" s="210"/>
      <c r="C1747" s="210"/>
      <c r="D1747" s="210"/>
      <c r="E1747" s="210"/>
      <c r="G1747" s="55"/>
      <c r="H1747" s="56"/>
      <c r="I1747" s="217"/>
      <c r="J1747" s="217"/>
      <c r="K1747" s="217"/>
      <c r="L1747" s="217"/>
      <c r="M1747" s="217"/>
      <c r="N1747" s="217"/>
      <c r="O1747" s="217"/>
      <c r="P1747" s="217"/>
      <c r="Q1747" s="217"/>
      <c r="R1747" s="217"/>
      <c r="S1747" s="217"/>
      <c r="T1747" s="217"/>
      <c r="U1747" s="217"/>
      <c r="V1747" s="217"/>
      <c r="W1747" s="217"/>
      <c r="X1747" s="217"/>
      <c r="Y1747" s="217"/>
      <c r="Z1747" s="217"/>
      <c r="AA1747" s="217"/>
      <c r="AB1747" s="217"/>
      <c r="AC1747" s="217"/>
      <c r="AD1747" s="217"/>
    </row>
    <row r="1748" spans="1:30" x14ac:dyDescent="0.2">
      <c r="A1748" s="232"/>
      <c r="B1748" s="210"/>
      <c r="C1748" s="210"/>
      <c r="D1748" s="210"/>
      <c r="E1748" s="210"/>
      <c r="G1748" s="55"/>
      <c r="H1748" s="56"/>
      <c r="I1748" s="217"/>
      <c r="J1748" s="217"/>
      <c r="K1748" s="217"/>
      <c r="L1748" s="217"/>
      <c r="M1748" s="217"/>
      <c r="N1748" s="217"/>
      <c r="O1748" s="217"/>
      <c r="P1748" s="217"/>
      <c r="Q1748" s="217"/>
      <c r="R1748" s="217"/>
      <c r="S1748" s="217"/>
      <c r="T1748" s="217"/>
      <c r="U1748" s="217"/>
      <c r="V1748" s="217"/>
      <c r="W1748" s="217"/>
      <c r="X1748" s="217"/>
      <c r="Y1748" s="217"/>
      <c r="Z1748" s="217"/>
      <c r="AA1748" s="217"/>
      <c r="AB1748" s="217"/>
      <c r="AC1748" s="217"/>
      <c r="AD1748" s="217"/>
    </row>
    <row r="1749" spans="1:30" x14ac:dyDescent="0.2">
      <c r="A1749" s="232"/>
      <c r="B1749" s="210"/>
      <c r="C1749" s="210"/>
      <c r="D1749" s="210"/>
      <c r="E1749" s="210"/>
      <c r="G1749" s="55"/>
      <c r="H1749" s="56"/>
      <c r="I1749" s="217"/>
      <c r="J1749" s="217"/>
      <c r="K1749" s="217"/>
      <c r="L1749" s="217"/>
      <c r="M1749" s="217"/>
      <c r="N1749" s="217"/>
      <c r="O1749" s="217"/>
      <c r="P1749" s="217"/>
      <c r="Q1749" s="217"/>
      <c r="R1749" s="217"/>
      <c r="S1749" s="217"/>
      <c r="T1749" s="217"/>
      <c r="U1749" s="217"/>
      <c r="V1749" s="217"/>
      <c r="W1749" s="217"/>
      <c r="X1749" s="217"/>
      <c r="Y1749" s="217"/>
      <c r="Z1749" s="217"/>
      <c r="AA1749" s="217"/>
      <c r="AB1749" s="217"/>
      <c r="AC1749" s="217"/>
      <c r="AD1749" s="217"/>
    </row>
    <row r="1750" spans="1:30" x14ac:dyDescent="0.2">
      <c r="A1750" s="232"/>
      <c r="B1750" s="210"/>
      <c r="C1750" s="210"/>
      <c r="D1750" s="210"/>
      <c r="E1750" s="210"/>
      <c r="G1750" s="55"/>
      <c r="H1750" s="56"/>
      <c r="I1750" s="217"/>
      <c r="J1750" s="217"/>
      <c r="K1750" s="217"/>
      <c r="L1750" s="217"/>
      <c r="M1750" s="217"/>
      <c r="N1750" s="217"/>
      <c r="O1750" s="217"/>
      <c r="P1750" s="217"/>
      <c r="Q1750" s="217"/>
      <c r="R1750" s="217"/>
      <c r="S1750" s="217"/>
      <c r="T1750" s="217"/>
      <c r="U1750" s="217"/>
      <c r="V1750" s="217"/>
      <c r="W1750" s="217"/>
      <c r="X1750" s="217"/>
      <c r="Y1750" s="217"/>
      <c r="Z1750" s="217"/>
      <c r="AA1750" s="217"/>
      <c r="AB1750" s="217"/>
      <c r="AC1750" s="217"/>
      <c r="AD1750" s="217"/>
    </row>
    <row r="1751" spans="1:30" x14ac:dyDescent="0.2">
      <c r="A1751" s="232"/>
      <c r="B1751" s="210"/>
      <c r="C1751" s="210"/>
      <c r="D1751" s="210"/>
      <c r="E1751" s="210"/>
      <c r="G1751" s="55"/>
      <c r="H1751" s="56"/>
      <c r="I1751" s="217"/>
      <c r="J1751" s="217"/>
      <c r="K1751" s="217"/>
      <c r="L1751" s="217"/>
      <c r="M1751" s="217"/>
      <c r="N1751" s="217"/>
      <c r="O1751" s="217"/>
      <c r="P1751" s="217"/>
      <c r="Q1751" s="217"/>
      <c r="R1751" s="217"/>
      <c r="S1751" s="217"/>
      <c r="T1751" s="217"/>
      <c r="U1751" s="217"/>
      <c r="V1751" s="217"/>
      <c r="W1751" s="217"/>
      <c r="X1751" s="217"/>
      <c r="Y1751" s="217"/>
      <c r="Z1751" s="217"/>
      <c r="AA1751" s="217"/>
      <c r="AB1751" s="217"/>
      <c r="AC1751" s="217"/>
      <c r="AD1751" s="217"/>
    </row>
    <row r="1752" spans="1:30" x14ac:dyDescent="0.2">
      <c r="A1752" s="232"/>
      <c r="B1752" s="210"/>
      <c r="C1752" s="210"/>
      <c r="D1752" s="210"/>
      <c r="E1752" s="210"/>
      <c r="G1752" s="55"/>
      <c r="H1752" s="56"/>
      <c r="I1752" s="217"/>
      <c r="J1752" s="217"/>
      <c r="K1752" s="217"/>
      <c r="L1752" s="217"/>
      <c r="M1752" s="217"/>
      <c r="N1752" s="217"/>
      <c r="O1752" s="217"/>
      <c r="P1752" s="217"/>
      <c r="Q1752" s="217"/>
      <c r="R1752" s="217"/>
      <c r="S1752" s="217"/>
      <c r="T1752" s="217"/>
      <c r="U1752" s="217"/>
      <c r="V1752" s="217"/>
      <c r="W1752" s="217"/>
      <c r="X1752" s="217"/>
      <c r="Y1752" s="217"/>
      <c r="Z1752" s="217"/>
      <c r="AA1752" s="217"/>
      <c r="AB1752" s="217"/>
      <c r="AC1752" s="217"/>
      <c r="AD1752" s="217"/>
    </row>
    <row r="1753" spans="1:30" x14ac:dyDescent="0.2">
      <c r="A1753" s="232"/>
      <c r="B1753" s="210"/>
      <c r="C1753" s="210"/>
      <c r="D1753" s="210"/>
      <c r="E1753" s="210"/>
      <c r="G1753" s="55"/>
      <c r="H1753" s="56"/>
      <c r="I1753" s="217"/>
      <c r="J1753" s="217"/>
      <c r="K1753" s="217"/>
      <c r="L1753" s="217"/>
      <c r="M1753" s="217"/>
      <c r="N1753" s="217"/>
      <c r="O1753" s="217"/>
      <c r="P1753" s="217"/>
      <c r="Q1753" s="217"/>
      <c r="R1753" s="217"/>
      <c r="S1753" s="217"/>
      <c r="T1753" s="217"/>
      <c r="U1753" s="217"/>
      <c r="V1753" s="217"/>
      <c r="W1753" s="217"/>
      <c r="X1753" s="217"/>
      <c r="Y1753" s="217"/>
      <c r="Z1753" s="217"/>
      <c r="AA1753" s="217"/>
      <c r="AB1753" s="217"/>
      <c r="AC1753" s="217"/>
      <c r="AD1753" s="217"/>
    </row>
    <row r="1754" spans="1:30" x14ac:dyDescent="0.2">
      <c r="A1754" s="232"/>
      <c r="B1754" s="210"/>
      <c r="C1754" s="210"/>
      <c r="D1754" s="210"/>
      <c r="E1754" s="210"/>
      <c r="G1754" s="55"/>
      <c r="H1754" s="56"/>
      <c r="I1754" s="217"/>
      <c r="J1754" s="217"/>
      <c r="K1754" s="217"/>
      <c r="L1754" s="217"/>
      <c r="M1754" s="217"/>
      <c r="N1754" s="217"/>
      <c r="O1754" s="217"/>
      <c r="P1754" s="217"/>
      <c r="Q1754" s="217"/>
      <c r="R1754" s="217"/>
      <c r="S1754" s="217"/>
      <c r="T1754" s="217"/>
      <c r="U1754" s="217"/>
      <c r="V1754" s="217"/>
      <c r="W1754" s="217"/>
      <c r="X1754" s="217"/>
      <c r="Y1754" s="217"/>
      <c r="Z1754" s="217"/>
      <c r="AA1754" s="217"/>
      <c r="AB1754" s="217"/>
      <c r="AC1754" s="217"/>
      <c r="AD1754" s="217"/>
    </row>
    <row r="1755" spans="1:30" x14ac:dyDescent="0.2">
      <c r="A1755" s="232"/>
      <c r="B1755" s="210"/>
      <c r="C1755" s="210"/>
      <c r="D1755" s="210"/>
      <c r="E1755" s="210"/>
      <c r="G1755" s="55"/>
      <c r="H1755" s="56"/>
      <c r="I1755" s="217"/>
      <c r="J1755" s="217"/>
      <c r="K1755" s="217"/>
      <c r="L1755" s="217"/>
      <c r="M1755" s="217"/>
      <c r="N1755" s="217"/>
      <c r="O1755" s="217"/>
      <c r="P1755" s="217"/>
      <c r="Q1755" s="217"/>
      <c r="R1755" s="217"/>
      <c r="S1755" s="217"/>
      <c r="T1755" s="217"/>
      <c r="U1755" s="217"/>
      <c r="V1755" s="217"/>
      <c r="W1755" s="217"/>
      <c r="X1755" s="217"/>
      <c r="Y1755" s="217"/>
      <c r="Z1755" s="217"/>
      <c r="AA1755" s="217"/>
      <c r="AB1755" s="217"/>
      <c r="AC1755" s="217"/>
      <c r="AD1755" s="217"/>
    </row>
    <row r="1756" spans="1:30" x14ac:dyDescent="0.2">
      <c r="A1756" s="232"/>
      <c r="B1756" s="210"/>
      <c r="C1756" s="210"/>
      <c r="D1756" s="210"/>
      <c r="E1756" s="210"/>
      <c r="G1756" s="55"/>
      <c r="H1756" s="56"/>
      <c r="I1756" s="217"/>
      <c r="J1756" s="217"/>
      <c r="K1756" s="217"/>
      <c r="L1756" s="217"/>
      <c r="M1756" s="217"/>
      <c r="N1756" s="217"/>
      <c r="O1756" s="217"/>
      <c r="P1756" s="217"/>
      <c r="Q1756" s="217"/>
      <c r="R1756" s="217"/>
      <c r="S1756" s="217"/>
      <c r="T1756" s="217"/>
      <c r="U1756" s="217"/>
      <c r="V1756" s="217"/>
      <c r="W1756" s="217"/>
      <c r="X1756" s="217"/>
      <c r="Y1756" s="217"/>
      <c r="Z1756" s="217"/>
      <c r="AA1756" s="217"/>
      <c r="AB1756" s="217"/>
      <c r="AC1756" s="217"/>
      <c r="AD1756" s="217"/>
    </row>
    <row r="1757" spans="1:30" x14ac:dyDescent="0.2">
      <c r="A1757" s="232"/>
      <c r="B1757" s="210"/>
      <c r="C1757" s="210"/>
      <c r="D1757" s="210"/>
      <c r="E1757" s="210"/>
      <c r="G1757" s="55"/>
      <c r="H1757" s="56"/>
      <c r="I1757" s="217"/>
      <c r="J1757" s="217"/>
      <c r="K1757" s="217"/>
      <c r="L1757" s="217"/>
      <c r="M1757" s="217"/>
      <c r="N1757" s="217"/>
      <c r="O1757" s="217"/>
      <c r="P1757" s="217"/>
      <c r="Q1757" s="217"/>
      <c r="R1757" s="217"/>
      <c r="S1757" s="217"/>
      <c r="T1757" s="217"/>
      <c r="U1757" s="217"/>
      <c r="V1757" s="217"/>
      <c r="W1757" s="217"/>
      <c r="X1757" s="217"/>
      <c r="Y1757" s="217"/>
      <c r="Z1757" s="217"/>
      <c r="AA1757" s="217"/>
      <c r="AB1757" s="217"/>
      <c r="AC1757" s="217"/>
      <c r="AD1757" s="217"/>
    </row>
    <row r="1758" spans="1:30" x14ac:dyDescent="0.2">
      <c r="A1758" s="232"/>
      <c r="B1758" s="210"/>
      <c r="C1758" s="210"/>
      <c r="D1758" s="210"/>
      <c r="E1758" s="210"/>
      <c r="G1758" s="55"/>
      <c r="H1758" s="56"/>
      <c r="I1758" s="217"/>
      <c r="J1758" s="217"/>
      <c r="K1758" s="217"/>
      <c r="L1758" s="217"/>
      <c r="M1758" s="217"/>
      <c r="N1758" s="217"/>
      <c r="O1758" s="217"/>
      <c r="P1758" s="217"/>
      <c r="Q1758" s="217"/>
      <c r="R1758" s="217"/>
      <c r="S1758" s="217"/>
      <c r="T1758" s="217"/>
      <c r="U1758" s="217"/>
      <c r="V1758" s="217"/>
      <c r="W1758" s="217"/>
      <c r="X1758" s="217"/>
      <c r="Y1758" s="217"/>
      <c r="Z1758" s="217"/>
      <c r="AA1758" s="217"/>
      <c r="AB1758" s="217"/>
      <c r="AC1758" s="217"/>
      <c r="AD1758" s="217"/>
    </row>
    <row r="1759" spans="1:30" x14ac:dyDescent="0.2">
      <c r="A1759" s="232"/>
      <c r="B1759" s="210"/>
      <c r="C1759" s="210"/>
      <c r="D1759" s="210"/>
      <c r="E1759" s="210"/>
      <c r="G1759" s="55"/>
      <c r="H1759" s="56"/>
      <c r="I1759" s="217"/>
      <c r="J1759" s="217"/>
      <c r="K1759" s="217"/>
      <c r="L1759" s="217"/>
      <c r="M1759" s="217"/>
      <c r="N1759" s="217"/>
      <c r="O1759" s="217"/>
      <c r="P1759" s="217"/>
      <c r="Q1759" s="217"/>
      <c r="R1759" s="217"/>
      <c r="S1759" s="217"/>
      <c r="T1759" s="217"/>
      <c r="U1759" s="217"/>
      <c r="V1759" s="217"/>
      <c r="W1759" s="217"/>
      <c r="X1759" s="217"/>
      <c r="Y1759" s="217"/>
      <c r="Z1759" s="217"/>
      <c r="AA1759" s="217"/>
      <c r="AB1759" s="217"/>
      <c r="AC1759" s="217"/>
      <c r="AD1759" s="217"/>
    </row>
    <row r="1760" spans="1:30" x14ac:dyDescent="0.2">
      <c r="A1760" s="232"/>
      <c r="B1760" s="210"/>
      <c r="C1760" s="210"/>
      <c r="D1760" s="210"/>
      <c r="E1760" s="210"/>
      <c r="G1760" s="55"/>
      <c r="H1760" s="56"/>
      <c r="I1760" s="217"/>
      <c r="J1760" s="217"/>
      <c r="K1760" s="217"/>
      <c r="L1760" s="217"/>
      <c r="M1760" s="217"/>
      <c r="N1760" s="217"/>
      <c r="O1760" s="217"/>
      <c r="P1760" s="217"/>
      <c r="Q1760" s="217"/>
      <c r="R1760" s="217"/>
      <c r="S1760" s="217"/>
      <c r="T1760" s="217"/>
      <c r="U1760" s="217"/>
      <c r="V1760" s="217"/>
      <c r="W1760" s="217"/>
      <c r="X1760" s="217"/>
      <c r="Y1760" s="217"/>
      <c r="Z1760" s="217"/>
      <c r="AA1760" s="217"/>
      <c r="AB1760" s="217"/>
      <c r="AC1760" s="217"/>
      <c r="AD1760" s="217"/>
    </row>
    <row r="1761" spans="1:30" x14ac:dyDescent="0.2">
      <c r="A1761" s="232"/>
      <c r="B1761" s="210"/>
      <c r="C1761" s="210"/>
      <c r="D1761" s="210"/>
      <c r="E1761" s="210"/>
      <c r="G1761" s="55"/>
      <c r="H1761" s="56"/>
      <c r="I1761" s="217"/>
      <c r="J1761" s="217"/>
      <c r="K1761" s="217"/>
      <c r="L1761" s="217"/>
      <c r="M1761" s="217"/>
      <c r="N1761" s="217"/>
      <c r="O1761" s="217"/>
      <c r="P1761" s="217"/>
      <c r="Q1761" s="217"/>
      <c r="R1761" s="217"/>
      <c r="S1761" s="217"/>
      <c r="T1761" s="217"/>
      <c r="U1761" s="217"/>
      <c r="V1761" s="217"/>
      <c r="W1761" s="217"/>
      <c r="X1761" s="217"/>
      <c r="Y1761" s="217"/>
      <c r="Z1761" s="217"/>
      <c r="AA1761" s="217"/>
      <c r="AB1761" s="217"/>
      <c r="AC1761" s="217"/>
      <c r="AD1761" s="217"/>
    </row>
    <row r="1762" spans="1:30" x14ac:dyDescent="0.2">
      <c r="A1762" s="232"/>
      <c r="B1762" s="210"/>
      <c r="C1762" s="210"/>
      <c r="D1762" s="210"/>
      <c r="E1762" s="210"/>
      <c r="G1762" s="55"/>
      <c r="H1762" s="56"/>
      <c r="I1762" s="217"/>
      <c r="J1762" s="217"/>
      <c r="K1762" s="217"/>
      <c r="L1762" s="217"/>
      <c r="M1762" s="217"/>
      <c r="N1762" s="217"/>
      <c r="O1762" s="217"/>
      <c r="P1762" s="217"/>
      <c r="Q1762" s="217"/>
      <c r="R1762" s="217"/>
      <c r="S1762" s="217"/>
      <c r="T1762" s="217"/>
      <c r="U1762" s="217"/>
      <c r="V1762" s="217"/>
      <c r="W1762" s="217"/>
      <c r="X1762" s="217"/>
      <c r="Y1762" s="217"/>
      <c r="Z1762" s="217"/>
      <c r="AA1762" s="217"/>
      <c r="AB1762" s="217"/>
      <c r="AC1762" s="217"/>
      <c r="AD1762" s="217"/>
    </row>
    <row r="1763" spans="1:30" x14ac:dyDescent="0.2">
      <c r="A1763" s="232"/>
      <c r="B1763" s="210"/>
      <c r="C1763" s="210"/>
      <c r="D1763" s="210"/>
      <c r="E1763" s="210"/>
      <c r="G1763" s="55"/>
      <c r="H1763" s="56"/>
      <c r="I1763" s="217"/>
      <c r="J1763" s="217"/>
      <c r="K1763" s="217"/>
      <c r="L1763" s="217"/>
      <c r="M1763" s="217"/>
      <c r="N1763" s="217"/>
      <c r="O1763" s="217"/>
      <c r="P1763" s="217"/>
      <c r="Q1763" s="217"/>
      <c r="R1763" s="217"/>
      <c r="S1763" s="217"/>
      <c r="T1763" s="217"/>
      <c r="U1763" s="217"/>
      <c r="V1763" s="217"/>
      <c r="W1763" s="217"/>
      <c r="X1763" s="217"/>
      <c r="Y1763" s="217"/>
      <c r="Z1763" s="217"/>
      <c r="AA1763" s="217"/>
      <c r="AB1763" s="217"/>
      <c r="AC1763" s="217"/>
      <c r="AD1763" s="217"/>
    </row>
    <row r="1764" spans="1:30" x14ac:dyDescent="0.2">
      <c r="A1764" s="232"/>
      <c r="B1764" s="210"/>
      <c r="C1764" s="210"/>
      <c r="D1764" s="210"/>
      <c r="E1764" s="210"/>
      <c r="G1764" s="55"/>
      <c r="H1764" s="56"/>
      <c r="I1764" s="217"/>
      <c r="J1764" s="217"/>
      <c r="K1764" s="217"/>
      <c r="L1764" s="217"/>
      <c r="M1764" s="217"/>
      <c r="N1764" s="217"/>
      <c r="O1764" s="217"/>
      <c r="P1764" s="217"/>
      <c r="Q1764" s="217"/>
      <c r="R1764" s="217"/>
      <c r="S1764" s="217"/>
      <c r="T1764" s="217"/>
      <c r="U1764" s="217"/>
      <c r="V1764" s="217"/>
      <c r="W1764" s="217"/>
      <c r="X1764" s="217"/>
      <c r="Y1764" s="217"/>
      <c r="Z1764" s="217"/>
      <c r="AA1764" s="217"/>
      <c r="AB1764" s="217"/>
      <c r="AC1764" s="217"/>
      <c r="AD1764" s="217"/>
    </row>
    <row r="1765" spans="1:30" x14ac:dyDescent="0.2">
      <c r="A1765" s="232"/>
      <c r="B1765" s="210"/>
      <c r="C1765" s="210"/>
      <c r="D1765" s="210"/>
      <c r="E1765" s="210"/>
      <c r="G1765" s="55"/>
      <c r="H1765" s="56"/>
      <c r="I1765" s="217"/>
      <c r="J1765" s="217"/>
      <c r="K1765" s="217"/>
      <c r="L1765" s="217"/>
      <c r="M1765" s="217"/>
      <c r="N1765" s="217"/>
      <c r="O1765" s="217"/>
      <c r="P1765" s="217"/>
      <c r="Q1765" s="217"/>
      <c r="R1765" s="217"/>
      <c r="S1765" s="217"/>
      <c r="T1765" s="217"/>
      <c r="U1765" s="217"/>
      <c r="V1765" s="217"/>
      <c r="W1765" s="217"/>
      <c r="X1765" s="217"/>
      <c r="Y1765" s="217"/>
      <c r="Z1765" s="217"/>
      <c r="AA1765" s="217"/>
      <c r="AB1765" s="217"/>
      <c r="AC1765" s="217"/>
      <c r="AD1765" s="217"/>
    </row>
    <row r="1766" spans="1:30" x14ac:dyDescent="0.2">
      <c r="A1766" s="232"/>
      <c r="B1766" s="210"/>
      <c r="C1766" s="210"/>
      <c r="D1766" s="210"/>
      <c r="E1766" s="210"/>
      <c r="G1766" s="55"/>
      <c r="H1766" s="56"/>
      <c r="I1766" s="217"/>
      <c r="J1766" s="217"/>
      <c r="K1766" s="217"/>
      <c r="L1766" s="217"/>
      <c r="M1766" s="217"/>
      <c r="N1766" s="217"/>
      <c r="O1766" s="217"/>
      <c r="P1766" s="217"/>
      <c r="Q1766" s="217"/>
      <c r="R1766" s="217"/>
      <c r="S1766" s="217"/>
      <c r="T1766" s="217"/>
      <c r="U1766" s="217"/>
      <c r="V1766" s="217"/>
      <c r="W1766" s="217"/>
      <c r="X1766" s="217"/>
      <c r="Y1766" s="217"/>
      <c r="Z1766" s="217"/>
      <c r="AA1766" s="217"/>
      <c r="AB1766" s="217"/>
      <c r="AC1766" s="217"/>
      <c r="AD1766" s="217"/>
    </row>
    <row r="1767" spans="1:30" x14ac:dyDescent="0.2">
      <c r="A1767" s="232"/>
      <c r="B1767" s="210"/>
      <c r="C1767" s="210"/>
      <c r="D1767" s="210"/>
      <c r="E1767" s="210"/>
      <c r="G1767" s="55"/>
      <c r="H1767" s="56"/>
      <c r="I1767" s="217"/>
      <c r="J1767" s="217"/>
      <c r="K1767" s="217"/>
      <c r="L1767" s="217"/>
      <c r="M1767" s="217"/>
      <c r="N1767" s="217"/>
      <c r="O1767" s="217"/>
      <c r="P1767" s="217"/>
      <c r="Q1767" s="217"/>
      <c r="R1767" s="217"/>
      <c r="S1767" s="217"/>
      <c r="T1767" s="217"/>
      <c r="U1767" s="217"/>
      <c r="V1767" s="217"/>
      <c r="W1767" s="217"/>
      <c r="X1767" s="217"/>
      <c r="Y1767" s="217"/>
      <c r="Z1767" s="217"/>
      <c r="AA1767" s="217"/>
      <c r="AB1767" s="217"/>
      <c r="AC1767" s="217"/>
      <c r="AD1767" s="217"/>
    </row>
    <row r="1768" spans="1:30" x14ac:dyDescent="0.2">
      <c r="A1768" s="232"/>
      <c r="B1768" s="210"/>
      <c r="C1768" s="210"/>
      <c r="D1768" s="210"/>
      <c r="E1768" s="210"/>
      <c r="G1768" s="55"/>
      <c r="H1768" s="56"/>
      <c r="I1768" s="217"/>
      <c r="J1768" s="217"/>
      <c r="K1768" s="217"/>
      <c r="L1768" s="217"/>
      <c r="M1768" s="217"/>
      <c r="N1768" s="217"/>
      <c r="O1768" s="217"/>
      <c r="P1768" s="217"/>
      <c r="Q1768" s="217"/>
      <c r="R1768" s="217"/>
      <c r="S1768" s="217"/>
      <c r="T1768" s="217"/>
      <c r="U1768" s="217"/>
      <c r="V1768" s="217"/>
      <c r="W1768" s="217"/>
      <c r="X1768" s="217"/>
      <c r="Y1768" s="217"/>
      <c r="Z1768" s="217"/>
      <c r="AA1768" s="217"/>
      <c r="AB1768" s="217"/>
      <c r="AC1768" s="217"/>
      <c r="AD1768" s="217"/>
    </row>
    <row r="1769" spans="1:30" x14ac:dyDescent="0.2">
      <c r="A1769" s="232"/>
      <c r="B1769" s="210"/>
      <c r="C1769" s="210"/>
      <c r="D1769" s="210"/>
      <c r="E1769" s="210"/>
      <c r="G1769" s="55"/>
      <c r="H1769" s="56"/>
      <c r="I1769" s="217"/>
      <c r="J1769" s="217"/>
      <c r="K1769" s="217"/>
      <c r="L1769" s="217"/>
      <c r="M1769" s="217"/>
      <c r="N1769" s="217"/>
      <c r="O1769" s="217"/>
      <c r="P1769" s="217"/>
      <c r="Q1769" s="217"/>
      <c r="R1769" s="217"/>
      <c r="S1769" s="217"/>
      <c r="T1769" s="217"/>
      <c r="U1769" s="217"/>
      <c r="V1769" s="217"/>
      <c r="W1769" s="217"/>
      <c r="X1769" s="217"/>
      <c r="Y1769" s="217"/>
      <c r="Z1769" s="217"/>
      <c r="AA1769" s="217"/>
      <c r="AB1769" s="217"/>
      <c r="AC1769" s="217"/>
      <c r="AD1769" s="217"/>
    </row>
    <row r="1770" spans="1:30" x14ac:dyDescent="0.2">
      <c r="A1770" s="232"/>
      <c r="B1770" s="210"/>
      <c r="C1770" s="210"/>
      <c r="D1770" s="210"/>
      <c r="E1770" s="210"/>
      <c r="G1770" s="55"/>
      <c r="H1770" s="56"/>
      <c r="I1770" s="217"/>
      <c r="J1770" s="217"/>
      <c r="K1770" s="217"/>
      <c r="L1770" s="217"/>
      <c r="M1770" s="217"/>
      <c r="N1770" s="217"/>
      <c r="O1770" s="217"/>
      <c r="P1770" s="217"/>
      <c r="Q1770" s="217"/>
      <c r="R1770" s="217"/>
      <c r="S1770" s="217"/>
      <c r="T1770" s="217"/>
      <c r="U1770" s="217"/>
      <c r="V1770" s="217"/>
      <c r="W1770" s="217"/>
      <c r="X1770" s="217"/>
      <c r="Y1770" s="217"/>
      <c r="Z1770" s="217"/>
      <c r="AA1770" s="217"/>
      <c r="AB1770" s="217"/>
      <c r="AC1770" s="217"/>
      <c r="AD1770" s="217"/>
    </row>
    <row r="1771" spans="1:30" x14ac:dyDescent="0.2">
      <c r="A1771" s="232"/>
      <c r="B1771" s="210"/>
      <c r="C1771" s="210"/>
      <c r="D1771" s="210"/>
      <c r="E1771" s="210"/>
      <c r="G1771" s="55"/>
      <c r="H1771" s="56"/>
      <c r="I1771" s="217"/>
      <c r="J1771" s="217"/>
      <c r="K1771" s="217"/>
      <c r="L1771" s="217"/>
      <c r="M1771" s="217"/>
      <c r="N1771" s="217"/>
      <c r="O1771" s="217"/>
      <c r="P1771" s="217"/>
      <c r="Q1771" s="217"/>
      <c r="R1771" s="217"/>
      <c r="S1771" s="217"/>
      <c r="T1771" s="217"/>
      <c r="U1771" s="217"/>
      <c r="V1771" s="217"/>
      <c r="W1771" s="217"/>
      <c r="X1771" s="217"/>
      <c r="Y1771" s="217"/>
      <c r="Z1771" s="217"/>
      <c r="AA1771" s="217"/>
      <c r="AB1771" s="217"/>
      <c r="AC1771" s="217"/>
      <c r="AD1771" s="217"/>
    </row>
    <row r="1772" spans="1:30" x14ac:dyDescent="0.2">
      <c r="A1772" s="232"/>
      <c r="B1772" s="210"/>
      <c r="C1772" s="210"/>
      <c r="D1772" s="210"/>
      <c r="E1772" s="210"/>
      <c r="G1772" s="55"/>
      <c r="H1772" s="56"/>
      <c r="I1772" s="217"/>
      <c r="J1772" s="217"/>
      <c r="K1772" s="217"/>
      <c r="L1772" s="217"/>
      <c r="M1772" s="217"/>
      <c r="N1772" s="217"/>
      <c r="O1772" s="217"/>
      <c r="P1772" s="217"/>
      <c r="Q1772" s="217"/>
      <c r="R1772" s="217"/>
      <c r="S1772" s="217"/>
      <c r="T1772" s="217"/>
      <c r="U1772" s="217"/>
      <c r="V1772" s="217"/>
      <c r="W1772" s="217"/>
      <c r="X1772" s="217"/>
      <c r="Y1772" s="217"/>
      <c r="Z1772" s="217"/>
      <c r="AA1772" s="217"/>
      <c r="AB1772" s="217"/>
      <c r="AC1772" s="217"/>
      <c r="AD1772" s="217"/>
    </row>
    <row r="1773" spans="1:30" x14ac:dyDescent="0.2">
      <c r="A1773" s="232"/>
      <c r="B1773" s="210"/>
      <c r="C1773" s="210"/>
      <c r="D1773" s="210"/>
      <c r="E1773" s="210"/>
      <c r="G1773" s="55"/>
      <c r="H1773" s="56"/>
      <c r="I1773" s="217"/>
      <c r="J1773" s="217"/>
      <c r="K1773" s="217"/>
      <c r="L1773" s="217"/>
      <c r="M1773" s="217"/>
      <c r="N1773" s="217"/>
      <c r="O1773" s="217"/>
      <c r="P1773" s="217"/>
      <c r="Q1773" s="217"/>
      <c r="R1773" s="217"/>
      <c r="S1773" s="217"/>
      <c r="T1773" s="217"/>
      <c r="U1773" s="217"/>
      <c r="V1773" s="217"/>
      <c r="W1773" s="217"/>
      <c r="X1773" s="217"/>
      <c r="Y1773" s="217"/>
      <c r="Z1773" s="217"/>
      <c r="AA1773" s="217"/>
      <c r="AB1773" s="217"/>
      <c r="AC1773" s="217"/>
      <c r="AD1773" s="217"/>
    </row>
    <row r="1774" spans="1:30" x14ac:dyDescent="0.2">
      <c r="A1774" s="232"/>
      <c r="B1774" s="210"/>
      <c r="C1774" s="210"/>
      <c r="D1774" s="210"/>
      <c r="E1774" s="210"/>
      <c r="G1774" s="55"/>
      <c r="H1774" s="56"/>
      <c r="I1774" s="217"/>
      <c r="J1774" s="217"/>
      <c r="K1774" s="217"/>
      <c r="L1774" s="217"/>
      <c r="M1774" s="217"/>
      <c r="N1774" s="217"/>
      <c r="O1774" s="217"/>
      <c r="P1774" s="217"/>
      <c r="Q1774" s="217"/>
      <c r="R1774" s="217"/>
      <c r="S1774" s="217"/>
      <c r="T1774" s="217"/>
      <c r="U1774" s="217"/>
      <c r="V1774" s="217"/>
      <c r="W1774" s="217"/>
      <c r="X1774" s="217"/>
      <c r="Y1774" s="217"/>
      <c r="Z1774" s="217"/>
      <c r="AA1774" s="217"/>
      <c r="AB1774" s="217"/>
      <c r="AC1774" s="217"/>
      <c r="AD1774" s="217"/>
    </row>
    <row r="1775" spans="1:30" x14ac:dyDescent="0.2">
      <c r="A1775" s="232"/>
      <c r="B1775" s="210"/>
      <c r="C1775" s="210"/>
      <c r="D1775" s="210"/>
      <c r="E1775" s="210"/>
      <c r="G1775" s="55"/>
      <c r="H1775" s="56"/>
      <c r="I1775" s="217"/>
      <c r="J1775" s="217"/>
      <c r="K1775" s="217"/>
      <c r="L1775" s="217"/>
      <c r="M1775" s="217"/>
      <c r="N1775" s="217"/>
      <c r="O1775" s="217"/>
      <c r="P1775" s="217"/>
      <c r="Q1775" s="217"/>
      <c r="R1775" s="217"/>
      <c r="S1775" s="217"/>
      <c r="T1775" s="217"/>
      <c r="U1775" s="217"/>
      <c r="V1775" s="217"/>
      <c r="W1775" s="217"/>
      <c r="X1775" s="217"/>
      <c r="Y1775" s="217"/>
      <c r="Z1775" s="217"/>
      <c r="AA1775" s="217"/>
      <c r="AB1775" s="217"/>
      <c r="AC1775" s="217"/>
      <c r="AD1775" s="217"/>
    </row>
    <row r="1776" spans="1:30" x14ac:dyDescent="0.2">
      <c r="A1776" s="232"/>
      <c r="B1776" s="210"/>
      <c r="C1776" s="210"/>
      <c r="D1776" s="210"/>
      <c r="E1776" s="210"/>
      <c r="G1776" s="55"/>
      <c r="H1776" s="56"/>
      <c r="I1776" s="217"/>
      <c r="J1776" s="217"/>
      <c r="K1776" s="217"/>
      <c r="L1776" s="217"/>
      <c r="M1776" s="217"/>
      <c r="N1776" s="217"/>
      <c r="O1776" s="217"/>
      <c r="P1776" s="217"/>
      <c r="Q1776" s="217"/>
      <c r="R1776" s="217"/>
      <c r="S1776" s="217"/>
      <c r="T1776" s="217"/>
      <c r="U1776" s="217"/>
      <c r="V1776" s="217"/>
      <c r="W1776" s="217"/>
      <c r="X1776" s="217"/>
      <c r="Y1776" s="217"/>
      <c r="Z1776" s="217"/>
      <c r="AA1776" s="217"/>
      <c r="AB1776" s="217"/>
      <c r="AC1776" s="217"/>
      <c r="AD1776" s="217"/>
    </row>
    <row r="1777" spans="1:30" x14ac:dyDescent="0.2">
      <c r="A1777" s="232"/>
      <c r="B1777" s="210"/>
      <c r="C1777" s="210"/>
      <c r="D1777" s="210"/>
      <c r="E1777" s="210"/>
      <c r="G1777" s="55"/>
      <c r="H1777" s="56"/>
      <c r="I1777" s="217"/>
      <c r="J1777" s="217"/>
      <c r="K1777" s="217"/>
      <c r="L1777" s="217"/>
      <c r="M1777" s="217"/>
      <c r="N1777" s="217"/>
      <c r="O1777" s="217"/>
      <c r="P1777" s="217"/>
      <c r="Q1777" s="217"/>
      <c r="R1777" s="217"/>
      <c r="S1777" s="217"/>
      <c r="T1777" s="217"/>
      <c r="U1777" s="217"/>
      <c r="V1777" s="217"/>
      <c r="W1777" s="217"/>
      <c r="X1777" s="217"/>
      <c r="Y1777" s="217"/>
      <c r="Z1777" s="217"/>
      <c r="AA1777" s="217"/>
      <c r="AB1777" s="217"/>
      <c r="AC1777" s="217"/>
      <c r="AD1777" s="217"/>
    </row>
    <row r="1778" spans="1:30" x14ac:dyDescent="0.2">
      <c r="A1778" s="232"/>
      <c r="B1778" s="210"/>
      <c r="C1778" s="210"/>
      <c r="D1778" s="210"/>
      <c r="E1778" s="210"/>
      <c r="G1778" s="55"/>
      <c r="H1778" s="56"/>
      <c r="I1778" s="217"/>
      <c r="J1778" s="217"/>
      <c r="K1778" s="217"/>
      <c r="L1778" s="217"/>
      <c r="M1778" s="217"/>
      <c r="N1778" s="217"/>
      <c r="O1778" s="217"/>
      <c r="P1778" s="217"/>
      <c r="Q1778" s="217"/>
      <c r="R1778" s="217"/>
      <c r="S1778" s="217"/>
      <c r="T1778" s="217"/>
      <c r="U1778" s="217"/>
      <c r="V1778" s="217"/>
      <c r="W1778" s="217"/>
      <c r="X1778" s="217"/>
      <c r="Y1778" s="217"/>
      <c r="Z1778" s="217"/>
      <c r="AA1778" s="217"/>
      <c r="AB1778" s="217"/>
      <c r="AC1778" s="217"/>
      <c r="AD1778" s="217"/>
    </row>
    <row r="1779" spans="1:30" x14ac:dyDescent="0.2">
      <c r="A1779" s="232"/>
      <c r="B1779" s="210"/>
      <c r="C1779" s="210"/>
      <c r="D1779" s="210"/>
      <c r="E1779" s="210"/>
      <c r="G1779" s="55"/>
      <c r="H1779" s="56"/>
      <c r="I1779" s="217"/>
      <c r="J1779" s="217"/>
      <c r="K1779" s="217"/>
      <c r="L1779" s="217"/>
      <c r="M1779" s="217"/>
      <c r="N1779" s="217"/>
      <c r="O1779" s="217"/>
      <c r="P1779" s="217"/>
      <c r="Q1779" s="217"/>
      <c r="R1779" s="217"/>
      <c r="S1779" s="217"/>
      <c r="T1779" s="217"/>
      <c r="U1779" s="217"/>
      <c r="V1779" s="217"/>
      <c r="W1779" s="217"/>
      <c r="X1779" s="217"/>
      <c r="Y1779" s="217"/>
      <c r="Z1779" s="217"/>
      <c r="AA1779" s="217"/>
      <c r="AB1779" s="217"/>
      <c r="AC1779" s="217"/>
      <c r="AD1779" s="217"/>
    </row>
    <row r="1780" spans="1:30" x14ac:dyDescent="0.2">
      <c r="A1780" s="232"/>
      <c r="B1780" s="210"/>
      <c r="C1780" s="210"/>
      <c r="D1780" s="210"/>
      <c r="E1780" s="210"/>
      <c r="G1780" s="55"/>
      <c r="H1780" s="56"/>
      <c r="I1780" s="217"/>
      <c r="J1780" s="217"/>
      <c r="K1780" s="217"/>
      <c r="L1780" s="217"/>
      <c r="M1780" s="217"/>
      <c r="N1780" s="217"/>
      <c r="O1780" s="217"/>
      <c r="P1780" s="217"/>
      <c r="Q1780" s="217"/>
      <c r="R1780" s="217"/>
      <c r="S1780" s="217"/>
      <c r="T1780" s="217"/>
      <c r="U1780" s="217"/>
      <c r="V1780" s="217"/>
      <c r="W1780" s="217"/>
      <c r="X1780" s="217"/>
      <c r="Y1780" s="217"/>
      <c r="Z1780" s="217"/>
      <c r="AA1780" s="217"/>
      <c r="AB1780" s="217"/>
      <c r="AC1780" s="217"/>
      <c r="AD1780" s="217"/>
    </row>
    <row r="1781" spans="1:30" x14ac:dyDescent="0.2">
      <c r="A1781" s="232"/>
      <c r="B1781" s="210"/>
      <c r="C1781" s="210"/>
      <c r="D1781" s="210"/>
      <c r="E1781" s="210"/>
      <c r="G1781" s="55"/>
      <c r="H1781" s="56"/>
      <c r="I1781" s="217"/>
      <c r="J1781" s="217"/>
      <c r="K1781" s="217"/>
      <c r="L1781" s="217"/>
      <c r="M1781" s="217"/>
      <c r="N1781" s="217"/>
      <c r="O1781" s="217"/>
      <c r="P1781" s="217"/>
      <c r="Q1781" s="217"/>
      <c r="R1781" s="217"/>
      <c r="S1781" s="217"/>
      <c r="T1781" s="217"/>
      <c r="U1781" s="217"/>
      <c r="V1781" s="217"/>
      <c r="W1781" s="217"/>
      <c r="X1781" s="217"/>
      <c r="Y1781" s="217"/>
      <c r="Z1781" s="217"/>
      <c r="AA1781" s="217"/>
      <c r="AB1781" s="217"/>
      <c r="AC1781" s="217"/>
      <c r="AD1781" s="217"/>
    </row>
    <row r="1782" spans="1:30" x14ac:dyDescent="0.2">
      <c r="A1782" s="232"/>
      <c r="B1782" s="210"/>
      <c r="C1782" s="210"/>
      <c r="D1782" s="210"/>
      <c r="E1782" s="210"/>
      <c r="G1782" s="55"/>
      <c r="H1782" s="56"/>
      <c r="I1782" s="217"/>
      <c r="J1782" s="217"/>
      <c r="K1782" s="217"/>
      <c r="L1782" s="217"/>
      <c r="M1782" s="217"/>
      <c r="N1782" s="217"/>
      <c r="O1782" s="217"/>
      <c r="P1782" s="217"/>
      <c r="Q1782" s="217"/>
      <c r="R1782" s="217"/>
      <c r="S1782" s="217"/>
      <c r="T1782" s="217"/>
      <c r="U1782" s="217"/>
      <c r="V1782" s="217"/>
      <c r="W1782" s="217"/>
      <c r="X1782" s="217"/>
      <c r="Y1782" s="217"/>
      <c r="Z1782" s="217"/>
      <c r="AA1782" s="217"/>
      <c r="AB1782" s="217"/>
      <c r="AC1782" s="217"/>
      <c r="AD1782" s="217"/>
    </row>
    <row r="1783" spans="1:30" x14ac:dyDescent="0.2">
      <c r="A1783" s="232"/>
      <c r="B1783" s="210"/>
      <c r="C1783" s="210"/>
      <c r="D1783" s="210"/>
      <c r="E1783" s="210"/>
      <c r="G1783" s="55"/>
      <c r="H1783" s="56"/>
      <c r="I1783" s="217"/>
      <c r="J1783" s="217"/>
      <c r="K1783" s="217"/>
      <c r="L1783" s="217"/>
      <c r="M1783" s="217"/>
      <c r="N1783" s="217"/>
      <c r="O1783" s="217"/>
      <c r="P1783" s="217"/>
      <c r="Q1783" s="217"/>
      <c r="R1783" s="217"/>
      <c r="S1783" s="217"/>
      <c r="T1783" s="217"/>
      <c r="U1783" s="217"/>
      <c r="V1783" s="217"/>
      <c r="W1783" s="217"/>
      <c r="X1783" s="217"/>
      <c r="Y1783" s="217"/>
      <c r="Z1783" s="217"/>
      <c r="AA1783" s="217"/>
      <c r="AB1783" s="217"/>
      <c r="AC1783" s="217"/>
      <c r="AD1783" s="217"/>
    </row>
    <row r="1784" spans="1:30" x14ac:dyDescent="0.2">
      <c r="A1784" s="232"/>
      <c r="B1784" s="210"/>
      <c r="C1784" s="210"/>
      <c r="D1784" s="210"/>
      <c r="E1784" s="210"/>
      <c r="G1784" s="55"/>
      <c r="H1784" s="56"/>
      <c r="I1784" s="217"/>
      <c r="J1784" s="217"/>
      <c r="K1784" s="217"/>
      <c r="L1784" s="217"/>
      <c r="M1784" s="217"/>
      <c r="N1784" s="217"/>
      <c r="O1784" s="217"/>
      <c r="P1784" s="217"/>
      <c r="Q1784" s="217"/>
      <c r="R1784" s="217"/>
      <c r="S1784" s="217"/>
      <c r="T1784" s="217"/>
      <c r="U1784" s="217"/>
      <c r="V1784" s="217"/>
      <c r="W1784" s="217"/>
      <c r="X1784" s="217"/>
      <c r="Y1784" s="217"/>
      <c r="Z1784" s="217"/>
      <c r="AA1784" s="217"/>
      <c r="AB1784" s="217"/>
      <c r="AC1784" s="217"/>
      <c r="AD1784" s="217"/>
    </row>
    <row r="1785" spans="1:30" x14ac:dyDescent="0.2">
      <c r="A1785" s="232"/>
      <c r="B1785" s="210"/>
      <c r="C1785" s="210"/>
      <c r="D1785" s="210"/>
      <c r="E1785" s="210"/>
      <c r="G1785" s="55"/>
      <c r="H1785" s="56"/>
      <c r="I1785" s="217"/>
      <c r="J1785" s="217"/>
      <c r="K1785" s="217"/>
      <c r="L1785" s="217"/>
      <c r="M1785" s="217"/>
      <c r="N1785" s="217"/>
      <c r="O1785" s="217"/>
      <c r="P1785" s="217"/>
      <c r="Q1785" s="217"/>
      <c r="R1785" s="217"/>
      <c r="S1785" s="217"/>
      <c r="T1785" s="217"/>
      <c r="U1785" s="217"/>
      <c r="V1785" s="217"/>
      <c r="W1785" s="217"/>
      <c r="X1785" s="217"/>
      <c r="Y1785" s="217"/>
      <c r="Z1785" s="217"/>
      <c r="AA1785" s="217"/>
      <c r="AB1785" s="217"/>
      <c r="AC1785" s="217"/>
      <c r="AD1785" s="217"/>
    </row>
    <row r="1786" spans="1:30" x14ac:dyDescent="0.2">
      <c r="A1786" s="232"/>
      <c r="B1786" s="210"/>
      <c r="C1786" s="210"/>
      <c r="D1786" s="210"/>
      <c r="E1786" s="210"/>
      <c r="G1786" s="55"/>
      <c r="H1786" s="56"/>
      <c r="I1786" s="217"/>
      <c r="J1786" s="217"/>
      <c r="K1786" s="217"/>
      <c r="L1786" s="217"/>
      <c r="M1786" s="217"/>
      <c r="N1786" s="217"/>
      <c r="O1786" s="217"/>
      <c r="P1786" s="217"/>
      <c r="Q1786" s="217"/>
      <c r="R1786" s="217"/>
      <c r="S1786" s="217"/>
      <c r="T1786" s="217"/>
      <c r="U1786" s="217"/>
      <c r="V1786" s="217"/>
      <c r="W1786" s="217"/>
      <c r="X1786" s="217"/>
      <c r="Y1786" s="217"/>
      <c r="Z1786" s="217"/>
      <c r="AA1786" s="217"/>
      <c r="AB1786" s="217"/>
      <c r="AC1786" s="217"/>
      <c r="AD1786" s="217"/>
    </row>
    <row r="1787" spans="1:30" x14ac:dyDescent="0.2">
      <c r="A1787" s="232"/>
      <c r="B1787" s="210"/>
      <c r="C1787" s="210"/>
      <c r="D1787" s="210"/>
      <c r="E1787" s="210"/>
      <c r="G1787" s="55"/>
      <c r="H1787" s="56"/>
      <c r="I1787" s="217"/>
      <c r="J1787" s="217"/>
      <c r="K1787" s="217"/>
      <c r="L1787" s="217"/>
      <c r="M1787" s="217"/>
      <c r="N1787" s="217"/>
      <c r="O1787" s="217"/>
      <c r="P1787" s="217"/>
      <c r="Q1787" s="217"/>
      <c r="R1787" s="217"/>
      <c r="S1787" s="217"/>
      <c r="T1787" s="217"/>
      <c r="U1787" s="217"/>
      <c r="V1787" s="217"/>
      <c r="W1787" s="217"/>
      <c r="X1787" s="217"/>
      <c r="Y1787" s="217"/>
      <c r="Z1787" s="217"/>
      <c r="AA1787" s="217"/>
      <c r="AB1787" s="217"/>
      <c r="AC1787" s="217"/>
      <c r="AD1787" s="217"/>
    </row>
    <row r="1788" spans="1:30" x14ac:dyDescent="0.2">
      <c r="A1788" s="232"/>
      <c r="B1788" s="210"/>
      <c r="C1788" s="210"/>
      <c r="D1788" s="210"/>
      <c r="E1788" s="210"/>
      <c r="G1788" s="55"/>
      <c r="H1788" s="56"/>
      <c r="I1788" s="217"/>
      <c r="J1788" s="217"/>
      <c r="K1788" s="217"/>
      <c r="L1788" s="217"/>
      <c r="M1788" s="217"/>
      <c r="N1788" s="217"/>
      <c r="O1788" s="217"/>
      <c r="P1788" s="217"/>
      <c r="Q1788" s="217"/>
      <c r="R1788" s="217"/>
      <c r="S1788" s="217"/>
      <c r="T1788" s="217"/>
      <c r="U1788" s="217"/>
      <c r="V1788" s="217"/>
      <c r="W1788" s="217"/>
      <c r="X1788" s="217"/>
      <c r="Y1788" s="217"/>
      <c r="Z1788" s="217"/>
      <c r="AA1788" s="217"/>
      <c r="AB1788" s="217"/>
      <c r="AC1788" s="217"/>
      <c r="AD1788" s="217"/>
    </row>
    <row r="1789" spans="1:30" x14ac:dyDescent="0.2">
      <c r="A1789" s="232"/>
      <c r="B1789" s="210"/>
      <c r="C1789" s="210"/>
      <c r="D1789" s="210"/>
      <c r="E1789" s="210"/>
      <c r="G1789" s="55"/>
      <c r="H1789" s="56"/>
      <c r="I1789" s="217"/>
      <c r="J1789" s="217"/>
      <c r="K1789" s="217"/>
      <c r="L1789" s="217"/>
      <c r="M1789" s="217"/>
      <c r="N1789" s="217"/>
      <c r="O1789" s="217"/>
      <c r="P1789" s="217"/>
      <c r="Q1789" s="217"/>
      <c r="R1789" s="217"/>
      <c r="S1789" s="217"/>
      <c r="T1789" s="217"/>
      <c r="U1789" s="217"/>
      <c r="V1789" s="217"/>
      <c r="W1789" s="217"/>
      <c r="X1789" s="217"/>
      <c r="Y1789" s="217"/>
      <c r="Z1789" s="217"/>
      <c r="AA1789" s="217"/>
      <c r="AB1789" s="217"/>
      <c r="AC1789" s="217"/>
      <c r="AD1789" s="217"/>
    </row>
    <row r="1790" spans="1:30" x14ac:dyDescent="0.2">
      <c r="A1790" s="232"/>
      <c r="B1790" s="210"/>
      <c r="C1790" s="210"/>
      <c r="D1790" s="210"/>
      <c r="E1790" s="210"/>
      <c r="G1790" s="55"/>
      <c r="H1790" s="56"/>
      <c r="I1790" s="217"/>
      <c r="J1790" s="217"/>
      <c r="K1790" s="217"/>
      <c r="L1790" s="217"/>
      <c r="M1790" s="217"/>
      <c r="N1790" s="217"/>
      <c r="O1790" s="217"/>
      <c r="P1790" s="217"/>
      <c r="Q1790" s="217"/>
      <c r="R1790" s="217"/>
      <c r="S1790" s="217"/>
      <c r="T1790" s="217"/>
      <c r="U1790" s="217"/>
      <c r="V1790" s="217"/>
      <c r="W1790" s="217"/>
      <c r="X1790" s="217"/>
      <c r="Y1790" s="217"/>
      <c r="Z1790" s="217"/>
      <c r="AA1790" s="217"/>
      <c r="AB1790" s="217"/>
      <c r="AC1790" s="217"/>
      <c r="AD1790" s="217"/>
    </row>
    <row r="1791" spans="1:30" x14ac:dyDescent="0.2">
      <c r="A1791" s="232"/>
      <c r="B1791" s="210"/>
      <c r="C1791" s="210"/>
      <c r="D1791" s="210"/>
      <c r="E1791" s="210"/>
      <c r="G1791" s="55"/>
      <c r="H1791" s="56"/>
      <c r="I1791" s="217"/>
      <c r="J1791" s="217"/>
      <c r="K1791" s="217"/>
      <c r="L1791" s="217"/>
      <c r="M1791" s="217"/>
      <c r="N1791" s="217"/>
      <c r="O1791" s="217"/>
      <c r="P1791" s="217"/>
      <c r="Q1791" s="217"/>
      <c r="R1791" s="217"/>
      <c r="S1791" s="217"/>
      <c r="T1791" s="217"/>
      <c r="U1791" s="217"/>
      <c r="V1791" s="217"/>
      <c r="W1791" s="217"/>
      <c r="X1791" s="217"/>
      <c r="Y1791" s="217"/>
      <c r="Z1791" s="217"/>
      <c r="AA1791" s="217"/>
      <c r="AB1791" s="217"/>
      <c r="AC1791" s="217"/>
      <c r="AD1791" s="217"/>
    </row>
    <row r="1792" spans="1:30" x14ac:dyDescent="0.2">
      <c r="A1792" s="232"/>
      <c r="B1792" s="210"/>
      <c r="C1792" s="210"/>
      <c r="D1792" s="210"/>
      <c r="E1792" s="210"/>
      <c r="G1792" s="55"/>
      <c r="H1792" s="56"/>
      <c r="I1792" s="217"/>
      <c r="J1792" s="217"/>
      <c r="K1792" s="217"/>
      <c r="L1792" s="217"/>
      <c r="M1792" s="217"/>
      <c r="N1792" s="217"/>
      <c r="O1792" s="217"/>
      <c r="P1792" s="217"/>
      <c r="Q1792" s="217"/>
      <c r="R1792" s="217"/>
      <c r="S1792" s="217"/>
      <c r="T1792" s="217"/>
      <c r="U1792" s="217"/>
      <c r="V1792" s="217"/>
      <c r="W1792" s="217"/>
      <c r="X1792" s="217"/>
      <c r="Y1792" s="217"/>
      <c r="Z1792" s="217"/>
      <c r="AA1792" s="217"/>
      <c r="AB1792" s="217"/>
      <c r="AC1792" s="217"/>
      <c r="AD1792" s="217"/>
    </row>
    <row r="1793" spans="1:30" x14ac:dyDescent="0.2">
      <c r="A1793" s="232"/>
      <c r="B1793" s="210"/>
      <c r="C1793" s="210"/>
      <c r="D1793" s="210"/>
      <c r="E1793" s="210"/>
      <c r="G1793" s="55"/>
      <c r="H1793" s="56"/>
      <c r="I1793" s="217"/>
      <c r="J1793" s="217"/>
      <c r="K1793" s="217"/>
      <c r="L1793" s="217"/>
      <c r="M1793" s="217"/>
      <c r="N1793" s="217"/>
      <c r="O1793" s="217"/>
      <c r="P1793" s="217"/>
      <c r="Q1793" s="217"/>
      <c r="R1793" s="217"/>
      <c r="S1793" s="217"/>
      <c r="T1793" s="217"/>
      <c r="U1793" s="217"/>
      <c r="V1793" s="217"/>
      <c r="W1793" s="217"/>
      <c r="X1793" s="217"/>
      <c r="Y1793" s="217"/>
      <c r="Z1793" s="217"/>
      <c r="AA1793" s="217"/>
      <c r="AB1793" s="217"/>
      <c r="AC1793" s="217"/>
      <c r="AD1793" s="217"/>
    </row>
    <row r="1794" spans="1:30" x14ac:dyDescent="0.2">
      <c r="A1794" s="232"/>
      <c r="B1794" s="210"/>
      <c r="C1794" s="210"/>
      <c r="D1794" s="210"/>
      <c r="E1794" s="210"/>
      <c r="G1794" s="55"/>
      <c r="H1794" s="56"/>
      <c r="I1794" s="217"/>
      <c r="J1794" s="217"/>
      <c r="K1794" s="217"/>
      <c r="L1794" s="217"/>
      <c r="M1794" s="217"/>
      <c r="N1794" s="217"/>
      <c r="O1794" s="217"/>
      <c r="P1794" s="217"/>
      <c r="Q1794" s="217"/>
      <c r="R1794" s="217"/>
      <c r="S1794" s="217"/>
      <c r="T1794" s="217"/>
      <c r="U1794" s="217"/>
      <c r="V1794" s="217"/>
      <c r="W1794" s="217"/>
      <c r="X1794" s="217"/>
      <c r="Y1794" s="217"/>
      <c r="Z1794" s="217"/>
      <c r="AA1794" s="217"/>
      <c r="AB1794" s="217"/>
      <c r="AC1794" s="217"/>
      <c r="AD1794" s="217"/>
    </row>
    <row r="1795" spans="1:30" x14ac:dyDescent="0.2">
      <c r="A1795" s="232"/>
      <c r="B1795" s="210"/>
      <c r="C1795" s="210"/>
      <c r="D1795" s="210"/>
      <c r="E1795" s="210"/>
      <c r="G1795" s="55"/>
      <c r="H1795" s="56"/>
      <c r="I1795" s="217"/>
      <c r="J1795" s="217"/>
      <c r="K1795" s="217"/>
      <c r="L1795" s="217"/>
      <c r="M1795" s="217"/>
      <c r="N1795" s="217"/>
      <c r="O1795" s="217"/>
      <c r="P1795" s="217"/>
      <c r="Q1795" s="217"/>
      <c r="R1795" s="217"/>
      <c r="S1795" s="217"/>
      <c r="T1795" s="217"/>
      <c r="U1795" s="217"/>
      <c r="V1795" s="217"/>
      <c r="W1795" s="217"/>
      <c r="X1795" s="217"/>
      <c r="Y1795" s="217"/>
      <c r="Z1795" s="217"/>
      <c r="AA1795" s="217"/>
      <c r="AB1795" s="217"/>
      <c r="AC1795" s="217"/>
      <c r="AD1795" s="217"/>
    </row>
    <row r="1796" spans="1:30" x14ac:dyDescent="0.2">
      <c r="A1796" s="232"/>
      <c r="B1796" s="210"/>
      <c r="C1796" s="210"/>
      <c r="D1796" s="210"/>
      <c r="E1796" s="210"/>
      <c r="G1796" s="55"/>
      <c r="H1796" s="56"/>
      <c r="I1796" s="217"/>
      <c r="J1796" s="217"/>
      <c r="K1796" s="217"/>
      <c r="L1796" s="217"/>
      <c r="M1796" s="217"/>
      <c r="N1796" s="217"/>
      <c r="O1796" s="217"/>
      <c r="P1796" s="217"/>
      <c r="Q1796" s="217"/>
      <c r="R1796" s="217"/>
      <c r="S1796" s="217"/>
      <c r="T1796" s="217"/>
      <c r="U1796" s="217"/>
      <c r="V1796" s="217"/>
      <c r="W1796" s="217"/>
      <c r="X1796" s="217"/>
      <c r="Y1796" s="217"/>
      <c r="Z1796" s="217"/>
      <c r="AA1796" s="217"/>
      <c r="AB1796" s="217"/>
      <c r="AC1796" s="217"/>
      <c r="AD1796" s="217"/>
    </row>
    <row r="1797" spans="1:30" x14ac:dyDescent="0.2">
      <c r="A1797" s="232"/>
      <c r="B1797" s="210"/>
      <c r="C1797" s="210"/>
      <c r="D1797" s="210"/>
      <c r="E1797" s="210"/>
      <c r="G1797" s="55"/>
      <c r="H1797" s="56"/>
      <c r="I1797" s="217"/>
      <c r="J1797" s="217"/>
      <c r="K1797" s="217"/>
      <c r="L1797" s="217"/>
      <c r="M1797" s="217"/>
      <c r="N1797" s="217"/>
      <c r="O1797" s="217"/>
      <c r="P1797" s="217"/>
      <c r="Q1797" s="217"/>
      <c r="R1797" s="217"/>
      <c r="S1797" s="217"/>
      <c r="T1797" s="217"/>
      <c r="U1797" s="217"/>
      <c r="V1797" s="217"/>
      <c r="W1797" s="217"/>
      <c r="X1797" s="217"/>
      <c r="Y1797" s="217"/>
      <c r="Z1797" s="217"/>
      <c r="AA1797" s="217"/>
      <c r="AB1797" s="217"/>
      <c r="AC1797" s="217"/>
      <c r="AD1797" s="217"/>
    </row>
    <row r="1798" spans="1:30" x14ac:dyDescent="0.2">
      <c r="A1798" s="232"/>
      <c r="B1798" s="210"/>
      <c r="C1798" s="210"/>
      <c r="D1798" s="210"/>
      <c r="E1798" s="210"/>
      <c r="G1798" s="55"/>
      <c r="H1798" s="56"/>
      <c r="I1798" s="217"/>
      <c r="J1798" s="217"/>
      <c r="K1798" s="217"/>
      <c r="L1798" s="217"/>
      <c r="M1798" s="217"/>
      <c r="N1798" s="217"/>
      <c r="O1798" s="217"/>
      <c r="P1798" s="217"/>
      <c r="Q1798" s="217"/>
      <c r="R1798" s="217"/>
      <c r="S1798" s="217"/>
      <c r="T1798" s="217"/>
      <c r="U1798" s="217"/>
      <c r="V1798" s="217"/>
      <c r="W1798" s="217"/>
      <c r="X1798" s="217"/>
      <c r="Y1798" s="217"/>
      <c r="Z1798" s="217"/>
      <c r="AA1798" s="217"/>
      <c r="AB1798" s="217"/>
      <c r="AC1798" s="217"/>
      <c r="AD1798" s="217"/>
    </row>
    <row r="1799" spans="1:30" x14ac:dyDescent="0.2">
      <c r="A1799" s="232"/>
      <c r="B1799" s="210"/>
      <c r="C1799" s="210"/>
      <c r="D1799" s="210"/>
      <c r="E1799" s="210"/>
      <c r="G1799" s="55"/>
      <c r="H1799" s="56"/>
      <c r="I1799" s="217"/>
      <c r="J1799" s="217"/>
      <c r="K1799" s="217"/>
      <c r="L1799" s="217"/>
      <c r="M1799" s="217"/>
      <c r="N1799" s="217"/>
      <c r="O1799" s="217"/>
      <c r="P1799" s="217"/>
      <c r="Q1799" s="217"/>
      <c r="R1799" s="217"/>
      <c r="S1799" s="217"/>
      <c r="T1799" s="217"/>
      <c r="U1799" s="217"/>
      <c r="V1799" s="217"/>
      <c r="W1799" s="217"/>
      <c r="X1799" s="217"/>
      <c r="Y1799" s="217"/>
      <c r="Z1799" s="217"/>
      <c r="AA1799" s="217"/>
      <c r="AB1799" s="217"/>
      <c r="AC1799" s="217"/>
      <c r="AD1799" s="217"/>
    </row>
    <row r="1800" spans="1:30" x14ac:dyDescent="0.2">
      <c r="A1800" s="232"/>
      <c r="B1800" s="210"/>
      <c r="C1800" s="210"/>
      <c r="D1800" s="210"/>
      <c r="E1800" s="210"/>
      <c r="G1800" s="55"/>
      <c r="H1800" s="56"/>
      <c r="I1800" s="217"/>
      <c r="J1800" s="217"/>
      <c r="K1800" s="217"/>
      <c r="L1800" s="217"/>
      <c r="M1800" s="217"/>
      <c r="N1800" s="217"/>
      <c r="O1800" s="217"/>
      <c r="P1800" s="217"/>
      <c r="Q1800" s="217"/>
      <c r="R1800" s="217"/>
      <c r="S1800" s="217"/>
      <c r="T1800" s="217"/>
      <c r="U1800" s="217"/>
      <c r="V1800" s="217"/>
      <c r="W1800" s="217"/>
      <c r="X1800" s="217"/>
      <c r="Y1800" s="217"/>
      <c r="Z1800" s="217"/>
      <c r="AA1800" s="217"/>
      <c r="AB1800" s="217"/>
      <c r="AC1800" s="217"/>
      <c r="AD1800" s="217"/>
    </row>
    <row r="1801" spans="1:30" x14ac:dyDescent="0.2">
      <c r="A1801" s="232"/>
      <c r="B1801" s="210"/>
      <c r="C1801" s="210"/>
      <c r="D1801" s="210"/>
      <c r="E1801" s="210"/>
      <c r="G1801" s="55"/>
      <c r="H1801" s="56"/>
      <c r="I1801" s="217"/>
      <c r="J1801" s="217"/>
      <c r="K1801" s="217"/>
      <c r="L1801" s="217"/>
      <c r="M1801" s="217"/>
      <c r="N1801" s="217"/>
      <c r="O1801" s="217"/>
      <c r="P1801" s="217"/>
      <c r="Q1801" s="217"/>
      <c r="R1801" s="217"/>
      <c r="S1801" s="217"/>
      <c r="T1801" s="217"/>
      <c r="U1801" s="217"/>
      <c r="V1801" s="217"/>
      <c r="W1801" s="217"/>
      <c r="X1801" s="217"/>
      <c r="Y1801" s="217"/>
      <c r="Z1801" s="217"/>
      <c r="AA1801" s="217"/>
      <c r="AB1801" s="217"/>
      <c r="AC1801" s="217"/>
      <c r="AD1801" s="217"/>
    </row>
    <row r="1802" spans="1:30" x14ac:dyDescent="0.2">
      <c r="A1802" s="232"/>
      <c r="B1802" s="210"/>
      <c r="C1802" s="210"/>
      <c r="D1802" s="210"/>
      <c r="E1802" s="210"/>
      <c r="G1802" s="55"/>
      <c r="H1802" s="56"/>
      <c r="I1802" s="217"/>
      <c r="J1802" s="217"/>
      <c r="K1802" s="217"/>
      <c r="L1802" s="217"/>
      <c r="M1802" s="217"/>
      <c r="N1802" s="217"/>
      <c r="O1802" s="217"/>
      <c r="P1802" s="217"/>
      <c r="Q1802" s="217"/>
      <c r="R1802" s="217"/>
      <c r="S1802" s="217"/>
      <c r="T1802" s="217"/>
      <c r="U1802" s="217"/>
      <c r="V1802" s="217"/>
      <c r="W1802" s="217"/>
      <c r="X1802" s="217"/>
      <c r="Y1802" s="217"/>
      <c r="Z1802" s="217"/>
      <c r="AA1802" s="217"/>
      <c r="AB1802" s="217"/>
      <c r="AC1802" s="217"/>
      <c r="AD1802" s="217"/>
    </row>
    <row r="1803" spans="1:30" x14ac:dyDescent="0.2">
      <c r="A1803" s="232"/>
      <c r="B1803" s="210"/>
      <c r="C1803" s="210"/>
      <c r="D1803" s="210"/>
      <c r="E1803" s="210"/>
      <c r="G1803" s="55"/>
      <c r="H1803" s="56"/>
      <c r="I1803" s="217"/>
      <c r="J1803" s="217"/>
      <c r="K1803" s="217"/>
      <c r="L1803" s="217"/>
      <c r="M1803" s="217"/>
      <c r="N1803" s="217"/>
      <c r="O1803" s="217"/>
      <c r="P1803" s="217"/>
      <c r="Q1803" s="217"/>
      <c r="R1803" s="217"/>
      <c r="S1803" s="217"/>
      <c r="T1803" s="217"/>
      <c r="U1803" s="217"/>
      <c r="V1803" s="217"/>
      <c r="W1803" s="217"/>
      <c r="X1803" s="217"/>
      <c r="Y1803" s="217"/>
      <c r="Z1803" s="217"/>
      <c r="AA1803" s="217"/>
      <c r="AB1803" s="217"/>
      <c r="AC1803" s="217"/>
      <c r="AD1803" s="217"/>
    </row>
    <row r="1804" spans="1:30" x14ac:dyDescent="0.2">
      <c r="A1804" s="232"/>
      <c r="B1804" s="210"/>
      <c r="C1804" s="210"/>
      <c r="D1804" s="210"/>
      <c r="E1804" s="210"/>
      <c r="G1804" s="55"/>
      <c r="H1804" s="56"/>
      <c r="I1804" s="217"/>
      <c r="J1804" s="217"/>
      <c r="K1804" s="217"/>
      <c r="L1804" s="217"/>
      <c r="M1804" s="217"/>
      <c r="N1804" s="217"/>
      <c r="O1804" s="217"/>
      <c r="P1804" s="217"/>
      <c r="Q1804" s="217"/>
      <c r="R1804" s="217"/>
      <c r="S1804" s="217"/>
      <c r="T1804" s="217"/>
      <c r="U1804" s="217"/>
      <c r="V1804" s="217"/>
      <c r="W1804" s="217"/>
      <c r="X1804" s="217"/>
      <c r="Y1804" s="217"/>
      <c r="Z1804" s="217"/>
      <c r="AA1804" s="217"/>
      <c r="AB1804" s="217"/>
      <c r="AC1804" s="217"/>
      <c r="AD1804" s="217"/>
    </row>
    <row r="1805" spans="1:30" x14ac:dyDescent="0.2">
      <c r="A1805" s="232"/>
      <c r="B1805" s="210"/>
      <c r="C1805" s="210"/>
      <c r="D1805" s="210"/>
      <c r="E1805" s="210"/>
      <c r="G1805" s="55"/>
      <c r="H1805" s="56"/>
      <c r="I1805" s="217"/>
      <c r="J1805" s="217"/>
      <c r="K1805" s="217"/>
      <c r="L1805" s="217"/>
      <c r="M1805" s="217"/>
      <c r="N1805" s="217"/>
      <c r="O1805" s="217"/>
      <c r="P1805" s="217"/>
      <c r="Q1805" s="217"/>
      <c r="R1805" s="217"/>
      <c r="S1805" s="217"/>
      <c r="T1805" s="217"/>
      <c r="U1805" s="217"/>
      <c r="V1805" s="217"/>
      <c r="W1805" s="217"/>
      <c r="X1805" s="217"/>
      <c r="Y1805" s="217"/>
      <c r="Z1805" s="217"/>
      <c r="AA1805" s="217"/>
      <c r="AB1805" s="217"/>
      <c r="AC1805" s="217"/>
      <c r="AD1805" s="217"/>
    </row>
    <row r="1806" spans="1:30" x14ac:dyDescent="0.2">
      <c r="A1806" s="232"/>
      <c r="B1806" s="210"/>
      <c r="C1806" s="210"/>
      <c r="D1806" s="210"/>
      <c r="E1806" s="210"/>
      <c r="G1806" s="55"/>
      <c r="H1806" s="56"/>
      <c r="I1806" s="217"/>
      <c r="J1806" s="217"/>
      <c r="K1806" s="217"/>
      <c r="L1806" s="217"/>
      <c r="M1806" s="217"/>
      <c r="N1806" s="217"/>
      <c r="O1806" s="217"/>
      <c r="P1806" s="217"/>
      <c r="Q1806" s="217"/>
      <c r="R1806" s="217"/>
      <c r="S1806" s="217"/>
      <c r="T1806" s="217"/>
      <c r="U1806" s="217"/>
      <c r="V1806" s="217"/>
      <c r="W1806" s="217"/>
      <c r="X1806" s="217"/>
      <c r="Y1806" s="217"/>
      <c r="Z1806" s="217"/>
      <c r="AA1806" s="217"/>
      <c r="AB1806" s="217"/>
      <c r="AC1806" s="217"/>
      <c r="AD1806" s="217"/>
    </row>
    <row r="1807" spans="1:30" x14ac:dyDescent="0.2">
      <c r="A1807" s="232"/>
      <c r="B1807" s="210"/>
      <c r="C1807" s="210"/>
      <c r="D1807" s="210"/>
      <c r="E1807" s="210"/>
      <c r="G1807" s="55"/>
      <c r="H1807" s="56"/>
      <c r="I1807" s="217"/>
      <c r="J1807" s="217"/>
      <c r="K1807" s="217"/>
      <c r="L1807" s="217"/>
      <c r="M1807" s="217"/>
      <c r="N1807" s="217"/>
      <c r="O1807" s="217"/>
      <c r="P1807" s="217"/>
      <c r="Q1807" s="217"/>
      <c r="R1807" s="217"/>
      <c r="S1807" s="217"/>
      <c r="T1807" s="217"/>
      <c r="U1807" s="217"/>
      <c r="V1807" s="217"/>
      <c r="W1807" s="217"/>
      <c r="X1807" s="217"/>
      <c r="Y1807" s="217"/>
      <c r="Z1807" s="217"/>
      <c r="AA1807" s="217"/>
      <c r="AB1807" s="217"/>
      <c r="AC1807" s="217"/>
      <c r="AD1807" s="217"/>
    </row>
    <row r="1808" spans="1:30" x14ac:dyDescent="0.2">
      <c r="A1808" s="232"/>
      <c r="B1808" s="210"/>
      <c r="C1808" s="210"/>
      <c r="D1808" s="210"/>
      <c r="E1808" s="210"/>
      <c r="G1808" s="55"/>
      <c r="H1808" s="56"/>
      <c r="I1808" s="217"/>
      <c r="J1808" s="217"/>
      <c r="K1808" s="217"/>
      <c r="L1808" s="217"/>
      <c r="M1808" s="217"/>
      <c r="N1808" s="217"/>
      <c r="O1808" s="217"/>
      <c r="P1808" s="217"/>
      <c r="Q1808" s="217"/>
      <c r="R1808" s="217"/>
      <c r="S1808" s="217"/>
      <c r="T1808" s="217"/>
      <c r="U1808" s="217"/>
      <c r="V1808" s="217"/>
      <c r="W1808" s="217"/>
      <c r="X1808" s="217"/>
      <c r="Y1808" s="217"/>
      <c r="Z1808" s="217"/>
      <c r="AA1808" s="217"/>
      <c r="AB1808" s="217"/>
      <c r="AC1808" s="217"/>
      <c r="AD1808" s="217"/>
    </row>
    <row r="1809" spans="1:30" x14ac:dyDescent="0.2">
      <c r="A1809" s="232"/>
      <c r="B1809" s="210"/>
      <c r="C1809" s="210"/>
      <c r="D1809" s="210"/>
      <c r="E1809" s="210"/>
      <c r="G1809" s="55"/>
      <c r="H1809" s="56"/>
      <c r="I1809" s="217"/>
      <c r="J1809" s="217"/>
      <c r="K1809" s="217"/>
      <c r="L1809" s="217"/>
      <c r="M1809" s="217"/>
      <c r="N1809" s="217"/>
      <c r="O1809" s="217"/>
      <c r="P1809" s="217"/>
      <c r="Q1809" s="217"/>
      <c r="R1809" s="217"/>
      <c r="S1809" s="217"/>
      <c r="T1809" s="217"/>
      <c r="U1809" s="217"/>
      <c r="V1809" s="217"/>
      <c r="W1809" s="217"/>
      <c r="X1809" s="217"/>
      <c r="Y1809" s="217"/>
      <c r="Z1809" s="217"/>
      <c r="AA1809" s="217"/>
      <c r="AB1809" s="217"/>
      <c r="AC1809" s="217"/>
      <c r="AD1809" s="217"/>
    </row>
    <row r="1810" spans="1:30" x14ac:dyDescent="0.2">
      <c r="A1810" s="232"/>
      <c r="B1810" s="210"/>
      <c r="C1810" s="210"/>
      <c r="D1810" s="210"/>
      <c r="E1810" s="210"/>
      <c r="G1810" s="55"/>
      <c r="H1810" s="56"/>
      <c r="I1810" s="217"/>
      <c r="J1810" s="217"/>
      <c r="K1810" s="217"/>
      <c r="L1810" s="217"/>
      <c r="M1810" s="217"/>
      <c r="N1810" s="217"/>
      <c r="O1810" s="217"/>
      <c r="P1810" s="217"/>
      <c r="Q1810" s="217"/>
      <c r="R1810" s="217"/>
      <c r="S1810" s="217"/>
      <c r="T1810" s="217"/>
      <c r="U1810" s="217"/>
      <c r="V1810" s="217"/>
      <c r="W1810" s="217"/>
      <c r="X1810" s="217"/>
      <c r="Y1810" s="217"/>
      <c r="Z1810" s="217"/>
      <c r="AA1810" s="217"/>
      <c r="AB1810" s="217"/>
      <c r="AC1810" s="217"/>
      <c r="AD1810" s="217"/>
    </row>
    <row r="1811" spans="1:30" x14ac:dyDescent="0.2">
      <c r="A1811" s="232"/>
      <c r="B1811" s="210"/>
      <c r="C1811" s="210"/>
      <c r="D1811" s="210"/>
      <c r="E1811" s="210"/>
      <c r="G1811" s="55"/>
      <c r="H1811" s="56"/>
      <c r="I1811" s="217"/>
      <c r="J1811" s="217"/>
      <c r="K1811" s="217"/>
      <c r="L1811" s="217"/>
      <c r="M1811" s="217"/>
      <c r="N1811" s="217"/>
      <c r="O1811" s="217"/>
      <c r="P1811" s="217"/>
      <c r="Q1811" s="217"/>
      <c r="R1811" s="217"/>
      <c r="S1811" s="217"/>
      <c r="T1811" s="217"/>
      <c r="U1811" s="217"/>
      <c r="V1811" s="217"/>
      <c r="W1811" s="217"/>
      <c r="X1811" s="217"/>
      <c r="Y1811" s="217"/>
      <c r="Z1811" s="217"/>
      <c r="AA1811" s="217"/>
      <c r="AB1811" s="217"/>
      <c r="AC1811" s="217"/>
      <c r="AD1811" s="217"/>
    </row>
    <row r="1812" spans="1:30" x14ac:dyDescent="0.2">
      <c r="A1812" s="232"/>
      <c r="B1812" s="210"/>
      <c r="C1812" s="210"/>
      <c r="D1812" s="210"/>
      <c r="E1812" s="210"/>
      <c r="G1812" s="55"/>
      <c r="H1812" s="56"/>
      <c r="I1812" s="217"/>
      <c r="J1812" s="217"/>
      <c r="K1812" s="217"/>
      <c r="L1812" s="217"/>
      <c r="M1812" s="217"/>
      <c r="N1812" s="217"/>
      <c r="O1812" s="217"/>
      <c r="P1812" s="217"/>
      <c r="Q1812" s="217"/>
      <c r="R1812" s="217"/>
      <c r="S1812" s="217"/>
      <c r="T1812" s="217"/>
      <c r="U1812" s="217"/>
      <c r="V1812" s="217"/>
      <c r="W1812" s="217"/>
      <c r="X1812" s="217"/>
      <c r="Y1812" s="217"/>
      <c r="Z1812" s="217"/>
      <c r="AA1812" s="217"/>
      <c r="AB1812" s="217"/>
      <c r="AC1812" s="217"/>
      <c r="AD1812" s="217"/>
    </row>
    <row r="1813" spans="1:30" x14ac:dyDescent="0.2">
      <c r="A1813" s="232"/>
      <c r="B1813" s="210"/>
      <c r="C1813" s="210"/>
      <c r="D1813" s="210"/>
      <c r="E1813" s="210"/>
      <c r="G1813" s="55"/>
      <c r="H1813" s="56"/>
      <c r="I1813" s="217"/>
      <c r="J1813" s="217"/>
      <c r="K1813" s="217"/>
      <c r="L1813" s="217"/>
      <c r="M1813" s="217"/>
      <c r="N1813" s="217"/>
      <c r="O1813" s="217"/>
      <c r="P1813" s="217"/>
      <c r="Q1813" s="217"/>
      <c r="R1813" s="217"/>
      <c r="S1813" s="217"/>
      <c r="T1813" s="217"/>
      <c r="U1813" s="217"/>
      <c r="V1813" s="217"/>
      <c r="W1813" s="217"/>
      <c r="X1813" s="217"/>
      <c r="Y1813" s="217"/>
      <c r="Z1813" s="217"/>
      <c r="AA1813" s="217"/>
      <c r="AB1813" s="217"/>
      <c r="AC1813" s="217"/>
      <c r="AD1813" s="217"/>
    </row>
    <row r="1814" spans="1:30" x14ac:dyDescent="0.2">
      <c r="A1814" s="232"/>
      <c r="B1814" s="210"/>
      <c r="C1814" s="210"/>
      <c r="D1814" s="210"/>
      <c r="E1814" s="210"/>
      <c r="G1814" s="55"/>
      <c r="H1814" s="56"/>
      <c r="I1814" s="217"/>
      <c r="J1814" s="217"/>
      <c r="K1814" s="217"/>
      <c r="L1814" s="217"/>
      <c r="M1814" s="217"/>
      <c r="N1814" s="217"/>
      <c r="O1814" s="217"/>
      <c r="P1814" s="217"/>
      <c r="Q1814" s="217"/>
      <c r="R1814" s="217"/>
      <c r="S1814" s="217"/>
      <c r="T1814" s="217"/>
      <c r="U1814" s="217"/>
      <c r="V1814" s="217"/>
      <c r="W1814" s="217"/>
      <c r="X1814" s="217"/>
      <c r="Y1814" s="217"/>
      <c r="Z1814" s="217"/>
      <c r="AA1814" s="217"/>
      <c r="AB1814" s="217"/>
      <c r="AC1814" s="217"/>
      <c r="AD1814" s="217"/>
    </row>
    <row r="1815" spans="1:30" x14ac:dyDescent="0.2">
      <c r="A1815" s="232"/>
      <c r="B1815" s="210"/>
      <c r="C1815" s="210"/>
      <c r="D1815" s="210"/>
      <c r="E1815" s="210"/>
      <c r="G1815" s="55"/>
      <c r="H1815" s="56"/>
      <c r="I1815" s="217"/>
      <c r="J1815" s="217"/>
      <c r="K1815" s="217"/>
      <c r="L1815" s="217"/>
      <c r="M1815" s="217"/>
      <c r="N1815" s="217"/>
      <c r="O1815" s="217"/>
      <c r="P1815" s="217"/>
      <c r="Q1815" s="217"/>
      <c r="R1815" s="217"/>
      <c r="S1815" s="217"/>
      <c r="T1815" s="217"/>
      <c r="U1815" s="217"/>
      <c r="V1815" s="217"/>
      <c r="W1815" s="217"/>
      <c r="X1815" s="217"/>
      <c r="Y1815" s="217"/>
      <c r="Z1815" s="217"/>
      <c r="AA1815" s="217"/>
      <c r="AB1815" s="217"/>
      <c r="AC1815" s="217"/>
      <c r="AD1815" s="217"/>
    </row>
    <row r="1816" spans="1:30" x14ac:dyDescent="0.2">
      <c r="A1816" s="232"/>
      <c r="B1816" s="210"/>
      <c r="C1816" s="210"/>
      <c r="D1816" s="210"/>
      <c r="E1816" s="210"/>
      <c r="G1816" s="55"/>
      <c r="H1816" s="56"/>
      <c r="I1816" s="217"/>
      <c r="J1816" s="217"/>
      <c r="K1816" s="217"/>
      <c r="L1816" s="217"/>
      <c r="M1816" s="217"/>
      <c r="N1816" s="217"/>
      <c r="O1816" s="217"/>
      <c r="P1816" s="217"/>
      <c r="Q1816" s="217"/>
      <c r="R1816" s="217"/>
      <c r="S1816" s="217"/>
      <c r="T1816" s="217"/>
      <c r="U1816" s="217"/>
      <c r="V1816" s="217"/>
      <c r="W1816" s="217"/>
      <c r="X1816" s="217"/>
      <c r="Y1816" s="217"/>
      <c r="Z1816" s="217"/>
      <c r="AA1816" s="217"/>
      <c r="AB1816" s="217"/>
      <c r="AC1816" s="217"/>
      <c r="AD1816" s="217"/>
    </row>
    <row r="1817" spans="1:30" x14ac:dyDescent="0.2">
      <c r="A1817" s="232"/>
      <c r="B1817" s="210"/>
      <c r="C1817" s="210"/>
      <c r="D1817" s="210"/>
      <c r="E1817" s="210"/>
      <c r="G1817" s="55"/>
      <c r="H1817" s="56"/>
      <c r="I1817" s="217"/>
      <c r="J1817" s="217"/>
      <c r="K1817" s="217"/>
      <c r="L1817" s="217"/>
      <c r="M1817" s="217"/>
      <c r="N1817" s="217"/>
      <c r="O1817" s="217"/>
      <c r="P1817" s="217"/>
      <c r="Q1817" s="217"/>
      <c r="R1817" s="217"/>
      <c r="S1817" s="217"/>
      <c r="T1817" s="217"/>
      <c r="U1817" s="217"/>
      <c r="V1817" s="217"/>
      <c r="W1817" s="217"/>
      <c r="X1817" s="217"/>
      <c r="Y1817" s="217"/>
      <c r="Z1817" s="217"/>
      <c r="AA1817" s="217"/>
      <c r="AB1817" s="217"/>
      <c r="AC1817" s="217"/>
      <c r="AD1817" s="217"/>
    </row>
    <row r="1818" spans="1:30" x14ac:dyDescent="0.2">
      <c r="A1818" s="232"/>
      <c r="B1818" s="210"/>
      <c r="C1818" s="210"/>
      <c r="D1818" s="210"/>
      <c r="E1818" s="210"/>
      <c r="G1818" s="55"/>
      <c r="H1818" s="56"/>
      <c r="I1818" s="217"/>
      <c r="J1818" s="217"/>
      <c r="K1818" s="217"/>
      <c r="L1818" s="217"/>
      <c r="M1818" s="217"/>
      <c r="N1818" s="217"/>
      <c r="O1818" s="217"/>
      <c r="P1818" s="217"/>
      <c r="Q1818" s="217"/>
      <c r="R1818" s="217"/>
      <c r="S1818" s="217"/>
      <c r="T1818" s="217"/>
      <c r="U1818" s="217"/>
      <c r="V1818" s="217"/>
      <c r="W1818" s="217"/>
      <c r="X1818" s="217"/>
      <c r="Y1818" s="217"/>
      <c r="Z1818" s="217"/>
      <c r="AA1818" s="217"/>
      <c r="AB1818" s="217"/>
      <c r="AC1818" s="217"/>
      <c r="AD1818" s="217"/>
    </row>
    <row r="1819" spans="1:30" x14ac:dyDescent="0.2">
      <c r="A1819" s="232"/>
      <c r="B1819" s="210"/>
      <c r="C1819" s="210"/>
      <c r="D1819" s="210"/>
      <c r="E1819" s="210"/>
      <c r="G1819" s="55"/>
      <c r="H1819" s="56"/>
      <c r="I1819" s="217"/>
      <c r="J1819" s="217"/>
      <c r="K1819" s="217"/>
      <c r="L1819" s="217"/>
      <c r="M1819" s="217"/>
      <c r="N1819" s="217"/>
      <c r="O1819" s="217"/>
      <c r="P1819" s="217"/>
      <c r="Q1819" s="217"/>
      <c r="R1819" s="217"/>
      <c r="S1819" s="217"/>
      <c r="T1819" s="217"/>
      <c r="U1819" s="217"/>
      <c r="V1819" s="217"/>
      <c r="W1819" s="217"/>
      <c r="X1819" s="217"/>
      <c r="Y1819" s="217"/>
      <c r="Z1819" s="217"/>
      <c r="AA1819" s="217"/>
      <c r="AB1819" s="217"/>
      <c r="AC1819" s="217"/>
      <c r="AD1819" s="217"/>
    </row>
    <row r="1820" spans="1:30" x14ac:dyDescent="0.2">
      <c r="A1820" s="232"/>
      <c r="B1820" s="210"/>
      <c r="C1820" s="210"/>
      <c r="D1820" s="210"/>
      <c r="E1820" s="210"/>
      <c r="G1820" s="55"/>
      <c r="H1820" s="56"/>
      <c r="I1820" s="217"/>
      <c r="J1820" s="217"/>
      <c r="K1820" s="217"/>
      <c r="L1820" s="217"/>
      <c r="M1820" s="217"/>
      <c r="N1820" s="217"/>
      <c r="O1820" s="217"/>
      <c r="P1820" s="217"/>
      <c r="Q1820" s="217"/>
      <c r="R1820" s="217"/>
      <c r="S1820" s="217"/>
      <c r="T1820" s="217"/>
      <c r="U1820" s="217"/>
      <c r="V1820" s="217"/>
      <c r="W1820" s="217"/>
      <c r="X1820" s="217"/>
      <c r="Y1820" s="217"/>
      <c r="Z1820" s="217"/>
      <c r="AA1820" s="217"/>
      <c r="AB1820" s="217"/>
      <c r="AC1820" s="217"/>
      <c r="AD1820" s="217"/>
    </row>
    <row r="1821" spans="1:30" x14ac:dyDescent="0.2">
      <c r="A1821" s="232"/>
      <c r="B1821" s="210"/>
      <c r="C1821" s="210"/>
      <c r="D1821" s="210"/>
      <c r="E1821" s="210"/>
      <c r="G1821" s="55"/>
      <c r="H1821" s="56"/>
      <c r="I1821" s="217"/>
      <c r="J1821" s="217"/>
      <c r="K1821" s="217"/>
      <c r="L1821" s="217"/>
      <c r="M1821" s="217"/>
      <c r="N1821" s="217"/>
      <c r="O1821" s="217"/>
      <c r="P1821" s="217"/>
      <c r="Q1821" s="217"/>
      <c r="R1821" s="217"/>
      <c r="S1821" s="217"/>
      <c r="T1821" s="217"/>
      <c r="U1821" s="217"/>
      <c r="V1821" s="217"/>
      <c r="W1821" s="217"/>
      <c r="X1821" s="217"/>
      <c r="Y1821" s="217"/>
      <c r="Z1821" s="217"/>
      <c r="AA1821" s="217"/>
      <c r="AB1821" s="217"/>
      <c r="AC1821" s="217"/>
      <c r="AD1821" s="217"/>
    </row>
    <row r="1822" spans="1:30" x14ac:dyDescent="0.2">
      <c r="A1822" s="232"/>
      <c r="B1822" s="210"/>
      <c r="C1822" s="210"/>
      <c r="D1822" s="210"/>
      <c r="E1822" s="210"/>
      <c r="G1822" s="55"/>
      <c r="H1822" s="56"/>
      <c r="I1822" s="217"/>
      <c r="J1822" s="217"/>
      <c r="K1822" s="217"/>
      <c r="L1822" s="217"/>
      <c r="M1822" s="217"/>
      <c r="N1822" s="217"/>
      <c r="O1822" s="217"/>
      <c r="P1822" s="217"/>
      <c r="Q1822" s="217"/>
      <c r="R1822" s="217"/>
      <c r="S1822" s="217"/>
      <c r="T1822" s="217"/>
      <c r="U1822" s="217"/>
      <c r="V1822" s="217"/>
      <c r="W1822" s="217"/>
      <c r="X1822" s="217"/>
      <c r="Y1822" s="217"/>
      <c r="Z1822" s="217"/>
      <c r="AA1822" s="217"/>
      <c r="AB1822" s="217"/>
      <c r="AC1822" s="217"/>
      <c r="AD1822" s="217"/>
    </row>
    <row r="1823" spans="1:30" x14ac:dyDescent="0.2">
      <c r="A1823" s="232"/>
      <c r="B1823" s="210"/>
      <c r="C1823" s="210"/>
      <c r="D1823" s="210"/>
      <c r="E1823" s="210"/>
      <c r="G1823" s="55"/>
      <c r="H1823" s="56"/>
      <c r="I1823" s="217"/>
      <c r="J1823" s="217"/>
      <c r="K1823" s="217"/>
      <c r="L1823" s="217"/>
      <c r="M1823" s="217"/>
      <c r="N1823" s="217"/>
      <c r="O1823" s="217"/>
      <c r="P1823" s="217"/>
      <c r="Q1823" s="217"/>
      <c r="R1823" s="217"/>
      <c r="S1823" s="217"/>
      <c r="T1823" s="217"/>
      <c r="U1823" s="217"/>
      <c r="V1823" s="217"/>
      <c r="W1823" s="217"/>
      <c r="X1823" s="217"/>
      <c r="Y1823" s="217"/>
      <c r="Z1823" s="217"/>
      <c r="AA1823" s="217"/>
      <c r="AB1823" s="217"/>
      <c r="AC1823" s="217"/>
      <c r="AD1823" s="217"/>
    </row>
    <row r="1824" spans="1:30" x14ac:dyDescent="0.2">
      <c r="A1824" s="232"/>
      <c r="B1824" s="210"/>
      <c r="C1824" s="210"/>
      <c r="D1824" s="210"/>
      <c r="E1824" s="210"/>
      <c r="G1824" s="55"/>
      <c r="H1824" s="56"/>
      <c r="I1824" s="217"/>
      <c r="J1824" s="217"/>
      <c r="K1824" s="217"/>
      <c r="L1824" s="217"/>
      <c r="M1824" s="217"/>
      <c r="N1824" s="217"/>
      <c r="O1824" s="217"/>
      <c r="P1824" s="217"/>
      <c r="Q1824" s="217"/>
      <c r="R1824" s="217"/>
      <c r="S1824" s="217"/>
      <c r="T1824" s="217"/>
      <c r="U1824" s="217"/>
      <c r="V1824" s="217"/>
      <c r="W1824" s="217"/>
      <c r="X1824" s="217"/>
      <c r="Y1824" s="217"/>
      <c r="Z1824" s="217"/>
      <c r="AA1824" s="217"/>
      <c r="AB1824" s="217"/>
      <c r="AC1824" s="217"/>
      <c r="AD1824" s="217"/>
    </row>
    <row r="1825" spans="1:30" x14ac:dyDescent="0.2">
      <c r="A1825" s="232"/>
      <c r="B1825" s="210"/>
      <c r="C1825" s="210"/>
      <c r="D1825" s="210"/>
      <c r="E1825" s="210"/>
      <c r="G1825" s="55"/>
      <c r="H1825" s="56"/>
      <c r="I1825" s="217"/>
      <c r="J1825" s="217"/>
      <c r="K1825" s="217"/>
      <c r="L1825" s="217"/>
      <c r="M1825" s="217"/>
      <c r="N1825" s="217"/>
      <c r="O1825" s="217"/>
      <c r="P1825" s="217"/>
      <c r="Q1825" s="217"/>
      <c r="R1825" s="217"/>
      <c r="S1825" s="217"/>
      <c r="T1825" s="217"/>
      <c r="U1825" s="217"/>
      <c r="V1825" s="217"/>
      <c r="W1825" s="217"/>
      <c r="X1825" s="217"/>
      <c r="Y1825" s="217"/>
      <c r="Z1825" s="217"/>
      <c r="AA1825" s="217"/>
      <c r="AB1825" s="217"/>
      <c r="AC1825" s="217"/>
      <c r="AD1825" s="217"/>
    </row>
    <row r="1826" spans="1:30" x14ac:dyDescent="0.2">
      <c r="A1826" s="232"/>
      <c r="B1826" s="210"/>
      <c r="C1826" s="210"/>
      <c r="D1826" s="210"/>
      <c r="E1826" s="210"/>
      <c r="G1826" s="55"/>
      <c r="H1826" s="56"/>
      <c r="I1826" s="217"/>
      <c r="J1826" s="217"/>
      <c r="K1826" s="217"/>
      <c r="L1826" s="217"/>
      <c r="M1826" s="217"/>
      <c r="N1826" s="217"/>
      <c r="O1826" s="217"/>
      <c r="P1826" s="217"/>
      <c r="Q1826" s="217"/>
      <c r="R1826" s="217"/>
      <c r="S1826" s="217"/>
      <c r="T1826" s="217"/>
      <c r="U1826" s="217"/>
      <c r="V1826" s="217"/>
      <c r="W1826" s="217"/>
      <c r="X1826" s="217"/>
      <c r="Y1826" s="217"/>
      <c r="Z1826" s="217"/>
      <c r="AA1826" s="217"/>
      <c r="AB1826" s="217"/>
      <c r="AC1826" s="217"/>
      <c r="AD1826" s="217"/>
    </row>
    <row r="1827" spans="1:30" x14ac:dyDescent="0.2">
      <c r="A1827" s="232"/>
      <c r="B1827" s="210"/>
      <c r="C1827" s="210"/>
      <c r="D1827" s="210"/>
      <c r="E1827" s="210"/>
      <c r="G1827" s="55"/>
      <c r="H1827" s="56"/>
      <c r="I1827" s="217"/>
      <c r="J1827" s="217"/>
      <c r="K1827" s="217"/>
      <c r="L1827" s="217"/>
      <c r="M1827" s="217"/>
      <c r="N1827" s="217"/>
      <c r="O1827" s="217"/>
      <c r="P1827" s="217"/>
      <c r="Q1827" s="217"/>
      <c r="R1827" s="217"/>
      <c r="S1827" s="217"/>
      <c r="T1827" s="217"/>
      <c r="U1827" s="217"/>
      <c r="V1827" s="217"/>
      <c r="W1827" s="217"/>
      <c r="X1827" s="217"/>
      <c r="Y1827" s="217"/>
      <c r="Z1827" s="217"/>
      <c r="AA1827" s="217"/>
      <c r="AB1827" s="217"/>
      <c r="AC1827" s="217"/>
      <c r="AD1827" s="217"/>
    </row>
    <row r="1828" spans="1:30" x14ac:dyDescent="0.2">
      <c r="A1828" s="232"/>
      <c r="B1828" s="210"/>
      <c r="C1828" s="210"/>
      <c r="D1828" s="210"/>
      <c r="E1828" s="210"/>
      <c r="G1828" s="55"/>
      <c r="H1828" s="56"/>
      <c r="I1828" s="217"/>
      <c r="J1828" s="217"/>
      <c r="K1828" s="217"/>
      <c r="L1828" s="217"/>
      <c r="M1828" s="217"/>
      <c r="N1828" s="217"/>
      <c r="O1828" s="217"/>
      <c r="P1828" s="217"/>
      <c r="Q1828" s="217"/>
      <c r="R1828" s="217"/>
      <c r="S1828" s="217"/>
      <c r="T1828" s="217"/>
      <c r="U1828" s="217"/>
      <c r="V1828" s="217"/>
      <c r="W1828" s="217"/>
      <c r="X1828" s="217"/>
      <c r="Y1828" s="217"/>
      <c r="Z1828" s="217"/>
      <c r="AA1828" s="217"/>
      <c r="AB1828" s="217"/>
      <c r="AC1828" s="217"/>
      <c r="AD1828" s="217"/>
    </row>
    <row r="1829" spans="1:30" x14ac:dyDescent="0.2">
      <c r="A1829" s="232"/>
      <c r="B1829" s="210"/>
      <c r="C1829" s="210"/>
      <c r="D1829" s="210"/>
      <c r="E1829" s="210"/>
      <c r="G1829" s="55"/>
      <c r="H1829" s="56"/>
      <c r="I1829" s="217"/>
      <c r="J1829" s="217"/>
      <c r="K1829" s="217"/>
      <c r="L1829" s="217"/>
      <c r="M1829" s="217"/>
      <c r="N1829" s="217"/>
      <c r="O1829" s="217"/>
      <c r="P1829" s="217"/>
      <c r="Q1829" s="217"/>
      <c r="R1829" s="217"/>
      <c r="S1829" s="217"/>
      <c r="T1829" s="217"/>
      <c r="U1829" s="217"/>
      <c r="V1829" s="217"/>
      <c r="W1829" s="217"/>
      <c r="X1829" s="217"/>
      <c r="Y1829" s="217"/>
      <c r="Z1829" s="217"/>
      <c r="AA1829" s="217"/>
      <c r="AB1829" s="217"/>
      <c r="AC1829" s="217"/>
      <c r="AD1829" s="217"/>
    </row>
    <row r="1830" spans="1:30" x14ac:dyDescent="0.2">
      <c r="A1830" s="232"/>
      <c r="B1830" s="210"/>
      <c r="C1830" s="210"/>
      <c r="D1830" s="210"/>
      <c r="E1830" s="210"/>
      <c r="G1830" s="55"/>
      <c r="H1830" s="56"/>
      <c r="I1830" s="217"/>
      <c r="J1830" s="217"/>
      <c r="K1830" s="217"/>
      <c r="L1830" s="217"/>
      <c r="M1830" s="217"/>
      <c r="N1830" s="217"/>
      <c r="O1830" s="217"/>
      <c r="P1830" s="217"/>
      <c r="Q1830" s="217"/>
      <c r="R1830" s="217"/>
      <c r="S1830" s="217"/>
      <c r="T1830" s="217"/>
      <c r="U1830" s="217"/>
      <c r="V1830" s="217"/>
      <c r="W1830" s="217"/>
      <c r="X1830" s="217"/>
      <c r="Y1830" s="217"/>
      <c r="Z1830" s="217"/>
      <c r="AA1830" s="217"/>
      <c r="AB1830" s="217"/>
      <c r="AC1830" s="217"/>
      <c r="AD1830" s="217"/>
    </row>
    <row r="1831" spans="1:30" x14ac:dyDescent="0.2">
      <c r="A1831" s="232"/>
      <c r="B1831" s="210"/>
      <c r="C1831" s="210"/>
      <c r="D1831" s="210"/>
      <c r="E1831" s="210"/>
      <c r="G1831" s="55"/>
      <c r="H1831" s="56"/>
      <c r="I1831" s="217"/>
      <c r="J1831" s="217"/>
      <c r="K1831" s="217"/>
      <c r="L1831" s="217"/>
      <c r="M1831" s="217"/>
      <c r="N1831" s="217"/>
      <c r="O1831" s="217"/>
      <c r="P1831" s="217"/>
      <c r="Q1831" s="217"/>
      <c r="R1831" s="217"/>
      <c r="S1831" s="217"/>
      <c r="T1831" s="217"/>
      <c r="U1831" s="217"/>
      <c r="V1831" s="217"/>
      <c r="W1831" s="217"/>
      <c r="X1831" s="217"/>
      <c r="Y1831" s="217"/>
      <c r="Z1831" s="217"/>
      <c r="AA1831" s="217"/>
      <c r="AB1831" s="217"/>
      <c r="AC1831" s="217"/>
      <c r="AD1831" s="217"/>
    </row>
    <row r="1832" spans="1:30" x14ac:dyDescent="0.2">
      <c r="A1832" s="232"/>
      <c r="B1832" s="210"/>
      <c r="C1832" s="210"/>
      <c r="D1832" s="210"/>
      <c r="E1832" s="210"/>
      <c r="G1832" s="55"/>
      <c r="H1832" s="56"/>
      <c r="I1832" s="217"/>
      <c r="J1832" s="217"/>
      <c r="K1832" s="217"/>
      <c r="L1832" s="217"/>
      <c r="M1832" s="217"/>
      <c r="N1832" s="217"/>
      <c r="O1832" s="217"/>
      <c r="P1832" s="217"/>
      <c r="Q1832" s="217"/>
      <c r="R1832" s="217"/>
      <c r="S1832" s="217"/>
      <c r="T1832" s="217"/>
      <c r="U1832" s="217"/>
      <c r="V1832" s="217"/>
      <c r="W1832" s="217"/>
      <c r="X1832" s="217"/>
      <c r="Y1832" s="217"/>
      <c r="Z1832" s="217"/>
      <c r="AA1832" s="217"/>
      <c r="AB1832" s="217"/>
      <c r="AC1832" s="217"/>
      <c r="AD1832" s="217"/>
    </row>
    <row r="1833" spans="1:30" x14ac:dyDescent="0.2">
      <c r="A1833" s="232"/>
      <c r="B1833" s="210"/>
      <c r="C1833" s="210"/>
      <c r="D1833" s="210"/>
      <c r="E1833" s="210"/>
      <c r="G1833" s="55"/>
      <c r="H1833" s="56"/>
      <c r="I1833" s="217"/>
      <c r="J1833" s="217"/>
      <c r="K1833" s="217"/>
      <c r="L1833" s="217"/>
      <c r="M1833" s="217"/>
      <c r="N1833" s="217"/>
      <c r="O1833" s="217"/>
      <c r="P1833" s="217"/>
      <c r="Q1833" s="217"/>
      <c r="R1833" s="217"/>
      <c r="S1833" s="217"/>
      <c r="T1833" s="217"/>
      <c r="U1833" s="217"/>
      <c r="V1833" s="217"/>
      <c r="W1833" s="217"/>
      <c r="X1833" s="217"/>
      <c r="Y1833" s="217"/>
      <c r="Z1833" s="217"/>
      <c r="AA1833" s="217"/>
      <c r="AB1833" s="217"/>
      <c r="AC1833" s="217"/>
      <c r="AD1833" s="217"/>
    </row>
    <row r="1834" spans="1:30" x14ac:dyDescent="0.2">
      <c r="A1834" s="232"/>
      <c r="B1834" s="210"/>
      <c r="C1834" s="210"/>
      <c r="D1834" s="210"/>
      <c r="E1834" s="210"/>
      <c r="G1834" s="55"/>
      <c r="H1834" s="56"/>
      <c r="I1834" s="217"/>
      <c r="J1834" s="217"/>
      <c r="K1834" s="217"/>
      <c r="L1834" s="217"/>
      <c r="M1834" s="217"/>
      <c r="N1834" s="217"/>
      <c r="O1834" s="217"/>
      <c r="P1834" s="217"/>
      <c r="Q1834" s="217"/>
      <c r="R1834" s="217"/>
      <c r="S1834" s="217"/>
      <c r="T1834" s="217"/>
      <c r="U1834" s="217"/>
      <c r="V1834" s="217"/>
      <c r="W1834" s="217"/>
      <c r="X1834" s="217"/>
      <c r="Y1834" s="217"/>
      <c r="Z1834" s="217"/>
      <c r="AA1834" s="217"/>
      <c r="AB1834" s="217"/>
      <c r="AC1834" s="217"/>
      <c r="AD1834" s="217"/>
    </row>
    <row r="1835" spans="1:30" x14ac:dyDescent="0.2">
      <c r="A1835" s="232"/>
      <c r="B1835" s="210"/>
      <c r="C1835" s="210"/>
      <c r="D1835" s="210"/>
      <c r="E1835" s="210"/>
      <c r="G1835" s="55"/>
      <c r="H1835" s="56"/>
      <c r="I1835" s="217"/>
      <c r="J1835" s="217"/>
      <c r="K1835" s="217"/>
      <c r="L1835" s="217"/>
      <c r="M1835" s="217"/>
      <c r="N1835" s="217"/>
      <c r="O1835" s="217"/>
      <c r="P1835" s="217"/>
      <c r="Q1835" s="217"/>
      <c r="R1835" s="217"/>
      <c r="S1835" s="217"/>
      <c r="T1835" s="217"/>
      <c r="U1835" s="217"/>
      <c r="V1835" s="217"/>
      <c r="W1835" s="217"/>
      <c r="X1835" s="217"/>
      <c r="Y1835" s="217"/>
      <c r="Z1835" s="217"/>
      <c r="AA1835" s="217"/>
      <c r="AB1835" s="217"/>
      <c r="AC1835" s="217"/>
      <c r="AD1835" s="217"/>
    </row>
    <row r="1836" spans="1:30" x14ac:dyDescent="0.2">
      <c r="A1836" s="232"/>
      <c r="B1836" s="210"/>
      <c r="C1836" s="210"/>
      <c r="D1836" s="210"/>
      <c r="E1836" s="210"/>
      <c r="G1836" s="55"/>
      <c r="H1836" s="56"/>
      <c r="I1836" s="217"/>
      <c r="J1836" s="217"/>
      <c r="K1836" s="217"/>
      <c r="L1836" s="217"/>
      <c r="M1836" s="217"/>
      <c r="N1836" s="217"/>
      <c r="O1836" s="217"/>
      <c r="P1836" s="217"/>
      <c r="Q1836" s="217"/>
      <c r="R1836" s="217"/>
      <c r="S1836" s="217"/>
      <c r="T1836" s="217"/>
      <c r="U1836" s="217"/>
      <c r="V1836" s="217"/>
      <c r="W1836" s="217"/>
      <c r="X1836" s="217"/>
      <c r="Y1836" s="217"/>
      <c r="Z1836" s="217"/>
      <c r="AA1836" s="217"/>
      <c r="AB1836" s="217"/>
      <c r="AC1836" s="217"/>
      <c r="AD1836" s="217"/>
    </row>
    <row r="1837" spans="1:30" x14ac:dyDescent="0.2">
      <c r="A1837" s="232"/>
      <c r="B1837" s="210"/>
      <c r="C1837" s="210"/>
      <c r="D1837" s="210"/>
      <c r="E1837" s="210"/>
      <c r="G1837" s="55"/>
      <c r="H1837" s="56"/>
      <c r="I1837" s="217"/>
      <c r="J1837" s="217"/>
      <c r="K1837" s="217"/>
      <c r="L1837" s="217"/>
      <c r="M1837" s="217"/>
      <c r="N1837" s="217"/>
      <c r="O1837" s="217"/>
      <c r="P1837" s="217"/>
      <c r="Q1837" s="217"/>
      <c r="R1837" s="217"/>
      <c r="S1837" s="217"/>
      <c r="T1837" s="217"/>
      <c r="U1837" s="217"/>
      <c r="V1837" s="217"/>
      <c r="W1837" s="217"/>
      <c r="X1837" s="217"/>
      <c r="Y1837" s="217"/>
      <c r="Z1837" s="217"/>
      <c r="AA1837" s="217"/>
      <c r="AB1837" s="217"/>
      <c r="AC1837" s="217"/>
      <c r="AD1837" s="217"/>
    </row>
    <row r="1838" spans="1:30" x14ac:dyDescent="0.2">
      <c r="A1838" s="232"/>
      <c r="B1838" s="210"/>
      <c r="C1838" s="210"/>
      <c r="D1838" s="210"/>
      <c r="E1838" s="210"/>
      <c r="G1838" s="55"/>
      <c r="H1838" s="56"/>
      <c r="I1838" s="217"/>
      <c r="J1838" s="217"/>
      <c r="K1838" s="217"/>
      <c r="L1838" s="217"/>
      <c r="M1838" s="217"/>
      <c r="N1838" s="217"/>
      <c r="O1838" s="217"/>
      <c r="P1838" s="217"/>
      <c r="Q1838" s="217"/>
      <c r="R1838" s="217"/>
      <c r="S1838" s="217"/>
      <c r="T1838" s="217"/>
      <c r="U1838" s="217"/>
      <c r="V1838" s="217"/>
      <c r="W1838" s="217"/>
      <c r="X1838" s="217"/>
      <c r="Y1838" s="217"/>
      <c r="Z1838" s="217"/>
      <c r="AA1838" s="217"/>
      <c r="AB1838" s="217"/>
      <c r="AC1838" s="217"/>
      <c r="AD1838" s="217"/>
    </row>
    <row r="1839" spans="1:30" x14ac:dyDescent="0.2">
      <c r="A1839" s="232"/>
      <c r="B1839" s="210"/>
      <c r="C1839" s="210"/>
      <c r="D1839" s="210"/>
      <c r="E1839" s="210"/>
      <c r="G1839" s="55"/>
      <c r="H1839" s="56"/>
      <c r="I1839" s="217"/>
      <c r="J1839" s="217"/>
      <c r="K1839" s="217"/>
      <c r="L1839" s="217"/>
      <c r="M1839" s="217"/>
      <c r="N1839" s="217"/>
      <c r="O1839" s="217"/>
      <c r="P1839" s="217"/>
      <c r="Q1839" s="217"/>
      <c r="R1839" s="217"/>
      <c r="S1839" s="217"/>
      <c r="T1839" s="217"/>
      <c r="U1839" s="217"/>
      <c r="V1839" s="217"/>
      <c r="W1839" s="217"/>
      <c r="X1839" s="217"/>
      <c r="Y1839" s="217"/>
      <c r="Z1839" s="217"/>
      <c r="AA1839" s="217"/>
      <c r="AB1839" s="217"/>
      <c r="AC1839" s="217"/>
      <c r="AD1839" s="217"/>
    </row>
    <row r="1840" spans="1:30" x14ac:dyDescent="0.2">
      <c r="A1840" s="232"/>
      <c r="B1840" s="210"/>
      <c r="C1840" s="210"/>
      <c r="D1840" s="210"/>
      <c r="E1840" s="210"/>
      <c r="G1840" s="55"/>
      <c r="H1840" s="56"/>
      <c r="I1840" s="217"/>
      <c r="J1840" s="217"/>
      <c r="K1840" s="217"/>
      <c r="L1840" s="217"/>
      <c r="M1840" s="217"/>
      <c r="N1840" s="217"/>
      <c r="O1840" s="217"/>
      <c r="P1840" s="217"/>
      <c r="Q1840" s="217"/>
      <c r="R1840" s="217"/>
      <c r="S1840" s="217"/>
      <c r="T1840" s="217"/>
      <c r="U1840" s="217"/>
      <c r="V1840" s="217"/>
      <c r="W1840" s="217"/>
      <c r="X1840" s="217"/>
      <c r="Y1840" s="217"/>
      <c r="Z1840" s="217"/>
      <c r="AA1840" s="217"/>
      <c r="AB1840" s="217"/>
      <c r="AC1840" s="217"/>
      <c r="AD1840" s="217"/>
    </row>
    <row r="1841" spans="1:30" x14ac:dyDescent="0.2">
      <c r="A1841" s="232"/>
      <c r="B1841" s="210"/>
      <c r="C1841" s="210"/>
      <c r="D1841" s="210"/>
      <c r="E1841" s="210"/>
      <c r="G1841" s="55"/>
      <c r="H1841" s="56"/>
      <c r="I1841" s="217"/>
      <c r="J1841" s="217"/>
      <c r="K1841" s="217"/>
      <c r="L1841" s="217"/>
      <c r="M1841" s="217"/>
      <c r="N1841" s="217"/>
      <c r="O1841" s="217"/>
      <c r="P1841" s="217"/>
      <c r="Q1841" s="217"/>
      <c r="R1841" s="217"/>
      <c r="S1841" s="217"/>
      <c r="T1841" s="217"/>
      <c r="U1841" s="217"/>
      <c r="V1841" s="217"/>
      <c r="W1841" s="217"/>
      <c r="X1841" s="217"/>
      <c r="Y1841" s="217"/>
      <c r="Z1841" s="217"/>
      <c r="AA1841" s="217"/>
      <c r="AB1841" s="217"/>
      <c r="AC1841" s="217"/>
      <c r="AD1841" s="217"/>
    </row>
    <row r="1842" spans="1:30" x14ac:dyDescent="0.2">
      <c r="A1842" s="232"/>
      <c r="B1842" s="210"/>
      <c r="C1842" s="210"/>
      <c r="D1842" s="210"/>
      <c r="E1842" s="210"/>
      <c r="G1842" s="55"/>
      <c r="H1842" s="56"/>
      <c r="I1842" s="217"/>
      <c r="J1842" s="217"/>
      <c r="K1842" s="217"/>
      <c r="L1842" s="217"/>
      <c r="M1842" s="217"/>
      <c r="N1842" s="217"/>
      <c r="O1842" s="217"/>
      <c r="P1842" s="217"/>
      <c r="Q1842" s="217"/>
      <c r="R1842" s="217"/>
      <c r="S1842" s="217"/>
      <c r="T1842" s="217"/>
      <c r="U1842" s="217"/>
      <c r="V1842" s="217"/>
      <c r="W1842" s="217"/>
      <c r="X1842" s="217"/>
      <c r="Y1842" s="217"/>
      <c r="Z1842" s="217"/>
      <c r="AA1842" s="217"/>
      <c r="AB1842" s="217"/>
      <c r="AC1842" s="217"/>
      <c r="AD1842" s="217"/>
    </row>
    <row r="1843" spans="1:30" x14ac:dyDescent="0.2">
      <c r="A1843" s="232"/>
      <c r="B1843" s="210"/>
      <c r="C1843" s="210"/>
      <c r="D1843" s="210"/>
      <c r="E1843" s="210"/>
      <c r="G1843" s="55"/>
      <c r="H1843" s="56"/>
      <c r="I1843" s="217"/>
      <c r="J1843" s="217"/>
      <c r="K1843" s="217"/>
      <c r="L1843" s="217"/>
      <c r="M1843" s="217"/>
      <c r="N1843" s="217"/>
      <c r="O1843" s="217"/>
      <c r="P1843" s="217"/>
      <c r="Q1843" s="217"/>
      <c r="R1843" s="217"/>
      <c r="S1843" s="217"/>
      <c r="T1843" s="217"/>
      <c r="U1843" s="217"/>
      <c r="V1843" s="217"/>
      <c r="W1843" s="217"/>
      <c r="X1843" s="217"/>
      <c r="Y1843" s="217"/>
      <c r="Z1843" s="217"/>
      <c r="AA1843" s="217"/>
      <c r="AB1843" s="217"/>
      <c r="AC1843" s="217"/>
      <c r="AD1843" s="217"/>
    </row>
    <row r="1844" spans="1:30" x14ac:dyDescent="0.2">
      <c r="A1844" s="232"/>
      <c r="B1844" s="210"/>
      <c r="C1844" s="210"/>
      <c r="D1844" s="210"/>
      <c r="E1844" s="210"/>
      <c r="G1844" s="55"/>
      <c r="H1844" s="56"/>
      <c r="I1844" s="217"/>
      <c r="J1844" s="217"/>
      <c r="K1844" s="217"/>
      <c r="L1844" s="217"/>
      <c r="M1844" s="217"/>
      <c r="N1844" s="217"/>
      <c r="O1844" s="217"/>
      <c r="P1844" s="217"/>
      <c r="Q1844" s="217"/>
      <c r="R1844" s="217"/>
      <c r="S1844" s="217"/>
      <c r="T1844" s="217"/>
      <c r="U1844" s="217"/>
      <c r="V1844" s="217"/>
      <c r="W1844" s="217"/>
      <c r="X1844" s="217"/>
      <c r="Y1844" s="217"/>
      <c r="Z1844" s="217"/>
      <c r="AA1844" s="217"/>
      <c r="AB1844" s="217"/>
      <c r="AC1844" s="217"/>
      <c r="AD1844" s="217"/>
    </row>
    <row r="1845" spans="1:30" x14ac:dyDescent="0.2">
      <c r="A1845" s="232"/>
      <c r="B1845" s="210"/>
      <c r="C1845" s="210"/>
      <c r="D1845" s="210"/>
      <c r="E1845" s="210"/>
      <c r="G1845" s="55"/>
      <c r="H1845" s="56"/>
      <c r="I1845" s="217"/>
      <c r="J1845" s="217"/>
      <c r="K1845" s="217"/>
      <c r="L1845" s="217"/>
      <c r="M1845" s="217"/>
      <c r="N1845" s="217"/>
      <c r="O1845" s="217"/>
      <c r="P1845" s="217"/>
      <c r="Q1845" s="217"/>
      <c r="R1845" s="217"/>
      <c r="S1845" s="217"/>
      <c r="T1845" s="217"/>
      <c r="U1845" s="217"/>
      <c r="V1845" s="217"/>
      <c r="W1845" s="217"/>
      <c r="X1845" s="217"/>
      <c r="Y1845" s="217"/>
      <c r="Z1845" s="217"/>
      <c r="AA1845" s="217"/>
      <c r="AB1845" s="217"/>
      <c r="AC1845" s="217"/>
      <c r="AD1845" s="217"/>
    </row>
    <row r="1846" spans="1:30" x14ac:dyDescent="0.2">
      <c r="A1846" s="232"/>
      <c r="B1846" s="210"/>
      <c r="C1846" s="210"/>
      <c r="D1846" s="210"/>
      <c r="E1846" s="210"/>
      <c r="G1846" s="55"/>
      <c r="H1846" s="56"/>
      <c r="I1846" s="217"/>
      <c r="J1846" s="217"/>
      <c r="K1846" s="217"/>
      <c r="L1846" s="217"/>
      <c r="M1846" s="217"/>
      <c r="N1846" s="217"/>
      <c r="O1846" s="217"/>
      <c r="P1846" s="217"/>
      <c r="Q1846" s="217"/>
      <c r="R1846" s="217"/>
      <c r="S1846" s="217"/>
      <c r="T1846" s="217"/>
      <c r="U1846" s="217"/>
      <c r="V1846" s="217"/>
      <c r="W1846" s="217"/>
      <c r="X1846" s="217"/>
      <c r="Y1846" s="217"/>
      <c r="Z1846" s="217"/>
      <c r="AA1846" s="217"/>
      <c r="AB1846" s="217"/>
      <c r="AC1846" s="217"/>
      <c r="AD1846" s="217"/>
    </row>
    <row r="1847" spans="1:30" x14ac:dyDescent="0.2">
      <c r="A1847" s="232"/>
      <c r="B1847" s="210"/>
      <c r="C1847" s="210"/>
      <c r="D1847" s="210"/>
      <c r="E1847" s="210"/>
      <c r="G1847" s="55"/>
      <c r="H1847" s="56"/>
      <c r="I1847" s="217"/>
      <c r="J1847" s="217"/>
      <c r="K1847" s="217"/>
      <c r="L1847" s="217"/>
      <c r="M1847" s="217"/>
      <c r="N1847" s="217"/>
      <c r="O1847" s="217"/>
      <c r="P1847" s="217"/>
      <c r="Q1847" s="217"/>
      <c r="R1847" s="217"/>
      <c r="S1847" s="217"/>
      <c r="T1847" s="217"/>
      <c r="U1847" s="217"/>
      <c r="V1847" s="217"/>
      <c r="W1847" s="217"/>
      <c r="X1847" s="217"/>
      <c r="Y1847" s="217"/>
      <c r="Z1847" s="217"/>
      <c r="AA1847" s="217"/>
      <c r="AB1847" s="217"/>
      <c r="AC1847" s="217"/>
      <c r="AD1847" s="217"/>
    </row>
    <row r="1848" spans="1:30" x14ac:dyDescent="0.2">
      <c r="A1848" s="232"/>
      <c r="B1848" s="210"/>
      <c r="C1848" s="210"/>
      <c r="D1848" s="210"/>
      <c r="E1848" s="210"/>
      <c r="G1848" s="55"/>
      <c r="H1848" s="56"/>
      <c r="I1848" s="217"/>
      <c r="J1848" s="217"/>
      <c r="K1848" s="217"/>
      <c r="L1848" s="217"/>
      <c r="M1848" s="217"/>
      <c r="N1848" s="217"/>
      <c r="O1848" s="217"/>
      <c r="P1848" s="217"/>
      <c r="Q1848" s="217"/>
      <c r="R1848" s="217"/>
      <c r="S1848" s="217"/>
      <c r="T1848" s="217"/>
      <c r="U1848" s="217"/>
      <c r="V1848" s="217"/>
      <c r="W1848" s="217"/>
      <c r="X1848" s="217"/>
      <c r="Y1848" s="217"/>
      <c r="Z1848" s="217"/>
      <c r="AA1848" s="217"/>
      <c r="AB1848" s="217"/>
      <c r="AC1848" s="217"/>
      <c r="AD1848" s="217"/>
    </row>
    <row r="1849" spans="1:30" x14ac:dyDescent="0.2">
      <c r="A1849" s="232"/>
      <c r="B1849" s="210"/>
      <c r="C1849" s="210"/>
      <c r="D1849" s="210"/>
      <c r="E1849" s="210"/>
      <c r="G1849" s="55"/>
      <c r="H1849" s="56"/>
      <c r="I1849" s="217"/>
      <c r="J1849" s="217"/>
      <c r="K1849" s="217"/>
      <c r="L1849" s="217"/>
      <c r="M1849" s="217"/>
      <c r="N1849" s="217"/>
      <c r="O1849" s="217"/>
      <c r="P1849" s="217"/>
      <c r="Q1849" s="217"/>
      <c r="R1849" s="217"/>
      <c r="S1849" s="217"/>
      <c r="T1849" s="217"/>
      <c r="U1849" s="217"/>
      <c r="V1849" s="217"/>
      <c r="W1849" s="217"/>
      <c r="X1849" s="217"/>
      <c r="Y1849" s="217"/>
      <c r="Z1849" s="217"/>
      <c r="AA1849" s="217"/>
      <c r="AB1849" s="217"/>
      <c r="AC1849" s="217"/>
      <c r="AD1849" s="217"/>
    </row>
    <row r="1850" spans="1:30" x14ac:dyDescent="0.2">
      <c r="A1850" s="232"/>
      <c r="B1850" s="210"/>
      <c r="C1850" s="210"/>
      <c r="D1850" s="210"/>
      <c r="E1850" s="210"/>
      <c r="G1850" s="55"/>
      <c r="H1850" s="56"/>
      <c r="I1850" s="217"/>
      <c r="J1850" s="217"/>
      <c r="K1850" s="217"/>
      <c r="L1850" s="217"/>
      <c r="M1850" s="217"/>
      <c r="N1850" s="217"/>
      <c r="O1850" s="217"/>
      <c r="P1850" s="217"/>
      <c r="Q1850" s="217"/>
      <c r="R1850" s="217"/>
      <c r="S1850" s="217"/>
      <c r="T1850" s="217"/>
      <c r="U1850" s="217"/>
      <c r="V1850" s="217"/>
      <c r="W1850" s="217"/>
      <c r="X1850" s="217"/>
      <c r="Y1850" s="217"/>
      <c r="Z1850" s="217"/>
      <c r="AA1850" s="217"/>
      <c r="AB1850" s="217"/>
      <c r="AC1850" s="217"/>
      <c r="AD1850" s="217"/>
    </row>
    <row r="1851" spans="1:30" x14ac:dyDescent="0.2">
      <c r="A1851" s="232"/>
      <c r="B1851" s="210"/>
      <c r="C1851" s="210"/>
      <c r="D1851" s="210"/>
      <c r="E1851" s="210"/>
      <c r="G1851" s="55"/>
      <c r="H1851" s="56"/>
      <c r="I1851" s="217"/>
      <c r="J1851" s="217"/>
      <c r="K1851" s="217"/>
      <c r="L1851" s="217"/>
      <c r="M1851" s="217"/>
      <c r="N1851" s="217"/>
      <c r="O1851" s="217"/>
      <c r="P1851" s="217"/>
      <c r="Q1851" s="217"/>
      <c r="R1851" s="217"/>
      <c r="S1851" s="217"/>
      <c r="T1851" s="217"/>
      <c r="U1851" s="217"/>
      <c r="V1851" s="217"/>
      <c r="W1851" s="217"/>
      <c r="X1851" s="217"/>
      <c r="Y1851" s="217"/>
      <c r="Z1851" s="217"/>
      <c r="AA1851" s="217"/>
      <c r="AB1851" s="217"/>
      <c r="AC1851" s="217"/>
      <c r="AD1851" s="217"/>
    </row>
    <row r="1852" spans="1:30" x14ac:dyDescent="0.2">
      <c r="A1852" s="232"/>
      <c r="B1852" s="210"/>
      <c r="C1852" s="210"/>
      <c r="D1852" s="210"/>
      <c r="E1852" s="210"/>
      <c r="G1852" s="55"/>
      <c r="H1852" s="56"/>
      <c r="I1852" s="217"/>
      <c r="J1852" s="217"/>
      <c r="K1852" s="217"/>
      <c r="L1852" s="217"/>
      <c r="M1852" s="217"/>
      <c r="N1852" s="217"/>
      <c r="O1852" s="217"/>
      <c r="P1852" s="217"/>
      <c r="Q1852" s="217"/>
      <c r="R1852" s="217"/>
      <c r="S1852" s="217"/>
      <c r="T1852" s="217"/>
      <c r="U1852" s="217"/>
      <c r="V1852" s="217"/>
      <c r="W1852" s="217"/>
      <c r="X1852" s="217"/>
      <c r="Y1852" s="217"/>
      <c r="Z1852" s="217"/>
      <c r="AA1852" s="217"/>
      <c r="AB1852" s="217"/>
      <c r="AC1852" s="217"/>
      <c r="AD1852" s="217"/>
    </row>
    <row r="1853" spans="1:30" x14ac:dyDescent="0.2">
      <c r="A1853" s="232"/>
      <c r="B1853" s="210"/>
      <c r="C1853" s="210"/>
      <c r="D1853" s="210"/>
      <c r="E1853" s="210"/>
      <c r="G1853" s="55"/>
      <c r="H1853" s="56"/>
      <c r="I1853" s="217"/>
      <c r="J1853" s="217"/>
      <c r="K1853" s="217"/>
      <c r="L1853" s="217"/>
      <c r="M1853" s="217"/>
      <c r="N1853" s="217"/>
      <c r="O1853" s="217"/>
      <c r="P1853" s="217"/>
      <c r="Q1853" s="217"/>
      <c r="R1853" s="217"/>
      <c r="S1853" s="217"/>
      <c r="T1853" s="217"/>
      <c r="U1853" s="217"/>
      <c r="V1853" s="217"/>
      <c r="W1853" s="217"/>
      <c r="X1853" s="217"/>
      <c r="Y1853" s="217"/>
      <c r="Z1853" s="217"/>
      <c r="AA1853" s="217"/>
      <c r="AB1853" s="217"/>
      <c r="AC1853" s="217"/>
      <c r="AD1853" s="217"/>
    </row>
    <row r="1854" spans="1:30" x14ac:dyDescent="0.2">
      <c r="A1854" s="232"/>
      <c r="B1854" s="210"/>
      <c r="C1854" s="210"/>
      <c r="D1854" s="210"/>
      <c r="E1854" s="210"/>
      <c r="G1854" s="55"/>
      <c r="H1854" s="56"/>
      <c r="I1854" s="217"/>
      <c r="J1854" s="217"/>
      <c r="K1854" s="217"/>
      <c r="L1854" s="217"/>
      <c r="M1854" s="217"/>
      <c r="N1854" s="217"/>
      <c r="O1854" s="217"/>
      <c r="P1854" s="217"/>
      <c r="Q1854" s="217"/>
      <c r="R1854" s="217"/>
      <c r="S1854" s="217"/>
      <c r="T1854" s="217"/>
      <c r="U1854" s="217"/>
      <c r="V1854" s="217"/>
      <c r="W1854" s="217"/>
      <c r="X1854" s="217"/>
      <c r="Y1854" s="217"/>
      <c r="Z1854" s="217"/>
      <c r="AA1854" s="217"/>
      <c r="AB1854" s="217"/>
      <c r="AC1854" s="217"/>
      <c r="AD1854" s="217"/>
    </row>
    <row r="1855" spans="1:30" x14ac:dyDescent="0.2">
      <c r="A1855" s="232"/>
      <c r="B1855" s="210"/>
      <c r="C1855" s="210"/>
      <c r="D1855" s="210"/>
      <c r="E1855" s="210"/>
      <c r="G1855" s="55"/>
      <c r="H1855" s="56"/>
      <c r="I1855" s="217"/>
      <c r="J1855" s="217"/>
      <c r="K1855" s="217"/>
      <c r="L1855" s="217"/>
      <c r="M1855" s="217"/>
      <c r="N1855" s="217"/>
      <c r="O1855" s="217"/>
      <c r="P1855" s="217"/>
      <c r="Q1855" s="217"/>
      <c r="R1855" s="217"/>
      <c r="S1855" s="217"/>
      <c r="T1855" s="217"/>
      <c r="U1855" s="217"/>
      <c r="V1855" s="217"/>
      <c r="W1855" s="217"/>
      <c r="X1855" s="217"/>
      <c r="Y1855" s="217"/>
      <c r="Z1855" s="217"/>
      <c r="AA1855" s="217"/>
      <c r="AB1855" s="217"/>
      <c r="AC1855" s="217"/>
      <c r="AD1855" s="217"/>
    </row>
    <row r="1856" spans="1:30" x14ac:dyDescent="0.2">
      <c r="A1856" s="232"/>
      <c r="B1856" s="210"/>
      <c r="C1856" s="210"/>
      <c r="D1856" s="210"/>
      <c r="E1856" s="210"/>
      <c r="G1856" s="55"/>
      <c r="H1856" s="56"/>
      <c r="I1856" s="217"/>
      <c r="J1856" s="217"/>
      <c r="K1856" s="217"/>
      <c r="L1856" s="217"/>
      <c r="M1856" s="217"/>
      <c r="N1856" s="217"/>
      <c r="O1856" s="217"/>
      <c r="P1856" s="217"/>
      <c r="Q1856" s="217"/>
      <c r="R1856" s="217"/>
      <c r="S1856" s="217"/>
      <c r="T1856" s="217"/>
      <c r="U1856" s="217"/>
      <c r="V1856" s="217"/>
      <c r="W1856" s="217"/>
      <c r="X1856" s="217"/>
      <c r="Y1856" s="217"/>
      <c r="Z1856" s="217"/>
      <c r="AA1856" s="217"/>
      <c r="AB1856" s="217"/>
      <c r="AC1856" s="217"/>
      <c r="AD1856" s="217"/>
    </row>
    <row r="1857" spans="1:30" x14ac:dyDescent="0.2">
      <c r="A1857" s="232"/>
      <c r="B1857" s="210"/>
      <c r="C1857" s="210"/>
      <c r="D1857" s="210"/>
      <c r="E1857" s="210"/>
      <c r="G1857" s="55"/>
      <c r="H1857" s="56"/>
      <c r="I1857" s="217"/>
      <c r="J1857" s="217"/>
      <c r="K1857" s="217"/>
      <c r="L1857" s="217"/>
      <c r="M1857" s="217"/>
      <c r="N1857" s="217"/>
      <c r="O1857" s="217"/>
      <c r="P1857" s="217"/>
      <c r="Q1857" s="217"/>
      <c r="R1857" s="217"/>
      <c r="S1857" s="217"/>
      <c r="T1857" s="217"/>
      <c r="U1857" s="217"/>
      <c r="V1857" s="217"/>
      <c r="W1857" s="217"/>
      <c r="X1857" s="217"/>
      <c r="Y1857" s="217"/>
      <c r="Z1857" s="217"/>
      <c r="AA1857" s="217"/>
      <c r="AB1857" s="217"/>
      <c r="AC1857" s="217"/>
      <c r="AD1857" s="217"/>
    </row>
    <row r="1858" spans="1:30" x14ac:dyDescent="0.2">
      <c r="A1858" s="232"/>
      <c r="B1858" s="210"/>
      <c r="C1858" s="210"/>
      <c r="D1858" s="210"/>
      <c r="E1858" s="210"/>
      <c r="G1858" s="55"/>
      <c r="H1858" s="56"/>
      <c r="I1858" s="217"/>
      <c r="J1858" s="217"/>
      <c r="K1858" s="217"/>
      <c r="L1858" s="217"/>
      <c r="M1858" s="217"/>
      <c r="N1858" s="217"/>
      <c r="O1858" s="217"/>
      <c r="P1858" s="217"/>
      <c r="Q1858" s="217"/>
      <c r="R1858" s="217"/>
      <c r="S1858" s="217"/>
      <c r="T1858" s="217"/>
      <c r="U1858" s="217"/>
      <c r="V1858" s="217"/>
      <c r="W1858" s="217"/>
      <c r="X1858" s="217"/>
      <c r="Y1858" s="217"/>
      <c r="Z1858" s="217"/>
      <c r="AA1858" s="217"/>
      <c r="AB1858" s="217"/>
      <c r="AC1858" s="217"/>
      <c r="AD1858" s="217"/>
    </row>
    <row r="1859" spans="1:30" x14ac:dyDescent="0.2">
      <c r="A1859" s="232"/>
      <c r="B1859" s="210"/>
      <c r="C1859" s="210"/>
      <c r="D1859" s="210"/>
      <c r="E1859" s="210"/>
      <c r="G1859" s="55"/>
      <c r="H1859" s="56"/>
      <c r="I1859" s="217"/>
      <c r="J1859" s="217"/>
      <c r="K1859" s="217"/>
      <c r="L1859" s="217"/>
      <c r="M1859" s="217"/>
      <c r="N1859" s="217"/>
      <c r="O1859" s="217"/>
      <c r="P1859" s="217"/>
      <c r="Q1859" s="217"/>
      <c r="R1859" s="217"/>
      <c r="S1859" s="217"/>
      <c r="T1859" s="217"/>
      <c r="U1859" s="217"/>
      <c r="V1859" s="217"/>
      <c r="W1859" s="217"/>
      <c r="X1859" s="217"/>
      <c r="Y1859" s="217"/>
      <c r="Z1859" s="217"/>
      <c r="AA1859" s="217"/>
      <c r="AB1859" s="217"/>
      <c r="AC1859" s="217"/>
      <c r="AD1859" s="217"/>
    </row>
    <row r="1860" spans="1:30" x14ac:dyDescent="0.2">
      <c r="A1860" s="232"/>
      <c r="B1860" s="210"/>
      <c r="C1860" s="210"/>
      <c r="D1860" s="210"/>
      <c r="E1860" s="210"/>
      <c r="G1860" s="55"/>
      <c r="H1860" s="56"/>
      <c r="I1860" s="217"/>
      <c r="J1860" s="217"/>
      <c r="K1860" s="217"/>
      <c r="L1860" s="217"/>
      <c r="M1860" s="217"/>
      <c r="N1860" s="217"/>
      <c r="O1860" s="217"/>
      <c r="P1860" s="217"/>
      <c r="Q1860" s="217"/>
      <c r="R1860" s="217"/>
      <c r="S1860" s="217"/>
      <c r="T1860" s="217"/>
      <c r="U1860" s="217"/>
      <c r="V1860" s="217"/>
      <c r="W1860" s="217"/>
      <c r="X1860" s="217"/>
      <c r="Y1860" s="217"/>
      <c r="Z1860" s="217"/>
      <c r="AA1860" s="217"/>
      <c r="AB1860" s="217"/>
      <c r="AC1860" s="217"/>
      <c r="AD1860" s="217"/>
    </row>
    <row r="1861" spans="1:30" x14ac:dyDescent="0.2">
      <c r="A1861" s="232"/>
      <c r="B1861" s="210"/>
      <c r="C1861" s="210"/>
      <c r="D1861" s="210"/>
      <c r="E1861" s="210"/>
      <c r="G1861" s="55"/>
      <c r="H1861" s="56"/>
      <c r="I1861" s="217"/>
      <c r="J1861" s="217"/>
      <c r="K1861" s="217"/>
      <c r="L1861" s="217"/>
      <c r="M1861" s="217"/>
      <c r="N1861" s="217"/>
      <c r="O1861" s="217"/>
      <c r="P1861" s="217"/>
      <c r="Q1861" s="217"/>
      <c r="R1861" s="217"/>
      <c r="S1861" s="217"/>
      <c r="T1861" s="217"/>
      <c r="U1861" s="217"/>
      <c r="V1861" s="217"/>
      <c r="W1861" s="217"/>
      <c r="X1861" s="217"/>
      <c r="Y1861" s="217"/>
      <c r="Z1861" s="217"/>
      <c r="AA1861" s="217"/>
      <c r="AB1861" s="217"/>
      <c r="AC1861" s="217"/>
      <c r="AD1861" s="217"/>
    </row>
    <row r="1862" spans="1:30" x14ac:dyDescent="0.2">
      <c r="A1862" s="232"/>
      <c r="B1862" s="210"/>
      <c r="C1862" s="210"/>
      <c r="D1862" s="210"/>
      <c r="E1862" s="210"/>
      <c r="G1862" s="55"/>
      <c r="H1862" s="56"/>
      <c r="I1862" s="217"/>
      <c r="J1862" s="217"/>
      <c r="K1862" s="217"/>
      <c r="L1862" s="217"/>
      <c r="M1862" s="217"/>
      <c r="N1862" s="217"/>
      <c r="O1862" s="217"/>
      <c r="P1862" s="217"/>
      <c r="Q1862" s="217"/>
      <c r="R1862" s="217"/>
      <c r="S1862" s="217"/>
      <c r="T1862" s="217"/>
      <c r="U1862" s="217"/>
      <c r="V1862" s="217"/>
      <c r="W1862" s="217"/>
      <c r="X1862" s="217"/>
      <c r="Y1862" s="217"/>
      <c r="Z1862" s="217"/>
      <c r="AA1862" s="217"/>
      <c r="AB1862" s="217"/>
      <c r="AC1862" s="217"/>
      <c r="AD1862" s="217"/>
    </row>
    <row r="1863" spans="1:30" x14ac:dyDescent="0.2">
      <c r="A1863" s="232"/>
      <c r="B1863" s="210"/>
      <c r="C1863" s="210"/>
      <c r="D1863" s="210"/>
      <c r="E1863" s="210"/>
      <c r="G1863" s="55"/>
      <c r="H1863" s="56"/>
      <c r="I1863" s="217"/>
      <c r="J1863" s="217"/>
      <c r="K1863" s="217"/>
      <c r="L1863" s="217"/>
      <c r="M1863" s="217"/>
      <c r="N1863" s="217"/>
      <c r="O1863" s="217"/>
      <c r="P1863" s="217"/>
      <c r="Q1863" s="217"/>
      <c r="R1863" s="217"/>
      <c r="S1863" s="217"/>
      <c r="T1863" s="217"/>
      <c r="U1863" s="217"/>
      <c r="V1863" s="217"/>
      <c r="W1863" s="217"/>
      <c r="X1863" s="217"/>
      <c r="Y1863" s="217"/>
      <c r="Z1863" s="217"/>
      <c r="AA1863" s="217"/>
      <c r="AB1863" s="217"/>
      <c r="AC1863" s="217"/>
      <c r="AD1863" s="217"/>
    </row>
    <row r="1864" spans="1:30" x14ac:dyDescent="0.2">
      <c r="A1864" s="232"/>
      <c r="B1864" s="210"/>
      <c r="C1864" s="210"/>
      <c r="D1864" s="210"/>
      <c r="E1864" s="210"/>
      <c r="G1864" s="55"/>
      <c r="H1864" s="56"/>
      <c r="I1864" s="217"/>
      <c r="J1864" s="217"/>
      <c r="K1864" s="217"/>
      <c r="L1864" s="217"/>
      <c r="M1864" s="217"/>
      <c r="N1864" s="217"/>
      <c r="O1864" s="217"/>
      <c r="P1864" s="217"/>
      <c r="Q1864" s="217"/>
      <c r="R1864" s="217"/>
      <c r="S1864" s="217"/>
      <c r="T1864" s="217"/>
      <c r="U1864" s="217"/>
      <c r="V1864" s="217"/>
      <c r="W1864" s="217"/>
      <c r="X1864" s="217"/>
      <c r="Y1864" s="217"/>
      <c r="Z1864" s="217"/>
      <c r="AA1864" s="217"/>
      <c r="AB1864" s="217"/>
      <c r="AC1864" s="217"/>
      <c r="AD1864" s="217"/>
    </row>
    <row r="1865" spans="1:30" x14ac:dyDescent="0.2">
      <c r="A1865" s="232"/>
      <c r="B1865" s="210"/>
      <c r="C1865" s="210"/>
      <c r="D1865" s="210"/>
      <c r="E1865" s="210"/>
      <c r="G1865" s="55"/>
      <c r="H1865" s="56"/>
      <c r="I1865" s="217"/>
      <c r="J1865" s="217"/>
      <c r="K1865" s="217"/>
      <c r="L1865" s="217"/>
      <c r="M1865" s="217"/>
      <c r="N1865" s="217"/>
      <c r="O1865" s="217"/>
      <c r="P1865" s="217"/>
      <c r="Q1865" s="217"/>
      <c r="R1865" s="217"/>
      <c r="S1865" s="217"/>
      <c r="T1865" s="217"/>
      <c r="U1865" s="217"/>
      <c r="V1865" s="217"/>
      <c r="W1865" s="217"/>
      <c r="X1865" s="217"/>
      <c r="Y1865" s="217"/>
      <c r="Z1865" s="217"/>
      <c r="AA1865" s="217"/>
      <c r="AB1865" s="217"/>
      <c r="AC1865" s="217"/>
      <c r="AD1865" s="217"/>
    </row>
    <row r="1866" spans="1:30" x14ac:dyDescent="0.2">
      <c r="A1866" s="232"/>
      <c r="B1866" s="210"/>
      <c r="C1866" s="210"/>
      <c r="D1866" s="210"/>
      <c r="E1866" s="210"/>
      <c r="G1866" s="55"/>
      <c r="H1866" s="56"/>
      <c r="I1866" s="217"/>
      <c r="J1866" s="217"/>
      <c r="K1866" s="217"/>
      <c r="L1866" s="217"/>
      <c r="M1866" s="217"/>
      <c r="N1866" s="217"/>
      <c r="O1866" s="217"/>
      <c r="P1866" s="217"/>
      <c r="Q1866" s="217"/>
      <c r="R1866" s="217"/>
      <c r="S1866" s="217"/>
      <c r="T1866" s="217"/>
      <c r="U1866" s="217"/>
      <c r="V1866" s="217"/>
      <c r="W1866" s="217"/>
      <c r="X1866" s="217"/>
      <c r="Y1866" s="217"/>
      <c r="Z1866" s="217"/>
      <c r="AA1866" s="217"/>
      <c r="AB1866" s="217"/>
      <c r="AC1866" s="217"/>
      <c r="AD1866" s="217"/>
    </row>
    <row r="1867" spans="1:30" x14ac:dyDescent="0.2">
      <c r="A1867" s="232"/>
      <c r="B1867" s="210"/>
      <c r="C1867" s="210"/>
      <c r="D1867" s="210"/>
      <c r="E1867" s="210"/>
      <c r="G1867" s="55"/>
      <c r="H1867" s="56"/>
      <c r="I1867" s="217"/>
      <c r="J1867" s="217"/>
      <c r="K1867" s="217"/>
      <c r="L1867" s="217"/>
      <c r="M1867" s="217"/>
      <c r="N1867" s="217"/>
      <c r="O1867" s="217"/>
      <c r="P1867" s="217"/>
      <c r="Q1867" s="217"/>
      <c r="R1867" s="217"/>
      <c r="S1867" s="217"/>
      <c r="T1867" s="217"/>
      <c r="U1867" s="217"/>
      <c r="V1867" s="217"/>
      <c r="W1867" s="217"/>
      <c r="X1867" s="217"/>
      <c r="Y1867" s="217"/>
      <c r="Z1867" s="217"/>
      <c r="AA1867" s="217"/>
      <c r="AB1867" s="217"/>
      <c r="AC1867" s="217"/>
      <c r="AD1867" s="217"/>
    </row>
    <row r="1868" spans="1:30" x14ac:dyDescent="0.2">
      <c r="A1868" s="232"/>
      <c r="B1868" s="210"/>
      <c r="C1868" s="210"/>
      <c r="D1868" s="210"/>
      <c r="E1868" s="210"/>
      <c r="G1868" s="55"/>
      <c r="H1868" s="56"/>
      <c r="I1868" s="217"/>
      <c r="J1868" s="217"/>
      <c r="K1868" s="217"/>
      <c r="L1868" s="217"/>
      <c r="M1868" s="217"/>
      <c r="N1868" s="217"/>
      <c r="O1868" s="217"/>
      <c r="P1868" s="217"/>
      <c r="Q1868" s="217"/>
      <c r="R1868" s="217"/>
      <c r="S1868" s="217"/>
      <c r="T1868" s="217"/>
      <c r="U1868" s="217"/>
      <c r="V1868" s="217"/>
      <c r="W1868" s="217"/>
      <c r="X1868" s="217"/>
      <c r="Y1868" s="217"/>
      <c r="Z1868" s="217"/>
      <c r="AA1868" s="217"/>
      <c r="AB1868" s="217"/>
      <c r="AC1868" s="217"/>
      <c r="AD1868" s="217"/>
    </row>
    <row r="1869" spans="1:30" x14ac:dyDescent="0.2">
      <c r="A1869" s="232"/>
      <c r="B1869" s="210"/>
      <c r="C1869" s="210"/>
      <c r="D1869" s="210"/>
      <c r="E1869" s="210"/>
      <c r="G1869" s="55"/>
      <c r="H1869" s="56"/>
      <c r="I1869" s="217"/>
      <c r="J1869" s="217"/>
      <c r="K1869" s="217"/>
      <c r="L1869" s="217"/>
      <c r="M1869" s="217"/>
      <c r="N1869" s="217"/>
      <c r="O1869" s="217"/>
      <c r="P1869" s="217"/>
      <c r="Q1869" s="217"/>
      <c r="R1869" s="217"/>
      <c r="S1869" s="217"/>
      <c r="T1869" s="217"/>
      <c r="U1869" s="217"/>
      <c r="V1869" s="217"/>
      <c r="W1869" s="217"/>
      <c r="X1869" s="217"/>
      <c r="Y1869" s="217"/>
      <c r="Z1869" s="217"/>
      <c r="AA1869" s="217"/>
      <c r="AB1869" s="217"/>
      <c r="AC1869" s="217"/>
      <c r="AD1869" s="217"/>
    </row>
    <row r="1870" spans="1:30" x14ac:dyDescent="0.2">
      <c r="A1870" s="232"/>
      <c r="B1870" s="210"/>
      <c r="C1870" s="210"/>
      <c r="D1870" s="210"/>
      <c r="E1870" s="210"/>
      <c r="G1870" s="55"/>
      <c r="H1870" s="56"/>
      <c r="I1870" s="217"/>
      <c r="J1870" s="217"/>
      <c r="K1870" s="217"/>
      <c r="L1870" s="217"/>
      <c r="M1870" s="217"/>
      <c r="N1870" s="217"/>
      <c r="O1870" s="217"/>
      <c r="P1870" s="217"/>
      <c r="Q1870" s="217"/>
      <c r="R1870" s="217"/>
      <c r="S1870" s="217"/>
      <c r="T1870" s="217"/>
      <c r="U1870" s="217"/>
      <c r="V1870" s="217"/>
      <c r="W1870" s="217"/>
      <c r="X1870" s="217"/>
      <c r="Y1870" s="217"/>
      <c r="Z1870" s="217"/>
      <c r="AA1870" s="217"/>
      <c r="AB1870" s="217"/>
      <c r="AC1870" s="217"/>
      <c r="AD1870" s="217"/>
    </row>
    <row r="1871" spans="1:30" x14ac:dyDescent="0.2">
      <c r="A1871" s="232"/>
      <c r="B1871" s="210"/>
      <c r="C1871" s="210"/>
      <c r="D1871" s="210"/>
      <c r="E1871" s="210"/>
      <c r="G1871" s="55"/>
      <c r="H1871" s="56"/>
      <c r="I1871" s="217"/>
      <c r="J1871" s="217"/>
      <c r="K1871" s="217"/>
      <c r="L1871" s="217"/>
      <c r="M1871" s="217"/>
      <c r="N1871" s="217"/>
      <c r="O1871" s="217"/>
      <c r="P1871" s="217"/>
      <c r="Q1871" s="217"/>
      <c r="R1871" s="217"/>
      <c r="S1871" s="217"/>
      <c r="T1871" s="217"/>
      <c r="U1871" s="217"/>
      <c r="V1871" s="217"/>
      <c r="W1871" s="217"/>
      <c r="X1871" s="217"/>
      <c r="Y1871" s="217"/>
      <c r="Z1871" s="217"/>
      <c r="AA1871" s="217"/>
      <c r="AB1871" s="217"/>
      <c r="AC1871" s="217"/>
      <c r="AD1871" s="217"/>
    </row>
    <row r="1872" spans="1:30" x14ac:dyDescent="0.2">
      <c r="A1872" s="232"/>
      <c r="B1872" s="210"/>
      <c r="C1872" s="210"/>
      <c r="D1872" s="210"/>
      <c r="E1872" s="210"/>
      <c r="G1872" s="55"/>
      <c r="H1872" s="56"/>
      <c r="I1872" s="217"/>
      <c r="J1872" s="217"/>
      <c r="K1872" s="217"/>
      <c r="L1872" s="217"/>
      <c r="M1872" s="217"/>
      <c r="N1872" s="217"/>
      <c r="O1872" s="217"/>
      <c r="P1872" s="217"/>
      <c r="Q1872" s="217"/>
      <c r="R1872" s="217"/>
      <c r="S1872" s="217"/>
      <c r="T1872" s="217"/>
      <c r="U1872" s="217"/>
      <c r="V1872" s="217"/>
      <c r="W1872" s="217"/>
      <c r="X1872" s="217"/>
      <c r="Y1872" s="217"/>
      <c r="Z1872" s="217"/>
      <c r="AA1872" s="217"/>
      <c r="AB1872" s="217"/>
      <c r="AC1872" s="217"/>
      <c r="AD1872" s="217"/>
    </row>
    <row r="1873" spans="1:30" x14ac:dyDescent="0.2">
      <c r="A1873" s="232"/>
      <c r="B1873" s="210"/>
      <c r="C1873" s="210"/>
      <c r="D1873" s="210"/>
      <c r="E1873" s="210"/>
      <c r="G1873" s="55"/>
      <c r="H1873" s="56"/>
      <c r="I1873" s="217"/>
      <c r="J1873" s="217"/>
      <c r="K1873" s="217"/>
      <c r="L1873" s="217"/>
      <c r="M1873" s="217"/>
      <c r="N1873" s="217"/>
      <c r="O1873" s="217"/>
      <c r="P1873" s="217"/>
      <c r="Q1873" s="217"/>
      <c r="R1873" s="217"/>
      <c r="S1873" s="217"/>
      <c r="T1873" s="217"/>
      <c r="U1873" s="217"/>
      <c r="V1873" s="217"/>
      <c r="W1873" s="217"/>
      <c r="X1873" s="217"/>
      <c r="Y1873" s="217"/>
      <c r="Z1873" s="217"/>
      <c r="AA1873" s="217"/>
      <c r="AB1873" s="217"/>
      <c r="AC1873" s="217"/>
      <c r="AD1873" s="217"/>
    </row>
    <row r="1874" spans="1:30" x14ac:dyDescent="0.2">
      <c r="A1874" s="232"/>
      <c r="B1874" s="210"/>
      <c r="C1874" s="210"/>
      <c r="D1874" s="210"/>
      <c r="E1874" s="210"/>
      <c r="G1874" s="55"/>
      <c r="H1874" s="56"/>
      <c r="I1874" s="217"/>
      <c r="J1874" s="217"/>
      <c r="K1874" s="217"/>
      <c r="L1874" s="217"/>
      <c r="M1874" s="217"/>
      <c r="N1874" s="217"/>
      <c r="O1874" s="217"/>
      <c r="P1874" s="217"/>
      <c r="Q1874" s="217"/>
      <c r="R1874" s="217"/>
      <c r="S1874" s="217"/>
      <c r="T1874" s="217"/>
      <c r="U1874" s="217"/>
      <c r="V1874" s="217"/>
      <c r="W1874" s="217"/>
      <c r="X1874" s="217"/>
      <c r="Y1874" s="217"/>
      <c r="Z1874" s="217"/>
      <c r="AA1874" s="217"/>
      <c r="AB1874" s="217"/>
      <c r="AC1874" s="217"/>
      <c r="AD1874" s="217"/>
    </row>
    <row r="1875" spans="1:30" x14ac:dyDescent="0.2">
      <c r="A1875" s="232"/>
      <c r="B1875" s="210"/>
      <c r="C1875" s="210"/>
      <c r="D1875" s="210"/>
      <c r="E1875" s="210"/>
      <c r="G1875" s="55"/>
      <c r="H1875" s="56"/>
      <c r="I1875" s="217"/>
      <c r="J1875" s="217"/>
      <c r="K1875" s="217"/>
      <c r="L1875" s="217"/>
      <c r="M1875" s="217"/>
      <c r="N1875" s="217"/>
      <c r="O1875" s="217"/>
      <c r="P1875" s="217"/>
      <c r="Q1875" s="217"/>
      <c r="R1875" s="217"/>
      <c r="S1875" s="217"/>
      <c r="T1875" s="217"/>
      <c r="U1875" s="217"/>
      <c r="V1875" s="217"/>
      <c r="W1875" s="217"/>
      <c r="X1875" s="217"/>
      <c r="Y1875" s="217"/>
      <c r="Z1875" s="217"/>
      <c r="AA1875" s="217"/>
      <c r="AB1875" s="217"/>
      <c r="AC1875" s="217"/>
      <c r="AD1875" s="217"/>
    </row>
    <row r="1876" spans="1:30" x14ac:dyDescent="0.2">
      <c r="A1876" s="232"/>
      <c r="B1876" s="210"/>
      <c r="C1876" s="210"/>
      <c r="D1876" s="210"/>
      <c r="E1876" s="210"/>
      <c r="G1876" s="55"/>
      <c r="H1876" s="56"/>
      <c r="I1876" s="217"/>
      <c r="J1876" s="217"/>
      <c r="K1876" s="217"/>
      <c r="L1876" s="217"/>
      <c r="M1876" s="217"/>
      <c r="N1876" s="217"/>
      <c r="O1876" s="217"/>
      <c r="P1876" s="217"/>
      <c r="Q1876" s="217"/>
      <c r="R1876" s="217"/>
      <c r="S1876" s="217"/>
      <c r="T1876" s="217"/>
      <c r="U1876" s="217"/>
      <c r="V1876" s="217"/>
      <c r="W1876" s="217"/>
      <c r="X1876" s="217"/>
      <c r="Y1876" s="217"/>
      <c r="Z1876" s="217"/>
      <c r="AA1876" s="217"/>
      <c r="AB1876" s="217"/>
      <c r="AC1876" s="217"/>
      <c r="AD1876" s="217"/>
    </row>
    <row r="1877" spans="1:30" x14ac:dyDescent="0.2">
      <c r="A1877" s="232"/>
      <c r="B1877" s="210"/>
      <c r="C1877" s="210"/>
      <c r="D1877" s="210"/>
      <c r="E1877" s="210"/>
      <c r="G1877" s="55"/>
      <c r="H1877" s="56"/>
      <c r="I1877" s="217"/>
      <c r="J1877" s="217"/>
      <c r="K1877" s="217"/>
      <c r="L1877" s="217"/>
      <c r="M1877" s="217"/>
      <c r="N1877" s="217"/>
      <c r="O1877" s="217"/>
      <c r="P1877" s="217"/>
      <c r="Q1877" s="217"/>
      <c r="R1877" s="217"/>
      <c r="S1877" s="217"/>
      <c r="T1877" s="217"/>
      <c r="U1877" s="217"/>
      <c r="V1877" s="217"/>
      <c r="W1877" s="217"/>
      <c r="X1877" s="217"/>
      <c r="Y1877" s="217"/>
      <c r="Z1877" s="217"/>
      <c r="AA1877" s="217"/>
      <c r="AB1877" s="217"/>
      <c r="AC1877" s="217"/>
      <c r="AD1877" s="217"/>
    </row>
    <row r="1878" spans="1:30" x14ac:dyDescent="0.2">
      <c r="A1878" s="232"/>
      <c r="B1878" s="210"/>
      <c r="C1878" s="210"/>
      <c r="D1878" s="210"/>
      <c r="E1878" s="210"/>
      <c r="G1878" s="55"/>
      <c r="H1878" s="56"/>
      <c r="I1878" s="217"/>
      <c r="J1878" s="217"/>
      <c r="K1878" s="217"/>
      <c r="L1878" s="217"/>
      <c r="M1878" s="217"/>
      <c r="N1878" s="217"/>
      <c r="O1878" s="217"/>
      <c r="P1878" s="217"/>
      <c r="Q1878" s="217"/>
      <c r="R1878" s="217"/>
      <c r="S1878" s="217"/>
      <c r="T1878" s="217"/>
      <c r="U1878" s="217"/>
      <c r="V1878" s="217"/>
      <c r="W1878" s="217"/>
      <c r="X1878" s="217"/>
      <c r="Y1878" s="217"/>
      <c r="Z1878" s="217"/>
      <c r="AA1878" s="217"/>
      <c r="AB1878" s="217"/>
      <c r="AC1878" s="217"/>
      <c r="AD1878" s="217"/>
    </row>
    <row r="1879" spans="1:30" x14ac:dyDescent="0.2">
      <c r="A1879" s="232"/>
      <c r="B1879" s="210"/>
      <c r="C1879" s="210"/>
      <c r="D1879" s="210"/>
      <c r="E1879" s="210"/>
      <c r="G1879" s="55"/>
      <c r="H1879" s="56"/>
      <c r="I1879" s="217"/>
      <c r="J1879" s="217"/>
      <c r="K1879" s="217"/>
      <c r="L1879" s="217"/>
      <c r="M1879" s="217"/>
      <c r="N1879" s="217"/>
      <c r="O1879" s="217"/>
      <c r="P1879" s="217"/>
      <c r="Q1879" s="217"/>
      <c r="R1879" s="217"/>
      <c r="S1879" s="217"/>
      <c r="T1879" s="217"/>
      <c r="U1879" s="217"/>
      <c r="V1879" s="217"/>
      <c r="W1879" s="217"/>
      <c r="X1879" s="217"/>
      <c r="Y1879" s="217"/>
      <c r="Z1879" s="217"/>
      <c r="AA1879" s="217"/>
      <c r="AB1879" s="217"/>
      <c r="AC1879" s="217"/>
      <c r="AD1879" s="217"/>
    </row>
    <row r="1880" spans="1:30" x14ac:dyDescent="0.2">
      <c r="A1880" s="232"/>
      <c r="B1880" s="210"/>
      <c r="C1880" s="210"/>
      <c r="D1880" s="210"/>
      <c r="E1880" s="210"/>
      <c r="G1880" s="55"/>
      <c r="H1880" s="56"/>
      <c r="I1880" s="217"/>
      <c r="J1880" s="217"/>
      <c r="K1880" s="217"/>
      <c r="L1880" s="217"/>
      <c r="M1880" s="217"/>
      <c r="N1880" s="217"/>
      <c r="O1880" s="217"/>
      <c r="P1880" s="217"/>
      <c r="Q1880" s="217"/>
      <c r="R1880" s="217"/>
      <c r="S1880" s="217"/>
      <c r="T1880" s="217"/>
      <c r="U1880" s="217"/>
      <c r="V1880" s="217"/>
      <c r="W1880" s="217"/>
      <c r="X1880" s="217"/>
      <c r="Y1880" s="217"/>
      <c r="Z1880" s="217"/>
      <c r="AA1880" s="217"/>
      <c r="AB1880" s="217"/>
      <c r="AC1880" s="217"/>
      <c r="AD1880" s="217"/>
    </row>
    <row r="1881" spans="1:30" x14ac:dyDescent="0.2">
      <c r="A1881" s="232"/>
      <c r="B1881" s="210"/>
      <c r="C1881" s="210"/>
      <c r="D1881" s="210"/>
      <c r="E1881" s="210"/>
      <c r="G1881" s="55"/>
      <c r="H1881" s="56"/>
      <c r="I1881" s="217"/>
      <c r="J1881" s="217"/>
      <c r="K1881" s="217"/>
      <c r="L1881" s="217"/>
      <c r="M1881" s="217"/>
      <c r="N1881" s="217"/>
      <c r="O1881" s="217"/>
      <c r="P1881" s="217"/>
      <c r="Q1881" s="217"/>
      <c r="R1881" s="217"/>
      <c r="S1881" s="217"/>
      <c r="T1881" s="217"/>
      <c r="U1881" s="217"/>
      <c r="V1881" s="217"/>
      <c r="W1881" s="217"/>
      <c r="X1881" s="217"/>
      <c r="Y1881" s="217"/>
      <c r="Z1881" s="217"/>
      <c r="AA1881" s="217"/>
      <c r="AB1881" s="217"/>
      <c r="AC1881" s="217"/>
      <c r="AD1881" s="217"/>
    </row>
    <row r="1882" spans="1:30" x14ac:dyDescent="0.2">
      <c r="A1882" s="232"/>
      <c r="B1882" s="210"/>
      <c r="C1882" s="210"/>
      <c r="D1882" s="210"/>
      <c r="E1882" s="210"/>
      <c r="G1882" s="55"/>
      <c r="H1882" s="56"/>
      <c r="I1882" s="217"/>
      <c r="J1882" s="217"/>
      <c r="K1882" s="217"/>
      <c r="L1882" s="217"/>
      <c r="M1882" s="217"/>
      <c r="N1882" s="217"/>
      <c r="O1882" s="217"/>
      <c r="P1882" s="217"/>
      <c r="Q1882" s="217"/>
      <c r="R1882" s="217"/>
      <c r="S1882" s="217"/>
      <c r="T1882" s="217"/>
      <c r="U1882" s="217"/>
      <c r="V1882" s="217"/>
      <c r="W1882" s="217"/>
      <c r="X1882" s="217"/>
      <c r="Y1882" s="217"/>
      <c r="Z1882" s="217"/>
      <c r="AA1882" s="217"/>
      <c r="AB1882" s="217"/>
      <c r="AC1882" s="217"/>
      <c r="AD1882" s="217"/>
    </row>
    <row r="1883" spans="1:30" x14ac:dyDescent="0.2">
      <c r="A1883" s="232"/>
      <c r="B1883" s="210"/>
      <c r="C1883" s="210"/>
      <c r="D1883" s="210"/>
      <c r="E1883" s="210"/>
      <c r="G1883" s="55"/>
      <c r="H1883" s="56"/>
      <c r="I1883" s="217"/>
      <c r="J1883" s="217"/>
      <c r="K1883" s="217"/>
      <c r="L1883" s="217"/>
      <c r="M1883" s="217"/>
      <c r="N1883" s="217"/>
      <c r="O1883" s="217"/>
      <c r="P1883" s="217"/>
      <c r="Q1883" s="217"/>
      <c r="R1883" s="217"/>
      <c r="S1883" s="217"/>
      <c r="T1883" s="217"/>
      <c r="U1883" s="217"/>
      <c r="V1883" s="217"/>
      <c r="W1883" s="217"/>
      <c r="X1883" s="217"/>
      <c r="Y1883" s="217"/>
      <c r="Z1883" s="217"/>
      <c r="AA1883" s="217"/>
      <c r="AB1883" s="217"/>
      <c r="AC1883" s="217"/>
      <c r="AD1883" s="217"/>
    </row>
    <row r="1884" spans="1:30" x14ac:dyDescent="0.2">
      <c r="A1884" s="232"/>
      <c r="B1884" s="210"/>
      <c r="C1884" s="210"/>
      <c r="D1884" s="210"/>
      <c r="E1884" s="210"/>
      <c r="G1884" s="55"/>
      <c r="H1884" s="56"/>
      <c r="I1884" s="217"/>
      <c r="J1884" s="217"/>
      <c r="K1884" s="217"/>
      <c r="L1884" s="217"/>
      <c r="M1884" s="217"/>
      <c r="N1884" s="217"/>
      <c r="O1884" s="217"/>
      <c r="P1884" s="217"/>
      <c r="Q1884" s="217"/>
      <c r="R1884" s="217"/>
      <c r="S1884" s="217"/>
      <c r="T1884" s="217"/>
      <c r="U1884" s="217"/>
      <c r="V1884" s="217"/>
      <c r="W1884" s="217"/>
      <c r="X1884" s="217"/>
      <c r="Y1884" s="217"/>
      <c r="Z1884" s="217"/>
      <c r="AA1884" s="217"/>
      <c r="AB1884" s="217"/>
      <c r="AC1884" s="217"/>
      <c r="AD1884" s="217"/>
    </row>
    <row r="1885" spans="1:30" x14ac:dyDescent="0.2">
      <c r="A1885" s="232"/>
      <c r="B1885" s="210"/>
      <c r="C1885" s="210"/>
      <c r="D1885" s="210"/>
      <c r="E1885" s="210"/>
      <c r="G1885" s="55"/>
      <c r="H1885" s="56"/>
      <c r="I1885" s="217"/>
      <c r="J1885" s="217"/>
      <c r="K1885" s="217"/>
      <c r="L1885" s="217"/>
      <c r="M1885" s="217"/>
      <c r="N1885" s="217"/>
      <c r="O1885" s="217"/>
      <c r="P1885" s="217"/>
      <c r="Q1885" s="217"/>
      <c r="R1885" s="217"/>
      <c r="S1885" s="217"/>
      <c r="T1885" s="217"/>
      <c r="U1885" s="217"/>
      <c r="V1885" s="217"/>
      <c r="W1885" s="217"/>
      <c r="X1885" s="217"/>
      <c r="Y1885" s="217"/>
      <c r="Z1885" s="217"/>
      <c r="AA1885" s="217"/>
      <c r="AB1885" s="217"/>
      <c r="AC1885" s="217"/>
      <c r="AD1885" s="217"/>
    </row>
    <row r="1886" spans="1:30" x14ac:dyDescent="0.2">
      <c r="A1886" s="232"/>
      <c r="B1886" s="210"/>
      <c r="C1886" s="210"/>
      <c r="D1886" s="210"/>
      <c r="E1886" s="210"/>
      <c r="G1886" s="55"/>
      <c r="H1886" s="56"/>
      <c r="I1886" s="217"/>
      <c r="J1886" s="217"/>
      <c r="K1886" s="217"/>
      <c r="L1886" s="217"/>
      <c r="M1886" s="217"/>
      <c r="N1886" s="217"/>
      <c r="O1886" s="217"/>
      <c r="P1886" s="217"/>
      <c r="Q1886" s="217"/>
      <c r="R1886" s="217"/>
      <c r="S1886" s="217"/>
      <c r="T1886" s="217"/>
      <c r="U1886" s="217"/>
      <c r="V1886" s="217"/>
      <c r="W1886" s="217"/>
      <c r="X1886" s="217"/>
      <c r="Y1886" s="217"/>
      <c r="Z1886" s="217"/>
      <c r="AA1886" s="217"/>
      <c r="AB1886" s="217"/>
      <c r="AC1886" s="217"/>
      <c r="AD1886" s="217"/>
    </row>
    <row r="1887" spans="1:30" x14ac:dyDescent="0.2">
      <c r="A1887" s="232"/>
      <c r="B1887" s="210"/>
      <c r="C1887" s="210"/>
      <c r="D1887" s="210"/>
      <c r="E1887" s="210"/>
      <c r="G1887" s="55"/>
      <c r="H1887" s="56"/>
      <c r="I1887" s="217"/>
      <c r="J1887" s="217"/>
      <c r="K1887" s="217"/>
      <c r="L1887" s="217"/>
      <c r="M1887" s="217"/>
      <c r="N1887" s="217"/>
      <c r="O1887" s="217"/>
      <c r="P1887" s="217"/>
      <c r="Q1887" s="217"/>
      <c r="R1887" s="217"/>
      <c r="S1887" s="217"/>
      <c r="T1887" s="217"/>
      <c r="U1887" s="217"/>
      <c r="V1887" s="217"/>
      <c r="W1887" s="217"/>
      <c r="X1887" s="217"/>
      <c r="Y1887" s="217"/>
      <c r="Z1887" s="217"/>
      <c r="AA1887" s="217"/>
      <c r="AB1887" s="217"/>
      <c r="AC1887" s="217"/>
      <c r="AD1887" s="217"/>
    </row>
    <row r="1888" spans="1:30" x14ac:dyDescent="0.2">
      <c r="A1888" s="232"/>
      <c r="B1888" s="210"/>
      <c r="C1888" s="210"/>
      <c r="D1888" s="210"/>
      <c r="E1888" s="210"/>
      <c r="G1888" s="55"/>
      <c r="H1888" s="56"/>
      <c r="I1888" s="217"/>
      <c r="J1888" s="217"/>
      <c r="K1888" s="217"/>
      <c r="L1888" s="217"/>
      <c r="M1888" s="217"/>
      <c r="N1888" s="217"/>
      <c r="O1888" s="217"/>
      <c r="P1888" s="217"/>
      <c r="Q1888" s="217"/>
      <c r="R1888" s="217"/>
      <c r="S1888" s="217"/>
      <c r="T1888" s="217"/>
      <c r="U1888" s="217"/>
      <c r="V1888" s="217"/>
      <c r="W1888" s="217"/>
      <c r="X1888" s="217"/>
      <c r="Y1888" s="217"/>
      <c r="Z1888" s="217"/>
      <c r="AA1888" s="217"/>
      <c r="AB1888" s="217"/>
      <c r="AC1888" s="217"/>
      <c r="AD1888" s="217"/>
    </row>
    <row r="1889" spans="1:30" x14ac:dyDescent="0.2">
      <c r="A1889" s="232"/>
      <c r="B1889" s="210"/>
      <c r="C1889" s="210"/>
      <c r="D1889" s="210"/>
      <c r="E1889" s="210"/>
      <c r="G1889" s="55"/>
      <c r="H1889" s="56"/>
      <c r="I1889" s="217"/>
      <c r="J1889" s="217"/>
      <c r="K1889" s="217"/>
      <c r="L1889" s="217"/>
      <c r="M1889" s="217"/>
      <c r="N1889" s="217"/>
      <c r="O1889" s="217"/>
      <c r="P1889" s="217"/>
      <c r="Q1889" s="217"/>
      <c r="R1889" s="217"/>
      <c r="S1889" s="217"/>
      <c r="T1889" s="217"/>
      <c r="U1889" s="217"/>
      <c r="V1889" s="217"/>
      <c r="W1889" s="217"/>
      <c r="X1889" s="217"/>
      <c r="Y1889" s="217"/>
      <c r="Z1889" s="217"/>
      <c r="AA1889" s="217"/>
      <c r="AB1889" s="217"/>
      <c r="AC1889" s="217"/>
      <c r="AD1889" s="217"/>
    </row>
    <row r="1890" spans="1:30" x14ac:dyDescent="0.2">
      <c r="A1890" s="232"/>
      <c r="B1890" s="210"/>
      <c r="C1890" s="210"/>
      <c r="D1890" s="210"/>
      <c r="E1890" s="210"/>
      <c r="G1890" s="55"/>
      <c r="H1890" s="56"/>
      <c r="I1890" s="217"/>
      <c r="J1890" s="217"/>
      <c r="K1890" s="217"/>
      <c r="L1890" s="217"/>
      <c r="M1890" s="217"/>
      <c r="N1890" s="217"/>
      <c r="O1890" s="217"/>
      <c r="P1890" s="217"/>
      <c r="Q1890" s="217"/>
      <c r="R1890" s="217"/>
      <c r="S1890" s="217"/>
      <c r="T1890" s="217"/>
      <c r="U1890" s="217"/>
      <c r="V1890" s="217"/>
      <c r="W1890" s="217"/>
      <c r="X1890" s="217"/>
      <c r="Y1890" s="217"/>
      <c r="Z1890" s="217"/>
      <c r="AA1890" s="217"/>
      <c r="AB1890" s="217"/>
      <c r="AC1890" s="217"/>
      <c r="AD1890" s="217"/>
    </row>
    <row r="1891" spans="1:30" x14ac:dyDescent="0.2">
      <c r="A1891" s="232"/>
      <c r="B1891" s="210"/>
      <c r="C1891" s="210"/>
      <c r="D1891" s="210"/>
      <c r="E1891" s="210"/>
      <c r="G1891" s="55"/>
      <c r="H1891" s="56"/>
      <c r="I1891" s="217"/>
      <c r="J1891" s="217"/>
      <c r="K1891" s="217"/>
      <c r="L1891" s="217"/>
      <c r="M1891" s="217"/>
      <c r="N1891" s="217"/>
      <c r="O1891" s="217"/>
      <c r="P1891" s="217"/>
      <c r="Q1891" s="217"/>
      <c r="R1891" s="217"/>
      <c r="S1891" s="217"/>
      <c r="T1891" s="217"/>
      <c r="U1891" s="217"/>
      <c r="V1891" s="217"/>
      <c r="W1891" s="217"/>
      <c r="X1891" s="217"/>
      <c r="Y1891" s="217"/>
      <c r="Z1891" s="217"/>
      <c r="AA1891" s="217"/>
      <c r="AB1891" s="217"/>
      <c r="AC1891" s="217"/>
      <c r="AD1891" s="217"/>
    </row>
    <row r="1892" spans="1:30" x14ac:dyDescent="0.2">
      <c r="A1892" s="232"/>
      <c r="B1892" s="210"/>
      <c r="C1892" s="210"/>
      <c r="D1892" s="210"/>
      <c r="E1892" s="210"/>
      <c r="G1892" s="55"/>
      <c r="H1892" s="56"/>
      <c r="I1892" s="217"/>
      <c r="J1892" s="217"/>
      <c r="K1892" s="217"/>
      <c r="L1892" s="217"/>
      <c r="M1892" s="217"/>
      <c r="N1892" s="217"/>
      <c r="O1892" s="217"/>
      <c r="P1892" s="217"/>
      <c r="Q1892" s="217"/>
      <c r="R1892" s="217"/>
      <c r="S1892" s="217"/>
      <c r="T1892" s="217"/>
      <c r="U1892" s="217"/>
      <c r="V1892" s="217"/>
      <c r="W1892" s="217"/>
      <c r="X1892" s="217"/>
      <c r="Y1892" s="217"/>
      <c r="Z1892" s="217"/>
      <c r="AA1892" s="217"/>
      <c r="AB1892" s="217"/>
      <c r="AC1892" s="217"/>
      <c r="AD1892" s="217"/>
    </row>
    <row r="1893" spans="1:30" x14ac:dyDescent="0.2">
      <c r="A1893" s="232"/>
      <c r="B1893" s="210"/>
      <c r="C1893" s="210"/>
      <c r="D1893" s="210"/>
      <c r="E1893" s="210"/>
      <c r="G1893" s="55"/>
      <c r="H1893" s="56"/>
      <c r="I1893" s="217"/>
      <c r="J1893" s="217"/>
      <c r="K1893" s="217"/>
      <c r="L1893" s="217"/>
      <c r="M1893" s="217"/>
      <c r="N1893" s="217"/>
      <c r="O1893" s="217"/>
      <c r="P1893" s="217"/>
      <c r="Q1893" s="217"/>
      <c r="R1893" s="217"/>
      <c r="S1893" s="217"/>
      <c r="T1893" s="217"/>
      <c r="U1893" s="217"/>
      <c r="V1893" s="217"/>
      <c r="W1893" s="217"/>
      <c r="X1893" s="217"/>
      <c r="Y1893" s="217"/>
      <c r="Z1893" s="217"/>
      <c r="AA1893" s="217"/>
      <c r="AB1893" s="217"/>
      <c r="AC1893" s="217"/>
      <c r="AD1893" s="217"/>
    </row>
    <row r="1894" spans="1:30" x14ac:dyDescent="0.2">
      <c r="A1894" s="232"/>
      <c r="B1894" s="210"/>
      <c r="C1894" s="210"/>
      <c r="D1894" s="210"/>
      <c r="E1894" s="210"/>
      <c r="G1894" s="55"/>
      <c r="H1894" s="56"/>
      <c r="I1894" s="217"/>
      <c r="J1894" s="217"/>
      <c r="K1894" s="217"/>
      <c r="L1894" s="217"/>
      <c r="M1894" s="217"/>
      <c r="N1894" s="217"/>
      <c r="O1894" s="217"/>
      <c r="P1894" s="217"/>
      <c r="Q1894" s="217"/>
      <c r="R1894" s="217"/>
      <c r="S1894" s="217"/>
      <c r="T1894" s="217"/>
      <c r="U1894" s="217"/>
      <c r="V1894" s="217"/>
      <c r="W1894" s="217"/>
      <c r="X1894" s="217"/>
      <c r="Y1894" s="217"/>
      <c r="Z1894" s="217"/>
      <c r="AA1894" s="217"/>
      <c r="AB1894" s="217"/>
      <c r="AC1894" s="217"/>
      <c r="AD1894" s="217"/>
    </row>
    <row r="1895" spans="1:30" x14ac:dyDescent="0.2">
      <c r="A1895" s="232"/>
      <c r="B1895" s="210"/>
      <c r="C1895" s="210"/>
      <c r="D1895" s="210"/>
      <c r="E1895" s="210"/>
      <c r="G1895" s="55"/>
      <c r="H1895" s="56"/>
      <c r="I1895" s="217"/>
      <c r="J1895" s="217"/>
      <c r="K1895" s="217"/>
      <c r="L1895" s="217"/>
      <c r="M1895" s="217"/>
      <c r="N1895" s="217"/>
      <c r="O1895" s="217"/>
      <c r="P1895" s="217"/>
      <c r="Q1895" s="217"/>
      <c r="R1895" s="217"/>
      <c r="S1895" s="217"/>
      <c r="T1895" s="217"/>
      <c r="U1895" s="217"/>
      <c r="V1895" s="217"/>
      <c r="W1895" s="217"/>
      <c r="X1895" s="217"/>
      <c r="Y1895" s="217"/>
      <c r="Z1895" s="217"/>
      <c r="AA1895" s="217"/>
      <c r="AB1895" s="217"/>
      <c r="AC1895" s="217"/>
      <c r="AD1895" s="217"/>
    </row>
    <row r="1896" spans="1:30" x14ac:dyDescent="0.2">
      <c r="A1896" s="232"/>
      <c r="B1896" s="210"/>
      <c r="C1896" s="210"/>
      <c r="D1896" s="210"/>
      <c r="E1896" s="210"/>
      <c r="G1896" s="55"/>
      <c r="H1896" s="56"/>
      <c r="I1896" s="217"/>
      <c r="J1896" s="217"/>
      <c r="K1896" s="217"/>
      <c r="L1896" s="217"/>
      <c r="M1896" s="217"/>
      <c r="N1896" s="217"/>
      <c r="O1896" s="217"/>
      <c r="P1896" s="217"/>
      <c r="Q1896" s="217"/>
      <c r="R1896" s="217"/>
      <c r="S1896" s="217"/>
      <c r="T1896" s="217"/>
      <c r="U1896" s="217"/>
      <c r="V1896" s="217"/>
      <c r="W1896" s="217"/>
      <c r="X1896" s="217"/>
      <c r="Y1896" s="217"/>
      <c r="Z1896" s="217"/>
      <c r="AA1896" s="217"/>
      <c r="AB1896" s="217"/>
      <c r="AC1896" s="217"/>
      <c r="AD1896" s="217"/>
    </row>
    <row r="1897" spans="1:30" x14ac:dyDescent="0.2">
      <c r="A1897" s="232"/>
      <c r="B1897" s="210"/>
      <c r="C1897" s="210"/>
      <c r="D1897" s="210"/>
      <c r="E1897" s="210"/>
      <c r="G1897" s="55"/>
      <c r="H1897" s="56"/>
      <c r="I1897" s="217"/>
      <c r="J1897" s="217"/>
      <c r="K1897" s="217"/>
      <c r="L1897" s="217"/>
      <c r="M1897" s="217"/>
      <c r="N1897" s="217"/>
      <c r="O1897" s="217"/>
      <c r="P1897" s="217"/>
      <c r="Q1897" s="217"/>
      <c r="R1897" s="217"/>
      <c r="S1897" s="217"/>
      <c r="T1897" s="217"/>
      <c r="U1897" s="217"/>
      <c r="V1897" s="217"/>
      <c r="W1897" s="217"/>
      <c r="X1897" s="217"/>
      <c r="Y1897" s="217"/>
      <c r="Z1897" s="217"/>
      <c r="AA1897" s="217"/>
      <c r="AB1897" s="217"/>
      <c r="AC1897" s="217"/>
      <c r="AD1897" s="217"/>
    </row>
    <row r="1898" spans="1:30" x14ac:dyDescent="0.2">
      <c r="A1898" s="232"/>
      <c r="B1898" s="210"/>
      <c r="C1898" s="210"/>
      <c r="D1898" s="210"/>
      <c r="E1898" s="210"/>
      <c r="G1898" s="55"/>
      <c r="H1898" s="56"/>
      <c r="I1898" s="217"/>
      <c r="J1898" s="217"/>
      <c r="K1898" s="217"/>
      <c r="L1898" s="217"/>
      <c r="M1898" s="217"/>
      <c r="N1898" s="217"/>
      <c r="O1898" s="217"/>
      <c r="P1898" s="217"/>
      <c r="Q1898" s="217"/>
      <c r="R1898" s="217"/>
      <c r="S1898" s="217"/>
      <c r="T1898" s="217"/>
      <c r="U1898" s="217"/>
      <c r="V1898" s="217"/>
      <c r="W1898" s="217"/>
      <c r="X1898" s="217"/>
      <c r="Y1898" s="217"/>
      <c r="Z1898" s="217"/>
      <c r="AA1898" s="217"/>
      <c r="AB1898" s="217"/>
      <c r="AC1898" s="217"/>
      <c r="AD1898" s="217"/>
    </row>
    <row r="1899" spans="1:30" x14ac:dyDescent="0.2">
      <c r="A1899" s="232"/>
      <c r="B1899" s="210"/>
      <c r="C1899" s="210"/>
      <c r="D1899" s="210"/>
      <c r="E1899" s="210"/>
      <c r="G1899" s="55"/>
      <c r="H1899" s="56"/>
      <c r="I1899" s="217"/>
      <c r="J1899" s="217"/>
      <c r="K1899" s="217"/>
      <c r="L1899" s="217"/>
      <c r="M1899" s="217"/>
      <c r="N1899" s="217"/>
      <c r="O1899" s="217"/>
      <c r="P1899" s="217"/>
      <c r="Q1899" s="217"/>
      <c r="R1899" s="217"/>
      <c r="S1899" s="217"/>
      <c r="T1899" s="217"/>
      <c r="U1899" s="217"/>
      <c r="V1899" s="217"/>
      <c r="W1899" s="217"/>
      <c r="X1899" s="217"/>
      <c r="Y1899" s="217"/>
      <c r="Z1899" s="217"/>
      <c r="AA1899" s="217"/>
      <c r="AB1899" s="217"/>
      <c r="AC1899" s="217"/>
      <c r="AD1899" s="217"/>
    </row>
    <row r="1900" spans="1:30" x14ac:dyDescent="0.2">
      <c r="A1900" s="232"/>
      <c r="B1900" s="210"/>
      <c r="C1900" s="210"/>
      <c r="D1900" s="210"/>
      <c r="E1900" s="210"/>
      <c r="G1900" s="55"/>
      <c r="H1900" s="56"/>
      <c r="I1900" s="217"/>
      <c r="J1900" s="217"/>
      <c r="K1900" s="217"/>
      <c r="L1900" s="217"/>
      <c r="M1900" s="217"/>
      <c r="N1900" s="217"/>
      <c r="O1900" s="217"/>
      <c r="P1900" s="217"/>
      <c r="Q1900" s="217"/>
      <c r="R1900" s="217"/>
      <c r="S1900" s="217"/>
      <c r="T1900" s="217"/>
      <c r="U1900" s="217"/>
      <c r="V1900" s="217"/>
      <c r="W1900" s="217"/>
      <c r="X1900" s="217"/>
      <c r="Y1900" s="217"/>
      <c r="Z1900" s="217"/>
      <c r="AA1900" s="217"/>
      <c r="AB1900" s="217"/>
      <c r="AC1900" s="217"/>
      <c r="AD1900" s="217"/>
    </row>
    <row r="1901" spans="1:30" x14ac:dyDescent="0.2">
      <c r="A1901" s="232"/>
      <c r="B1901" s="210"/>
      <c r="C1901" s="210"/>
      <c r="D1901" s="210"/>
      <c r="E1901" s="210"/>
      <c r="G1901" s="55"/>
      <c r="H1901" s="56"/>
      <c r="I1901" s="217"/>
      <c r="J1901" s="217"/>
      <c r="K1901" s="217"/>
      <c r="L1901" s="217"/>
      <c r="M1901" s="217"/>
      <c r="N1901" s="217"/>
      <c r="O1901" s="217"/>
      <c r="P1901" s="217"/>
      <c r="Q1901" s="217"/>
      <c r="R1901" s="217"/>
      <c r="S1901" s="217"/>
      <c r="T1901" s="217"/>
      <c r="U1901" s="217"/>
      <c r="V1901" s="217"/>
      <c r="W1901" s="217"/>
      <c r="X1901" s="217"/>
      <c r="Y1901" s="217"/>
      <c r="Z1901" s="217"/>
      <c r="AA1901" s="217"/>
      <c r="AB1901" s="217"/>
      <c r="AC1901" s="217"/>
      <c r="AD1901" s="217"/>
    </row>
    <row r="1902" spans="1:30" x14ac:dyDescent="0.2">
      <c r="A1902" s="232"/>
      <c r="B1902" s="210"/>
      <c r="C1902" s="210"/>
      <c r="D1902" s="210"/>
      <c r="E1902" s="210"/>
      <c r="G1902" s="55"/>
      <c r="H1902" s="56"/>
      <c r="I1902" s="217"/>
      <c r="J1902" s="217"/>
      <c r="K1902" s="217"/>
      <c r="L1902" s="217"/>
      <c r="M1902" s="217"/>
      <c r="N1902" s="217"/>
      <c r="O1902" s="217"/>
      <c r="P1902" s="217"/>
      <c r="Q1902" s="217"/>
      <c r="R1902" s="217"/>
      <c r="S1902" s="217"/>
      <c r="T1902" s="217"/>
      <c r="U1902" s="217"/>
      <c r="V1902" s="217"/>
      <c r="W1902" s="217"/>
      <c r="X1902" s="217"/>
      <c r="Y1902" s="217"/>
      <c r="Z1902" s="217"/>
      <c r="AA1902" s="217"/>
      <c r="AB1902" s="217"/>
      <c r="AC1902" s="217"/>
      <c r="AD1902" s="217"/>
    </row>
    <row r="1903" spans="1:30" x14ac:dyDescent="0.2">
      <c r="A1903" s="232"/>
      <c r="B1903" s="210"/>
      <c r="C1903" s="210"/>
      <c r="D1903" s="210"/>
      <c r="E1903" s="210"/>
      <c r="G1903" s="55"/>
      <c r="H1903" s="56"/>
      <c r="I1903" s="217"/>
      <c r="J1903" s="217"/>
      <c r="K1903" s="217"/>
      <c r="L1903" s="217"/>
      <c r="M1903" s="217"/>
      <c r="N1903" s="217"/>
      <c r="O1903" s="217"/>
      <c r="P1903" s="217"/>
      <c r="Q1903" s="217"/>
      <c r="R1903" s="217"/>
      <c r="S1903" s="217"/>
      <c r="T1903" s="217"/>
      <c r="U1903" s="217"/>
      <c r="V1903" s="217"/>
      <c r="W1903" s="217"/>
      <c r="X1903" s="217"/>
      <c r="Y1903" s="217"/>
      <c r="Z1903" s="217"/>
      <c r="AA1903" s="217"/>
      <c r="AB1903" s="217"/>
      <c r="AC1903" s="217"/>
      <c r="AD1903" s="217"/>
    </row>
    <row r="1904" spans="1:30" x14ac:dyDescent="0.2">
      <c r="A1904" s="232"/>
      <c r="B1904" s="210"/>
      <c r="C1904" s="210"/>
      <c r="D1904" s="210"/>
      <c r="E1904" s="210"/>
      <c r="G1904" s="55"/>
      <c r="H1904" s="56"/>
      <c r="I1904" s="217"/>
      <c r="J1904" s="217"/>
      <c r="K1904" s="217"/>
      <c r="L1904" s="217"/>
      <c r="M1904" s="217"/>
      <c r="N1904" s="217"/>
      <c r="O1904" s="217"/>
      <c r="P1904" s="217"/>
      <c r="Q1904" s="217"/>
      <c r="R1904" s="217"/>
      <c r="S1904" s="217"/>
      <c r="T1904" s="217"/>
      <c r="U1904" s="217"/>
      <c r="V1904" s="217"/>
      <c r="W1904" s="217"/>
      <c r="X1904" s="217"/>
      <c r="Y1904" s="217"/>
      <c r="Z1904" s="217"/>
      <c r="AA1904" s="217"/>
      <c r="AB1904" s="217"/>
      <c r="AC1904" s="217"/>
      <c r="AD1904" s="217"/>
    </row>
    <row r="1905" spans="1:30" x14ac:dyDescent="0.2">
      <c r="A1905" s="232"/>
      <c r="B1905" s="210"/>
      <c r="C1905" s="210"/>
      <c r="D1905" s="210"/>
      <c r="E1905" s="210"/>
      <c r="G1905" s="55"/>
      <c r="H1905" s="56"/>
      <c r="I1905" s="217"/>
      <c r="J1905" s="217"/>
      <c r="K1905" s="217"/>
      <c r="L1905" s="217"/>
      <c r="M1905" s="217"/>
      <c r="N1905" s="217"/>
      <c r="O1905" s="217"/>
      <c r="P1905" s="217"/>
      <c r="Q1905" s="217"/>
      <c r="R1905" s="217"/>
      <c r="S1905" s="217"/>
      <c r="T1905" s="217"/>
      <c r="U1905" s="217"/>
      <c r="V1905" s="217"/>
      <c r="W1905" s="217"/>
      <c r="X1905" s="217"/>
      <c r="Y1905" s="217"/>
      <c r="Z1905" s="217"/>
      <c r="AA1905" s="217"/>
      <c r="AB1905" s="217"/>
      <c r="AC1905" s="217"/>
      <c r="AD1905" s="217"/>
    </row>
    <row r="1906" spans="1:30" x14ac:dyDescent="0.2">
      <c r="A1906" s="232"/>
      <c r="B1906" s="210"/>
      <c r="C1906" s="210"/>
      <c r="D1906" s="210"/>
      <c r="E1906" s="210"/>
      <c r="G1906" s="55"/>
      <c r="H1906" s="56"/>
      <c r="I1906" s="217"/>
      <c r="J1906" s="217"/>
      <c r="K1906" s="217"/>
      <c r="L1906" s="217"/>
      <c r="M1906" s="217"/>
      <c r="N1906" s="217"/>
      <c r="O1906" s="217"/>
      <c r="P1906" s="217"/>
      <c r="Q1906" s="217"/>
      <c r="R1906" s="217"/>
      <c r="S1906" s="217"/>
      <c r="T1906" s="217"/>
      <c r="U1906" s="217"/>
      <c r="V1906" s="217"/>
      <c r="W1906" s="217"/>
      <c r="X1906" s="217"/>
      <c r="Y1906" s="217"/>
      <c r="Z1906" s="217"/>
      <c r="AA1906" s="217"/>
      <c r="AB1906" s="217"/>
      <c r="AC1906" s="217"/>
      <c r="AD1906" s="217"/>
    </row>
    <row r="1907" spans="1:30" x14ac:dyDescent="0.2">
      <c r="A1907" s="232"/>
      <c r="B1907" s="210"/>
      <c r="C1907" s="210"/>
      <c r="D1907" s="210"/>
      <c r="E1907" s="210"/>
      <c r="G1907" s="55"/>
      <c r="H1907" s="56"/>
      <c r="I1907" s="217"/>
      <c r="J1907" s="217"/>
      <c r="K1907" s="217"/>
      <c r="L1907" s="217"/>
      <c r="M1907" s="217"/>
      <c r="N1907" s="217"/>
      <c r="O1907" s="217"/>
      <c r="P1907" s="217"/>
      <c r="Q1907" s="217"/>
      <c r="R1907" s="217"/>
      <c r="S1907" s="217"/>
      <c r="T1907" s="217"/>
      <c r="U1907" s="217"/>
      <c r="V1907" s="217"/>
      <c r="W1907" s="217"/>
      <c r="X1907" s="217"/>
      <c r="Y1907" s="217"/>
      <c r="Z1907" s="217"/>
      <c r="AA1907" s="217"/>
      <c r="AB1907" s="217"/>
      <c r="AC1907" s="217"/>
      <c r="AD1907" s="217"/>
    </row>
    <row r="1908" spans="1:30" x14ac:dyDescent="0.2">
      <c r="A1908" s="232"/>
      <c r="B1908" s="210"/>
      <c r="C1908" s="210"/>
      <c r="D1908" s="210"/>
      <c r="E1908" s="210"/>
      <c r="G1908" s="55"/>
      <c r="H1908" s="56"/>
      <c r="I1908" s="217"/>
      <c r="J1908" s="217"/>
      <c r="K1908" s="217"/>
      <c r="L1908" s="217"/>
      <c r="M1908" s="217"/>
      <c r="N1908" s="217"/>
      <c r="O1908" s="217"/>
      <c r="P1908" s="217"/>
      <c r="Q1908" s="217"/>
      <c r="R1908" s="217"/>
      <c r="S1908" s="217"/>
      <c r="T1908" s="217"/>
      <c r="U1908" s="217"/>
      <c r="V1908" s="217"/>
      <c r="W1908" s="217"/>
      <c r="X1908" s="217"/>
      <c r="Y1908" s="217"/>
      <c r="Z1908" s="217"/>
      <c r="AA1908" s="217"/>
      <c r="AB1908" s="217"/>
      <c r="AC1908" s="217"/>
      <c r="AD1908" s="217"/>
    </row>
    <row r="1909" spans="1:30" x14ac:dyDescent="0.2">
      <c r="A1909" s="232"/>
      <c r="B1909" s="210"/>
      <c r="C1909" s="210"/>
      <c r="D1909" s="210"/>
      <c r="E1909" s="210"/>
      <c r="G1909" s="55"/>
      <c r="H1909" s="56"/>
      <c r="I1909" s="217"/>
      <c r="J1909" s="217"/>
      <c r="K1909" s="217"/>
      <c r="L1909" s="217"/>
      <c r="M1909" s="217"/>
      <c r="N1909" s="217"/>
      <c r="O1909" s="217"/>
      <c r="P1909" s="217"/>
      <c r="Q1909" s="217"/>
      <c r="R1909" s="217"/>
      <c r="S1909" s="217"/>
      <c r="T1909" s="217"/>
      <c r="U1909" s="217"/>
      <c r="V1909" s="217"/>
      <c r="W1909" s="217"/>
      <c r="X1909" s="217"/>
      <c r="Y1909" s="217"/>
      <c r="Z1909" s="217"/>
      <c r="AA1909" s="217"/>
      <c r="AB1909" s="217"/>
      <c r="AC1909" s="217"/>
      <c r="AD1909" s="217"/>
    </row>
    <row r="1910" spans="1:30" x14ac:dyDescent="0.2">
      <c r="A1910" s="232"/>
      <c r="B1910" s="210"/>
      <c r="C1910" s="210"/>
      <c r="D1910" s="210"/>
      <c r="E1910" s="210"/>
      <c r="G1910" s="55"/>
      <c r="H1910" s="56"/>
      <c r="I1910" s="217"/>
      <c r="J1910" s="217"/>
      <c r="K1910" s="217"/>
      <c r="L1910" s="217"/>
      <c r="M1910" s="217"/>
      <c r="N1910" s="217"/>
      <c r="O1910" s="217"/>
      <c r="P1910" s="217"/>
      <c r="Q1910" s="217"/>
      <c r="R1910" s="217"/>
      <c r="S1910" s="217"/>
      <c r="T1910" s="217"/>
      <c r="U1910" s="217"/>
      <c r="V1910" s="217"/>
      <c r="W1910" s="217"/>
      <c r="X1910" s="217"/>
      <c r="Y1910" s="217"/>
      <c r="Z1910" s="217"/>
      <c r="AA1910" s="217"/>
      <c r="AB1910" s="217"/>
      <c r="AC1910" s="217"/>
      <c r="AD1910" s="217"/>
    </row>
    <row r="1911" spans="1:30" x14ac:dyDescent="0.2">
      <c r="A1911" s="232"/>
      <c r="B1911" s="210"/>
      <c r="C1911" s="210"/>
      <c r="D1911" s="210"/>
      <c r="E1911" s="210"/>
      <c r="G1911" s="55"/>
      <c r="H1911" s="56"/>
      <c r="I1911" s="217"/>
      <c r="J1911" s="217"/>
      <c r="K1911" s="217"/>
      <c r="L1911" s="217"/>
      <c r="M1911" s="217"/>
      <c r="N1911" s="217"/>
      <c r="O1911" s="217"/>
      <c r="P1911" s="217"/>
      <c r="Q1911" s="217"/>
      <c r="R1911" s="217"/>
      <c r="S1911" s="217"/>
      <c r="T1911" s="217"/>
      <c r="U1911" s="217"/>
      <c r="V1911" s="217"/>
      <c r="W1911" s="217"/>
      <c r="X1911" s="217"/>
      <c r="Y1911" s="217"/>
      <c r="Z1911" s="217"/>
      <c r="AA1911" s="217"/>
      <c r="AB1911" s="217"/>
      <c r="AC1911" s="217"/>
      <c r="AD1911" s="217"/>
    </row>
    <row r="1912" spans="1:30" x14ac:dyDescent="0.2">
      <c r="A1912" s="232"/>
      <c r="B1912" s="210"/>
      <c r="C1912" s="210"/>
      <c r="D1912" s="210"/>
      <c r="E1912" s="210"/>
      <c r="G1912" s="55"/>
      <c r="H1912" s="56"/>
      <c r="I1912" s="217"/>
      <c r="J1912" s="217"/>
      <c r="K1912" s="217"/>
      <c r="L1912" s="217"/>
      <c r="M1912" s="217"/>
      <c r="N1912" s="217"/>
      <c r="O1912" s="217"/>
      <c r="P1912" s="217"/>
      <c r="Q1912" s="217"/>
      <c r="R1912" s="217"/>
      <c r="S1912" s="217"/>
      <c r="T1912" s="217"/>
      <c r="U1912" s="217"/>
      <c r="V1912" s="217"/>
      <c r="W1912" s="217"/>
      <c r="X1912" s="217"/>
      <c r="Y1912" s="217"/>
      <c r="Z1912" s="217"/>
      <c r="AA1912" s="217"/>
      <c r="AB1912" s="217"/>
      <c r="AC1912" s="217"/>
      <c r="AD1912" s="217"/>
    </row>
    <row r="1913" spans="1:30" x14ac:dyDescent="0.2">
      <c r="A1913" s="232"/>
      <c r="B1913" s="210"/>
      <c r="C1913" s="210"/>
      <c r="D1913" s="210"/>
      <c r="E1913" s="210"/>
      <c r="G1913" s="55"/>
      <c r="H1913" s="56"/>
      <c r="I1913" s="217"/>
      <c r="J1913" s="217"/>
      <c r="K1913" s="217"/>
      <c r="L1913" s="217"/>
      <c r="M1913" s="217"/>
      <c r="N1913" s="217"/>
      <c r="O1913" s="217"/>
      <c r="P1913" s="217"/>
      <c r="Q1913" s="217"/>
      <c r="R1913" s="217"/>
      <c r="S1913" s="217"/>
      <c r="T1913" s="217"/>
      <c r="U1913" s="217"/>
      <c r="V1913" s="217"/>
      <c r="W1913" s="217"/>
      <c r="X1913" s="217"/>
      <c r="Y1913" s="217"/>
      <c r="Z1913" s="217"/>
      <c r="AA1913" s="217"/>
      <c r="AB1913" s="217"/>
      <c r="AC1913" s="217"/>
      <c r="AD1913" s="217"/>
    </row>
    <row r="1914" spans="1:30" x14ac:dyDescent="0.2">
      <c r="A1914" s="232"/>
      <c r="B1914" s="210"/>
      <c r="C1914" s="210"/>
      <c r="D1914" s="210"/>
      <c r="E1914" s="210"/>
      <c r="G1914" s="55"/>
      <c r="H1914" s="56"/>
      <c r="I1914" s="217"/>
      <c r="J1914" s="217"/>
      <c r="K1914" s="217"/>
      <c r="L1914" s="217"/>
      <c r="M1914" s="217"/>
      <c r="N1914" s="217"/>
      <c r="O1914" s="217"/>
      <c r="P1914" s="217"/>
      <c r="Q1914" s="217"/>
      <c r="R1914" s="217"/>
      <c r="S1914" s="217"/>
      <c r="T1914" s="217"/>
      <c r="U1914" s="217"/>
      <c r="V1914" s="217"/>
      <c r="W1914" s="217"/>
      <c r="X1914" s="217"/>
      <c r="Y1914" s="217"/>
      <c r="Z1914" s="217"/>
      <c r="AA1914" s="217"/>
      <c r="AB1914" s="217"/>
      <c r="AC1914" s="217"/>
      <c r="AD1914" s="217"/>
    </row>
    <row r="1915" spans="1:30" x14ac:dyDescent="0.2">
      <c r="A1915" s="232"/>
      <c r="B1915" s="210"/>
      <c r="C1915" s="210"/>
      <c r="D1915" s="210"/>
      <c r="E1915" s="210"/>
      <c r="G1915" s="55"/>
      <c r="H1915" s="56"/>
      <c r="I1915" s="217"/>
      <c r="J1915" s="217"/>
      <c r="K1915" s="217"/>
      <c r="L1915" s="217"/>
      <c r="M1915" s="217"/>
      <c r="N1915" s="217"/>
      <c r="O1915" s="217"/>
      <c r="P1915" s="217"/>
      <c r="Q1915" s="217"/>
      <c r="R1915" s="217"/>
      <c r="S1915" s="217"/>
      <c r="T1915" s="217"/>
      <c r="U1915" s="217"/>
      <c r="V1915" s="217"/>
      <c r="W1915" s="217"/>
      <c r="X1915" s="217"/>
      <c r="Y1915" s="217"/>
      <c r="Z1915" s="217"/>
      <c r="AA1915" s="217"/>
      <c r="AB1915" s="217"/>
      <c r="AC1915" s="217"/>
      <c r="AD1915" s="217"/>
    </row>
    <row r="1916" spans="1:30" x14ac:dyDescent="0.2">
      <c r="A1916" s="232"/>
      <c r="B1916" s="210"/>
      <c r="C1916" s="210"/>
      <c r="D1916" s="210"/>
      <c r="E1916" s="210"/>
      <c r="G1916" s="55"/>
      <c r="H1916" s="56"/>
      <c r="I1916" s="217"/>
      <c r="J1916" s="217"/>
      <c r="K1916" s="217"/>
      <c r="L1916" s="217"/>
      <c r="M1916" s="217"/>
      <c r="N1916" s="217"/>
      <c r="O1916" s="217"/>
      <c r="P1916" s="217"/>
      <c r="Q1916" s="217"/>
      <c r="R1916" s="217"/>
      <c r="S1916" s="217"/>
      <c r="T1916" s="217"/>
      <c r="U1916" s="217"/>
      <c r="V1916" s="217"/>
      <c r="W1916" s="217"/>
      <c r="X1916" s="217"/>
      <c r="Y1916" s="217"/>
      <c r="Z1916" s="217"/>
      <c r="AA1916" s="217"/>
      <c r="AB1916" s="217"/>
      <c r="AC1916" s="217"/>
      <c r="AD1916" s="217"/>
    </row>
    <row r="1917" spans="1:30" x14ac:dyDescent="0.2">
      <c r="A1917" s="232"/>
      <c r="B1917" s="210"/>
      <c r="C1917" s="210"/>
      <c r="D1917" s="210"/>
      <c r="E1917" s="210"/>
      <c r="G1917" s="55"/>
      <c r="H1917" s="56"/>
      <c r="I1917" s="217"/>
      <c r="J1917" s="217"/>
      <c r="K1917" s="217"/>
      <c r="L1917" s="217"/>
      <c r="M1917" s="217"/>
      <c r="N1917" s="217"/>
      <c r="O1917" s="217"/>
      <c r="P1917" s="217"/>
      <c r="Q1917" s="217"/>
      <c r="R1917" s="217"/>
      <c r="S1917" s="217"/>
      <c r="T1917" s="217"/>
      <c r="U1917" s="217"/>
      <c r="V1917" s="217"/>
      <c r="W1917" s="217"/>
      <c r="X1917" s="217"/>
      <c r="Y1917" s="217"/>
      <c r="Z1917" s="217"/>
      <c r="AA1917" s="217"/>
      <c r="AB1917" s="217"/>
      <c r="AC1917" s="217"/>
      <c r="AD1917" s="217"/>
    </row>
    <row r="1918" spans="1:30" x14ac:dyDescent="0.2">
      <c r="A1918" s="232"/>
      <c r="B1918" s="210"/>
      <c r="C1918" s="210"/>
      <c r="D1918" s="210"/>
      <c r="E1918" s="210"/>
      <c r="G1918" s="55"/>
      <c r="H1918" s="56"/>
      <c r="I1918" s="217"/>
      <c r="J1918" s="217"/>
      <c r="K1918" s="217"/>
      <c r="L1918" s="217"/>
      <c r="M1918" s="217"/>
      <c r="N1918" s="217"/>
      <c r="O1918" s="217"/>
      <c r="P1918" s="217"/>
      <c r="Q1918" s="217"/>
      <c r="R1918" s="217"/>
      <c r="S1918" s="217"/>
      <c r="T1918" s="217"/>
      <c r="U1918" s="217"/>
      <c r="V1918" s="217"/>
      <c r="W1918" s="217"/>
      <c r="X1918" s="217"/>
      <c r="Y1918" s="217"/>
      <c r="Z1918" s="217"/>
      <c r="AA1918" s="217"/>
      <c r="AB1918" s="217"/>
      <c r="AC1918" s="217"/>
      <c r="AD1918" s="217"/>
    </row>
    <row r="1919" spans="1:30" x14ac:dyDescent="0.2">
      <c r="A1919" s="232"/>
      <c r="B1919" s="210"/>
      <c r="C1919" s="210"/>
      <c r="D1919" s="210"/>
      <c r="E1919" s="210"/>
      <c r="G1919" s="55"/>
      <c r="H1919" s="56"/>
      <c r="I1919" s="217"/>
      <c r="J1919" s="217"/>
      <c r="K1919" s="217"/>
      <c r="L1919" s="217"/>
      <c r="M1919" s="217"/>
      <c r="N1919" s="217"/>
      <c r="O1919" s="217"/>
      <c r="P1919" s="217"/>
      <c r="Q1919" s="217"/>
      <c r="R1919" s="217"/>
      <c r="S1919" s="217"/>
      <c r="T1919" s="217"/>
      <c r="U1919" s="217"/>
      <c r="V1919" s="217"/>
      <c r="W1919" s="217"/>
      <c r="X1919" s="217"/>
      <c r="Y1919" s="217"/>
      <c r="Z1919" s="217"/>
      <c r="AA1919" s="217"/>
      <c r="AB1919" s="217"/>
      <c r="AC1919" s="217"/>
      <c r="AD1919" s="217"/>
    </row>
    <row r="1920" spans="1:30" x14ac:dyDescent="0.2">
      <c r="A1920" s="232"/>
      <c r="B1920" s="210"/>
      <c r="C1920" s="210"/>
      <c r="D1920" s="210"/>
      <c r="E1920" s="210"/>
      <c r="G1920" s="55"/>
      <c r="H1920" s="56"/>
      <c r="I1920" s="217"/>
      <c r="J1920" s="217"/>
      <c r="K1920" s="217"/>
      <c r="L1920" s="217"/>
      <c r="M1920" s="217"/>
      <c r="N1920" s="217"/>
      <c r="O1920" s="217"/>
      <c r="P1920" s="217"/>
      <c r="Q1920" s="217"/>
      <c r="R1920" s="217"/>
      <c r="S1920" s="217"/>
      <c r="T1920" s="217"/>
      <c r="U1920" s="217"/>
      <c r="V1920" s="217"/>
      <c r="W1920" s="217"/>
      <c r="X1920" s="217"/>
      <c r="Y1920" s="217"/>
      <c r="Z1920" s="217"/>
      <c r="AA1920" s="217"/>
      <c r="AB1920" s="217"/>
      <c r="AC1920" s="217"/>
      <c r="AD1920" s="217"/>
    </row>
    <row r="1921" spans="1:30" x14ac:dyDescent="0.2">
      <c r="A1921" s="232"/>
      <c r="B1921" s="210"/>
      <c r="C1921" s="210"/>
      <c r="D1921" s="210"/>
      <c r="E1921" s="210"/>
      <c r="G1921" s="55"/>
      <c r="H1921" s="56"/>
      <c r="I1921" s="217"/>
      <c r="J1921" s="217"/>
      <c r="K1921" s="217"/>
      <c r="L1921" s="217"/>
      <c r="M1921" s="217"/>
      <c r="N1921" s="217"/>
      <c r="O1921" s="217"/>
      <c r="P1921" s="217"/>
      <c r="Q1921" s="217"/>
      <c r="R1921" s="217"/>
      <c r="S1921" s="217"/>
      <c r="T1921" s="217"/>
      <c r="U1921" s="217"/>
      <c r="V1921" s="217"/>
      <c r="W1921" s="217"/>
      <c r="X1921" s="217"/>
      <c r="Y1921" s="217"/>
      <c r="Z1921" s="217"/>
      <c r="AA1921" s="217"/>
      <c r="AB1921" s="217"/>
      <c r="AC1921" s="217"/>
      <c r="AD1921" s="217"/>
    </row>
    <row r="1922" spans="1:30" x14ac:dyDescent="0.2">
      <c r="A1922" s="232"/>
      <c r="B1922" s="210"/>
      <c r="C1922" s="210"/>
      <c r="D1922" s="210"/>
      <c r="E1922" s="210"/>
      <c r="G1922" s="55"/>
      <c r="H1922" s="56"/>
      <c r="I1922" s="217"/>
      <c r="J1922" s="217"/>
      <c r="K1922" s="217"/>
      <c r="L1922" s="217"/>
      <c r="M1922" s="217"/>
      <c r="N1922" s="217"/>
      <c r="O1922" s="217"/>
      <c r="P1922" s="217"/>
      <c r="Q1922" s="217"/>
      <c r="R1922" s="217"/>
      <c r="S1922" s="217"/>
      <c r="T1922" s="217"/>
      <c r="U1922" s="217"/>
      <c r="V1922" s="217"/>
      <c r="W1922" s="217"/>
      <c r="X1922" s="217"/>
      <c r="Y1922" s="217"/>
      <c r="Z1922" s="217"/>
      <c r="AA1922" s="217"/>
      <c r="AB1922" s="217"/>
      <c r="AC1922" s="217"/>
      <c r="AD1922" s="217"/>
    </row>
    <row r="1923" spans="1:30" x14ac:dyDescent="0.2">
      <c r="A1923" s="232"/>
      <c r="B1923" s="210"/>
      <c r="C1923" s="210"/>
      <c r="D1923" s="210"/>
      <c r="E1923" s="210"/>
      <c r="G1923" s="55"/>
      <c r="H1923" s="56"/>
      <c r="I1923" s="217"/>
      <c r="J1923" s="217"/>
      <c r="K1923" s="217"/>
      <c r="L1923" s="217"/>
      <c r="M1923" s="217"/>
      <c r="N1923" s="217"/>
      <c r="O1923" s="217"/>
      <c r="P1923" s="217"/>
      <c r="Q1923" s="217"/>
      <c r="R1923" s="217"/>
      <c r="S1923" s="217"/>
      <c r="T1923" s="217"/>
      <c r="U1923" s="217"/>
      <c r="V1923" s="217"/>
      <c r="W1923" s="217"/>
      <c r="X1923" s="217"/>
      <c r="Y1923" s="217"/>
      <c r="Z1923" s="217"/>
      <c r="AA1923" s="217"/>
      <c r="AB1923" s="217"/>
      <c r="AC1923" s="217"/>
      <c r="AD1923" s="217"/>
    </row>
    <row r="1924" spans="1:30" x14ac:dyDescent="0.2">
      <c r="A1924" s="232"/>
      <c r="B1924" s="210"/>
      <c r="C1924" s="210"/>
      <c r="D1924" s="210"/>
      <c r="E1924" s="210"/>
      <c r="G1924" s="55"/>
      <c r="H1924" s="56"/>
      <c r="I1924" s="217"/>
      <c r="J1924" s="217"/>
      <c r="K1924" s="217"/>
      <c r="L1924" s="217"/>
      <c r="M1924" s="217"/>
      <c r="N1924" s="217"/>
      <c r="O1924" s="217"/>
      <c r="P1924" s="217"/>
      <c r="Q1924" s="217"/>
      <c r="R1924" s="217"/>
      <c r="S1924" s="217"/>
      <c r="T1924" s="217"/>
      <c r="U1924" s="217"/>
      <c r="V1924" s="217"/>
      <c r="W1924" s="217"/>
      <c r="X1924" s="217"/>
      <c r="Y1924" s="217"/>
      <c r="Z1924" s="217"/>
      <c r="AA1924" s="217"/>
      <c r="AB1924" s="217"/>
      <c r="AC1924" s="217"/>
      <c r="AD1924" s="217"/>
    </row>
    <row r="1925" spans="1:30" x14ac:dyDescent="0.2">
      <c r="A1925" s="232"/>
      <c r="B1925" s="210"/>
      <c r="C1925" s="210"/>
      <c r="D1925" s="210"/>
      <c r="E1925" s="210"/>
      <c r="G1925" s="55"/>
      <c r="H1925" s="56"/>
      <c r="I1925" s="217"/>
      <c r="J1925" s="217"/>
      <c r="K1925" s="217"/>
      <c r="L1925" s="217"/>
      <c r="M1925" s="217"/>
      <c r="N1925" s="217"/>
      <c r="O1925" s="217"/>
      <c r="P1925" s="217"/>
      <c r="Q1925" s="217"/>
      <c r="R1925" s="217"/>
      <c r="S1925" s="217"/>
      <c r="T1925" s="217"/>
      <c r="U1925" s="217"/>
      <c r="V1925" s="217"/>
      <c r="W1925" s="217"/>
      <c r="X1925" s="217"/>
      <c r="Y1925" s="217"/>
      <c r="Z1925" s="217"/>
      <c r="AA1925" s="217"/>
      <c r="AB1925" s="217"/>
      <c r="AC1925" s="217"/>
      <c r="AD1925" s="217"/>
    </row>
    <row r="1926" spans="1:30" x14ac:dyDescent="0.2">
      <c r="A1926" s="232"/>
      <c r="B1926" s="210"/>
      <c r="C1926" s="210"/>
      <c r="D1926" s="210"/>
      <c r="E1926" s="210"/>
      <c r="G1926" s="55"/>
      <c r="H1926" s="56"/>
      <c r="I1926" s="217"/>
      <c r="J1926" s="217"/>
      <c r="K1926" s="217"/>
      <c r="L1926" s="217"/>
      <c r="M1926" s="217"/>
      <c r="N1926" s="217"/>
      <c r="O1926" s="217"/>
      <c r="P1926" s="217"/>
      <c r="Q1926" s="217"/>
      <c r="R1926" s="217"/>
      <c r="S1926" s="217"/>
      <c r="T1926" s="217"/>
      <c r="U1926" s="217"/>
      <c r="V1926" s="217"/>
      <c r="W1926" s="217"/>
      <c r="X1926" s="217"/>
      <c r="Y1926" s="217"/>
      <c r="Z1926" s="217"/>
      <c r="AA1926" s="217"/>
      <c r="AB1926" s="217"/>
      <c r="AC1926" s="217"/>
      <c r="AD1926" s="217"/>
    </row>
    <row r="1927" spans="1:30" x14ac:dyDescent="0.2">
      <c r="A1927" s="232"/>
      <c r="B1927" s="210"/>
      <c r="C1927" s="210"/>
      <c r="D1927" s="210"/>
      <c r="E1927" s="210"/>
      <c r="G1927" s="55"/>
      <c r="H1927" s="56"/>
      <c r="I1927" s="217"/>
      <c r="J1927" s="217"/>
      <c r="K1927" s="217"/>
      <c r="L1927" s="217"/>
      <c r="M1927" s="217"/>
      <c r="N1927" s="217"/>
      <c r="O1927" s="217"/>
      <c r="P1927" s="217"/>
      <c r="Q1927" s="217"/>
      <c r="R1927" s="217"/>
      <c r="S1927" s="217"/>
      <c r="T1927" s="217"/>
      <c r="U1927" s="217"/>
      <c r="V1927" s="217"/>
      <c r="W1927" s="217"/>
      <c r="X1927" s="217"/>
      <c r="Y1927" s="217"/>
      <c r="Z1927" s="217"/>
      <c r="AA1927" s="217"/>
      <c r="AB1927" s="217"/>
      <c r="AC1927" s="217"/>
      <c r="AD1927" s="217"/>
    </row>
    <row r="1928" spans="1:30" x14ac:dyDescent="0.2">
      <c r="A1928" s="232"/>
      <c r="B1928" s="210"/>
      <c r="C1928" s="210"/>
      <c r="D1928" s="210"/>
      <c r="E1928" s="210"/>
      <c r="G1928" s="55"/>
      <c r="H1928" s="56"/>
      <c r="I1928" s="217"/>
      <c r="J1928" s="217"/>
      <c r="K1928" s="217"/>
      <c r="L1928" s="217"/>
      <c r="M1928" s="217"/>
      <c r="N1928" s="217"/>
      <c r="O1928" s="217"/>
      <c r="P1928" s="217"/>
      <c r="Q1928" s="217"/>
      <c r="R1928" s="217"/>
      <c r="S1928" s="217"/>
      <c r="T1928" s="217"/>
      <c r="U1928" s="217"/>
      <c r="V1928" s="217"/>
      <c r="W1928" s="217"/>
      <c r="X1928" s="217"/>
      <c r="Y1928" s="217"/>
      <c r="Z1928" s="217"/>
      <c r="AA1928" s="217"/>
      <c r="AB1928" s="217"/>
      <c r="AC1928" s="217"/>
      <c r="AD1928" s="217"/>
    </row>
    <row r="1929" spans="1:30" x14ac:dyDescent="0.2">
      <c r="A1929" s="232"/>
      <c r="B1929" s="210"/>
      <c r="C1929" s="210"/>
      <c r="D1929" s="210"/>
      <c r="E1929" s="210"/>
      <c r="G1929" s="55"/>
      <c r="H1929" s="56"/>
      <c r="I1929" s="217"/>
      <c r="J1929" s="217"/>
      <c r="K1929" s="217"/>
      <c r="L1929" s="217"/>
      <c r="M1929" s="217"/>
      <c r="N1929" s="217"/>
      <c r="O1929" s="217"/>
      <c r="P1929" s="217"/>
      <c r="Q1929" s="217"/>
      <c r="R1929" s="217"/>
      <c r="S1929" s="217"/>
      <c r="T1929" s="217"/>
      <c r="U1929" s="217"/>
      <c r="V1929" s="217"/>
      <c r="W1929" s="217"/>
      <c r="X1929" s="217"/>
      <c r="Y1929" s="217"/>
      <c r="Z1929" s="217"/>
      <c r="AA1929" s="217"/>
      <c r="AB1929" s="217"/>
      <c r="AC1929" s="217"/>
      <c r="AD1929" s="217"/>
    </row>
    <row r="1930" spans="1:30" x14ac:dyDescent="0.2">
      <c r="A1930" s="232"/>
      <c r="B1930" s="210"/>
      <c r="C1930" s="210"/>
      <c r="D1930" s="210"/>
      <c r="E1930" s="210"/>
      <c r="G1930" s="55"/>
      <c r="H1930" s="56"/>
      <c r="I1930" s="217"/>
      <c r="J1930" s="217"/>
      <c r="K1930" s="217"/>
      <c r="L1930" s="217"/>
      <c r="M1930" s="217"/>
      <c r="N1930" s="217"/>
      <c r="O1930" s="217"/>
      <c r="P1930" s="217"/>
      <c r="Q1930" s="217"/>
      <c r="R1930" s="217"/>
      <c r="S1930" s="217"/>
      <c r="T1930" s="217"/>
      <c r="U1930" s="217"/>
      <c r="V1930" s="217"/>
      <c r="W1930" s="217"/>
      <c r="X1930" s="217"/>
      <c r="Y1930" s="217"/>
      <c r="Z1930" s="217"/>
      <c r="AA1930" s="217"/>
      <c r="AB1930" s="217"/>
      <c r="AC1930" s="217"/>
      <c r="AD1930" s="217"/>
    </row>
    <row r="1931" spans="1:30" x14ac:dyDescent="0.2">
      <c r="A1931" s="232"/>
      <c r="B1931" s="210"/>
      <c r="C1931" s="210"/>
      <c r="D1931" s="210"/>
      <c r="E1931" s="210"/>
      <c r="G1931" s="55"/>
      <c r="H1931" s="56"/>
      <c r="I1931" s="217"/>
      <c r="J1931" s="217"/>
      <c r="K1931" s="217"/>
      <c r="L1931" s="217"/>
      <c r="M1931" s="217"/>
      <c r="N1931" s="217"/>
      <c r="O1931" s="217"/>
      <c r="P1931" s="217"/>
      <c r="Q1931" s="217"/>
      <c r="R1931" s="217"/>
      <c r="S1931" s="217"/>
      <c r="T1931" s="217"/>
      <c r="U1931" s="217"/>
      <c r="V1931" s="217"/>
      <c r="W1931" s="217"/>
      <c r="X1931" s="217"/>
      <c r="Y1931" s="217"/>
      <c r="Z1931" s="217"/>
      <c r="AA1931" s="217"/>
      <c r="AB1931" s="217"/>
      <c r="AC1931" s="217"/>
      <c r="AD1931" s="217"/>
    </row>
    <row r="1932" spans="1:30" x14ac:dyDescent="0.2">
      <c r="A1932" s="232"/>
      <c r="B1932" s="210"/>
      <c r="C1932" s="210"/>
      <c r="D1932" s="210"/>
      <c r="E1932" s="210"/>
      <c r="G1932" s="55"/>
      <c r="H1932" s="56"/>
      <c r="I1932" s="217"/>
      <c r="J1932" s="217"/>
      <c r="K1932" s="217"/>
      <c r="L1932" s="217"/>
      <c r="M1932" s="217"/>
      <c r="N1932" s="217"/>
      <c r="O1932" s="217"/>
      <c r="P1932" s="217"/>
      <c r="Q1932" s="217"/>
      <c r="R1932" s="217"/>
      <c r="S1932" s="217"/>
      <c r="T1932" s="217"/>
      <c r="U1932" s="217"/>
      <c r="V1932" s="217"/>
      <c r="W1932" s="217"/>
      <c r="X1932" s="217"/>
      <c r="Y1932" s="217"/>
      <c r="Z1932" s="217"/>
      <c r="AA1932" s="217"/>
      <c r="AB1932" s="217"/>
      <c r="AC1932" s="217"/>
      <c r="AD1932" s="217"/>
    </row>
    <row r="1933" spans="1:30" x14ac:dyDescent="0.2">
      <c r="A1933" s="232"/>
      <c r="B1933" s="210"/>
      <c r="C1933" s="210"/>
      <c r="D1933" s="210"/>
      <c r="E1933" s="210"/>
      <c r="G1933" s="55"/>
      <c r="H1933" s="56"/>
      <c r="I1933" s="217"/>
      <c r="J1933" s="217"/>
      <c r="K1933" s="217"/>
      <c r="L1933" s="217"/>
      <c r="M1933" s="217"/>
      <c r="N1933" s="217"/>
      <c r="O1933" s="217"/>
      <c r="P1933" s="217"/>
      <c r="Q1933" s="217"/>
      <c r="R1933" s="217"/>
      <c r="S1933" s="217"/>
      <c r="T1933" s="217"/>
      <c r="U1933" s="217"/>
      <c r="V1933" s="217"/>
      <c r="W1933" s="217"/>
      <c r="X1933" s="217"/>
      <c r="Y1933" s="217"/>
      <c r="Z1933" s="217"/>
      <c r="AA1933" s="217"/>
      <c r="AB1933" s="217"/>
      <c r="AC1933" s="217"/>
      <c r="AD1933" s="217"/>
    </row>
    <row r="1934" spans="1:30" x14ac:dyDescent="0.2">
      <c r="A1934" s="232"/>
      <c r="B1934" s="210"/>
      <c r="C1934" s="210"/>
      <c r="D1934" s="210"/>
      <c r="E1934" s="210"/>
      <c r="G1934" s="55"/>
      <c r="H1934" s="56"/>
      <c r="I1934" s="217"/>
      <c r="J1934" s="217"/>
      <c r="K1934" s="217"/>
      <c r="L1934" s="217"/>
      <c r="M1934" s="217"/>
      <c r="N1934" s="217"/>
      <c r="O1934" s="217"/>
      <c r="P1934" s="217"/>
      <c r="Q1934" s="217"/>
      <c r="R1934" s="217"/>
      <c r="S1934" s="217"/>
      <c r="T1934" s="217"/>
      <c r="U1934" s="217"/>
      <c r="V1934" s="217"/>
      <c r="W1934" s="217"/>
      <c r="X1934" s="217"/>
      <c r="Y1934" s="217"/>
      <c r="Z1934" s="217"/>
      <c r="AA1934" s="217"/>
      <c r="AB1934" s="217"/>
      <c r="AC1934" s="217"/>
      <c r="AD1934" s="217"/>
    </row>
    <row r="1935" spans="1:30" x14ac:dyDescent="0.2">
      <c r="A1935" s="232"/>
      <c r="B1935" s="210"/>
      <c r="C1935" s="210"/>
      <c r="D1935" s="210"/>
      <c r="E1935" s="210"/>
      <c r="G1935" s="55"/>
      <c r="H1935" s="56"/>
      <c r="I1935" s="217"/>
      <c r="J1935" s="217"/>
      <c r="K1935" s="217"/>
      <c r="L1935" s="217"/>
      <c r="M1935" s="217"/>
      <c r="N1935" s="217"/>
      <c r="O1935" s="217"/>
      <c r="P1935" s="217"/>
      <c r="Q1935" s="217"/>
      <c r="R1935" s="217"/>
      <c r="S1935" s="217"/>
      <c r="T1935" s="217"/>
      <c r="U1935" s="217"/>
      <c r="V1935" s="217"/>
      <c r="W1935" s="217"/>
      <c r="X1935" s="217"/>
      <c r="Y1935" s="217"/>
      <c r="Z1935" s="217"/>
      <c r="AA1935" s="217"/>
      <c r="AB1935" s="217"/>
      <c r="AC1935" s="217"/>
      <c r="AD1935" s="217"/>
    </row>
    <row r="1936" spans="1:30" x14ac:dyDescent="0.2">
      <c r="A1936" s="232"/>
      <c r="B1936" s="210"/>
      <c r="C1936" s="210"/>
      <c r="D1936" s="210"/>
      <c r="E1936" s="210"/>
      <c r="G1936" s="55"/>
      <c r="H1936" s="56"/>
      <c r="I1936" s="217"/>
      <c r="J1936" s="217"/>
      <c r="K1936" s="217"/>
      <c r="L1936" s="217"/>
      <c r="M1936" s="217"/>
      <c r="N1936" s="217"/>
      <c r="O1936" s="217"/>
      <c r="P1936" s="217"/>
      <c r="Q1936" s="217"/>
      <c r="R1936" s="217"/>
      <c r="S1936" s="217"/>
      <c r="T1936" s="217"/>
      <c r="U1936" s="217"/>
      <c r="V1936" s="217"/>
      <c r="W1936" s="217"/>
      <c r="X1936" s="217"/>
      <c r="Y1936" s="217"/>
      <c r="Z1936" s="217"/>
      <c r="AA1936" s="217"/>
      <c r="AB1936" s="217"/>
      <c r="AC1936" s="217"/>
      <c r="AD1936" s="217"/>
    </row>
    <row r="1937" spans="1:30" x14ac:dyDescent="0.2">
      <c r="A1937" s="232"/>
      <c r="B1937" s="210"/>
      <c r="C1937" s="210"/>
      <c r="D1937" s="210"/>
      <c r="E1937" s="210"/>
      <c r="G1937" s="55"/>
      <c r="H1937" s="56"/>
      <c r="I1937" s="217"/>
      <c r="J1937" s="217"/>
      <c r="K1937" s="217"/>
      <c r="L1937" s="217"/>
      <c r="M1937" s="217"/>
      <c r="N1937" s="217"/>
      <c r="O1937" s="217"/>
      <c r="P1937" s="217"/>
      <c r="Q1937" s="217"/>
      <c r="R1937" s="217"/>
      <c r="S1937" s="217"/>
      <c r="T1937" s="217"/>
      <c r="U1937" s="217"/>
      <c r="V1937" s="217"/>
      <c r="W1937" s="217"/>
      <c r="X1937" s="217"/>
      <c r="Y1937" s="217"/>
      <c r="Z1937" s="217"/>
      <c r="AA1937" s="217"/>
      <c r="AB1937" s="217"/>
      <c r="AC1937" s="217"/>
      <c r="AD1937" s="217"/>
    </row>
    <row r="1938" spans="1:30" x14ac:dyDescent="0.2">
      <c r="A1938" s="232"/>
      <c r="B1938" s="210"/>
      <c r="C1938" s="210"/>
      <c r="D1938" s="210"/>
      <c r="E1938" s="210"/>
      <c r="G1938" s="55"/>
      <c r="H1938" s="56"/>
      <c r="I1938" s="217"/>
      <c r="J1938" s="217"/>
      <c r="K1938" s="217"/>
      <c r="L1938" s="217"/>
      <c r="M1938" s="217"/>
      <c r="N1938" s="217"/>
      <c r="O1938" s="217"/>
      <c r="P1938" s="217"/>
      <c r="Q1938" s="217"/>
      <c r="R1938" s="217"/>
      <c r="S1938" s="217"/>
      <c r="T1938" s="217"/>
      <c r="U1938" s="217"/>
      <c r="V1938" s="217"/>
      <c r="W1938" s="217"/>
      <c r="X1938" s="217"/>
      <c r="Y1938" s="217"/>
      <c r="Z1938" s="217"/>
      <c r="AA1938" s="217"/>
      <c r="AB1938" s="217"/>
      <c r="AC1938" s="217"/>
      <c r="AD1938" s="217"/>
    </row>
    <row r="1939" spans="1:30" x14ac:dyDescent="0.2">
      <c r="A1939" s="232"/>
      <c r="B1939" s="210"/>
      <c r="C1939" s="210"/>
      <c r="D1939" s="210"/>
      <c r="E1939" s="210"/>
      <c r="G1939" s="55"/>
      <c r="H1939" s="56"/>
      <c r="I1939" s="217"/>
      <c r="J1939" s="217"/>
      <c r="K1939" s="217"/>
      <c r="L1939" s="217"/>
      <c r="M1939" s="217"/>
      <c r="N1939" s="217"/>
      <c r="O1939" s="217"/>
      <c r="P1939" s="217"/>
      <c r="Q1939" s="217"/>
      <c r="R1939" s="217"/>
      <c r="S1939" s="217"/>
      <c r="T1939" s="217"/>
      <c r="U1939" s="217"/>
      <c r="V1939" s="217"/>
      <c r="W1939" s="217"/>
      <c r="X1939" s="217"/>
      <c r="Y1939" s="217"/>
      <c r="Z1939" s="217"/>
      <c r="AA1939" s="217"/>
      <c r="AB1939" s="217"/>
      <c r="AC1939" s="217"/>
      <c r="AD1939" s="217"/>
    </row>
    <row r="1940" spans="1:30" x14ac:dyDescent="0.2">
      <c r="A1940" s="232"/>
      <c r="B1940" s="210"/>
      <c r="C1940" s="210"/>
      <c r="D1940" s="210"/>
      <c r="E1940" s="210"/>
      <c r="G1940" s="55"/>
      <c r="H1940" s="56"/>
      <c r="I1940" s="217"/>
      <c r="J1940" s="217"/>
      <c r="K1940" s="217"/>
      <c r="L1940" s="217"/>
      <c r="M1940" s="217"/>
      <c r="N1940" s="217"/>
      <c r="O1940" s="217"/>
      <c r="P1940" s="217"/>
      <c r="Q1940" s="217"/>
      <c r="R1940" s="217"/>
      <c r="S1940" s="217"/>
      <c r="T1940" s="217"/>
      <c r="U1940" s="217"/>
      <c r="V1940" s="217"/>
      <c r="W1940" s="217"/>
      <c r="X1940" s="217"/>
      <c r="Y1940" s="217"/>
      <c r="Z1940" s="217"/>
      <c r="AA1940" s="217"/>
      <c r="AB1940" s="217"/>
      <c r="AC1940" s="217"/>
      <c r="AD1940" s="217"/>
    </row>
    <row r="1941" spans="1:30" x14ac:dyDescent="0.2">
      <c r="A1941" s="232"/>
      <c r="B1941" s="210"/>
      <c r="C1941" s="210"/>
      <c r="D1941" s="210"/>
      <c r="E1941" s="210"/>
      <c r="G1941" s="55"/>
      <c r="H1941" s="56"/>
      <c r="I1941" s="217"/>
      <c r="J1941" s="217"/>
      <c r="K1941" s="217"/>
      <c r="L1941" s="217"/>
      <c r="M1941" s="217"/>
      <c r="N1941" s="217"/>
      <c r="O1941" s="217"/>
      <c r="P1941" s="217"/>
      <c r="Q1941" s="217"/>
      <c r="R1941" s="217"/>
      <c r="S1941" s="217"/>
      <c r="T1941" s="217"/>
      <c r="U1941" s="217"/>
      <c r="V1941" s="217"/>
      <c r="W1941" s="217"/>
      <c r="X1941" s="217"/>
      <c r="Y1941" s="217"/>
      <c r="Z1941" s="217"/>
      <c r="AA1941" s="217"/>
      <c r="AB1941" s="217"/>
      <c r="AC1941" s="217"/>
      <c r="AD1941" s="217"/>
    </row>
    <row r="1942" spans="1:30" x14ac:dyDescent="0.2">
      <c r="A1942" s="232"/>
      <c r="B1942" s="210"/>
      <c r="C1942" s="210"/>
      <c r="D1942" s="210"/>
      <c r="E1942" s="210"/>
      <c r="G1942" s="55"/>
      <c r="H1942" s="56"/>
      <c r="I1942" s="217"/>
      <c r="J1942" s="217"/>
      <c r="K1942" s="217"/>
      <c r="L1942" s="217"/>
      <c r="M1942" s="217"/>
      <c r="N1942" s="217"/>
      <c r="O1942" s="217"/>
      <c r="P1942" s="217"/>
      <c r="Q1942" s="217"/>
      <c r="R1942" s="217"/>
      <c r="S1942" s="217"/>
      <c r="T1942" s="217"/>
      <c r="U1942" s="217"/>
      <c r="V1942" s="217"/>
      <c r="W1942" s="217"/>
      <c r="X1942" s="217"/>
      <c r="Y1942" s="217"/>
      <c r="Z1942" s="217"/>
      <c r="AA1942" s="217"/>
      <c r="AB1942" s="217"/>
      <c r="AC1942" s="217"/>
      <c r="AD1942" s="217"/>
    </row>
    <row r="1943" spans="1:30" x14ac:dyDescent="0.2">
      <c r="A1943" s="232"/>
      <c r="B1943" s="210"/>
      <c r="C1943" s="210"/>
      <c r="D1943" s="210"/>
      <c r="E1943" s="210"/>
      <c r="G1943" s="55"/>
      <c r="H1943" s="56"/>
      <c r="I1943" s="217"/>
      <c r="J1943" s="217"/>
      <c r="K1943" s="217"/>
      <c r="L1943" s="217"/>
      <c r="M1943" s="217"/>
      <c r="N1943" s="217"/>
      <c r="O1943" s="217"/>
      <c r="P1943" s="217"/>
      <c r="Q1943" s="217"/>
      <c r="R1943" s="217"/>
      <c r="S1943" s="217"/>
      <c r="T1943" s="217"/>
      <c r="U1943" s="217"/>
      <c r="V1943" s="217"/>
      <c r="W1943" s="217"/>
      <c r="X1943" s="217"/>
      <c r="Y1943" s="217"/>
      <c r="Z1943" s="217"/>
      <c r="AA1943" s="217"/>
      <c r="AB1943" s="217"/>
      <c r="AC1943" s="217"/>
      <c r="AD1943" s="217"/>
    </row>
    <row r="1944" spans="1:30" x14ac:dyDescent="0.2">
      <c r="A1944" s="232"/>
      <c r="B1944" s="210"/>
      <c r="C1944" s="210"/>
      <c r="D1944" s="210"/>
      <c r="E1944" s="210"/>
      <c r="G1944" s="55"/>
      <c r="H1944" s="56"/>
      <c r="I1944" s="217"/>
      <c r="J1944" s="217"/>
      <c r="K1944" s="217"/>
      <c r="L1944" s="217"/>
      <c r="M1944" s="217"/>
      <c r="N1944" s="217"/>
      <c r="O1944" s="217"/>
      <c r="P1944" s="217"/>
      <c r="Q1944" s="217"/>
      <c r="R1944" s="217"/>
      <c r="S1944" s="217"/>
      <c r="T1944" s="217"/>
      <c r="U1944" s="217"/>
      <c r="V1944" s="217"/>
      <c r="W1944" s="217"/>
      <c r="X1944" s="217"/>
      <c r="Y1944" s="217"/>
      <c r="Z1944" s="217"/>
      <c r="AA1944" s="217"/>
      <c r="AB1944" s="217"/>
      <c r="AC1944" s="217"/>
      <c r="AD1944" s="217"/>
    </row>
    <row r="1945" spans="1:30" x14ac:dyDescent="0.2">
      <c r="A1945" s="232"/>
      <c r="B1945" s="210"/>
      <c r="C1945" s="210"/>
      <c r="D1945" s="210"/>
      <c r="E1945" s="210"/>
      <c r="G1945" s="55"/>
      <c r="H1945" s="56"/>
      <c r="I1945" s="217"/>
      <c r="J1945" s="217"/>
      <c r="K1945" s="217"/>
      <c r="L1945" s="217"/>
      <c r="M1945" s="217"/>
      <c r="N1945" s="217"/>
      <c r="O1945" s="217"/>
      <c r="P1945" s="217"/>
      <c r="Q1945" s="217"/>
      <c r="R1945" s="217"/>
      <c r="S1945" s="217"/>
      <c r="T1945" s="217"/>
      <c r="U1945" s="217"/>
      <c r="V1945" s="217"/>
      <c r="W1945" s="217"/>
      <c r="X1945" s="217"/>
      <c r="Y1945" s="217"/>
      <c r="Z1945" s="217"/>
      <c r="AA1945" s="217"/>
      <c r="AB1945" s="217"/>
      <c r="AC1945" s="217"/>
      <c r="AD1945" s="217"/>
    </row>
    <row r="1946" spans="1:30" x14ac:dyDescent="0.2">
      <c r="A1946" s="232"/>
      <c r="B1946" s="210"/>
      <c r="C1946" s="210"/>
      <c r="D1946" s="210"/>
      <c r="E1946" s="210"/>
      <c r="G1946" s="55"/>
      <c r="H1946" s="56"/>
      <c r="I1946" s="217"/>
      <c r="J1946" s="217"/>
      <c r="K1946" s="217"/>
      <c r="L1946" s="217"/>
      <c r="M1946" s="217"/>
      <c r="N1946" s="217"/>
      <c r="O1946" s="217"/>
      <c r="P1946" s="217"/>
      <c r="Q1946" s="217"/>
      <c r="R1946" s="217"/>
      <c r="S1946" s="217"/>
      <c r="T1946" s="217"/>
      <c r="U1946" s="217"/>
      <c r="V1946" s="217"/>
      <c r="W1946" s="217"/>
      <c r="X1946" s="217"/>
      <c r="Y1946" s="217"/>
      <c r="Z1946" s="217"/>
      <c r="AA1946" s="217"/>
      <c r="AB1946" s="217"/>
      <c r="AC1946" s="217"/>
      <c r="AD1946" s="217"/>
    </row>
    <row r="1947" spans="1:30" x14ac:dyDescent="0.2">
      <c r="A1947" s="232"/>
      <c r="B1947" s="210"/>
      <c r="C1947" s="210"/>
      <c r="D1947" s="210"/>
      <c r="E1947" s="210"/>
      <c r="G1947" s="55"/>
      <c r="H1947" s="56"/>
      <c r="I1947" s="217"/>
      <c r="J1947" s="217"/>
      <c r="K1947" s="217"/>
      <c r="L1947" s="217"/>
      <c r="M1947" s="217"/>
      <c r="N1947" s="217"/>
      <c r="O1947" s="217"/>
      <c r="P1947" s="217"/>
      <c r="Q1947" s="217"/>
      <c r="R1947" s="217"/>
      <c r="S1947" s="217"/>
      <c r="T1947" s="217"/>
      <c r="U1947" s="217"/>
      <c r="V1947" s="217"/>
      <c r="W1947" s="217"/>
      <c r="X1947" s="217"/>
      <c r="Y1947" s="217"/>
      <c r="Z1947" s="217"/>
      <c r="AA1947" s="217"/>
      <c r="AB1947" s="217"/>
      <c r="AC1947" s="217"/>
      <c r="AD1947" s="217"/>
    </row>
    <row r="1948" spans="1:30" x14ac:dyDescent="0.2">
      <c r="A1948" s="232"/>
      <c r="B1948" s="210"/>
      <c r="C1948" s="210"/>
      <c r="D1948" s="210"/>
      <c r="E1948" s="210"/>
      <c r="G1948" s="55"/>
      <c r="H1948" s="56"/>
      <c r="I1948" s="217"/>
      <c r="J1948" s="217"/>
      <c r="K1948" s="217"/>
      <c r="L1948" s="217"/>
      <c r="M1948" s="217"/>
      <c r="N1948" s="217"/>
      <c r="O1948" s="217"/>
      <c r="P1948" s="217"/>
      <c r="Q1948" s="217"/>
      <c r="R1948" s="217"/>
      <c r="S1948" s="217"/>
      <c r="T1948" s="217"/>
      <c r="U1948" s="217"/>
      <c r="V1948" s="217"/>
      <c r="W1948" s="217"/>
      <c r="X1948" s="217"/>
      <c r="Y1948" s="217"/>
      <c r="Z1948" s="217"/>
      <c r="AA1948" s="217"/>
      <c r="AB1948" s="217"/>
      <c r="AC1948" s="217"/>
      <c r="AD1948" s="217"/>
    </row>
    <row r="1949" spans="1:30" x14ac:dyDescent="0.2">
      <c r="A1949" s="232"/>
      <c r="B1949" s="210"/>
      <c r="C1949" s="210"/>
      <c r="D1949" s="210"/>
      <c r="E1949" s="210"/>
      <c r="G1949" s="55"/>
      <c r="H1949" s="56"/>
      <c r="I1949" s="217"/>
      <c r="J1949" s="217"/>
      <c r="K1949" s="217"/>
      <c r="L1949" s="217"/>
      <c r="M1949" s="217"/>
      <c r="N1949" s="217"/>
      <c r="O1949" s="217"/>
      <c r="P1949" s="217"/>
      <c r="Q1949" s="217"/>
      <c r="R1949" s="217"/>
      <c r="S1949" s="217"/>
      <c r="T1949" s="217"/>
      <c r="U1949" s="217"/>
      <c r="V1949" s="217"/>
      <c r="W1949" s="217"/>
      <c r="X1949" s="217"/>
      <c r="Y1949" s="217"/>
      <c r="Z1949" s="217"/>
      <c r="AA1949" s="217"/>
      <c r="AB1949" s="217"/>
      <c r="AC1949" s="217"/>
      <c r="AD1949" s="217"/>
    </row>
    <row r="1950" spans="1:30" x14ac:dyDescent="0.2">
      <c r="A1950" s="232"/>
      <c r="B1950" s="210"/>
      <c r="C1950" s="210"/>
      <c r="D1950" s="210"/>
      <c r="E1950" s="210"/>
      <c r="G1950" s="55"/>
      <c r="H1950" s="56"/>
      <c r="I1950" s="217"/>
      <c r="J1950" s="217"/>
      <c r="K1950" s="217"/>
      <c r="L1950" s="217"/>
      <c r="M1950" s="217"/>
      <c r="N1950" s="217"/>
      <c r="O1950" s="217"/>
      <c r="P1950" s="217"/>
      <c r="Q1950" s="217"/>
      <c r="R1950" s="217"/>
      <c r="S1950" s="217"/>
      <c r="T1950" s="217"/>
      <c r="U1950" s="217"/>
      <c r="V1950" s="217"/>
      <c r="W1950" s="217"/>
      <c r="X1950" s="217"/>
      <c r="Y1950" s="217"/>
      <c r="Z1950" s="217"/>
      <c r="AA1950" s="217"/>
      <c r="AB1950" s="217"/>
      <c r="AC1950" s="217"/>
      <c r="AD1950" s="217"/>
    </row>
    <row r="1951" spans="1:30" x14ac:dyDescent="0.2">
      <c r="A1951" s="232"/>
      <c r="B1951" s="210"/>
      <c r="C1951" s="210"/>
      <c r="D1951" s="210"/>
      <c r="E1951" s="210"/>
      <c r="G1951" s="55"/>
      <c r="H1951" s="56"/>
      <c r="I1951" s="217"/>
      <c r="J1951" s="217"/>
      <c r="K1951" s="217"/>
      <c r="L1951" s="217"/>
      <c r="M1951" s="217"/>
      <c r="N1951" s="217"/>
      <c r="O1951" s="217"/>
      <c r="P1951" s="217"/>
      <c r="Q1951" s="217"/>
      <c r="R1951" s="217"/>
      <c r="S1951" s="217"/>
      <c r="T1951" s="217"/>
      <c r="U1951" s="217"/>
      <c r="V1951" s="217"/>
      <c r="W1951" s="217"/>
      <c r="X1951" s="217"/>
      <c r="Y1951" s="217"/>
      <c r="Z1951" s="217"/>
      <c r="AA1951" s="217"/>
      <c r="AB1951" s="217"/>
      <c r="AC1951" s="217"/>
      <c r="AD1951" s="217"/>
    </row>
    <row r="1952" spans="1:30" x14ac:dyDescent="0.2">
      <c r="A1952" s="232"/>
      <c r="B1952" s="210"/>
      <c r="C1952" s="210"/>
      <c r="D1952" s="210"/>
      <c r="E1952" s="210"/>
      <c r="G1952" s="55"/>
      <c r="H1952" s="56"/>
      <c r="I1952" s="217"/>
      <c r="J1952" s="217"/>
      <c r="K1952" s="217"/>
      <c r="L1952" s="217"/>
      <c r="M1952" s="217"/>
      <c r="N1952" s="217"/>
      <c r="O1952" s="217"/>
      <c r="P1952" s="217"/>
      <c r="Q1952" s="217"/>
      <c r="R1952" s="217"/>
      <c r="S1952" s="217"/>
      <c r="T1952" s="217"/>
      <c r="U1952" s="217"/>
      <c r="V1952" s="217"/>
      <c r="W1952" s="217"/>
      <c r="X1952" s="217"/>
      <c r="Y1952" s="217"/>
      <c r="Z1952" s="217"/>
      <c r="AA1952" s="217"/>
      <c r="AB1952" s="217"/>
      <c r="AC1952" s="217"/>
      <c r="AD1952" s="217"/>
    </row>
    <row r="1953" spans="1:30" x14ac:dyDescent="0.2">
      <c r="A1953" s="232"/>
      <c r="B1953" s="210"/>
      <c r="C1953" s="210"/>
      <c r="D1953" s="210"/>
      <c r="E1953" s="210"/>
      <c r="G1953" s="55"/>
      <c r="H1953" s="56"/>
      <c r="I1953" s="217"/>
      <c r="J1953" s="217"/>
      <c r="K1953" s="217"/>
      <c r="L1953" s="217"/>
      <c r="M1953" s="217"/>
      <c r="N1953" s="217"/>
      <c r="O1953" s="217"/>
      <c r="P1953" s="217"/>
      <c r="Q1953" s="217"/>
      <c r="R1953" s="217"/>
      <c r="S1953" s="217"/>
      <c r="T1953" s="217"/>
      <c r="U1953" s="217"/>
      <c r="V1953" s="217"/>
      <c r="W1953" s="217"/>
      <c r="X1953" s="217"/>
      <c r="Y1953" s="217"/>
      <c r="Z1953" s="217"/>
      <c r="AA1953" s="217"/>
      <c r="AB1953" s="217"/>
      <c r="AC1953" s="217"/>
      <c r="AD1953" s="217"/>
    </row>
    <row r="1954" spans="1:30" x14ac:dyDescent="0.2">
      <c r="A1954" s="232"/>
      <c r="B1954" s="210"/>
      <c r="C1954" s="210"/>
      <c r="D1954" s="210"/>
      <c r="E1954" s="210"/>
      <c r="G1954" s="55"/>
      <c r="H1954" s="56"/>
      <c r="I1954" s="217"/>
      <c r="J1954" s="217"/>
      <c r="K1954" s="217"/>
      <c r="L1954" s="217"/>
      <c r="M1954" s="217"/>
      <c r="N1954" s="217"/>
      <c r="O1954" s="217"/>
      <c r="P1954" s="217"/>
      <c r="Q1954" s="217"/>
      <c r="R1954" s="217"/>
      <c r="S1954" s="217"/>
      <c r="T1954" s="217"/>
      <c r="U1954" s="217"/>
      <c r="V1954" s="217"/>
      <c r="W1954" s="217"/>
      <c r="X1954" s="217"/>
      <c r="Y1954" s="217"/>
      <c r="Z1954" s="217"/>
      <c r="AA1954" s="217"/>
      <c r="AB1954" s="217"/>
      <c r="AC1954" s="217"/>
      <c r="AD1954" s="217"/>
    </row>
    <row r="1955" spans="1:30" x14ac:dyDescent="0.2">
      <c r="A1955" s="232"/>
      <c r="B1955" s="210"/>
      <c r="C1955" s="210"/>
      <c r="D1955" s="210"/>
      <c r="E1955" s="210"/>
      <c r="G1955" s="55"/>
      <c r="H1955" s="56"/>
      <c r="I1955" s="217"/>
      <c r="J1955" s="217"/>
      <c r="K1955" s="217"/>
      <c r="L1955" s="217"/>
      <c r="M1955" s="217"/>
      <c r="N1955" s="217"/>
      <c r="O1955" s="217"/>
      <c r="P1955" s="217"/>
      <c r="Q1955" s="217"/>
      <c r="R1955" s="217"/>
      <c r="S1955" s="217"/>
      <c r="T1955" s="217"/>
      <c r="U1955" s="217"/>
      <c r="V1955" s="217"/>
      <c r="W1955" s="217"/>
      <c r="X1955" s="217"/>
      <c r="Y1955" s="217"/>
      <c r="Z1955" s="217"/>
      <c r="AA1955" s="217"/>
      <c r="AB1955" s="217"/>
      <c r="AC1955" s="217"/>
      <c r="AD1955" s="217"/>
    </row>
    <row r="1956" spans="1:30" x14ac:dyDescent="0.2">
      <c r="A1956" s="232"/>
      <c r="B1956" s="210"/>
      <c r="C1956" s="210"/>
      <c r="D1956" s="210"/>
      <c r="E1956" s="210"/>
      <c r="G1956" s="55"/>
      <c r="H1956" s="56"/>
      <c r="I1956" s="217"/>
      <c r="J1956" s="217"/>
      <c r="K1956" s="217"/>
      <c r="L1956" s="217"/>
      <c r="M1956" s="217"/>
      <c r="N1956" s="217"/>
      <c r="O1956" s="217"/>
      <c r="P1956" s="217"/>
      <c r="Q1956" s="217"/>
      <c r="R1956" s="217"/>
      <c r="S1956" s="217"/>
      <c r="T1956" s="217"/>
      <c r="U1956" s="217"/>
      <c r="V1956" s="217"/>
      <c r="W1956" s="217"/>
      <c r="X1956" s="217"/>
      <c r="Y1956" s="217"/>
      <c r="Z1956" s="217"/>
      <c r="AA1956" s="217"/>
      <c r="AB1956" s="217"/>
      <c r="AC1956" s="217"/>
      <c r="AD1956" s="217"/>
    </row>
    <row r="1957" spans="1:30" x14ac:dyDescent="0.2">
      <c r="A1957" s="232"/>
      <c r="B1957" s="210"/>
      <c r="C1957" s="210"/>
      <c r="D1957" s="210"/>
      <c r="E1957" s="210"/>
      <c r="G1957" s="55"/>
      <c r="H1957" s="56"/>
      <c r="I1957" s="217"/>
      <c r="J1957" s="217"/>
      <c r="K1957" s="217"/>
      <c r="L1957" s="217"/>
      <c r="M1957" s="217"/>
      <c r="N1957" s="217"/>
      <c r="O1957" s="217"/>
      <c r="P1957" s="217"/>
      <c r="Q1957" s="217"/>
      <c r="R1957" s="217"/>
      <c r="S1957" s="217"/>
      <c r="T1957" s="217"/>
      <c r="U1957" s="217"/>
      <c r="V1957" s="217"/>
      <c r="W1957" s="217"/>
      <c r="X1957" s="217"/>
      <c r="Y1957" s="217"/>
      <c r="Z1957" s="217"/>
      <c r="AA1957" s="217"/>
      <c r="AB1957" s="217"/>
      <c r="AC1957" s="217"/>
      <c r="AD1957" s="217"/>
    </row>
    <row r="1958" spans="1:30" x14ac:dyDescent="0.2">
      <c r="A1958" s="232"/>
      <c r="B1958" s="210"/>
      <c r="C1958" s="210"/>
      <c r="D1958" s="210"/>
      <c r="E1958" s="210"/>
      <c r="G1958" s="55"/>
      <c r="H1958" s="56"/>
      <c r="I1958" s="217"/>
      <c r="J1958" s="217"/>
      <c r="K1958" s="217"/>
      <c r="L1958" s="217"/>
      <c r="M1958" s="217"/>
      <c r="N1958" s="217"/>
      <c r="O1958" s="217"/>
      <c r="P1958" s="217"/>
      <c r="Q1958" s="217"/>
      <c r="R1958" s="217"/>
      <c r="S1958" s="217"/>
      <c r="T1958" s="217"/>
      <c r="U1958" s="217"/>
      <c r="V1958" s="217"/>
      <c r="W1958" s="217"/>
      <c r="X1958" s="217"/>
      <c r="Y1958" s="217"/>
      <c r="Z1958" s="217"/>
      <c r="AA1958" s="217"/>
      <c r="AB1958" s="217"/>
      <c r="AC1958" s="217"/>
      <c r="AD1958" s="217"/>
    </row>
    <row r="1959" spans="1:30" x14ac:dyDescent="0.2">
      <c r="A1959" s="232"/>
      <c r="B1959" s="210"/>
      <c r="C1959" s="210"/>
      <c r="D1959" s="210"/>
      <c r="E1959" s="210"/>
      <c r="G1959" s="55"/>
      <c r="H1959" s="56"/>
      <c r="I1959" s="217"/>
      <c r="J1959" s="217"/>
      <c r="K1959" s="217"/>
      <c r="L1959" s="217"/>
      <c r="M1959" s="217"/>
      <c r="N1959" s="217"/>
      <c r="O1959" s="217"/>
      <c r="P1959" s="217"/>
      <c r="Q1959" s="217"/>
      <c r="R1959" s="217"/>
      <c r="S1959" s="217"/>
      <c r="T1959" s="217"/>
      <c r="U1959" s="217"/>
      <c r="V1959" s="217"/>
      <c r="W1959" s="217"/>
      <c r="X1959" s="217"/>
      <c r="Y1959" s="217"/>
      <c r="Z1959" s="217"/>
      <c r="AA1959" s="217"/>
      <c r="AB1959" s="217"/>
      <c r="AC1959" s="217"/>
      <c r="AD1959" s="217"/>
    </row>
    <row r="1960" spans="1:30" x14ac:dyDescent="0.2">
      <c r="A1960" s="232"/>
      <c r="B1960" s="210"/>
      <c r="C1960" s="210"/>
      <c r="D1960" s="210"/>
      <c r="E1960" s="210"/>
      <c r="G1960" s="55"/>
      <c r="H1960" s="56"/>
      <c r="I1960" s="217"/>
      <c r="J1960" s="217"/>
      <c r="K1960" s="217"/>
      <c r="L1960" s="217"/>
      <c r="M1960" s="217"/>
      <c r="N1960" s="217"/>
      <c r="O1960" s="217"/>
      <c r="P1960" s="217"/>
      <c r="Q1960" s="217"/>
      <c r="R1960" s="217"/>
      <c r="S1960" s="217"/>
      <c r="T1960" s="217"/>
      <c r="U1960" s="217"/>
      <c r="V1960" s="217"/>
      <c r="W1960" s="217"/>
      <c r="X1960" s="217"/>
      <c r="Y1960" s="217"/>
      <c r="Z1960" s="217"/>
      <c r="AA1960" s="217"/>
      <c r="AB1960" s="217"/>
      <c r="AC1960" s="217"/>
      <c r="AD1960" s="217"/>
    </row>
    <row r="1961" spans="1:30" x14ac:dyDescent="0.2">
      <c r="A1961" s="232"/>
      <c r="B1961" s="210"/>
      <c r="C1961" s="210"/>
      <c r="D1961" s="210"/>
      <c r="E1961" s="210"/>
      <c r="G1961" s="55"/>
      <c r="H1961" s="56"/>
      <c r="I1961" s="217"/>
      <c r="J1961" s="217"/>
      <c r="K1961" s="217"/>
      <c r="L1961" s="217"/>
      <c r="M1961" s="217"/>
      <c r="N1961" s="217"/>
      <c r="O1961" s="217"/>
      <c r="P1961" s="217"/>
      <c r="Q1961" s="217"/>
      <c r="R1961" s="217"/>
      <c r="S1961" s="217"/>
      <c r="T1961" s="217"/>
      <c r="U1961" s="217"/>
      <c r="V1961" s="217"/>
      <c r="W1961" s="217"/>
      <c r="X1961" s="217"/>
      <c r="Y1961" s="217"/>
      <c r="Z1961" s="217"/>
      <c r="AA1961" s="217"/>
      <c r="AB1961" s="217"/>
      <c r="AC1961" s="217"/>
      <c r="AD1961" s="217"/>
    </row>
    <row r="1962" spans="1:30" x14ac:dyDescent="0.2">
      <c r="A1962" s="232"/>
      <c r="B1962" s="210"/>
      <c r="C1962" s="210"/>
      <c r="D1962" s="210"/>
      <c r="E1962" s="210"/>
      <c r="G1962" s="55"/>
      <c r="H1962" s="56"/>
      <c r="I1962" s="217"/>
      <c r="J1962" s="217"/>
      <c r="K1962" s="217"/>
      <c r="L1962" s="217"/>
      <c r="M1962" s="217"/>
      <c r="N1962" s="217"/>
      <c r="O1962" s="217"/>
      <c r="P1962" s="217"/>
      <c r="Q1962" s="217"/>
      <c r="R1962" s="217"/>
      <c r="S1962" s="217"/>
      <c r="T1962" s="217"/>
      <c r="U1962" s="217"/>
      <c r="V1962" s="217"/>
      <c r="W1962" s="217"/>
      <c r="X1962" s="217"/>
      <c r="Y1962" s="217"/>
      <c r="Z1962" s="217"/>
      <c r="AA1962" s="217"/>
      <c r="AB1962" s="217"/>
      <c r="AC1962" s="217"/>
      <c r="AD1962" s="217"/>
    </row>
    <row r="1963" spans="1:30" x14ac:dyDescent="0.2">
      <c r="A1963" s="232"/>
      <c r="B1963" s="210"/>
      <c r="C1963" s="210"/>
      <c r="D1963" s="210"/>
      <c r="E1963" s="210"/>
      <c r="G1963" s="55"/>
      <c r="H1963" s="56"/>
      <c r="I1963" s="217"/>
      <c r="J1963" s="217"/>
      <c r="K1963" s="217"/>
      <c r="L1963" s="217"/>
      <c r="M1963" s="217"/>
      <c r="N1963" s="217"/>
      <c r="O1963" s="217"/>
      <c r="P1963" s="217"/>
      <c r="Q1963" s="217"/>
      <c r="R1963" s="217"/>
      <c r="S1963" s="217"/>
      <c r="T1963" s="217"/>
      <c r="U1963" s="217"/>
      <c r="V1963" s="217"/>
      <c r="W1963" s="217"/>
      <c r="X1963" s="217"/>
      <c r="Y1963" s="217"/>
      <c r="Z1963" s="217"/>
      <c r="AA1963" s="217"/>
      <c r="AB1963" s="217"/>
      <c r="AC1963" s="217"/>
      <c r="AD1963" s="217"/>
    </row>
    <row r="1964" spans="1:30" x14ac:dyDescent="0.2">
      <c r="A1964" s="232"/>
      <c r="B1964" s="210"/>
      <c r="C1964" s="210"/>
      <c r="D1964" s="210"/>
      <c r="E1964" s="210"/>
      <c r="G1964" s="55"/>
      <c r="H1964" s="56"/>
      <c r="I1964" s="217"/>
      <c r="J1964" s="217"/>
      <c r="K1964" s="217"/>
      <c r="L1964" s="217"/>
      <c r="M1964" s="217"/>
      <c r="N1964" s="217"/>
      <c r="O1964" s="217"/>
      <c r="P1964" s="217"/>
      <c r="Q1964" s="217"/>
      <c r="R1964" s="217"/>
      <c r="S1964" s="217"/>
      <c r="T1964" s="217"/>
      <c r="U1964" s="217"/>
      <c r="V1964" s="217"/>
      <c r="W1964" s="217"/>
      <c r="X1964" s="217"/>
      <c r="Y1964" s="217"/>
      <c r="Z1964" s="217"/>
      <c r="AA1964" s="217"/>
      <c r="AB1964" s="217"/>
      <c r="AC1964" s="217"/>
      <c r="AD1964" s="217"/>
    </row>
    <row r="1965" spans="1:30" x14ac:dyDescent="0.2">
      <c r="A1965" s="232"/>
      <c r="B1965" s="210"/>
      <c r="C1965" s="210"/>
      <c r="D1965" s="210"/>
      <c r="E1965" s="210"/>
      <c r="G1965" s="55"/>
      <c r="H1965" s="56"/>
      <c r="I1965" s="217"/>
      <c r="J1965" s="217"/>
      <c r="K1965" s="217"/>
      <c r="L1965" s="217"/>
      <c r="M1965" s="217"/>
      <c r="N1965" s="217"/>
      <c r="O1965" s="217"/>
      <c r="P1965" s="217"/>
      <c r="Q1965" s="217"/>
      <c r="R1965" s="217"/>
      <c r="S1965" s="217"/>
      <c r="T1965" s="217"/>
      <c r="U1965" s="217"/>
      <c r="V1965" s="217"/>
      <c r="W1965" s="217"/>
      <c r="X1965" s="217"/>
      <c r="Y1965" s="217"/>
      <c r="Z1965" s="217"/>
      <c r="AA1965" s="217"/>
      <c r="AB1965" s="217"/>
      <c r="AC1965" s="217"/>
      <c r="AD1965" s="217"/>
    </row>
    <row r="1966" spans="1:30" x14ac:dyDescent="0.2">
      <c r="A1966" s="232"/>
      <c r="B1966" s="210"/>
      <c r="C1966" s="210"/>
      <c r="D1966" s="210"/>
      <c r="E1966" s="210"/>
      <c r="G1966" s="55"/>
      <c r="H1966" s="56"/>
      <c r="I1966" s="217"/>
      <c r="J1966" s="217"/>
      <c r="K1966" s="217"/>
      <c r="L1966" s="217"/>
      <c r="M1966" s="217"/>
      <c r="N1966" s="217"/>
      <c r="O1966" s="217"/>
      <c r="P1966" s="217"/>
      <c r="Q1966" s="217"/>
      <c r="R1966" s="217"/>
      <c r="S1966" s="217"/>
      <c r="T1966" s="217"/>
      <c r="U1966" s="217"/>
      <c r="V1966" s="217"/>
      <c r="W1966" s="217"/>
      <c r="X1966" s="217"/>
      <c r="Y1966" s="217"/>
      <c r="Z1966" s="217"/>
      <c r="AA1966" s="217"/>
      <c r="AB1966" s="217"/>
      <c r="AC1966" s="217"/>
      <c r="AD1966" s="217"/>
    </row>
    <row r="1967" spans="1:30" x14ac:dyDescent="0.2">
      <c r="A1967" s="232"/>
      <c r="B1967" s="210"/>
      <c r="C1967" s="210"/>
      <c r="D1967" s="210"/>
      <c r="E1967" s="210"/>
      <c r="G1967" s="55"/>
      <c r="H1967" s="56"/>
      <c r="I1967" s="217"/>
      <c r="J1967" s="217"/>
      <c r="K1967" s="217"/>
      <c r="L1967" s="217"/>
      <c r="M1967" s="217"/>
      <c r="N1967" s="217"/>
      <c r="O1967" s="217"/>
      <c r="P1967" s="217"/>
      <c r="Q1967" s="217"/>
      <c r="R1967" s="217"/>
      <c r="S1967" s="217"/>
      <c r="T1967" s="217"/>
      <c r="U1967" s="217"/>
      <c r="V1967" s="217"/>
      <c r="W1967" s="217"/>
      <c r="X1967" s="217"/>
      <c r="Y1967" s="217"/>
      <c r="Z1967" s="217"/>
      <c r="AA1967" s="217"/>
      <c r="AB1967" s="217"/>
      <c r="AC1967" s="217"/>
      <c r="AD1967" s="217"/>
    </row>
    <row r="1968" spans="1:30" x14ac:dyDescent="0.2">
      <c r="A1968" s="232"/>
      <c r="B1968" s="210"/>
      <c r="C1968" s="210"/>
      <c r="D1968" s="210"/>
      <c r="E1968" s="210"/>
      <c r="G1968" s="55"/>
      <c r="H1968" s="56"/>
      <c r="I1968" s="217"/>
      <c r="J1968" s="217"/>
      <c r="K1968" s="217"/>
      <c r="L1968" s="217"/>
      <c r="M1968" s="217"/>
      <c r="N1968" s="217"/>
      <c r="O1968" s="217"/>
      <c r="P1968" s="217"/>
      <c r="Q1968" s="217"/>
      <c r="R1968" s="217"/>
      <c r="S1968" s="217"/>
      <c r="T1968" s="217"/>
      <c r="U1968" s="217"/>
      <c r="V1968" s="217"/>
      <c r="W1968" s="217"/>
      <c r="X1968" s="217"/>
      <c r="Y1968" s="217"/>
      <c r="Z1968" s="217"/>
      <c r="AA1968" s="217"/>
      <c r="AB1968" s="217"/>
      <c r="AC1968" s="217"/>
      <c r="AD1968" s="217"/>
    </row>
    <row r="1969" spans="1:30" x14ac:dyDescent="0.2">
      <c r="A1969" s="232"/>
      <c r="B1969" s="210"/>
      <c r="C1969" s="210"/>
      <c r="D1969" s="210"/>
      <c r="E1969" s="210"/>
      <c r="G1969" s="55"/>
      <c r="H1969" s="56"/>
      <c r="I1969" s="217"/>
      <c r="J1969" s="217"/>
      <c r="K1969" s="217"/>
      <c r="L1969" s="217"/>
      <c r="M1969" s="217"/>
      <c r="N1969" s="217"/>
      <c r="O1969" s="217"/>
      <c r="P1969" s="217"/>
      <c r="Q1969" s="217"/>
      <c r="R1969" s="217"/>
      <c r="S1969" s="217"/>
      <c r="T1969" s="217"/>
      <c r="U1969" s="217"/>
      <c r="V1969" s="217"/>
      <c r="W1969" s="217"/>
      <c r="X1969" s="217"/>
      <c r="Y1969" s="217"/>
      <c r="Z1969" s="217"/>
      <c r="AA1969" s="217"/>
      <c r="AB1969" s="217"/>
      <c r="AC1969" s="217"/>
      <c r="AD1969" s="217"/>
    </row>
    <row r="1970" spans="1:30" x14ac:dyDescent="0.2">
      <c r="A1970" s="232"/>
      <c r="B1970" s="210"/>
      <c r="C1970" s="210"/>
      <c r="D1970" s="210"/>
      <c r="E1970" s="210"/>
      <c r="G1970" s="55"/>
      <c r="H1970" s="56"/>
      <c r="I1970" s="217"/>
      <c r="J1970" s="217"/>
      <c r="K1970" s="217"/>
      <c r="L1970" s="217"/>
      <c r="M1970" s="217"/>
      <c r="N1970" s="217"/>
      <c r="O1970" s="217"/>
      <c r="P1970" s="217"/>
      <c r="Q1970" s="217"/>
      <c r="R1970" s="217"/>
      <c r="S1970" s="217"/>
      <c r="T1970" s="217"/>
      <c r="U1970" s="217"/>
      <c r="V1970" s="217"/>
      <c r="W1970" s="217"/>
      <c r="X1970" s="217"/>
      <c r="Y1970" s="217"/>
      <c r="Z1970" s="217"/>
      <c r="AA1970" s="217"/>
      <c r="AB1970" s="217"/>
      <c r="AC1970" s="217"/>
      <c r="AD1970" s="217"/>
    </row>
    <row r="1971" spans="1:30" x14ac:dyDescent="0.2">
      <c r="A1971" s="232"/>
      <c r="B1971" s="210"/>
      <c r="C1971" s="210"/>
      <c r="D1971" s="210"/>
      <c r="E1971" s="210"/>
      <c r="G1971" s="55"/>
      <c r="H1971" s="56"/>
      <c r="I1971" s="217"/>
      <c r="J1971" s="217"/>
      <c r="K1971" s="217"/>
      <c r="L1971" s="217"/>
      <c r="M1971" s="217"/>
      <c r="N1971" s="217"/>
      <c r="O1971" s="217"/>
      <c r="P1971" s="217"/>
      <c r="Q1971" s="217"/>
      <c r="R1971" s="217"/>
      <c r="S1971" s="217"/>
      <c r="T1971" s="217"/>
      <c r="U1971" s="217"/>
      <c r="V1971" s="217"/>
      <c r="W1971" s="217"/>
      <c r="X1971" s="217"/>
      <c r="Y1971" s="217"/>
      <c r="Z1971" s="217"/>
      <c r="AA1971" s="217"/>
      <c r="AB1971" s="217"/>
      <c r="AC1971" s="217"/>
      <c r="AD1971" s="217"/>
    </row>
    <row r="1972" spans="1:30" x14ac:dyDescent="0.2">
      <c r="A1972" s="232"/>
      <c r="B1972" s="210"/>
      <c r="C1972" s="210"/>
      <c r="D1972" s="210"/>
      <c r="E1972" s="210"/>
      <c r="G1972" s="55"/>
      <c r="H1972" s="56"/>
      <c r="I1972" s="217"/>
      <c r="J1972" s="217"/>
      <c r="K1972" s="217"/>
      <c r="L1972" s="217"/>
      <c r="M1972" s="217"/>
      <c r="N1972" s="217"/>
      <c r="O1972" s="217"/>
      <c r="P1972" s="217"/>
      <c r="Q1972" s="217"/>
      <c r="R1972" s="217"/>
      <c r="S1972" s="217"/>
      <c r="T1972" s="217"/>
      <c r="U1972" s="217"/>
      <c r="V1972" s="217"/>
      <c r="W1972" s="217"/>
      <c r="X1972" s="217"/>
      <c r="Y1972" s="217"/>
      <c r="Z1972" s="217"/>
      <c r="AA1972" s="217"/>
      <c r="AB1972" s="217"/>
      <c r="AC1972" s="217"/>
      <c r="AD1972" s="217"/>
    </row>
    <row r="1973" spans="1:30" x14ac:dyDescent="0.2">
      <c r="A1973" s="232"/>
      <c r="B1973" s="210"/>
      <c r="C1973" s="210"/>
      <c r="D1973" s="210"/>
      <c r="E1973" s="210"/>
      <c r="G1973" s="55"/>
      <c r="H1973" s="56"/>
      <c r="I1973" s="217"/>
      <c r="J1973" s="217"/>
      <c r="K1973" s="217"/>
      <c r="L1973" s="217"/>
      <c r="M1973" s="217"/>
      <c r="N1973" s="217"/>
      <c r="O1973" s="217"/>
      <c r="P1973" s="217"/>
      <c r="Q1973" s="217"/>
      <c r="R1973" s="217"/>
      <c r="S1973" s="217"/>
      <c r="T1973" s="217"/>
      <c r="U1973" s="217"/>
      <c r="V1973" s="217"/>
      <c r="W1973" s="217"/>
      <c r="X1973" s="217"/>
      <c r="Y1973" s="217"/>
      <c r="Z1973" s="217"/>
      <c r="AA1973" s="217"/>
      <c r="AB1973" s="217"/>
      <c r="AC1973" s="217"/>
      <c r="AD1973" s="217"/>
    </row>
    <row r="1974" spans="1:30" x14ac:dyDescent="0.2">
      <c r="A1974" s="232"/>
      <c r="B1974" s="210"/>
      <c r="C1974" s="210"/>
      <c r="D1974" s="210"/>
      <c r="E1974" s="210"/>
      <c r="G1974" s="55"/>
      <c r="H1974" s="56"/>
      <c r="I1974" s="217"/>
      <c r="J1974" s="217"/>
      <c r="K1974" s="217"/>
      <c r="L1974" s="217"/>
      <c r="M1974" s="217"/>
      <c r="N1974" s="217"/>
      <c r="O1974" s="217"/>
      <c r="P1974" s="217"/>
      <c r="Q1974" s="217"/>
      <c r="R1974" s="217"/>
      <c r="S1974" s="217"/>
      <c r="T1974" s="217"/>
      <c r="U1974" s="217"/>
      <c r="V1974" s="217"/>
      <c r="W1974" s="217"/>
      <c r="X1974" s="217"/>
      <c r="Y1974" s="217"/>
      <c r="Z1974" s="217"/>
      <c r="AA1974" s="217"/>
      <c r="AB1974" s="217"/>
      <c r="AC1974" s="217"/>
      <c r="AD1974" s="217"/>
    </row>
    <row r="1975" spans="1:30" x14ac:dyDescent="0.2">
      <c r="A1975" s="232"/>
      <c r="B1975" s="210"/>
      <c r="C1975" s="210"/>
      <c r="D1975" s="210"/>
      <c r="E1975" s="210"/>
      <c r="G1975" s="55"/>
      <c r="H1975" s="56"/>
      <c r="I1975" s="217"/>
      <c r="J1975" s="217"/>
      <c r="K1975" s="217"/>
      <c r="L1975" s="217"/>
      <c r="M1975" s="217"/>
      <c r="N1975" s="217"/>
      <c r="O1975" s="217"/>
      <c r="P1975" s="217"/>
      <c r="Q1975" s="217"/>
      <c r="R1975" s="217"/>
      <c r="S1975" s="217"/>
      <c r="T1975" s="217"/>
      <c r="U1975" s="217"/>
      <c r="V1975" s="217"/>
      <c r="W1975" s="217"/>
      <c r="X1975" s="217"/>
      <c r="Y1975" s="217"/>
      <c r="Z1975" s="217"/>
      <c r="AA1975" s="217"/>
      <c r="AB1975" s="217"/>
      <c r="AC1975" s="217"/>
      <c r="AD1975" s="217"/>
    </row>
    <row r="1976" spans="1:30" x14ac:dyDescent="0.2">
      <c r="A1976" s="232"/>
      <c r="B1976" s="210"/>
      <c r="C1976" s="210"/>
      <c r="D1976" s="210"/>
      <c r="E1976" s="210"/>
      <c r="G1976" s="55"/>
      <c r="H1976" s="56"/>
      <c r="I1976" s="217"/>
      <c r="J1976" s="217"/>
      <c r="K1976" s="217"/>
      <c r="L1976" s="217"/>
      <c r="M1976" s="217"/>
      <c r="N1976" s="217"/>
      <c r="O1976" s="217"/>
      <c r="P1976" s="217"/>
      <c r="Q1976" s="217"/>
      <c r="R1976" s="217"/>
      <c r="S1976" s="217"/>
      <c r="T1976" s="217"/>
      <c r="U1976" s="217"/>
      <c r="V1976" s="217"/>
      <c r="W1976" s="217"/>
      <c r="X1976" s="217"/>
      <c r="Y1976" s="217"/>
      <c r="Z1976" s="217"/>
      <c r="AA1976" s="217"/>
      <c r="AB1976" s="217"/>
      <c r="AC1976" s="217"/>
      <c r="AD1976" s="217"/>
    </row>
    <row r="1977" spans="1:30" x14ac:dyDescent="0.2">
      <c r="A1977" s="232"/>
      <c r="B1977" s="210"/>
      <c r="C1977" s="210"/>
      <c r="D1977" s="210"/>
      <c r="E1977" s="210"/>
      <c r="G1977" s="55"/>
      <c r="H1977" s="56"/>
      <c r="I1977" s="217"/>
      <c r="J1977" s="217"/>
      <c r="K1977" s="217"/>
      <c r="L1977" s="217"/>
      <c r="M1977" s="217"/>
      <c r="N1977" s="217"/>
      <c r="O1977" s="217"/>
      <c r="P1977" s="217"/>
      <c r="Q1977" s="217"/>
      <c r="R1977" s="217"/>
      <c r="S1977" s="217"/>
      <c r="T1977" s="217"/>
      <c r="U1977" s="217"/>
      <c r="V1977" s="217"/>
      <c r="W1977" s="217"/>
      <c r="X1977" s="217"/>
      <c r="Y1977" s="217"/>
      <c r="Z1977" s="217"/>
      <c r="AA1977" s="217"/>
      <c r="AB1977" s="217"/>
      <c r="AC1977" s="217"/>
      <c r="AD1977" s="217"/>
    </row>
    <row r="1978" spans="1:30" x14ac:dyDescent="0.2">
      <c r="A1978" s="232"/>
      <c r="B1978" s="210"/>
      <c r="C1978" s="210"/>
      <c r="D1978" s="210"/>
      <c r="E1978" s="210"/>
      <c r="G1978" s="55"/>
      <c r="H1978" s="56"/>
      <c r="I1978" s="217"/>
      <c r="J1978" s="217"/>
      <c r="K1978" s="217"/>
      <c r="L1978" s="217"/>
      <c r="M1978" s="217"/>
      <c r="N1978" s="217"/>
      <c r="O1978" s="217"/>
      <c r="P1978" s="217"/>
      <c r="Q1978" s="217"/>
      <c r="R1978" s="217"/>
      <c r="S1978" s="217"/>
      <c r="T1978" s="217"/>
      <c r="U1978" s="217"/>
      <c r="V1978" s="217"/>
      <c r="W1978" s="217"/>
      <c r="X1978" s="217"/>
      <c r="Y1978" s="217"/>
      <c r="Z1978" s="217"/>
      <c r="AA1978" s="217"/>
      <c r="AB1978" s="217"/>
      <c r="AC1978" s="217"/>
      <c r="AD1978" s="217"/>
    </row>
    <row r="1979" spans="1:30" x14ac:dyDescent="0.2">
      <c r="A1979" s="232"/>
      <c r="B1979" s="210"/>
      <c r="C1979" s="210"/>
      <c r="D1979" s="210"/>
      <c r="E1979" s="210"/>
      <c r="G1979" s="55"/>
      <c r="H1979" s="56"/>
      <c r="I1979" s="217"/>
      <c r="J1979" s="217"/>
      <c r="K1979" s="217"/>
      <c r="L1979" s="217"/>
      <c r="M1979" s="217"/>
      <c r="N1979" s="217"/>
      <c r="O1979" s="217"/>
      <c r="P1979" s="217"/>
      <c r="Q1979" s="217"/>
      <c r="R1979" s="217"/>
      <c r="S1979" s="217"/>
      <c r="T1979" s="217"/>
      <c r="U1979" s="217"/>
      <c r="V1979" s="217"/>
      <c r="W1979" s="217"/>
      <c r="X1979" s="217"/>
      <c r="Y1979" s="217"/>
      <c r="Z1979" s="217"/>
      <c r="AA1979" s="217"/>
      <c r="AB1979" s="217"/>
      <c r="AC1979" s="217"/>
      <c r="AD1979" s="217"/>
    </row>
    <row r="1980" spans="1:30" x14ac:dyDescent="0.2">
      <c r="A1980" s="232"/>
      <c r="B1980" s="210"/>
      <c r="C1980" s="210"/>
      <c r="D1980" s="210"/>
      <c r="E1980" s="210"/>
      <c r="G1980" s="55"/>
      <c r="H1980" s="56"/>
      <c r="I1980" s="217"/>
      <c r="J1980" s="217"/>
      <c r="K1980" s="217"/>
      <c r="L1980" s="217"/>
      <c r="M1980" s="217"/>
      <c r="N1980" s="217"/>
      <c r="O1980" s="217"/>
      <c r="P1980" s="217"/>
      <c r="Q1980" s="217"/>
      <c r="R1980" s="217"/>
      <c r="S1980" s="217"/>
      <c r="T1980" s="217"/>
      <c r="U1980" s="217"/>
      <c r="V1980" s="217"/>
      <c r="W1980" s="217"/>
      <c r="X1980" s="217"/>
      <c r="Y1980" s="217"/>
      <c r="Z1980" s="217"/>
      <c r="AA1980" s="217"/>
      <c r="AB1980" s="217"/>
      <c r="AC1980" s="217"/>
      <c r="AD1980" s="217"/>
    </row>
    <row r="1981" spans="1:30" x14ac:dyDescent="0.2">
      <c r="A1981" s="232"/>
      <c r="B1981" s="210"/>
      <c r="C1981" s="210"/>
      <c r="D1981" s="210"/>
      <c r="E1981" s="210"/>
      <c r="G1981" s="55"/>
      <c r="H1981" s="56"/>
      <c r="I1981" s="217"/>
      <c r="J1981" s="217"/>
      <c r="K1981" s="217"/>
      <c r="L1981" s="217"/>
      <c r="M1981" s="217"/>
      <c r="N1981" s="217"/>
      <c r="O1981" s="217"/>
      <c r="P1981" s="217"/>
      <c r="Q1981" s="217"/>
      <c r="R1981" s="217"/>
      <c r="S1981" s="217"/>
      <c r="T1981" s="217"/>
      <c r="U1981" s="217"/>
      <c r="V1981" s="217"/>
      <c r="W1981" s="217"/>
      <c r="X1981" s="217"/>
      <c r="Y1981" s="217"/>
      <c r="Z1981" s="217"/>
      <c r="AA1981" s="217"/>
      <c r="AB1981" s="217"/>
      <c r="AC1981" s="217"/>
      <c r="AD1981" s="217"/>
    </row>
    <row r="1982" spans="1:30" x14ac:dyDescent="0.2">
      <c r="A1982" s="232"/>
      <c r="B1982" s="210"/>
      <c r="C1982" s="210"/>
      <c r="D1982" s="210"/>
      <c r="E1982" s="210"/>
      <c r="G1982" s="55"/>
      <c r="H1982" s="56"/>
      <c r="I1982" s="217"/>
      <c r="J1982" s="217"/>
      <c r="K1982" s="217"/>
      <c r="L1982" s="217"/>
      <c r="M1982" s="217"/>
      <c r="N1982" s="217"/>
      <c r="O1982" s="217"/>
      <c r="P1982" s="217"/>
      <c r="Q1982" s="217"/>
      <c r="R1982" s="217"/>
      <c r="S1982" s="217"/>
      <c r="T1982" s="217"/>
      <c r="U1982" s="217"/>
      <c r="V1982" s="217"/>
      <c r="W1982" s="217"/>
      <c r="X1982" s="217"/>
      <c r="Y1982" s="217"/>
      <c r="Z1982" s="217"/>
      <c r="AA1982" s="217"/>
      <c r="AB1982" s="217"/>
      <c r="AC1982" s="217"/>
      <c r="AD1982" s="217"/>
    </row>
    <row r="1983" spans="1:30" x14ac:dyDescent="0.2">
      <c r="A1983" s="232"/>
      <c r="B1983" s="210"/>
      <c r="C1983" s="210"/>
      <c r="D1983" s="210"/>
      <c r="E1983" s="210"/>
      <c r="G1983" s="55"/>
      <c r="H1983" s="56"/>
      <c r="I1983" s="217"/>
      <c r="J1983" s="217"/>
      <c r="K1983" s="217"/>
      <c r="L1983" s="217"/>
      <c r="M1983" s="217"/>
      <c r="N1983" s="217"/>
      <c r="O1983" s="217"/>
      <c r="P1983" s="217"/>
      <c r="Q1983" s="217"/>
      <c r="R1983" s="217"/>
      <c r="S1983" s="217"/>
      <c r="T1983" s="217"/>
      <c r="U1983" s="217"/>
      <c r="V1983" s="217"/>
      <c r="W1983" s="217"/>
      <c r="X1983" s="217"/>
      <c r="Y1983" s="217"/>
      <c r="Z1983" s="217"/>
      <c r="AA1983" s="217"/>
      <c r="AB1983" s="217"/>
      <c r="AC1983" s="217"/>
      <c r="AD1983" s="217"/>
    </row>
    <row r="1984" spans="1:30" x14ac:dyDescent="0.2">
      <c r="A1984" s="232"/>
      <c r="B1984" s="210"/>
      <c r="C1984" s="210"/>
      <c r="D1984" s="210"/>
      <c r="E1984" s="210"/>
      <c r="G1984" s="55"/>
      <c r="H1984" s="56"/>
      <c r="I1984" s="217"/>
      <c r="J1984" s="217"/>
      <c r="K1984" s="217"/>
      <c r="L1984" s="217"/>
      <c r="M1984" s="217"/>
      <c r="N1984" s="217"/>
      <c r="O1984" s="217"/>
      <c r="P1984" s="217"/>
      <c r="Q1984" s="217"/>
      <c r="R1984" s="217"/>
      <c r="S1984" s="217"/>
      <c r="T1984" s="217"/>
      <c r="U1984" s="217"/>
      <c r="V1984" s="217"/>
      <c r="W1984" s="217"/>
      <c r="X1984" s="217"/>
      <c r="Y1984" s="217"/>
      <c r="Z1984" s="217"/>
      <c r="AA1984" s="217"/>
      <c r="AB1984" s="217"/>
      <c r="AC1984" s="217"/>
      <c r="AD1984" s="217"/>
    </row>
    <row r="1985" spans="1:30" x14ac:dyDescent="0.2">
      <c r="A1985" s="232"/>
      <c r="B1985" s="210"/>
      <c r="C1985" s="210"/>
      <c r="D1985" s="210"/>
      <c r="E1985" s="210"/>
      <c r="G1985" s="55"/>
      <c r="H1985" s="56"/>
      <c r="I1985" s="217"/>
      <c r="J1985" s="217"/>
      <c r="K1985" s="217"/>
      <c r="L1985" s="217"/>
      <c r="M1985" s="217"/>
      <c r="N1985" s="217"/>
      <c r="O1985" s="217"/>
      <c r="P1985" s="217"/>
      <c r="Q1985" s="217"/>
      <c r="R1985" s="217"/>
      <c r="S1985" s="217"/>
      <c r="T1985" s="217"/>
      <c r="U1985" s="217"/>
      <c r="V1985" s="217"/>
      <c r="W1985" s="217"/>
      <c r="X1985" s="217"/>
      <c r="Y1985" s="217"/>
      <c r="Z1985" s="217"/>
      <c r="AA1985" s="217"/>
      <c r="AB1985" s="217"/>
      <c r="AC1985" s="217"/>
      <c r="AD1985" s="217"/>
    </row>
    <row r="1986" spans="1:30" x14ac:dyDescent="0.2">
      <c r="A1986" s="232"/>
      <c r="B1986" s="210"/>
      <c r="C1986" s="210"/>
      <c r="D1986" s="210"/>
      <c r="E1986" s="210"/>
      <c r="G1986" s="55"/>
      <c r="H1986" s="56"/>
      <c r="I1986" s="217"/>
      <c r="J1986" s="217"/>
      <c r="K1986" s="217"/>
      <c r="L1986" s="217"/>
      <c r="M1986" s="217"/>
      <c r="N1986" s="217"/>
      <c r="O1986" s="217"/>
      <c r="P1986" s="217"/>
      <c r="Q1986" s="217"/>
      <c r="R1986" s="217"/>
      <c r="S1986" s="217"/>
      <c r="T1986" s="217"/>
      <c r="U1986" s="217"/>
      <c r="V1986" s="217"/>
      <c r="W1986" s="217"/>
      <c r="X1986" s="217"/>
      <c r="Y1986" s="217"/>
      <c r="Z1986" s="217"/>
      <c r="AA1986" s="217"/>
      <c r="AB1986" s="217"/>
      <c r="AC1986" s="217"/>
      <c r="AD1986" s="217"/>
    </row>
    <row r="1987" spans="1:30" x14ac:dyDescent="0.2">
      <c r="A1987" s="232"/>
      <c r="B1987" s="210"/>
      <c r="C1987" s="210"/>
      <c r="D1987" s="210"/>
      <c r="E1987" s="210"/>
      <c r="G1987" s="55"/>
      <c r="H1987" s="56"/>
      <c r="I1987" s="217"/>
      <c r="J1987" s="217"/>
      <c r="K1987" s="217"/>
      <c r="L1987" s="217"/>
      <c r="M1987" s="217"/>
      <c r="N1987" s="217"/>
      <c r="O1987" s="217"/>
      <c r="P1987" s="217"/>
      <c r="Q1987" s="217"/>
      <c r="R1987" s="217"/>
      <c r="S1987" s="217"/>
      <c r="T1987" s="217"/>
      <c r="U1987" s="217"/>
      <c r="V1987" s="217"/>
      <c r="W1987" s="217"/>
      <c r="X1987" s="217"/>
      <c r="Y1987" s="217"/>
      <c r="Z1987" s="217"/>
      <c r="AA1987" s="217"/>
      <c r="AB1987" s="217"/>
      <c r="AC1987" s="217"/>
      <c r="AD1987" s="217"/>
    </row>
    <row r="1988" spans="1:30" x14ac:dyDescent="0.2">
      <c r="A1988" s="232"/>
      <c r="B1988" s="210"/>
      <c r="C1988" s="210"/>
      <c r="D1988" s="210"/>
      <c r="E1988" s="210"/>
      <c r="G1988" s="55"/>
      <c r="H1988" s="56"/>
      <c r="I1988" s="217"/>
      <c r="J1988" s="217"/>
      <c r="K1988" s="217"/>
      <c r="L1988" s="217"/>
      <c r="M1988" s="217"/>
      <c r="N1988" s="217"/>
      <c r="O1988" s="217"/>
      <c r="P1988" s="217"/>
      <c r="Q1988" s="217"/>
      <c r="R1988" s="217"/>
      <c r="S1988" s="217"/>
      <c r="T1988" s="217"/>
      <c r="U1988" s="217"/>
      <c r="V1988" s="217"/>
      <c r="W1988" s="217"/>
      <c r="X1988" s="217"/>
      <c r="Y1988" s="217"/>
      <c r="Z1988" s="217"/>
      <c r="AA1988" s="217"/>
      <c r="AB1988" s="217"/>
      <c r="AC1988" s="217"/>
      <c r="AD1988" s="217"/>
    </row>
    <row r="1989" spans="1:30" x14ac:dyDescent="0.2">
      <c r="A1989" s="232"/>
      <c r="B1989" s="210"/>
      <c r="C1989" s="210"/>
      <c r="D1989" s="210"/>
      <c r="E1989" s="210"/>
      <c r="G1989" s="55"/>
      <c r="H1989" s="56"/>
      <c r="I1989" s="217"/>
      <c r="J1989" s="217"/>
      <c r="K1989" s="217"/>
      <c r="L1989" s="217"/>
      <c r="M1989" s="217"/>
      <c r="N1989" s="217"/>
      <c r="O1989" s="217"/>
      <c r="P1989" s="217"/>
      <c r="Q1989" s="217"/>
      <c r="R1989" s="217"/>
      <c r="S1989" s="217"/>
      <c r="T1989" s="217"/>
      <c r="U1989" s="217"/>
      <c r="V1989" s="217"/>
      <c r="W1989" s="217"/>
      <c r="X1989" s="217"/>
      <c r="Y1989" s="217"/>
      <c r="Z1989" s="217"/>
      <c r="AA1989" s="217"/>
      <c r="AB1989" s="217"/>
      <c r="AC1989" s="217"/>
      <c r="AD1989" s="217"/>
    </row>
    <row r="1990" spans="1:30" x14ac:dyDescent="0.2">
      <c r="A1990" s="232"/>
      <c r="B1990" s="210"/>
      <c r="C1990" s="210"/>
      <c r="D1990" s="210"/>
      <c r="E1990" s="210"/>
      <c r="G1990" s="55"/>
      <c r="H1990" s="56"/>
      <c r="I1990" s="217"/>
      <c r="J1990" s="217"/>
      <c r="K1990" s="217"/>
      <c r="L1990" s="217"/>
      <c r="M1990" s="217"/>
      <c r="N1990" s="217"/>
      <c r="O1990" s="217"/>
      <c r="P1990" s="217"/>
      <c r="Q1990" s="217"/>
      <c r="R1990" s="217"/>
      <c r="S1990" s="217"/>
      <c r="T1990" s="217"/>
      <c r="U1990" s="217"/>
      <c r="V1990" s="217"/>
      <c r="W1990" s="217"/>
      <c r="X1990" s="217"/>
      <c r="Y1990" s="217"/>
      <c r="Z1990" s="217"/>
      <c r="AA1990" s="217"/>
      <c r="AB1990" s="217"/>
      <c r="AC1990" s="217"/>
      <c r="AD1990" s="217"/>
    </row>
    <row r="1991" spans="1:30" x14ac:dyDescent="0.2">
      <c r="A1991" s="232"/>
      <c r="B1991" s="210"/>
      <c r="C1991" s="210"/>
      <c r="D1991" s="210"/>
      <c r="E1991" s="210"/>
      <c r="G1991" s="55"/>
      <c r="H1991" s="56"/>
      <c r="I1991" s="217"/>
      <c r="J1991" s="217"/>
      <c r="K1991" s="217"/>
      <c r="L1991" s="217"/>
      <c r="M1991" s="217"/>
      <c r="N1991" s="217"/>
      <c r="O1991" s="217"/>
      <c r="P1991" s="217"/>
      <c r="Q1991" s="217"/>
      <c r="R1991" s="217"/>
      <c r="S1991" s="217"/>
      <c r="T1991" s="217"/>
      <c r="U1991" s="217"/>
      <c r="V1991" s="217"/>
      <c r="W1991" s="217"/>
      <c r="X1991" s="217"/>
      <c r="Y1991" s="217"/>
      <c r="Z1991" s="217"/>
      <c r="AA1991" s="217"/>
      <c r="AB1991" s="217"/>
      <c r="AC1991" s="217"/>
      <c r="AD1991" s="217"/>
    </row>
    <row r="1992" spans="1:30" x14ac:dyDescent="0.2">
      <c r="A1992" s="232"/>
      <c r="B1992" s="210"/>
      <c r="C1992" s="210"/>
      <c r="D1992" s="210"/>
      <c r="E1992" s="210"/>
      <c r="G1992" s="55"/>
      <c r="H1992" s="56"/>
      <c r="I1992" s="217"/>
      <c r="J1992" s="217"/>
      <c r="K1992" s="217"/>
      <c r="L1992" s="217"/>
      <c r="M1992" s="217"/>
      <c r="N1992" s="217"/>
      <c r="O1992" s="217"/>
      <c r="P1992" s="217"/>
      <c r="Q1992" s="217"/>
      <c r="R1992" s="217"/>
      <c r="S1992" s="217"/>
      <c r="T1992" s="217"/>
      <c r="U1992" s="217"/>
      <c r="V1992" s="217"/>
      <c r="W1992" s="217"/>
      <c r="X1992" s="217"/>
      <c r="Y1992" s="217"/>
      <c r="Z1992" s="217"/>
      <c r="AA1992" s="217"/>
      <c r="AB1992" s="217"/>
      <c r="AC1992" s="217"/>
      <c r="AD1992" s="217"/>
    </row>
    <row r="1993" spans="1:30" x14ac:dyDescent="0.2">
      <c r="A1993" s="232"/>
      <c r="B1993" s="210"/>
      <c r="C1993" s="210"/>
      <c r="D1993" s="210"/>
      <c r="E1993" s="210"/>
      <c r="G1993" s="55"/>
      <c r="H1993" s="56"/>
      <c r="I1993" s="217"/>
      <c r="J1993" s="217"/>
      <c r="K1993" s="217"/>
      <c r="L1993" s="217"/>
      <c r="M1993" s="217"/>
      <c r="N1993" s="217"/>
      <c r="O1993" s="217"/>
      <c r="P1993" s="217"/>
      <c r="Q1993" s="217"/>
      <c r="R1993" s="217"/>
      <c r="S1993" s="217"/>
      <c r="T1993" s="217"/>
      <c r="U1993" s="217"/>
      <c r="V1993" s="217"/>
      <c r="W1993" s="217"/>
      <c r="X1993" s="217"/>
      <c r="Y1993" s="217"/>
      <c r="Z1993" s="217"/>
      <c r="AA1993" s="217"/>
      <c r="AB1993" s="217"/>
      <c r="AC1993" s="217"/>
      <c r="AD1993" s="217"/>
    </row>
    <row r="1994" spans="1:30" x14ac:dyDescent="0.2">
      <c r="A1994" s="232"/>
      <c r="B1994" s="210"/>
      <c r="C1994" s="210"/>
      <c r="D1994" s="210"/>
      <c r="E1994" s="210"/>
      <c r="G1994" s="55"/>
      <c r="H1994" s="56"/>
      <c r="I1994" s="217"/>
      <c r="J1994" s="217"/>
      <c r="K1994" s="217"/>
      <c r="L1994" s="217"/>
      <c r="M1994" s="217"/>
      <c r="N1994" s="217"/>
      <c r="O1994" s="217"/>
      <c r="P1994" s="217"/>
      <c r="Q1994" s="217"/>
      <c r="R1994" s="217"/>
      <c r="S1994" s="217"/>
      <c r="T1994" s="217"/>
      <c r="U1994" s="217"/>
      <c r="V1994" s="217"/>
      <c r="W1994" s="217"/>
      <c r="X1994" s="217"/>
      <c r="Y1994" s="217"/>
      <c r="Z1994" s="217"/>
      <c r="AA1994" s="217"/>
      <c r="AB1994" s="217"/>
      <c r="AC1994" s="217"/>
      <c r="AD1994" s="217"/>
    </row>
    <row r="1995" spans="1:30" x14ac:dyDescent="0.2">
      <c r="A1995" s="232"/>
      <c r="B1995" s="210"/>
      <c r="C1995" s="210"/>
      <c r="D1995" s="210"/>
      <c r="E1995" s="210"/>
      <c r="G1995" s="55"/>
      <c r="H1995" s="56"/>
      <c r="I1995" s="217"/>
      <c r="J1995" s="217"/>
      <c r="K1995" s="217"/>
      <c r="L1995" s="217"/>
      <c r="M1995" s="217"/>
      <c r="N1995" s="217"/>
      <c r="O1995" s="217"/>
      <c r="P1995" s="217"/>
      <c r="Q1995" s="217"/>
      <c r="R1995" s="217"/>
      <c r="S1995" s="217"/>
      <c r="T1995" s="217"/>
      <c r="U1995" s="217"/>
      <c r="V1995" s="217"/>
      <c r="W1995" s="217"/>
      <c r="X1995" s="217"/>
      <c r="Y1995" s="217"/>
      <c r="Z1995" s="217"/>
      <c r="AA1995" s="217"/>
      <c r="AB1995" s="217"/>
      <c r="AC1995" s="217"/>
      <c r="AD1995" s="217"/>
    </row>
    <row r="1996" spans="1:30" x14ac:dyDescent="0.2">
      <c r="A1996" s="232"/>
      <c r="B1996" s="210"/>
      <c r="C1996" s="210"/>
      <c r="D1996" s="210"/>
      <c r="E1996" s="210"/>
      <c r="G1996" s="55"/>
      <c r="H1996" s="56"/>
      <c r="I1996" s="217"/>
      <c r="J1996" s="217"/>
      <c r="K1996" s="217"/>
      <c r="L1996" s="217"/>
      <c r="M1996" s="217"/>
      <c r="N1996" s="217"/>
      <c r="O1996" s="217"/>
      <c r="P1996" s="217"/>
      <c r="Q1996" s="217"/>
      <c r="R1996" s="217"/>
      <c r="S1996" s="217"/>
      <c r="T1996" s="217"/>
      <c r="U1996" s="217"/>
      <c r="V1996" s="217"/>
      <c r="W1996" s="217"/>
      <c r="X1996" s="217"/>
      <c r="Y1996" s="217"/>
      <c r="Z1996" s="217"/>
      <c r="AA1996" s="217"/>
      <c r="AB1996" s="217"/>
      <c r="AC1996" s="217"/>
      <c r="AD1996" s="217"/>
    </row>
    <row r="1997" spans="1:30" x14ac:dyDescent="0.2">
      <c r="A1997" s="232"/>
      <c r="B1997" s="210"/>
      <c r="C1997" s="210"/>
      <c r="D1997" s="210"/>
      <c r="E1997" s="210"/>
      <c r="G1997" s="55"/>
      <c r="H1997" s="56"/>
      <c r="I1997" s="217"/>
      <c r="J1997" s="217"/>
      <c r="K1997" s="217"/>
      <c r="L1997" s="217"/>
      <c r="M1997" s="217"/>
      <c r="N1997" s="217"/>
      <c r="O1997" s="217"/>
      <c r="P1997" s="217"/>
      <c r="Q1997" s="217"/>
      <c r="R1997" s="217"/>
      <c r="S1997" s="217"/>
      <c r="T1997" s="217"/>
      <c r="U1997" s="217"/>
      <c r="V1997" s="217"/>
      <c r="W1997" s="217"/>
      <c r="X1997" s="217"/>
      <c r="Y1997" s="217"/>
      <c r="Z1997" s="217"/>
      <c r="AA1997" s="217"/>
      <c r="AB1997" s="217"/>
      <c r="AC1997" s="217"/>
      <c r="AD1997" s="217"/>
    </row>
    <row r="1998" spans="1:30" x14ac:dyDescent="0.2">
      <c r="A1998" s="232"/>
      <c r="B1998" s="210"/>
      <c r="C1998" s="210"/>
      <c r="D1998" s="210"/>
      <c r="E1998" s="210"/>
      <c r="G1998" s="55"/>
      <c r="H1998" s="56"/>
      <c r="I1998" s="217"/>
      <c r="J1998" s="217"/>
      <c r="K1998" s="217"/>
      <c r="L1998" s="217"/>
      <c r="M1998" s="217"/>
      <c r="N1998" s="217"/>
      <c r="O1998" s="217"/>
      <c r="P1998" s="217"/>
      <c r="Q1998" s="217"/>
      <c r="R1998" s="217"/>
      <c r="S1998" s="217"/>
      <c r="T1998" s="217"/>
      <c r="U1998" s="217"/>
      <c r="V1998" s="217"/>
      <c r="W1998" s="217"/>
      <c r="X1998" s="217"/>
      <c r="Y1998" s="217"/>
      <c r="Z1998" s="217"/>
      <c r="AA1998" s="217"/>
      <c r="AB1998" s="217"/>
      <c r="AC1998" s="217"/>
      <c r="AD1998" s="217"/>
    </row>
    <row r="1999" spans="1:30" x14ac:dyDescent="0.2">
      <c r="A1999" s="232"/>
      <c r="B1999" s="210"/>
      <c r="C1999" s="210"/>
      <c r="D1999" s="210"/>
      <c r="E1999" s="210"/>
      <c r="G1999" s="55"/>
      <c r="H1999" s="56"/>
      <c r="I1999" s="217"/>
      <c r="J1999" s="217"/>
      <c r="K1999" s="217"/>
      <c r="L1999" s="217"/>
      <c r="M1999" s="217"/>
      <c r="N1999" s="217"/>
      <c r="O1999" s="217"/>
      <c r="P1999" s="217"/>
      <c r="Q1999" s="217"/>
      <c r="R1999" s="217"/>
      <c r="S1999" s="217"/>
      <c r="T1999" s="217"/>
      <c r="U1999" s="217"/>
      <c r="V1999" s="217"/>
      <c r="W1999" s="217"/>
      <c r="X1999" s="217"/>
      <c r="Y1999" s="217"/>
      <c r="Z1999" s="217"/>
      <c r="AA1999" s="217"/>
      <c r="AB1999" s="217"/>
      <c r="AC1999" s="217"/>
      <c r="AD1999" s="217"/>
    </row>
    <row r="2000" spans="1:30" x14ac:dyDescent="0.2">
      <c r="A2000" s="232"/>
      <c r="B2000" s="210"/>
      <c r="C2000" s="210"/>
      <c r="D2000" s="210"/>
      <c r="E2000" s="210"/>
      <c r="G2000" s="55"/>
      <c r="H2000" s="56"/>
      <c r="I2000" s="217"/>
      <c r="J2000" s="217"/>
      <c r="K2000" s="217"/>
      <c r="L2000" s="217"/>
      <c r="M2000" s="217"/>
      <c r="N2000" s="217"/>
      <c r="O2000" s="217"/>
      <c r="P2000" s="217"/>
      <c r="Q2000" s="217"/>
      <c r="R2000" s="217"/>
      <c r="S2000" s="217"/>
      <c r="T2000" s="217"/>
      <c r="U2000" s="217"/>
      <c r="V2000" s="217"/>
      <c r="W2000" s="217"/>
      <c r="X2000" s="217"/>
      <c r="Y2000" s="217"/>
      <c r="Z2000" s="217"/>
      <c r="AA2000" s="217"/>
      <c r="AB2000" s="217"/>
      <c r="AC2000" s="217"/>
      <c r="AD2000" s="217"/>
    </row>
    <row r="2001" spans="1:30" x14ac:dyDescent="0.2">
      <c r="A2001" s="232"/>
      <c r="B2001" s="210"/>
      <c r="C2001" s="210"/>
      <c r="D2001" s="210"/>
      <c r="E2001" s="210"/>
      <c r="G2001" s="55"/>
      <c r="H2001" s="56"/>
      <c r="I2001" s="217"/>
      <c r="J2001" s="217"/>
      <c r="K2001" s="217"/>
      <c r="L2001" s="217"/>
      <c r="M2001" s="217"/>
      <c r="N2001" s="217"/>
      <c r="O2001" s="217"/>
      <c r="P2001" s="217"/>
      <c r="Q2001" s="217"/>
      <c r="R2001" s="217"/>
      <c r="S2001" s="217"/>
      <c r="T2001" s="217"/>
      <c r="U2001" s="217"/>
      <c r="V2001" s="217"/>
      <c r="W2001" s="217"/>
      <c r="X2001" s="217"/>
      <c r="Y2001" s="217"/>
      <c r="Z2001" s="217"/>
      <c r="AA2001" s="217"/>
      <c r="AB2001" s="217"/>
      <c r="AC2001" s="217"/>
      <c r="AD2001" s="217"/>
    </row>
    <row r="2002" spans="1:30" x14ac:dyDescent="0.2">
      <c r="A2002" s="232"/>
      <c r="B2002" s="210"/>
      <c r="C2002" s="210"/>
      <c r="D2002" s="210"/>
      <c r="E2002" s="210"/>
      <c r="G2002" s="55"/>
      <c r="H2002" s="56"/>
      <c r="I2002" s="217"/>
      <c r="J2002" s="217"/>
      <c r="K2002" s="217"/>
      <c r="L2002" s="217"/>
      <c r="M2002" s="217"/>
      <c r="N2002" s="217"/>
      <c r="O2002" s="217"/>
      <c r="P2002" s="217"/>
      <c r="Q2002" s="217"/>
      <c r="R2002" s="217"/>
      <c r="S2002" s="217"/>
      <c r="T2002" s="217"/>
      <c r="U2002" s="217"/>
      <c r="V2002" s="217"/>
      <c r="W2002" s="217"/>
      <c r="X2002" s="217"/>
      <c r="Y2002" s="217"/>
      <c r="Z2002" s="217"/>
      <c r="AA2002" s="217"/>
      <c r="AB2002" s="217"/>
      <c r="AC2002" s="217"/>
      <c r="AD2002" s="217"/>
    </row>
    <row r="2003" spans="1:30" x14ac:dyDescent="0.2">
      <c r="A2003" s="232"/>
      <c r="B2003" s="210"/>
      <c r="C2003" s="210"/>
      <c r="D2003" s="210"/>
      <c r="E2003" s="210"/>
      <c r="G2003" s="55"/>
      <c r="H2003" s="56"/>
      <c r="I2003" s="217"/>
      <c r="J2003" s="217"/>
      <c r="K2003" s="217"/>
      <c r="L2003" s="217"/>
      <c r="M2003" s="217"/>
      <c r="N2003" s="217"/>
      <c r="O2003" s="217"/>
      <c r="P2003" s="217"/>
      <c r="Q2003" s="217"/>
      <c r="R2003" s="217"/>
      <c r="S2003" s="217"/>
      <c r="T2003" s="217"/>
      <c r="U2003" s="217"/>
      <c r="V2003" s="217"/>
      <c r="W2003" s="217"/>
      <c r="X2003" s="217"/>
      <c r="Y2003" s="217"/>
      <c r="Z2003" s="217"/>
      <c r="AA2003" s="217"/>
      <c r="AB2003" s="217"/>
      <c r="AC2003" s="217"/>
      <c r="AD2003" s="217"/>
    </row>
    <row r="2004" spans="1:30" x14ac:dyDescent="0.2">
      <c r="A2004" s="232"/>
      <c r="B2004" s="210"/>
      <c r="C2004" s="210"/>
      <c r="D2004" s="210"/>
      <c r="E2004" s="210"/>
      <c r="G2004" s="55"/>
      <c r="H2004" s="56"/>
      <c r="I2004" s="217"/>
      <c r="J2004" s="217"/>
      <c r="K2004" s="217"/>
      <c r="L2004" s="217"/>
      <c r="M2004" s="217"/>
      <c r="N2004" s="217"/>
      <c r="O2004" s="217"/>
      <c r="P2004" s="217"/>
      <c r="Q2004" s="217"/>
      <c r="R2004" s="217"/>
      <c r="S2004" s="217"/>
      <c r="T2004" s="217"/>
      <c r="U2004" s="217"/>
      <c r="V2004" s="217"/>
      <c r="W2004" s="217"/>
      <c r="X2004" s="217"/>
      <c r="Y2004" s="217"/>
      <c r="Z2004" s="217"/>
      <c r="AA2004" s="217"/>
      <c r="AB2004" s="217"/>
      <c r="AC2004" s="217"/>
      <c r="AD2004" s="217"/>
    </row>
    <row r="2005" spans="1:30" x14ac:dyDescent="0.2">
      <c r="A2005" s="232"/>
      <c r="B2005" s="210"/>
      <c r="C2005" s="210"/>
      <c r="D2005" s="210"/>
      <c r="E2005" s="210"/>
      <c r="G2005" s="55"/>
      <c r="H2005" s="56"/>
      <c r="I2005" s="217"/>
      <c r="J2005" s="217"/>
      <c r="K2005" s="217"/>
      <c r="L2005" s="217"/>
      <c r="M2005" s="217"/>
      <c r="N2005" s="217"/>
      <c r="O2005" s="217"/>
      <c r="P2005" s="217"/>
      <c r="Q2005" s="217"/>
      <c r="R2005" s="217"/>
      <c r="S2005" s="217"/>
      <c r="T2005" s="217"/>
      <c r="U2005" s="217"/>
      <c r="V2005" s="217"/>
      <c r="W2005" s="217"/>
      <c r="X2005" s="217"/>
      <c r="Y2005" s="217"/>
      <c r="Z2005" s="217"/>
      <c r="AA2005" s="217"/>
      <c r="AB2005" s="217"/>
      <c r="AC2005" s="217"/>
      <c r="AD2005" s="217"/>
    </row>
    <row r="2006" spans="1:30" x14ac:dyDescent="0.2">
      <c r="A2006" s="232"/>
      <c r="B2006" s="210"/>
      <c r="C2006" s="210"/>
      <c r="D2006" s="210"/>
      <c r="E2006" s="210"/>
      <c r="G2006" s="55"/>
      <c r="H2006" s="56"/>
      <c r="I2006" s="217"/>
      <c r="J2006" s="217"/>
      <c r="K2006" s="217"/>
      <c r="L2006" s="217"/>
      <c r="M2006" s="217"/>
      <c r="N2006" s="217"/>
      <c r="O2006" s="217"/>
      <c r="P2006" s="217"/>
      <c r="Q2006" s="217"/>
      <c r="R2006" s="217"/>
      <c r="S2006" s="217"/>
      <c r="T2006" s="217"/>
      <c r="U2006" s="217"/>
      <c r="V2006" s="217"/>
      <c r="W2006" s="217"/>
      <c r="X2006" s="217"/>
      <c r="Y2006" s="217"/>
      <c r="Z2006" s="217"/>
      <c r="AA2006" s="217"/>
      <c r="AB2006" s="217"/>
      <c r="AC2006" s="217"/>
      <c r="AD2006" s="217"/>
    </row>
    <row r="2007" spans="1:30" x14ac:dyDescent="0.2">
      <c r="A2007" s="232"/>
      <c r="B2007" s="210"/>
      <c r="C2007" s="210"/>
      <c r="D2007" s="210"/>
      <c r="E2007" s="210"/>
      <c r="G2007" s="55"/>
      <c r="H2007" s="56"/>
      <c r="I2007" s="217"/>
      <c r="J2007" s="217"/>
      <c r="K2007" s="217"/>
      <c r="L2007" s="217"/>
      <c r="M2007" s="217"/>
      <c r="N2007" s="217"/>
      <c r="O2007" s="217"/>
      <c r="P2007" s="217"/>
      <c r="Q2007" s="217"/>
      <c r="R2007" s="217"/>
      <c r="S2007" s="217"/>
      <c r="T2007" s="217"/>
      <c r="U2007" s="217"/>
      <c r="V2007" s="217"/>
      <c r="W2007" s="217"/>
      <c r="X2007" s="217"/>
      <c r="Y2007" s="217"/>
      <c r="Z2007" s="217"/>
      <c r="AA2007" s="217"/>
      <c r="AB2007" s="217"/>
      <c r="AC2007" s="217"/>
      <c r="AD2007" s="217"/>
    </row>
    <row r="2008" spans="1:30" x14ac:dyDescent="0.2">
      <c r="A2008" s="232"/>
      <c r="B2008" s="210"/>
      <c r="C2008" s="210"/>
      <c r="D2008" s="210"/>
      <c r="E2008" s="210"/>
      <c r="G2008" s="55"/>
      <c r="H2008" s="56"/>
      <c r="I2008" s="217"/>
      <c r="J2008" s="217"/>
      <c r="K2008" s="217"/>
      <c r="L2008" s="217"/>
      <c r="M2008" s="217"/>
      <c r="N2008" s="217"/>
      <c r="O2008" s="217"/>
      <c r="P2008" s="217"/>
      <c r="Q2008" s="217"/>
      <c r="R2008" s="217"/>
      <c r="S2008" s="217"/>
      <c r="T2008" s="217"/>
      <c r="U2008" s="217"/>
      <c r="V2008" s="217"/>
      <c r="W2008" s="217"/>
      <c r="X2008" s="217"/>
      <c r="Y2008" s="217"/>
      <c r="Z2008" s="217"/>
      <c r="AA2008" s="217"/>
      <c r="AB2008" s="217"/>
      <c r="AC2008" s="217"/>
      <c r="AD2008" s="217"/>
    </row>
    <row r="2009" spans="1:30" x14ac:dyDescent="0.2">
      <c r="A2009" s="232"/>
      <c r="B2009" s="210"/>
      <c r="C2009" s="210"/>
      <c r="D2009" s="210"/>
      <c r="E2009" s="210"/>
      <c r="G2009" s="55"/>
      <c r="H2009" s="56"/>
      <c r="I2009" s="217"/>
      <c r="J2009" s="217"/>
      <c r="K2009" s="217"/>
      <c r="L2009" s="217"/>
      <c r="M2009" s="217"/>
      <c r="N2009" s="217"/>
      <c r="O2009" s="217"/>
      <c r="P2009" s="217"/>
      <c r="Q2009" s="217"/>
      <c r="R2009" s="217"/>
      <c r="S2009" s="217"/>
      <c r="T2009" s="217"/>
      <c r="U2009" s="217"/>
      <c r="V2009" s="217"/>
      <c r="W2009" s="217"/>
      <c r="X2009" s="217"/>
      <c r="Y2009" s="217"/>
      <c r="Z2009" s="217"/>
      <c r="AA2009" s="217"/>
      <c r="AB2009" s="217"/>
      <c r="AC2009" s="217"/>
      <c r="AD2009" s="217"/>
    </row>
    <row r="2010" spans="1:30" x14ac:dyDescent="0.2">
      <c r="A2010" s="232"/>
      <c r="B2010" s="210"/>
      <c r="C2010" s="210"/>
      <c r="D2010" s="210"/>
      <c r="E2010" s="210"/>
      <c r="G2010" s="55"/>
      <c r="H2010" s="56"/>
      <c r="I2010" s="217"/>
      <c r="J2010" s="217"/>
      <c r="K2010" s="217"/>
      <c r="L2010" s="217"/>
      <c r="M2010" s="217"/>
      <c r="N2010" s="217"/>
      <c r="O2010" s="217"/>
      <c r="P2010" s="217"/>
      <c r="Q2010" s="217"/>
      <c r="R2010" s="217"/>
      <c r="S2010" s="217"/>
      <c r="T2010" s="217"/>
      <c r="U2010" s="217"/>
      <c r="V2010" s="217"/>
      <c r="W2010" s="217"/>
      <c r="X2010" s="217"/>
      <c r="Y2010" s="217"/>
      <c r="Z2010" s="217"/>
      <c r="AA2010" s="217"/>
      <c r="AB2010" s="217"/>
      <c r="AC2010" s="217"/>
      <c r="AD2010" s="217"/>
    </row>
    <row r="2011" spans="1:30" x14ac:dyDescent="0.2">
      <c r="A2011" s="232"/>
      <c r="B2011" s="210"/>
      <c r="C2011" s="210"/>
      <c r="D2011" s="210"/>
      <c r="E2011" s="210"/>
      <c r="G2011" s="55"/>
      <c r="H2011" s="56"/>
      <c r="I2011" s="217"/>
      <c r="J2011" s="217"/>
      <c r="K2011" s="217"/>
      <c r="L2011" s="217"/>
      <c r="M2011" s="217"/>
      <c r="N2011" s="217"/>
      <c r="O2011" s="217"/>
      <c r="P2011" s="217"/>
      <c r="Q2011" s="217"/>
      <c r="R2011" s="217"/>
      <c r="S2011" s="217"/>
      <c r="T2011" s="217"/>
      <c r="U2011" s="217"/>
      <c r="V2011" s="217"/>
      <c r="W2011" s="217"/>
      <c r="X2011" s="217"/>
      <c r="Y2011" s="217"/>
      <c r="Z2011" s="217"/>
      <c r="AA2011" s="217"/>
      <c r="AB2011" s="217"/>
      <c r="AC2011" s="217"/>
      <c r="AD2011" s="217"/>
    </row>
    <row r="2012" spans="1:30" x14ac:dyDescent="0.2">
      <c r="A2012" s="232"/>
      <c r="B2012" s="210"/>
      <c r="C2012" s="210"/>
      <c r="D2012" s="210"/>
      <c r="E2012" s="210"/>
      <c r="G2012" s="55"/>
      <c r="H2012" s="56"/>
      <c r="I2012" s="217"/>
      <c r="J2012" s="217"/>
      <c r="K2012" s="217"/>
      <c r="L2012" s="217"/>
      <c r="M2012" s="217"/>
      <c r="N2012" s="217"/>
      <c r="O2012" s="217"/>
      <c r="P2012" s="217"/>
      <c r="Q2012" s="217"/>
      <c r="R2012" s="217"/>
      <c r="S2012" s="217"/>
      <c r="T2012" s="217"/>
      <c r="U2012" s="217"/>
      <c r="V2012" s="217"/>
      <c r="W2012" s="217"/>
      <c r="X2012" s="217"/>
      <c r="Y2012" s="217"/>
      <c r="Z2012" s="217"/>
      <c r="AA2012" s="217"/>
      <c r="AB2012" s="217"/>
      <c r="AC2012" s="217"/>
      <c r="AD2012" s="217"/>
    </row>
    <row r="2013" spans="1:30" x14ac:dyDescent="0.2">
      <c r="A2013" s="232"/>
      <c r="B2013" s="210"/>
      <c r="C2013" s="210"/>
      <c r="D2013" s="210"/>
      <c r="E2013" s="210"/>
      <c r="G2013" s="55"/>
      <c r="H2013" s="56"/>
      <c r="I2013" s="217"/>
      <c r="J2013" s="217"/>
      <c r="K2013" s="217"/>
      <c r="L2013" s="217"/>
      <c r="M2013" s="217"/>
      <c r="N2013" s="217"/>
      <c r="O2013" s="217"/>
      <c r="P2013" s="217"/>
      <c r="Q2013" s="217"/>
      <c r="R2013" s="217"/>
      <c r="S2013" s="217"/>
      <c r="T2013" s="217"/>
      <c r="U2013" s="217"/>
      <c r="V2013" s="217"/>
      <c r="W2013" s="217"/>
      <c r="X2013" s="217"/>
      <c r="Y2013" s="217"/>
      <c r="Z2013" s="217"/>
      <c r="AA2013" s="217"/>
      <c r="AB2013" s="217"/>
      <c r="AC2013" s="217"/>
      <c r="AD2013" s="217"/>
    </row>
    <row r="2014" spans="1:30" x14ac:dyDescent="0.2">
      <c r="A2014" s="232"/>
      <c r="B2014" s="210"/>
      <c r="C2014" s="210"/>
      <c r="D2014" s="210"/>
      <c r="E2014" s="210"/>
      <c r="G2014" s="55"/>
      <c r="H2014" s="56"/>
      <c r="I2014" s="217"/>
      <c r="J2014" s="217"/>
      <c r="K2014" s="217"/>
      <c r="L2014" s="217"/>
      <c r="M2014" s="217"/>
      <c r="N2014" s="217"/>
      <c r="O2014" s="217"/>
      <c r="P2014" s="217"/>
      <c r="Q2014" s="217"/>
      <c r="R2014" s="217"/>
      <c r="S2014" s="217"/>
      <c r="T2014" s="217"/>
      <c r="U2014" s="217"/>
      <c r="V2014" s="217"/>
      <c r="W2014" s="217"/>
      <c r="X2014" s="217"/>
      <c r="Y2014" s="217"/>
      <c r="Z2014" s="217"/>
      <c r="AA2014" s="217"/>
      <c r="AB2014" s="217"/>
      <c r="AC2014" s="217"/>
      <c r="AD2014" s="217"/>
    </row>
    <row r="2015" spans="1:30" x14ac:dyDescent="0.2">
      <c r="A2015" s="232"/>
      <c r="B2015" s="210"/>
      <c r="C2015" s="210"/>
      <c r="D2015" s="210"/>
      <c r="E2015" s="210"/>
      <c r="G2015" s="55"/>
      <c r="H2015" s="56"/>
      <c r="I2015" s="217"/>
      <c r="J2015" s="217"/>
      <c r="K2015" s="217"/>
      <c r="L2015" s="217"/>
      <c r="M2015" s="217"/>
      <c r="N2015" s="217"/>
      <c r="O2015" s="217"/>
      <c r="P2015" s="217"/>
      <c r="Q2015" s="217"/>
      <c r="R2015" s="217"/>
      <c r="S2015" s="217"/>
      <c r="T2015" s="217"/>
      <c r="U2015" s="217"/>
      <c r="V2015" s="217"/>
      <c r="W2015" s="217"/>
      <c r="X2015" s="217"/>
      <c r="Y2015" s="217"/>
      <c r="Z2015" s="217"/>
      <c r="AA2015" s="217"/>
      <c r="AB2015" s="217"/>
      <c r="AC2015" s="217"/>
      <c r="AD2015" s="217"/>
    </row>
    <row r="2016" spans="1:30" x14ac:dyDescent="0.2">
      <c r="A2016" s="232"/>
      <c r="B2016" s="210"/>
      <c r="C2016" s="210"/>
      <c r="D2016" s="210"/>
      <c r="E2016" s="210"/>
      <c r="G2016" s="55"/>
      <c r="H2016" s="56"/>
      <c r="I2016" s="217"/>
      <c r="J2016" s="217"/>
      <c r="K2016" s="217"/>
      <c r="L2016" s="217"/>
      <c r="M2016" s="217"/>
      <c r="N2016" s="217"/>
      <c r="O2016" s="217"/>
      <c r="P2016" s="217"/>
      <c r="Q2016" s="217"/>
      <c r="R2016" s="217"/>
      <c r="S2016" s="217"/>
      <c r="T2016" s="217"/>
      <c r="U2016" s="217"/>
      <c r="V2016" s="217"/>
      <c r="W2016" s="217"/>
      <c r="X2016" s="217"/>
      <c r="Y2016" s="217"/>
      <c r="Z2016" s="217"/>
      <c r="AA2016" s="217"/>
      <c r="AB2016" s="217"/>
      <c r="AC2016" s="217"/>
      <c r="AD2016" s="217"/>
    </row>
    <row r="2017" spans="1:30" x14ac:dyDescent="0.2">
      <c r="A2017" s="232"/>
      <c r="B2017" s="210"/>
      <c r="C2017" s="210"/>
      <c r="D2017" s="210"/>
      <c r="E2017" s="210"/>
      <c r="G2017" s="55"/>
      <c r="H2017" s="56"/>
      <c r="I2017" s="217"/>
      <c r="J2017" s="217"/>
      <c r="K2017" s="217"/>
      <c r="L2017" s="217"/>
      <c r="M2017" s="217"/>
      <c r="N2017" s="217"/>
      <c r="O2017" s="217"/>
      <c r="P2017" s="217"/>
      <c r="Q2017" s="217"/>
      <c r="R2017" s="217"/>
      <c r="S2017" s="217"/>
      <c r="T2017" s="217"/>
      <c r="U2017" s="217"/>
      <c r="V2017" s="217"/>
      <c r="W2017" s="217"/>
      <c r="X2017" s="217"/>
      <c r="Y2017" s="217"/>
      <c r="Z2017" s="217"/>
      <c r="AA2017" s="217"/>
      <c r="AB2017" s="217"/>
      <c r="AC2017" s="217"/>
      <c r="AD2017" s="217"/>
    </row>
    <row r="2018" spans="1:30" x14ac:dyDescent="0.2">
      <c r="A2018" s="232"/>
      <c r="B2018" s="210"/>
      <c r="C2018" s="210"/>
      <c r="D2018" s="210"/>
      <c r="E2018" s="210"/>
      <c r="G2018" s="55"/>
      <c r="H2018" s="56"/>
      <c r="I2018" s="217"/>
      <c r="J2018" s="217"/>
      <c r="K2018" s="217"/>
      <c r="L2018" s="217"/>
      <c r="M2018" s="217"/>
      <c r="N2018" s="217"/>
      <c r="O2018" s="217"/>
      <c r="P2018" s="217"/>
      <c r="Q2018" s="217"/>
      <c r="R2018" s="217"/>
      <c r="S2018" s="217"/>
      <c r="T2018" s="217"/>
      <c r="U2018" s="217"/>
      <c r="V2018" s="217"/>
      <c r="W2018" s="217"/>
      <c r="X2018" s="217"/>
      <c r="Y2018" s="217"/>
      <c r="Z2018" s="217"/>
      <c r="AA2018" s="217"/>
      <c r="AB2018" s="217"/>
      <c r="AC2018" s="217"/>
      <c r="AD2018" s="217"/>
    </row>
    <row r="2019" spans="1:30" x14ac:dyDescent="0.2">
      <c r="A2019" s="232"/>
      <c r="B2019" s="210"/>
      <c r="C2019" s="210"/>
      <c r="D2019" s="210"/>
      <c r="E2019" s="210"/>
      <c r="G2019" s="55"/>
      <c r="H2019" s="56"/>
      <c r="I2019" s="217"/>
      <c r="J2019" s="217"/>
      <c r="K2019" s="217"/>
      <c r="L2019" s="217"/>
      <c r="M2019" s="217"/>
      <c r="N2019" s="217"/>
      <c r="O2019" s="217"/>
      <c r="P2019" s="217"/>
      <c r="Q2019" s="217"/>
      <c r="R2019" s="217"/>
      <c r="S2019" s="217"/>
      <c r="T2019" s="217"/>
      <c r="U2019" s="217"/>
      <c r="V2019" s="217"/>
      <c r="W2019" s="217"/>
      <c r="X2019" s="217"/>
      <c r="Y2019" s="217"/>
      <c r="Z2019" s="217"/>
      <c r="AA2019" s="217"/>
      <c r="AB2019" s="217"/>
      <c r="AC2019" s="217"/>
      <c r="AD2019" s="217"/>
    </row>
    <row r="2020" spans="1:30" x14ac:dyDescent="0.2">
      <c r="A2020" s="232"/>
      <c r="B2020" s="210"/>
      <c r="C2020" s="210"/>
      <c r="D2020" s="210"/>
      <c r="E2020" s="210"/>
      <c r="G2020" s="55"/>
      <c r="H2020" s="56"/>
      <c r="I2020" s="217"/>
      <c r="J2020" s="217"/>
      <c r="K2020" s="217"/>
      <c r="L2020" s="217"/>
      <c r="M2020" s="217"/>
      <c r="N2020" s="217"/>
      <c r="O2020" s="217"/>
      <c r="P2020" s="217"/>
      <c r="Q2020" s="217"/>
      <c r="R2020" s="217"/>
      <c r="S2020" s="217"/>
      <c r="T2020" s="217"/>
      <c r="U2020" s="217"/>
      <c r="V2020" s="217"/>
      <c r="W2020" s="217"/>
      <c r="X2020" s="217"/>
      <c r="Y2020" s="217"/>
      <c r="Z2020" s="217"/>
      <c r="AA2020" s="217"/>
      <c r="AB2020" s="217"/>
      <c r="AC2020" s="217"/>
      <c r="AD2020" s="217"/>
    </row>
    <row r="2021" spans="1:30" x14ac:dyDescent="0.2">
      <c r="A2021" s="232"/>
      <c r="B2021" s="210"/>
      <c r="C2021" s="210"/>
      <c r="D2021" s="210"/>
      <c r="E2021" s="210"/>
      <c r="G2021" s="55"/>
      <c r="H2021" s="56"/>
      <c r="I2021" s="217"/>
      <c r="J2021" s="217"/>
      <c r="K2021" s="217"/>
      <c r="L2021" s="217"/>
      <c r="M2021" s="217"/>
      <c r="N2021" s="217"/>
      <c r="O2021" s="217"/>
      <c r="P2021" s="217"/>
      <c r="Q2021" s="217"/>
      <c r="R2021" s="217"/>
      <c r="S2021" s="217"/>
      <c r="T2021" s="217"/>
      <c r="U2021" s="217"/>
      <c r="V2021" s="217"/>
      <c r="W2021" s="217"/>
      <c r="X2021" s="217"/>
      <c r="Y2021" s="217"/>
      <c r="Z2021" s="217"/>
      <c r="AA2021" s="217"/>
      <c r="AB2021" s="217"/>
      <c r="AC2021" s="217"/>
      <c r="AD2021" s="217"/>
    </row>
    <row r="2022" spans="1:30" x14ac:dyDescent="0.2">
      <c r="A2022" s="232"/>
      <c r="B2022" s="210"/>
      <c r="C2022" s="210"/>
      <c r="D2022" s="210"/>
      <c r="E2022" s="210"/>
      <c r="G2022" s="55"/>
      <c r="H2022" s="56"/>
      <c r="I2022" s="217"/>
      <c r="J2022" s="217"/>
      <c r="K2022" s="217"/>
      <c r="L2022" s="217"/>
      <c r="M2022" s="217"/>
      <c r="N2022" s="217"/>
      <c r="O2022" s="217"/>
      <c r="P2022" s="217"/>
      <c r="Q2022" s="217"/>
      <c r="R2022" s="217"/>
      <c r="S2022" s="217"/>
      <c r="T2022" s="217"/>
      <c r="U2022" s="217"/>
      <c r="V2022" s="217"/>
      <c r="W2022" s="217"/>
      <c r="X2022" s="217"/>
      <c r="Y2022" s="217"/>
      <c r="Z2022" s="217"/>
      <c r="AA2022" s="217"/>
      <c r="AB2022" s="217"/>
      <c r="AC2022" s="217"/>
      <c r="AD2022" s="217"/>
    </row>
    <row r="2023" spans="1:30" x14ac:dyDescent="0.2">
      <c r="A2023" s="232"/>
      <c r="B2023" s="210"/>
      <c r="C2023" s="210"/>
      <c r="D2023" s="210"/>
      <c r="E2023" s="210"/>
      <c r="G2023" s="55"/>
      <c r="H2023" s="56"/>
      <c r="I2023" s="217"/>
      <c r="J2023" s="217"/>
      <c r="K2023" s="217"/>
      <c r="L2023" s="217"/>
      <c r="M2023" s="217"/>
      <c r="N2023" s="217"/>
      <c r="O2023" s="217"/>
      <c r="P2023" s="217"/>
      <c r="Q2023" s="217"/>
      <c r="R2023" s="217"/>
      <c r="S2023" s="217"/>
      <c r="T2023" s="217"/>
      <c r="U2023" s="217"/>
      <c r="V2023" s="217"/>
      <c r="W2023" s="217"/>
      <c r="X2023" s="217"/>
      <c r="Y2023" s="217"/>
      <c r="Z2023" s="217"/>
      <c r="AA2023" s="217"/>
      <c r="AB2023" s="217"/>
      <c r="AC2023" s="217"/>
      <c r="AD2023" s="217"/>
    </row>
    <row r="2024" spans="1:30" x14ac:dyDescent="0.2">
      <c r="A2024" s="232"/>
      <c r="B2024" s="210"/>
      <c r="C2024" s="210"/>
      <c r="D2024" s="210"/>
      <c r="E2024" s="210"/>
      <c r="G2024" s="55"/>
      <c r="H2024" s="56"/>
      <c r="I2024" s="217"/>
      <c r="J2024" s="217"/>
      <c r="K2024" s="217"/>
      <c r="L2024" s="217"/>
      <c r="M2024" s="217"/>
      <c r="N2024" s="217"/>
      <c r="O2024" s="217"/>
      <c r="P2024" s="217"/>
      <c r="Q2024" s="217"/>
      <c r="R2024" s="217"/>
      <c r="S2024" s="217"/>
      <c r="T2024" s="217"/>
      <c r="U2024" s="217"/>
      <c r="V2024" s="217"/>
      <c r="W2024" s="217"/>
      <c r="X2024" s="217"/>
      <c r="Y2024" s="217"/>
      <c r="Z2024" s="217"/>
      <c r="AA2024" s="217"/>
      <c r="AB2024" s="217"/>
      <c r="AC2024" s="217"/>
      <c r="AD2024" s="217"/>
    </row>
    <row r="2025" spans="1:30" x14ac:dyDescent="0.2">
      <c r="A2025" s="232"/>
      <c r="B2025" s="210"/>
      <c r="C2025" s="210"/>
      <c r="D2025" s="210"/>
      <c r="E2025" s="210"/>
      <c r="G2025" s="55"/>
      <c r="H2025" s="56"/>
      <c r="I2025" s="217"/>
      <c r="J2025" s="217"/>
      <c r="K2025" s="217"/>
      <c r="L2025" s="217"/>
      <c r="M2025" s="217"/>
      <c r="N2025" s="217"/>
      <c r="O2025" s="217"/>
      <c r="P2025" s="217"/>
      <c r="Q2025" s="217"/>
      <c r="R2025" s="217"/>
      <c r="S2025" s="217"/>
      <c r="T2025" s="217"/>
      <c r="U2025" s="217"/>
      <c r="V2025" s="217"/>
      <c r="W2025" s="217"/>
      <c r="X2025" s="217"/>
      <c r="Y2025" s="217"/>
      <c r="Z2025" s="217"/>
      <c r="AA2025" s="217"/>
      <c r="AB2025" s="217"/>
      <c r="AC2025" s="217"/>
      <c r="AD2025" s="217"/>
    </row>
    <row r="2026" spans="1:30" x14ac:dyDescent="0.2">
      <c r="A2026" s="232"/>
      <c r="B2026" s="210"/>
      <c r="C2026" s="210"/>
      <c r="D2026" s="210"/>
      <c r="E2026" s="210"/>
      <c r="G2026" s="55"/>
      <c r="H2026" s="56"/>
      <c r="I2026" s="217"/>
      <c r="J2026" s="217"/>
      <c r="K2026" s="217"/>
      <c r="L2026" s="217"/>
      <c r="M2026" s="217"/>
      <c r="N2026" s="217"/>
      <c r="O2026" s="217"/>
      <c r="P2026" s="217"/>
      <c r="Q2026" s="217"/>
      <c r="R2026" s="217"/>
      <c r="S2026" s="217"/>
      <c r="T2026" s="217"/>
      <c r="U2026" s="217"/>
      <c r="V2026" s="217"/>
      <c r="W2026" s="217"/>
      <c r="X2026" s="217"/>
      <c r="Y2026" s="217"/>
      <c r="Z2026" s="217"/>
      <c r="AA2026" s="217"/>
      <c r="AB2026" s="217"/>
      <c r="AC2026" s="217"/>
      <c r="AD2026" s="217"/>
    </row>
    <row r="2027" spans="1:30" x14ac:dyDescent="0.2">
      <c r="A2027" s="232"/>
      <c r="B2027" s="210"/>
      <c r="C2027" s="210"/>
      <c r="D2027" s="210"/>
      <c r="E2027" s="210"/>
      <c r="G2027" s="55"/>
      <c r="H2027" s="56"/>
      <c r="I2027" s="217"/>
      <c r="J2027" s="217"/>
      <c r="K2027" s="217"/>
      <c r="L2027" s="217"/>
      <c r="M2027" s="217"/>
      <c r="N2027" s="217"/>
      <c r="O2027" s="217"/>
      <c r="P2027" s="217"/>
      <c r="Q2027" s="217"/>
      <c r="R2027" s="217"/>
      <c r="S2027" s="217"/>
      <c r="T2027" s="217"/>
      <c r="U2027" s="217"/>
      <c r="V2027" s="217"/>
      <c r="W2027" s="217"/>
      <c r="X2027" s="217"/>
      <c r="Y2027" s="217"/>
      <c r="Z2027" s="217"/>
      <c r="AA2027" s="217"/>
      <c r="AB2027" s="217"/>
      <c r="AC2027" s="217"/>
      <c r="AD2027" s="217"/>
    </row>
    <row r="2028" spans="1:30" x14ac:dyDescent="0.2">
      <c r="A2028" s="232"/>
      <c r="B2028" s="210"/>
      <c r="C2028" s="210"/>
      <c r="D2028" s="210"/>
      <c r="E2028" s="210"/>
      <c r="G2028" s="55"/>
      <c r="H2028" s="56"/>
      <c r="I2028" s="217"/>
      <c r="J2028" s="217"/>
      <c r="K2028" s="217"/>
      <c r="L2028" s="217"/>
      <c r="M2028" s="217"/>
      <c r="N2028" s="217"/>
      <c r="O2028" s="217"/>
      <c r="P2028" s="217"/>
      <c r="Q2028" s="217"/>
      <c r="R2028" s="217"/>
      <c r="S2028" s="217"/>
      <c r="T2028" s="217"/>
      <c r="U2028" s="217"/>
      <c r="V2028" s="217"/>
      <c r="W2028" s="217"/>
      <c r="X2028" s="217"/>
      <c r="Y2028" s="217"/>
      <c r="Z2028" s="217"/>
      <c r="AA2028" s="217"/>
      <c r="AB2028" s="217"/>
      <c r="AC2028" s="217"/>
      <c r="AD2028" s="217"/>
    </row>
    <row r="2029" spans="1:30" x14ac:dyDescent="0.2">
      <c r="A2029" s="232"/>
      <c r="B2029" s="210"/>
      <c r="C2029" s="210"/>
      <c r="D2029" s="210"/>
      <c r="E2029" s="210"/>
      <c r="G2029" s="55"/>
      <c r="H2029" s="56"/>
      <c r="I2029" s="217"/>
      <c r="J2029" s="217"/>
      <c r="K2029" s="217"/>
      <c r="L2029" s="217"/>
      <c r="M2029" s="217"/>
      <c r="N2029" s="217"/>
      <c r="O2029" s="217"/>
      <c r="P2029" s="217"/>
      <c r="Q2029" s="217"/>
      <c r="R2029" s="217"/>
      <c r="S2029" s="217"/>
      <c r="T2029" s="217"/>
      <c r="U2029" s="217"/>
      <c r="V2029" s="217"/>
      <c r="W2029" s="217"/>
      <c r="X2029" s="217"/>
      <c r="Y2029" s="217"/>
      <c r="Z2029" s="217"/>
      <c r="AA2029" s="217"/>
      <c r="AB2029" s="217"/>
      <c r="AC2029" s="217"/>
      <c r="AD2029" s="217"/>
    </row>
    <row r="2030" spans="1:30" x14ac:dyDescent="0.2">
      <c r="A2030" s="232"/>
      <c r="B2030" s="210"/>
      <c r="C2030" s="210"/>
      <c r="D2030" s="210"/>
      <c r="E2030" s="210"/>
      <c r="G2030" s="55"/>
      <c r="H2030" s="56"/>
      <c r="I2030" s="217"/>
      <c r="J2030" s="217"/>
      <c r="K2030" s="217"/>
      <c r="L2030" s="217"/>
      <c r="M2030" s="217"/>
      <c r="N2030" s="217"/>
      <c r="O2030" s="217"/>
      <c r="P2030" s="217"/>
      <c r="Q2030" s="217"/>
      <c r="R2030" s="217"/>
      <c r="S2030" s="217"/>
      <c r="T2030" s="217"/>
      <c r="U2030" s="217"/>
      <c r="V2030" s="217"/>
      <c r="W2030" s="217"/>
      <c r="X2030" s="217"/>
      <c r="Y2030" s="217"/>
      <c r="Z2030" s="217"/>
      <c r="AA2030" s="217"/>
      <c r="AB2030" s="217"/>
      <c r="AC2030" s="217"/>
      <c r="AD2030" s="217"/>
    </row>
    <row r="2031" spans="1:30" x14ac:dyDescent="0.2">
      <c r="A2031" s="232"/>
      <c r="B2031" s="210"/>
      <c r="C2031" s="210"/>
      <c r="D2031" s="210"/>
      <c r="E2031" s="210"/>
      <c r="G2031" s="55"/>
      <c r="H2031" s="56"/>
      <c r="I2031" s="217"/>
      <c r="J2031" s="217"/>
      <c r="K2031" s="217"/>
      <c r="L2031" s="217"/>
      <c r="M2031" s="217"/>
      <c r="N2031" s="217"/>
      <c r="O2031" s="217"/>
      <c r="P2031" s="217"/>
      <c r="Q2031" s="217"/>
      <c r="R2031" s="217"/>
      <c r="S2031" s="217"/>
      <c r="T2031" s="217"/>
      <c r="U2031" s="217"/>
      <c r="V2031" s="217"/>
      <c r="W2031" s="217"/>
      <c r="X2031" s="217"/>
      <c r="Y2031" s="217"/>
      <c r="Z2031" s="217"/>
      <c r="AA2031" s="217"/>
      <c r="AB2031" s="217"/>
      <c r="AC2031" s="217"/>
      <c r="AD2031" s="217"/>
    </row>
    <row r="2032" spans="1:30" x14ac:dyDescent="0.2">
      <c r="A2032" s="232"/>
      <c r="B2032" s="210"/>
      <c r="C2032" s="210"/>
      <c r="D2032" s="210"/>
      <c r="E2032" s="210"/>
      <c r="G2032" s="55"/>
      <c r="H2032" s="56"/>
      <c r="I2032" s="217"/>
      <c r="J2032" s="217"/>
      <c r="K2032" s="217"/>
      <c r="L2032" s="217"/>
      <c r="M2032" s="217"/>
      <c r="N2032" s="217"/>
      <c r="O2032" s="217"/>
      <c r="P2032" s="217"/>
      <c r="Q2032" s="217"/>
      <c r="R2032" s="217"/>
      <c r="S2032" s="217"/>
      <c r="T2032" s="217"/>
      <c r="U2032" s="217"/>
      <c r="V2032" s="217"/>
      <c r="W2032" s="217"/>
      <c r="X2032" s="217"/>
      <c r="Y2032" s="217"/>
      <c r="Z2032" s="217"/>
      <c r="AA2032" s="217"/>
      <c r="AB2032" s="217"/>
      <c r="AC2032" s="217"/>
      <c r="AD2032" s="217"/>
    </row>
    <row r="2033" spans="1:30" x14ac:dyDescent="0.2">
      <c r="A2033" s="232"/>
      <c r="B2033" s="210"/>
      <c r="C2033" s="210"/>
      <c r="D2033" s="210"/>
      <c r="E2033" s="210"/>
      <c r="G2033" s="55"/>
      <c r="H2033" s="56"/>
      <c r="I2033" s="217"/>
      <c r="J2033" s="217"/>
      <c r="K2033" s="217"/>
      <c r="L2033" s="217"/>
      <c r="M2033" s="217"/>
      <c r="N2033" s="217"/>
      <c r="O2033" s="217"/>
      <c r="P2033" s="217"/>
      <c r="Q2033" s="217"/>
      <c r="R2033" s="217"/>
      <c r="S2033" s="217"/>
      <c r="T2033" s="217"/>
      <c r="U2033" s="217"/>
      <c r="V2033" s="217"/>
      <c r="W2033" s="217"/>
      <c r="X2033" s="217"/>
      <c r="Y2033" s="217"/>
      <c r="Z2033" s="217"/>
      <c r="AA2033" s="217"/>
      <c r="AB2033" s="217"/>
      <c r="AC2033" s="217"/>
      <c r="AD2033" s="217"/>
    </row>
    <row r="2034" spans="1:30" x14ac:dyDescent="0.2">
      <c r="A2034" s="232"/>
      <c r="B2034" s="210"/>
      <c r="C2034" s="210"/>
      <c r="D2034" s="210"/>
      <c r="E2034" s="210"/>
      <c r="G2034" s="55"/>
      <c r="H2034" s="56"/>
      <c r="I2034" s="217"/>
      <c r="J2034" s="217"/>
      <c r="K2034" s="217"/>
      <c r="L2034" s="217"/>
      <c r="M2034" s="217"/>
      <c r="N2034" s="217"/>
      <c r="O2034" s="217"/>
      <c r="P2034" s="217"/>
      <c r="Q2034" s="217"/>
      <c r="R2034" s="217"/>
      <c r="S2034" s="217"/>
      <c r="T2034" s="217"/>
      <c r="U2034" s="217"/>
      <c r="V2034" s="217"/>
      <c r="W2034" s="217"/>
      <c r="X2034" s="217"/>
      <c r="Y2034" s="217"/>
      <c r="Z2034" s="217"/>
      <c r="AA2034" s="217"/>
      <c r="AB2034" s="217"/>
      <c r="AC2034" s="217"/>
      <c r="AD2034" s="217"/>
    </row>
    <row r="2035" spans="1:30" x14ac:dyDescent="0.2">
      <c r="A2035" s="232"/>
      <c r="B2035" s="210"/>
      <c r="C2035" s="210"/>
      <c r="D2035" s="210"/>
      <c r="E2035" s="210"/>
      <c r="G2035" s="55"/>
      <c r="H2035" s="56"/>
      <c r="I2035" s="217"/>
      <c r="J2035" s="217"/>
      <c r="K2035" s="217"/>
      <c r="L2035" s="217"/>
      <c r="M2035" s="217"/>
      <c r="N2035" s="217"/>
      <c r="O2035" s="217"/>
      <c r="P2035" s="217"/>
      <c r="Q2035" s="217"/>
      <c r="R2035" s="217"/>
      <c r="S2035" s="217"/>
      <c r="T2035" s="217"/>
      <c r="U2035" s="217"/>
      <c r="V2035" s="217"/>
      <c r="W2035" s="217"/>
      <c r="X2035" s="217"/>
      <c r="Y2035" s="217"/>
      <c r="Z2035" s="217"/>
      <c r="AA2035" s="217"/>
      <c r="AB2035" s="217"/>
      <c r="AC2035" s="217"/>
      <c r="AD2035" s="217"/>
    </row>
    <row r="2036" spans="1:30" x14ac:dyDescent="0.2">
      <c r="A2036" s="232"/>
      <c r="B2036" s="210"/>
      <c r="C2036" s="210"/>
      <c r="D2036" s="210"/>
      <c r="E2036" s="210"/>
      <c r="G2036" s="55"/>
      <c r="H2036" s="56"/>
      <c r="I2036" s="217"/>
      <c r="J2036" s="217"/>
      <c r="K2036" s="217"/>
      <c r="L2036" s="217"/>
      <c r="M2036" s="217"/>
      <c r="N2036" s="217"/>
      <c r="O2036" s="217"/>
      <c r="P2036" s="217"/>
      <c r="Q2036" s="217"/>
      <c r="R2036" s="217"/>
      <c r="S2036" s="217"/>
      <c r="T2036" s="217"/>
      <c r="U2036" s="217"/>
      <c r="V2036" s="217"/>
      <c r="W2036" s="217"/>
      <c r="X2036" s="217"/>
      <c r="Y2036" s="217"/>
      <c r="Z2036" s="217"/>
      <c r="AA2036" s="217"/>
      <c r="AB2036" s="217"/>
      <c r="AC2036" s="217"/>
      <c r="AD2036" s="217"/>
    </row>
    <row r="2037" spans="1:30" x14ac:dyDescent="0.2">
      <c r="A2037" s="232"/>
      <c r="B2037" s="210"/>
      <c r="C2037" s="210"/>
      <c r="D2037" s="210"/>
      <c r="E2037" s="210"/>
      <c r="G2037" s="55"/>
      <c r="H2037" s="56"/>
      <c r="I2037" s="217"/>
      <c r="J2037" s="217"/>
      <c r="K2037" s="217"/>
      <c r="L2037" s="217"/>
      <c r="M2037" s="217"/>
      <c r="N2037" s="217"/>
      <c r="O2037" s="217"/>
      <c r="P2037" s="217"/>
      <c r="Q2037" s="217"/>
      <c r="R2037" s="217"/>
      <c r="S2037" s="217"/>
      <c r="T2037" s="217"/>
      <c r="U2037" s="217"/>
      <c r="V2037" s="217"/>
      <c r="W2037" s="217"/>
      <c r="X2037" s="217"/>
      <c r="Y2037" s="217"/>
      <c r="Z2037" s="217"/>
      <c r="AA2037" s="217"/>
      <c r="AB2037" s="217"/>
      <c r="AC2037" s="217"/>
      <c r="AD2037" s="217"/>
    </row>
    <row r="2038" spans="1:30" x14ac:dyDescent="0.2">
      <c r="A2038" s="232"/>
      <c r="B2038" s="210"/>
      <c r="C2038" s="210"/>
      <c r="D2038" s="210"/>
      <c r="E2038" s="210"/>
      <c r="G2038" s="55"/>
      <c r="H2038" s="56"/>
      <c r="I2038" s="217"/>
      <c r="J2038" s="217"/>
      <c r="K2038" s="217"/>
      <c r="L2038" s="217"/>
      <c r="M2038" s="217"/>
      <c r="N2038" s="217"/>
      <c r="O2038" s="217"/>
      <c r="P2038" s="217"/>
      <c r="Q2038" s="217"/>
      <c r="R2038" s="217"/>
      <c r="S2038" s="217"/>
      <c r="T2038" s="217"/>
      <c r="U2038" s="217"/>
      <c r="V2038" s="217"/>
      <c r="W2038" s="217"/>
      <c r="X2038" s="217"/>
      <c r="Y2038" s="217"/>
      <c r="Z2038" s="217"/>
      <c r="AA2038" s="217"/>
      <c r="AB2038" s="217"/>
      <c r="AC2038" s="217"/>
      <c r="AD2038" s="217"/>
    </row>
    <row r="2039" spans="1:30" x14ac:dyDescent="0.2">
      <c r="A2039" s="232"/>
      <c r="B2039" s="210"/>
      <c r="C2039" s="210"/>
      <c r="D2039" s="210"/>
      <c r="E2039" s="210"/>
      <c r="G2039" s="55"/>
      <c r="H2039" s="56"/>
      <c r="I2039" s="217"/>
      <c r="J2039" s="217"/>
      <c r="K2039" s="217"/>
      <c r="L2039" s="217"/>
      <c r="M2039" s="217"/>
      <c r="N2039" s="217"/>
      <c r="O2039" s="217"/>
      <c r="P2039" s="217"/>
      <c r="Q2039" s="217"/>
      <c r="R2039" s="217"/>
      <c r="S2039" s="217"/>
      <c r="T2039" s="217"/>
      <c r="U2039" s="217"/>
      <c r="V2039" s="217"/>
      <c r="W2039" s="217"/>
      <c r="X2039" s="217"/>
      <c r="Y2039" s="217"/>
      <c r="Z2039" s="217"/>
      <c r="AA2039" s="217"/>
      <c r="AB2039" s="217"/>
      <c r="AC2039" s="217"/>
      <c r="AD2039" s="217"/>
    </row>
    <row r="2040" spans="1:30" x14ac:dyDescent="0.2">
      <c r="A2040" s="232"/>
      <c r="B2040" s="210"/>
      <c r="C2040" s="210"/>
      <c r="D2040" s="210"/>
      <c r="E2040" s="210"/>
      <c r="G2040" s="55"/>
      <c r="H2040" s="56"/>
      <c r="I2040" s="217"/>
      <c r="J2040" s="217"/>
      <c r="K2040" s="217"/>
      <c r="L2040" s="217"/>
      <c r="M2040" s="217"/>
      <c r="N2040" s="217"/>
      <c r="O2040" s="217"/>
      <c r="P2040" s="217"/>
      <c r="Q2040" s="217"/>
      <c r="R2040" s="217"/>
      <c r="S2040" s="217"/>
      <c r="T2040" s="217"/>
      <c r="U2040" s="217"/>
      <c r="V2040" s="217"/>
      <c r="W2040" s="217"/>
      <c r="X2040" s="217"/>
      <c r="Y2040" s="217"/>
      <c r="Z2040" s="217"/>
      <c r="AA2040" s="217"/>
      <c r="AB2040" s="217"/>
      <c r="AC2040" s="217"/>
      <c r="AD2040" s="217"/>
    </row>
    <row r="2041" spans="1:30" x14ac:dyDescent="0.2">
      <c r="A2041" s="232"/>
      <c r="B2041" s="210"/>
      <c r="C2041" s="210"/>
      <c r="D2041" s="210"/>
      <c r="E2041" s="210"/>
      <c r="G2041" s="55"/>
      <c r="H2041" s="56"/>
      <c r="I2041" s="217"/>
      <c r="J2041" s="217"/>
      <c r="K2041" s="217"/>
      <c r="L2041" s="217"/>
      <c r="M2041" s="217"/>
      <c r="N2041" s="217"/>
      <c r="O2041" s="217"/>
      <c r="P2041" s="217"/>
      <c r="Q2041" s="217"/>
      <c r="R2041" s="217"/>
      <c r="S2041" s="217"/>
      <c r="T2041" s="217"/>
      <c r="U2041" s="217"/>
      <c r="V2041" s="217"/>
      <c r="W2041" s="217"/>
      <c r="X2041" s="217"/>
      <c r="Y2041" s="217"/>
      <c r="Z2041" s="217"/>
      <c r="AA2041" s="217"/>
      <c r="AB2041" s="217"/>
      <c r="AC2041" s="217"/>
      <c r="AD2041" s="217"/>
    </row>
    <row r="2042" spans="1:30" x14ac:dyDescent="0.2">
      <c r="A2042" s="232"/>
      <c r="B2042" s="210"/>
      <c r="C2042" s="210"/>
      <c r="D2042" s="210"/>
      <c r="E2042" s="210"/>
      <c r="G2042" s="55"/>
      <c r="H2042" s="56"/>
      <c r="I2042" s="217"/>
      <c r="J2042" s="217"/>
      <c r="K2042" s="217"/>
      <c r="L2042" s="217"/>
      <c r="M2042" s="217"/>
      <c r="N2042" s="217"/>
      <c r="O2042" s="217"/>
      <c r="P2042" s="217"/>
      <c r="Q2042" s="217"/>
      <c r="R2042" s="217"/>
      <c r="S2042" s="217"/>
      <c r="T2042" s="217"/>
      <c r="U2042" s="217"/>
      <c r="V2042" s="217"/>
      <c r="W2042" s="217"/>
      <c r="X2042" s="217"/>
      <c r="Y2042" s="217"/>
      <c r="Z2042" s="217"/>
      <c r="AA2042" s="217"/>
      <c r="AB2042" s="217"/>
      <c r="AC2042" s="217"/>
      <c r="AD2042" s="217"/>
    </row>
    <row r="2043" spans="1:30" x14ac:dyDescent="0.2">
      <c r="A2043" s="232"/>
      <c r="B2043" s="210"/>
      <c r="C2043" s="210"/>
      <c r="D2043" s="210"/>
      <c r="E2043" s="210"/>
      <c r="G2043" s="55"/>
      <c r="H2043" s="56"/>
      <c r="I2043" s="217"/>
      <c r="J2043" s="217"/>
      <c r="K2043" s="217"/>
      <c r="L2043" s="217"/>
      <c r="M2043" s="217"/>
      <c r="N2043" s="217"/>
      <c r="O2043" s="217"/>
      <c r="P2043" s="217"/>
      <c r="Q2043" s="217"/>
      <c r="R2043" s="217"/>
      <c r="S2043" s="217"/>
      <c r="T2043" s="217"/>
      <c r="U2043" s="217"/>
      <c r="V2043" s="217"/>
      <c r="W2043" s="217"/>
      <c r="X2043" s="217"/>
      <c r="Y2043" s="217"/>
      <c r="Z2043" s="217"/>
      <c r="AA2043" s="217"/>
      <c r="AB2043" s="217"/>
      <c r="AC2043" s="217"/>
      <c r="AD2043" s="217"/>
    </row>
    <row r="2044" spans="1:30" x14ac:dyDescent="0.2">
      <c r="A2044" s="232"/>
      <c r="B2044" s="210"/>
      <c r="C2044" s="210"/>
      <c r="D2044" s="210"/>
      <c r="E2044" s="210"/>
      <c r="G2044" s="55"/>
      <c r="H2044" s="56"/>
      <c r="I2044" s="217"/>
      <c r="J2044" s="217"/>
      <c r="K2044" s="217"/>
      <c r="L2044" s="217"/>
      <c r="M2044" s="217"/>
      <c r="N2044" s="217"/>
      <c r="O2044" s="217"/>
      <c r="P2044" s="217"/>
      <c r="Q2044" s="217"/>
      <c r="R2044" s="217"/>
      <c r="S2044" s="217"/>
      <c r="T2044" s="217"/>
      <c r="U2044" s="217"/>
      <c r="V2044" s="217"/>
      <c r="W2044" s="217"/>
      <c r="X2044" s="217"/>
      <c r="Y2044" s="217"/>
      <c r="Z2044" s="217"/>
      <c r="AA2044" s="217"/>
      <c r="AB2044" s="217"/>
      <c r="AC2044" s="217"/>
      <c r="AD2044" s="217"/>
    </row>
    <row r="2045" spans="1:30" x14ac:dyDescent="0.2">
      <c r="A2045" s="232"/>
      <c r="B2045" s="210"/>
      <c r="C2045" s="210"/>
      <c r="D2045" s="210"/>
      <c r="E2045" s="210"/>
      <c r="G2045" s="55"/>
      <c r="H2045" s="56"/>
      <c r="I2045" s="217"/>
      <c r="J2045" s="217"/>
      <c r="K2045" s="217"/>
      <c r="L2045" s="217"/>
      <c r="M2045" s="217"/>
      <c r="N2045" s="217"/>
      <c r="O2045" s="217"/>
      <c r="P2045" s="217"/>
      <c r="Q2045" s="217"/>
      <c r="R2045" s="217"/>
      <c r="S2045" s="217"/>
      <c r="T2045" s="217"/>
      <c r="U2045" s="217"/>
      <c r="V2045" s="217"/>
      <c r="W2045" s="217"/>
      <c r="X2045" s="217"/>
      <c r="Y2045" s="217"/>
      <c r="Z2045" s="217"/>
      <c r="AA2045" s="217"/>
      <c r="AB2045" s="217"/>
      <c r="AC2045" s="217"/>
      <c r="AD2045" s="217"/>
    </row>
    <row r="2046" spans="1:30" x14ac:dyDescent="0.2">
      <c r="A2046" s="232"/>
      <c r="B2046" s="210"/>
      <c r="C2046" s="210"/>
      <c r="D2046" s="210"/>
      <c r="E2046" s="210"/>
      <c r="G2046" s="55"/>
      <c r="H2046" s="56"/>
      <c r="I2046" s="217"/>
      <c r="J2046" s="217"/>
      <c r="K2046" s="217"/>
      <c r="L2046" s="217"/>
      <c r="M2046" s="217"/>
      <c r="N2046" s="217"/>
      <c r="O2046" s="217"/>
      <c r="P2046" s="217"/>
      <c r="Q2046" s="217"/>
      <c r="R2046" s="217"/>
      <c r="S2046" s="217"/>
      <c r="T2046" s="217"/>
      <c r="U2046" s="217"/>
      <c r="V2046" s="217"/>
      <c r="W2046" s="217"/>
      <c r="X2046" s="217"/>
      <c r="Y2046" s="217"/>
      <c r="Z2046" s="217"/>
      <c r="AA2046" s="217"/>
      <c r="AB2046" s="217"/>
      <c r="AC2046" s="217"/>
      <c r="AD2046" s="217"/>
    </row>
    <row r="2047" spans="1:30" x14ac:dyDescent="0.2">
      <c r="A2047" s="232"/>
      <c r="B2047" s="210"/>
      <c r="C2047" s="210"/>
      <c r="D2047" s="210"/>
      <c r="E2047" s="210"/>
      <c r="G2047" s="55"/>
      <c r="H2047" s="56"/>
      <c r="I2047" s="217"/>
      <c r="J2047" s="217"/>
      <c r="K2047" s="217"/>
      <c r="L2047" s="217"/>
      <c r="M2047" s="217"/>
      <c r="N2047" s="217"/>
      <c r="O2047" s="217"/>
      <c r="P2047" s="217"/>
      <c r="Q2047" s="217"/>
      <c r="R2047" s="217"/>
      <c r="S2047" s="217"/>
      <c r="T2047" s="217"/>
      <c r="U2047" s="217"/>
      <c r="V2047" s="217"/>
      <c r="W2047" s="217"/>
      <c r="X2047" s="217"/>
      <c r="Y2047" s="217"/>
      <c r="Z2047" s="217"/>
      <c r="AA2047" s="217"/>
      <c r="AB2047" s="217"/>
      <c r="AC2047" s="217"/>
      <c r="AD2047" s="217"/>
    </row>
    <row r="2048" spans="1:30" x14ac:dyDescent="0.2">
      <c r="A2048" s="232"/>
      <c r="B2048" s="210"/>
      <c r="C2048" s="210"/>
      <c r="D2048" s="210"/>
      <c r="E2048" s="210"/>
      <c r="G2048" s="55"/>
      <c r="H2048" s="56"/>
      <c r="I2048" s="217"/>
      <c r="J2048" s="217"/>
      <c r="K2048" s="217"/>
      <c r="L2048" s="217"/>
      <c r="M2048" s="217"/>
      <c r="N2048" s="217"/>
      <c r="O2048" s="217"/>
      <c r="P2048" s="217"/>
      <c r="Q2048" s="217"/>
      <c r="R2048" s="217"/>
      <c r="S2048" s="217"/>
      <c r="T2048" s="217"/>
      <c r="U2048" s="217"/>
      <c r="V2048" s="217"/>
      <c r="W2048" s="217"/>
      <c r="X2048" s="217"/>
      <c r="Y2048" s="217"/>
      <c r="Z2048" s="217"/>
      <c r="AA2048" s="217"/>
      <c r="AB2048" s="217"/>
      <c r="AC2048" s="217"/>
      <c r="AD2048" s="217"/>
    </row>
    <row r="2049" spans="1:30" x14ac:dyDescent="0.2">
      <c r="A2049" s="232"/>
      <c r="B2049" s="210"/>
      <c r="C2049" s="210"/>
      <c r="D2049" s="210"/>
      <c r="E2049" s="210"/>
      <c r="G2049" s="55"/>
      <c r="H2049" s="56"/>
      <c r="I2049" s="217"/>
      <c r="J2049" s="217"/>
      <c r="K2049" s="217"/>
      <c r="L2049" s="217"/>
      <c r="M2049" s="217"/>
      <c r="N2049" s="217"/>
      <c r="O2049" s="217"/>
      <c r="P2049" s="217"/>
      <c r="Q2049" s="217"/>
      <c r="R2049" s="217"/>
      <c r="S2049" s="217"/>
      <c r="T2049" s="217"/>
      <c r="U2049" s="217"/>
      <c r="V2049" s="217"/>
      <c r="W2049" s="217"/>
      <c r="X2049" s="217"/>
      <c r="Y2049" s="217"/>
      <c r="Z2049" s="217"/>
      <c r="AA2049" s="217"/>
      <c r="AB2049" s="217"/>
      <c r="AC2049" s="217"/>
      <c r="AD2049" s="217"/>
    </row>
    <row r="2050" spans="1:30" x14ac:dyDescent="0.2">
      <c r="A2050" s="232"/>
      <c r="B2050" s="210"/>
      <c r="C2050" s="210"/>
      <c r="D2050" s="210"/>
      <c r="E2050" s="210"/>
      <c r="G2050" s="55"/>
      <c r="H2050" s="56"/>
      <c r="I2050" s="217"/>
      <c r="J2050" s="217"/>
      <c r="K2050" s="217"/>
      <c r="L2050" s="217"/>
      <c r="M2050" s="217"/>
      <c r="N2050" s="217"/>
      <c r="O2050" s="217"/>
      <c r="P2050" s="217"/>
      <c r="Q2050" s="217"/>
      <c r="R2050" s="217"/>
      <c r="S2050" s="217"/>
      <c r="T2050" s="217"/>
      <c r="U2050" s="217"/>
      <c r="V2050" s="217"/>
      <c r="W2050" s="217"/>
      <c r="X2050" s="217"/>
      <c r="Y2050" s="217"/>
      <c r="Z2050" s="217"/>
      <c r="AA2050" s="217"/>
      <c r="AB2050" s="217"/>
      <c r="AC2050" s="217"/>
      <c r="AD2050" s="217"/>
    </row>
    <row r="2051" spans="1:30" x14ac:dyDescent="0.2">
      <c r="A2051" s="232"/>
      <c r="B2051" s="210"/>
      <c r="C2051" s="210"/>
      <c r="D2051" s="210"/>
      <c r="E2051" s="210"/>
      <c r="G2051" s="55"/>
      <c r="H2051" s="56"/>
      <c r="I2051" s="217"/>
      <c r="J2051" s="217"/>
      <c r="K2051" s="217"/>
      <c r="L2051" s="217"/>
      <c r="M2051" s="217"/>
      <c r="N2051" s="217"/>
      <c r="O2051" s="217"/>
      <c r="P2051" s="217"/>
      <c r="Q2051" s="217"/>
      <c r="R2051" s="217"/>
      <c r="S2051" s="217"/>
      <c r="T2051" s="217"/>
      <c r="U2051" s="217"/>
      <c r="V2051" s="217"/>
      <c r="W2051" s="217"/>
      <c r="X2051" s="217"/>
      <c r="Y2051" s="217"/>
      <c r="Z2051" s="217"/>
      <c r="AA2051" s="217"/>
      <c r="AB2051" s="217"/>
      <c r="AC2051" s="217"/>
      <c r="AD2051" s="217"/>
    </row>
    <row r="2052" spans="1:30" x14ac:dyDescent="0.2">
      <c r="A2052" s="232"/>
      <c r="B2052" s="210"/>
      <c r="C2052" s="210"/>
      <c r="D2052" s="210"/>
      <c r="E2052" s="210"/>
      <c r="G2052" s="55"/>
      <c r="H2052" s="56"/>
      <c r="I2052" s="217"/>
      <c r="J2052" s="217"/>
      <c r="K2052" s="217"/>
      <c r="L2052" s="217"/>
      <c r="M2052" s="217"/>
      <c r="N2052" s="217"/>
      <c r="O2052" s="217"/>
      <c r="P2052" s="217"/>
      <c r="Q2052" s="217"/>
      <c r="R2052" s="217"/>
      <c r="S2052" s="217"/>
      <c r="T2052" s="217"/>
      <c r="U2052" s="217"/>
      <c r="V2052" s="217"/>
      <c r="W2052" s="217"/>
      <c r="X2052" s="217"/>
      <c r="Y2052" s="217"/>
      <c r="Z2052" s="217"/>
      <c r="AA2052" s="217"/>
      <c r="AB2052" s="217"/>
      <c r="AC2052" s="217"/>
      <c r="AD2052" s="217"/>
    </row>
    <row r="2053" spans="1:30" x14ac:dyDescent="0.2">
      <c r="A2053" s="232"/>
      <c r="B2053" s="210"/>
      <c r="C2053" s="210"/>
      <c r="D2053" s="210"/>
      <c r="E2053" s="210"/>
      <c r="G2053" s="55"/>
      <c r="H2053" s="56"/>
      <c r="I2053" s="217"/>
      <c r="J2053" s="217"/>
      <c r="K2053" s="217"/>
      <c r="L2053" s="217"/>
      <c r="M2053" s="217"/>
      <c r="N2053" s="217"/>
      <c r="O2053" s="217"/>
      <c r="P2053" s="217"/>
      <c r="Q2053" s="217"/>
      <c r="R2053" s="217"/>
      <c r="S2053" s="217"/>
      <c r="T2053" s="217"/>
      <c r="U2053" s="217"/>
      <c r="V2053" s="217"/>
      <c r="W2053" s="217"/>
      <c r="X2053" s="217"/>
      <c r="Y2053" s="217"/>
      <c r="Z2053" s="217"/>
      <c r="AA2053" s="217"/>
      <c r="AB2053" s="217"/>
      <c r="AC2053" s="217"/>
      <c r="AD2053" s="217"/>
    </row>
    <row r="2054" spans="1:30" x14ac:dyDescent="0.2">
      <c r="A2054" s="232"/>
      <c r="B2054" s="210"/>
      <c r="C2054" s="210"/>
      <c r="D2054" s="210"/>
      <c r="E2054" s="210"/>
      <c r="G2054" s="55"/>
      <c r="H2054" s="56"/>
      <c r="I2054" s="217"/>
      <c r="J2054" s="217"/>
      <c r="K2054" s="217"/>
      <c r="L2054" s="217"/>
      <c r="M2054" s="217"/>
      <c r="N2054" s="217"/>
      <c r="O2054" s="217"/>
      <c r="P2054" s="217"/>
      <c r="Q2054" s="217"/>
      <c r="R2054" s="217"/>
      <c r="S2054" s="217"/>
      <c r="T2054" s="217"/>
      <c r="U2054" s="217"/>
      <c r="V2054" s="217"/>
      <c r="W2054" s="217"/>
      <c r="X2054" s="217"/>
      <c r="Y2054" s="217"/>
      <c r="Z2054" s="217"/>
      <c r="AA2054" s="217"/>
      <c r="AB2054" s="217"/>
      <c r="AC2054" s="217"/>
      <c r="AD2054" s="217"/>
    </row>
    <row r="2055" spans="1:30" x14ac:dyDescent="0.2">
      <c r="A2055" s="232"/>
      <c r="B2055" s="210"/>
      <c r="C2055" s="210"/>
      <c r="D2055" s="210"/>
      <c r="E2055" s="210"/>
      <c r="G2055" s="55"/>
      <c r="H2055" s="56"/>
      <c r="I2055" s="217"/>
      <c r="J2055" s="217"/>
      <c r="K2055" s="217"/>
      <c r="L2055" s="217"/>
      <c r="M2055" s="217"/>
      <c r="N2055" s="217"/>
      <c r="O2055" s="217"/>
      <c r="P2055" s="217"/>
      <c r="Q2055" s="217"/>
      <c r="R2055" s="217"/>
      <c r="S2055" s="217"/>
      <c r="T2055" s="217"/>
      <c r="U2055" s="217"/>
      <c r="V2055" s="217"/>
      <c r="W2055" s="217"/>
      <c r="X2055" s="217"/>
      <c r="Y2055" s="217"/>
      <c r="Z2055" s="217"/>
      <c r="AA2055" s="217"/>
      <c r="AB2055" s="217"/>
      <c r="AC2055" s="217"/>
      <c r="AD2055" s="217"/>
    </row>
    <row r="2056" spans="1:30" x14ac:dyDescent="0.2">
      <c r="A2056" s="232"/>
      <c r="B2056" s="210"/>
      <c r="C2056" s="210"/>
      <c r="D2056" s="210"/>
      <c r="E2056" s="210"/>
      <c r="G2056" s="55"/>
      <c r="H2056" s="56"/>
      <c r="I2056" s="217"/>
      <c r="J2056" s="217"/>
      <c r="K2056" s="217"/>
      <c r="L2056" s="217"/>
      <c r="M2056" s="217"/>
      <c r="N2056" s="217"/>
      <c r="O2056" s="217"/>
      <c r="P2056" s="217"/>
      <c r="Q2056" s="217"/>
      <c r="R2056" s="217"/>
      <c r="S2056" s="217"/>
      <c r="T2056" s="217"/>
      <c r="U2056" s="217"/>
      <c r="V2056" s="217"/>
      <c r="W2056" s="217"/>
      <c r="X2056" s="217"/>
      <c r="Y2056" s="217"/>
      <c r="Z2056" s="217"/>
      <c r="AA2056" s="217"/>
      <c r="AB2056" s="217"/>
      <c r="AC2056" s="217"/>
      <c r="AD2056" s="217"/>
    </row>
    <row r="2057" spans="1:30" x14ac:dyDescent="0.2">
      <c r="A2057" s="232"/>
      <c r="B2057" s="210"/>
      <c r="C2057" s="210"/>
      <c r="D2057" s="210"/>
      <c r="E2057" s="210"/>
      <c r="G2057" s="55"/>
      <c r="H2057" s="56"/>
      <c r="I2057" s="217"/>
      <c r="J2057" s="217"/>
      <c r="K2057" s="217"/>
      <c r="L2057" s="217"/>
      <c r="M2057" s="217"/>
      <c r="N2057" s="217"/>
      <c r="O2057" s="217"/>
      <c r="P2057" s="217"/>
      <c r="Q2057" s="217"/>
      <c r="R2057" s="217"/>
      <c r="S2057" s="217"/>
      <c r="T2057" s="217"/>
      <c r="U2057" s="217"/>
      <c r="V2057" s="217"/>
      <c r="W2057" s="217"/>
      <c r="X2057" s="217"/>
      <c r="Y2057" s="217"/>
      <c r="Z2057" s="217"/>
      <c r="AA2057" s="217"/>
      <c r="AB2057" s="217"/>
      <c r="AC2057" s="217"/>
      <c r="AD2057" s="217"/>
    </row>
    <row r="2058" spans="1:30" x14ac:dyDescent="0.2">
      <c r="A2058" s="232"/>
      <c r="B2058" s="210"/>
      <c r="C2058" s="210"/>
      <c r="D2058" s="210"/>
      <c r="E2058" s="210"/>
      <c r="G2058" s="55"/>
      <c r="H2058" s="56"/>
      <c r="I2058" s="217"/>
      <c r="J2058" s="217"/>
      <c r="K2058" s="217"/>
      <c r="L2058" s="217"/>
      <c r="M2058" s="217"/>
      <c r="N2058" s="217"/>
      <c r="O2058" s="217"/>
      <c r="P2058" s="217"/>
      <c r="Q2058" s="217"/>
      <c r="R2058" s="217"/>
      <c r="S2058" s="217"/>
      <c r="T2058" s="217"/>
      <c r="U2058" s="217"/>
      <c r="V2058" s="217"/>
      <c r="W2058" s="217"/>
      <c r="X2058" s="217"/>
      <c r="Y2058" s="217"/>
      <c r="Z2058" s="217"/>
      <c r="AA2058" s="217"/>
      <c r="AB2058" s="217"/>
      <c r="AC2058" s="217"/>
      <c r="AD2058" s="217"/>
    </row>
    <row r="2059" spans="1:30" x14ac:dyDescent="0.2">
      <c r="A2059" s="232"/>
      <c r="B2059" s="210"/>
      <c r="C2059" s="210"/>
      <c r="D2059" s="210"/>
      <c r="E2059" s="210"/>
      <c r="G2059" s="55"/>
      <c r="H2059" s="56"/>
      <c r="I2059" s="217"/>
      <c r="J2059" s="217"/>
      <c r="K2059" s="217"/>
      <c r="L2059" s="217"/>
      <c r="M2059" s="217"/>
      <c r="N2059" s="217"/>
      <c r="O2059" s="217"/>
      <c r="P2059" s="217"/>
      <c r="Q2059" s="217"/>
      <c r="R2059" s="217"/>
      <c r="S2059" s="217"/>
      <c r="T2059" s="217"/>
      <c r="U2059" s="217"/>
      <c r="V2059" s="217"/>
      <c r="W2059" s="217"/>
      <c r="X2059" s="217"/>
      <c r="Y2059" s="217"/>
      <c r="Z2059" s="217"/>
      <c r="AA2059" s="217"/>
      <c r="AB2059" s="217"/>
      <c r="AC2059" s="217"/>
      <c r="AD2059" s="217"/>
    </row>
    <row r="2060" spans="1:30" x14ac:dyDescent="0.2">
      <c r="A2060" s="232"/>
      <c r="B2060" s="210"/>
      <c r="C2060" s="210"/>
      <c r="D2060" s="210"/>
      <c r="E2060" s="210"/>
      <c r="G2060" s="55"/>
      <c r="H2060" s="56"/>
      <c r="I2060" s="217"/>
      <c r="J2060" s="217"/>
      <c r="K2060" s="217"/>
      <c r="L2060" s="217"/>
      <c r="M2060" s="217"/>
      <c r="N2060" s="217"/>
      <c r="O2060" s="217"/>
      <c r="P2060" s="217"/>
      <c r="Q2060" s="217"/>
      <c r="R2060" s="217"/>
      <c r="S2060" s="217"/>
      <c r="T2060" s="217"/>
      <c r="U2060" s="217"/>
      <c r="V2060" s="217"/>
      <c r="W2060" s="217"/>
      <c r="X2060" s="217"/>
      <c r="Y2060" s="217"/>
      <c r="Z2060" s="217"/>
      <c r="AA2060" s="217"/>
      <c r="AB2060" s="217"/>
      <c r="AC2060" s="217"/>
      <c r="AD2060" s="217"/>
    </row>
    <row r="2061" spans="1:30" x14ac:dyDescent="0.2">
      <c r="A2061" s="232"/>
      <c r="B2061" s="210"/>
      <c r="C2061" s="210"/>
      <c r="D2061" s="210"/>
      <c r="E2061" s="210"/>
      <c r="G2061" s="55"/>
      <c r="H2061" s="56"/>
      <c r="I2061" s="217"/>
      <c r="J2061" s="217"/>
      <c r="K2061" s="217"/>
      <c r="L2061" s="217"/>
      <c r="M2061" s="217"/>
      <c r="N2061" s="217"/>
      <c r="O2061" s="217"/>
      <c r="P2061" s="217"/>
      <c r="Q2061" s="217"/>
      <c r="R2061" s="217"/>
      <c r="S2061" s="217"/>
      <c r="T2061" s="217"/>
      <c r="U2061" s="217"/>
      <c r="V2061" s="217"/>
      <c r="W2061" s="217"/>
      <c r="X2061" s="217"/>
      <c r="Y2061" s="217"/>
      <c r="Z2061" s="217"/>
      <c r="AA2061" s="217"/>
      <c r="AB2061" s="217"/>
      <c r="AC2061" s="217"/>
      <c r="AD2061" s="217"/>
    </row>
    <row r="2062" spans="1:30" x14ac:dyDescent="0.2">
      <c r="A2062" s="232"/>
      <c r="B2062" s="210"/>
      <c r="C2062" s="210"/>
      <c r="D2062" s="210"/>
      <c r="E2062" s="210"/>
      <c r="G2062" s="55"/>
      <c r="H2062" s="56"/>
      <c r="I2062" s="217"/>
      <c r="J2062" s="217"/>
      <c r="K2062" s="217"/>
      <c r="L2062" s="217"/>
      <c r="M2062" s="217"/>
      <c r="N2062" s="217"/>
      <c r="O2062" s="217"/>
      <c r="P2062" s="217"/>
      <c r="Q2062" s="217"/>
      <c r="R2062" s="217"/>
      <c r="S2062" s="217"/>
      <c r="T2062" s="217"/>
      <c r="U2062" s="217"/>
      <c r="V2062" s="217"/>
      <c r="W2062" s="217"/>
      <c r="X2062" s="217"/>
      <c r="Y2062" s="217"/>
      <c r="Z2062" s="217"/>
      <c r="AA2062" s="217"/>
      <c r="AB2062" s="217"/>
      <c r="AC2062" s="217"/>
      <c r="AD2062" s="217"/>
    </row>
    <row r="2063" spans="1:30" x14ac:dyDescent="0.2">
      <c r="A2063" s="232"/>
      <c r="B2063" s="210"/>
      <c r="C2063" s="210"/>
      <c r="D2063" s="210"/>
      <c r="E2063" s="210"/>
      <c r="G2063" s="55"/>
      <c r="H2063" s="56"/>
      <c r="I2063" s="217"/>
      <c r="J2063" s="217"/>
      <c r="K2063" s="217"/>
      <c r="L2063" s="217"/>
      <c r="M2063" s="217"/>
      <c r="N2063" s="217"/>
      <c r="O2063" s="217"/>
      <c r="P2063" s="217"/>
      <c r="Q2063" s="217"/>
      <c r="R2063" s="217"/>
      <c r="S2063" s="217"/>
      <c r="T2063" s="217"/>
      <c r="U2063" s="217"/>
      <c r="V2063" s="217"/>
      <c r="W2063" s="217"/>
      <c r="X2063" s="217"/>
      <c r="Y2063" s="217"/>
      <c r="Z2063" s="217"/>
      <c r="AA2063" s="217"/>
      <c r="AB2063" s="217"/>
      <c r="AC2063" s="217"/>
      <c r="AD2063" s="217"/>
    </row>
    <row r="2064" spans="1:30" x14ac:dyDescent="0.2">
      <c r="A2064" s="232"/>
      <c r="B2064" s="210"/>
      <c r="C2064" s="210"/>
      <c r="D2064" s="210"/>
      <c r="E2064" s="210"/>
      <c r="G2064" s="55"/>
      <c r="H2064" s="56"/>
      <c r="I2064" s="217"/>
      <c r="J2064" s="217"/>
      <c r="K2064" s="217"/>
      <c r="L2064" s="217"/>
      <c r="M2064" s="217"/>
      <c r="N2064" s="217"/>
      <c r="O2064" s="217"/>
      <c r="P2064" s="217"/>
      <c r="Q2064" s="217"/>
      <c r="R2064" s="217"/>
      <c r="S2064" s="217"/>
      <c r="T2064" s="217"/>
      <c r="U2064" s="217"/>
      <c r="V2064" s="217"/>
      <c r="W2064" s="217"/>
      <c r="X2064" s="217"/>
      <c r="Y2064" s="217"/>
      <c r="Z2064" s="217"/>
      <c r="AA2064" s="217"/>
      <c r="AB2064" s="217"/>
      <c r="AC2064" s="217"/>
      <c r="AD2064" s="217"/>
    </row>
    <row r="2065" spans="1:30" x14ac:dyDescent="0.2">
      <c r="A2065" s="232"/>
      <c r="B2065" s="210"/>
      <c r="C2065" s="210"/>
      <c r="D2065" s="210"/>
      <c r="E2065" s="210"/>
      <c r="G2065" s="55"/>
      <c r="H2065" s="56"/>
      <c r="I2065" s="217"/>
      <c r="J2065" s="217"/>
      <c r="K2065" s="217"/>
      <c r="L2065" s="217"/>
      <c r="M2065" s="217"/>
      <c r="N2065" s="217"/>
      <c r="O2065" s="217"/>
      <c r="P2065" s="217"/>
      <c r="Q2065" s="217"/>
      <c r="R2065" s="217"/>
      <c r="S2065" s="217"/>
      <c r="T2065" s="217"/>
      <c r="U2065" s="217"/>
      <c r="V2065" s="217"/>
      <c r="W2065" s="217"/>
      <c r="X2065" s="217"/>
      <c r="Y2065" s="217"/>
      <c r="Z2065" s="217"/>
      <c r="AA2065" s="217"/>
      <c r="AB2065" s="217"/>
      <c r="AC2065" s="217"/>
      <c r="AD2065" s="217"/>
    </row>
    <row r="2066" spans="1:30" x14ac:dyDescent="0.2">
      <c r="A2066" s="232"/>
      <c r="B2066" s="210"/>
      <c r="C2066" s="210"/>
      <c r="D2066" s="210"/>
      <c r="E2066" s="210"/>
      <c r="G2066" s="55"/>
      <c r="H2066" s="56"/>
      <c r="I2066" s="217"/>
      <c r="J2066" s="217"/>
      <c r="K2066" s="217"/>
      <c r="L2066" s="217"/>
      <c r="M2066" s="217"/>
      <c r="N2066" s="217"/>
      <c r="O2066" s="217"/>
      <c r="P2066" s="217"/>
      <c r="Q2066" s="217"/>
      <c r="R2066" s="217"/>
      <c r="S2066" s="217"/>
      <c r="T2066" s="217"/>
      <c r="U2066" s="217"/>
      <c r="V2066" s="217"/>
      <c r="W2066" s="217"/>
      <c r="X2066" s="217"/>
      <c r="Y2066" s="217"/>
      <c r="Z2066" s="217"/>
      <c r="AA2066" s="217"/>
      <c r="AB2066" s="217"/>
      <c r="AC2066" s="217"/>
      <c r="AD2066" s="217"/>
    </row>
    <row r="2067" spans="1:30" x14ac:dyDescent="0.2">
      <c r="A2067" s="232"/>
      <c r="B2067" s="210"/>
      <c r="C2067" s="210"/>
      <c r="D2067" s="210"/>
      <c r="E2067" s="210"/>
      <c r="G2067" s="55"/>
      <c r="H2067" s="56"/>
      <c r="I2067" s="217"/>
      <c r="J2067" s="217"/>
      <c r="K2067" s="217"/>
      <c r="L2067" s="217"/>
      <c r="M2067" s="217"/>
      <c r="N2067" s="217"/>
      <c r="O2067" s="217"/>
      <c r="P2067" s="217"/>
      <c r="Q2067" s="217"/>
      <c r="R2067" s="217"/>
      <c r="S2067" s="217"/>
      <c r="T2067" s="217"/>
      <c r="U2067" s="217"/>
      <c r="V2067" s="217"/>
      <c r="W2067" s="217"/>
      <c r="X2067" s="217"/>
      <c r="Y2067" s="217"/>
      <c r="Z2067" s="217"/>
      <c r="AA2067" s="217"/>
      <c r="AB2067" s="217"/>
      <c r="AC2067" s="217"/>
      <c r="AD2067" s="217"/>
    </row>
    <row r="2068" spans="1:30" x14ac:dyDescent="0.2">
      <c r="A2068" s="232"/>
      <c r="B2068" s="210"/>
      <c r="C2068" s="210"/>
      <c r="D2068" s="210"/>
      <c r="E2068" s="210"/>
      <c r="G2068" s="55"/>
      <c r="H2068" s="56"/>
      <c r="I2068" s="217"/>
      <c r="J2068" s="217"/>
      <c r="K2068" s="217"/>
      <c r="L2068" s="217"/>
      <c r="M2068" s="217"/>
      <c r="N2068" s="217"/>
      <c r="O2068" s="217"/>
      <c r="P2068" s="217"/>
      <c r="Q2068" s="217"/>
      <c r="R2068" s="217"/>
      <c r="S2068" s="217"/>
      <c r="T2068" s="217"/>
      <c r="U2068" s="217"/>
      <c r="V2068" s="217"/>
      <c r="W2068" s="217"/>
      <c r="X2068" s="217"/>
      <c r="Y2068" s="217"/>
      <c r="Z2068" s="217"/>
      <c r="AA2068" s="217"/>
      <c r="AB2068" s="217"/>
      <c r="AC2068" s="217"/>
      <c r="AD2068" s="217"/>
    </row>
    <row r="2069" spans="1:30" x14ac:dyDescent="0.2">
      <c r="A2069" s="232"/>
      <c r="B2069" s="210"/>
      <c r="C2069" s="210"/>
      <c r="D2069" s="210"/>
      <c r="E2069" s="210"/>
      <c r="G2069" s="55"/>
      <c r="H2069" s="56"/>
      <c r="I2069" s="217"/>
      <c r="J2069" s="217"/>
      <c r="K2069" s="217"/>
      <c r="L2069" s="217"/>
      <c r="M2069" s="217"/>
      <c r="N2069" s="217"/>
      <c r="O2069" s="217"/>
      <c r="P2069" s="217"/>
      <c r="Q2069" s="217"/>
      <c r="R2069" s="217"/>
      <c r="S2069" s="217"/>
      <c r="T2069" s="217"/>
      <c r="U2069" s="217"/>
      <c r="V2069" s="217"/>
      <c r="W2069" s="217"/>
      <c r="X2069" s="217"/>
      <c r="Y2069" s="217"/>
      <c r="Z2069" s="217"/>
      <c r="AA2069" s="217"/>
      <c r="AB2069" s="217"/>
      <c r="AC2069" s="217"/>
      <c r="AD2069" s="217"/>
    </row>
    <row r="2070" spans="1:30" x14ac:dyDescent="0.2">
      <c r="A2070" s="232"/>
      <c r="B2070" s="210"/>
      <c r="C2070" s="210"/>
      <c r="D2070" s="210"/>
      <c r="E2070" s="210"/>
      <c r="G2070" s="55"/>
      <c r="H2070" s="56"/>
      <c r="I2070" s="217"/>
      <c r="J2070" s="217"/>
      <c r="K2070" s="217"/>
      <c r="L2070" s="217"/>
      <c r="M2070" s="217"/>
      <c r="N2070" s="217"/>
      <c r="O2070" s="217"/>
      <c r="P2070" s="217"/>
      <c r="Q2070" s="217"/>
      <c r="R2070" s="217"/>
      <c r="S2070" s="217"/>
      <c r="T2070" s="217"/>
      <c r="U2070" s="217"/>
      <c r="V2070" s="217"/>
      <c r="W2070" s="217"/>
      <c r="X2070" s="217"/>
      <c r="Y2070" s="217"/>
      <c r="Z2070" s="217"/>
      <c r="AA2070" s="217"/>
      <c r="AB2070" s="217"/>
      <c r="AC2070" s="217"/>
      <c r="AD2070" s="217"/>
    </row>
    <row r="2071" spans="1:30" x14ac:dyDescent="0.2">
      <c r="A2071" s="232"/>
      <c r="B2071" s="210"/>
      <c r="C2071" s="210"/>
      <c r="D2071" s="210"/>
      <c r="E2071" s="210"/>
      <c r="G2071" s="55"/>
      <c r="H2071" s="56"/>
      <c r="I2071" s="217"/>
      <c r="J2071" s="217"/>
      <c r="K2071" s="217"/>
      <c r="L2071" s="217"/>
      <c r="M2071" s="217"/>
      <c r="N2071" s="217"/>
      <c r="O2071" s="217"/>
      <c r="P2071" s="217"/>
      <c r="Q2071" s="217"/>
      <c r="R2071" s="217"/>
      <c r="S2071" s="217"/>
      <c r="T2071" s="217"/>
      <c r="U2071" s="217"/>
      <c r="V2071" s="217"/>
      <c r="W2071" s="217"/>
      <c r="X2071" s="217"/>
      <c r="Y2071" s="217"/>
      <c r="Z2071" s="217"/>
      <c r="AA2071" s="217"/>
      <c r="AB2071" s="217"/>
      <c r="AC2071" s="217"/>
      <c r="AD2071" s="217"/>
    </row>
    <row r="2072" spans="1:30" x14ac:dyDescent="0.2">
      <c r="A2072" s="232"/>
      <c r="B2072" s="210"/>
      <c r="C2072" s="210"/>
      <c r="D2072" s="210"/>
      <c r="E2072" s="210"/>
      <c r="G2072" s="55"/>
      <c r="H2072" s="56"/>
      <c r="I2072" s="217"/>
      <c r="J2072" s="217"/>
      <c r="K2072" s="217"/>
      <c r="L2072" s="217"/>
      <c r="M2072" s="217"/>
      <c r="N2072" s="217"/>
      <c r="O2072" s="217"/>
      <c r="P2072" s="217"/>
      <c r="Q2072" s="217"/>
      <c r="R2072" s="217"/>
      <c r="S2072" s="217"/>
      <c r="T2072" s="217"/>
      <c r="U2072" s="217"/>
      <c r="V2072" s="217"/>
      <c r="W2072" s="217"/>
      <c r="X2072" s="217"/>
      <c r="Y2072" s="217"/>
      <c r="Z2072" s="217"/>
      <c r="AA2072" s="217"/>
      <c r="AB2072" s="217"/>
      <c r="AC2072" s="217"/>
      <c r="AD2072" s="217"/>
    </row>
    <row r="2073" spans="1:30" x14ac:dyDescent="0.2">
      <c r="A2073" s="232"/>
      <c r="B2073" s="210"/>
      <c r="C2073" s="210"/>
      <c r="D2073" s="210"/>
      <c r="E2073" s="210"/>
      <c r="G2073" s="55"/>
      <c r="H2073" s="56"/>
      <c r="I2073" s="217"/>
      <c r="J2073" s="217"/>
      <c r="K2073" s="217"/>
      <c r="L2073" s="217"/>
      <c r="M2073" s="217"/>
      <c r="N2073" s="217"/>
      <c r="O2073" s="217"/>
      <c r="P2073" s="217"/>
      <c r="Q2073" s="217"/>
      <c r="R2073" s="217"/>
      <c r="S2073" s="217"/>
      <c r="T2073" s="217"/>
      <c r="U2073" s="217"/>
      <c r="V2073" s="217"/>
      <c r="W2073" s="217"/>
      <c r="X2073" s="217"/>
      <c r="Y2073" s="217"/>
      <c r="Z2073" s="217"/>
      <c r="AA2073" s="217"/>
      <c r="AB2073" s="217"/>
      <c r="AC2073" s="217"/>
      <c r="AD2073" s="217"/>
    </row>
    <row r="2074" spans="1:30" x14ac:dyDescent="0.2">
      <c r="A2074" s="232"/>
      <c r="B2074" s="210"/>
      <c r="C2074" s="210"/>
      <c r="D2074" s="210"/>
      <c r="E2074" s="210"/>
      <c r="G2074" s="55"/>
      <c r="H2074" s="56"/>
      <c r="I2074" s="217"/>
      <c r="J2074" s="217"/>
      <c r="K2074" s="217"/>
      <c r="L2074" s="217"/>
      <c r="M2074" s="217"/>
      <c r="N2074" s="217"/>
      <c r="O2074" s="217"/>
      <c r="P2074" s="217"/>
      <c r="Q2074" s="217"/>
      <c r="R2074" s="217"/>
      <c r="S2074" s="217"/>
      <c r="T2074" s="217"/>
      <c r="U2074" s="217"/>
      <c r="V2074" s="217"/>
      <c r="W2074" s="217"/>
      <c r="X2074" s="217"/>
      <c r="Y2074" s="217"/>
      <c r="Z2074" s="217"/>
      <c r="AA2074" s="217"/>
      <c r="AB2074" s="217"/>
      <c r="AC2074" s="217"/>
      <c r="AD2074" s="217"/>
    </row>
    <row r="2075" spans="1:30" x14ac:dyDescent="0.2">
      <c r="A2075" s="232"/>
      <c r="B2075" s="210"/>
      <c r="C2075" s="210"/>
      <c r="D2075" s="210"/>
      <c r="E2075" s="210"/>
      <c r="G2075" s="55"/>
      <c r="H2075" s="56"/>
      <c r="I2075" s="217"/>
      <c r="J2075" s="217"/>
      <c r="K2075" s="217"/>
      <c r="L2075" s="217"/>
      <c r="M2075" s="217"/>
      <c r="N2075" s="217"/>
      <c r="O2075" s="217"/>
      <c r="P2075" s="217"/>
      <c r="Q2075" s="217"/>
      <c r="R2075" s="217"/>
      <c r="S2075" s="217"/>
      <c r="T2075" s="217"/>
      <c r="U2075" s="217"/>
      <c r="V2075" s="217"/>
      <c r="W2075" s="217"/>
      <c r="X2075" s="217"/>
      <c r="Y2075" s="217"/>
      <c r="Z2075" s="217"/>
      <c r="AA2075" s="217"/>
      <c r="AB2075" s="217"/>
      <c r="AC2075" s="217"/>
      <c r="AD2075" s="217"/>
    </row>
    <row r="2076" spans="1:30" x14ac:dyDescent="0.2">
      <c r="A2076" s="232"/>
      <c r="B2076" s="210"/>
      <c r="C2076" s="210"/>
      <c r="D2076" s="210"/>
      <c r="E2076" s="210"/>
      <c r="G2076" s="55"/>
      <c r="H2076" s="56"/>
      <c r="I2076" s="217"/>
      <c r="J2076" s="217"/>
      <c r="K2076" s="217"/>
      <c r="L2076" s="217"/>
      <c r="M2076" s="217"/>
      <c r="N2076" s="217"/>
      <c r="O2076" s="217"/>
      <c r="P2076" s="217"/>
      <c r="Q2076" s="217"/>
      <c r="R2076" s="217"/>
      <c r="S2076" s="217"/>
      <c r="T2076" s="217"/>
      <c r="U2076" s="217"/>
      <c r="V2076" s="217"/>
      <c r="W2076" s="217"/>
      <c r="X2076" s="217"/>
      <c r="Y2076" s="217"/>
      <c r="Z2076" s="217"/>
      <c r="AA2076" s="217"/>
      <c r="AB2076" s="217"/>
      <c r="AC2076" s="217"/>
      <c r="AD2076" s="217"/>
    </row>
    <row r="2077" spans="1:30" x14ac:dyDescent="0.2">
      <c r="A2077" s="232"/>
      <c r="B2077" s="210"/>
      <c r="C2077" s="210"/>
      <c r="D2077" s="210"/>
      <c r="E2077" s="210"/>
      <c r="G2077" s="55"/>
      <c r="H2077" s="56"/>
      <c r="I2077" s="217"/>
      <c r="J2077" s="217"/>
      <c r="K2077" s="217"/>
      <c r="L2077" s="217"/>
      <c r="M2077" s="217"/>
      <c r="N2077" s="217"/>
      <c r="O2077" s="217"/>
      <c r="P2077" s="217"/>
      <c r="Q2077" s="217"/>
      <c r="R2077" s="217"/>
      <c r="S2077" s="217"/>
      <c r="T2077" s="217"/>
      <c r="U2077" s="217"/>
      <c r="V2077" s="217"/>
      <c r="W2077" s="217"/>
      <c r="X2077" s="217"/>
      <c r="Y2077" s="217"/>
      <c r="Z2077" s="217"/>
      <c r="AA2077" s="217"/>
      <c r="AB2077" s="217"/>
      <c r="AC2077" s="217"/>
      <c r="AD2077" s="217"/>
    </row>
    <row r="2078" spans="1:30" x14ac:dyDescent="0.2">
      <c r="A2078" s="232"/>
      <c r="B2078" s="210"/>
      <c r="C2078" s="210"/>
      <c r="D2078" s="210"/>
      <c r="E2078" s="210"/>
      <c r="G2078" s="55"/>
      <c r="H2078" s="56"/>
      <c r="I2078" s="217"/>
      <c r="J2078" s="217"/>
      <c r="K2078" s="217"/>
      <c r="L2078" s="217"/>
      <c r="M2078" s="217"/>
      <c r="N2078" s="217"/>
      <c r="O2078" s="217"/>
      <c r="P2078" s="217"/>
      <c r="Q2078" s="217"/>
      <c r="R2078" s="217"/>
      <c r="S2078" s="217"/>
      <c r="T2078" s="217"/>
      <c r="U2078" s="217"/>
      <c r="V2078" s="217"/>
      <c r="W2078" s="217"/>
      <c r="X2078" s="217"/>
      <c r="Y2078" s="217"/>
      <c r="Z2078" s="217"/>
      <c r="AA2078" s="217"/>
      <c r="AB2078" s="217"/>
      <c r="AC2078" s="217"/>
      <c r="AD2078" s="217"/>
    </row>
    <row r="2079" spans="1:30" x14ac:dyDescent="0.2">
      <c r="A2079" s="232"/>
      <c r="B2079" s="210"/>
      <c r="C2079" s="210"/>
      <c r="D2079" s="210"/>
      <c r="E2079" s="210"/>
      <c r="G2079" s="55"/>
      <c r="H2079" s="56"/>
      <c r="I2079" s="217"/>
      <c r="J2079" s="217"/>
      <c r="K2079" s="217"/>
      <c r="L2079" s="217"/>
      <c r="M2079" s="217"/>
      <c r="N2079" s="217"/>
      <c r="O2079" s="217"/>
      <c r="P2079" s="217"/>
      <c r="Q2079" s="217"/>
      <c r="R2079" s="217"/>
      <c r="S2079" s="217"/>
      <c r="T2079" s="217"/>
      <c r="U2079" s="217"/>
      <c r="V2079" s="217"/>
      <c r="W2079" s="217"/>
      <c r="X2079" s="217"/>
      <c r="Y2079" s="217"/>
      <c r="Z2079" s="217"/>
      <c r="AA2079" s="217"/>
      <c r="AB2079" s="217"/>
      <c r="AC2079" s="217"/>
      <c r="AD2079" s="217"/>
    </row>
    <row r="2080" spans="1:30" x14ac:dyDescent="0.2">
      <c r="A2080" s="232"/>
      <c r="B2080" s="210"/>
      <c r="C2080" s="210"/>
      <c r="D2080" s="210"/>
      <c r="E2080" s="210"/>
      <c r="G2080" s="55"/>
      <c r="H2080" s="56"/>
      <c r="I2080" s="217"/>
      <c r="J2080" s="217"/>
      <c r="K2080" s="217"/>
      <c r="L2080" s="217"/>
      <c r="M2080" s="217"/>
      <c r="N2080" s="217"/>
      <c r="O2080" s="217"/>
      <c r="P2080" s="217"/>
      <c r="Q2080" s="217"/>
      <c r="R2080" s="217"/>
      <c r="S2080" s="217"/>
      <c r="T2080" s="217"/>
      <c r="U2080" s="217"/>
      <c r="V2080" s="217"/>
      <c r="W2080" s="217"/>
      <c r="X2080" s="217"/>
      <c r="Y2080" s="217"/>
      <c r="Z2080" s="217"/>
      <c r="AA2080" s="217"/>
      <c r="AB2080" s="217"/>
      <c r="AC2080" s="217"/>
      <c r="AD2080" s="217"/>
    </row>
    <row r="2081" spans="1:30" x14ac:dyDescent="0.2">
      <c r="A2081" s="232"/>
      <c r="B2081" s="210"/>
      <c r="C2081" s="210"/>
      <c r="D2081" s="210"/>
      <c r="E2081" s="210"/>
      <c r="G2081" s="55"/>
      <c r="H2081" s="56"/>
      <c r="I2081" s="217"/>
      <c r="J2081" s="217"/>
      <c r="K2081" s="217"/>
      <c r="L2081" s="217"/>
      <c r="M2081" s="217"/>
      <c r="N2081" s="217"/>
      <c r="O2081" s="217"/>
      <c r="P2081" s="217"/>
      <c r="Q2081" s="217"/>
      <c r="R2081" s="217"/>
      <c r="S2081" s="217"/>
      <c r="T2081" s="217"/>
      <c r="U2081" s="217"/>
      <c r="V2081" s="217"/>
      <c r="W2081" s="217"/>
      <c r="X2081" s="217"/>
      <c r="Y2081" s="217"/>
      <c r="Z2081" s="217"/>
      <c r="AA2081" s="217"/>
      <c r="AB2081" s="217"/>
      <c r="AC2081" s="217"/>
      <c r="AD2081" s="217"/>
    </row>
    <row r="2082" spans="1:30" x14ac:dyDescent="0.2">
      <c r="A2082" s="232"/>
      <c r="B2082" s="210"/>
      <c r="C2082" s="210"/>
      <c r="D2082" s="210"/>
      <c r="E2082" s="210"/>
      <c r="G2082" s="55"/>
      <c r="H2082" s="56"/>
      <c r="I2082" s="217"/>
      <c r="J2082" s="217"/>
      <c r="K2082" s="217"/>
      <c r="L2082" s="217"/>
      <c r="M2082" s="217"/>
      <c r="N2082" s="217"/>
      <c r="O2082" s="217"/>
      <c r="P2082" s="217"/>
      <c r="Q2082" s="217"/>
      <c r="R2082" s="217"/>
      <c r="S2082" s="217"/>
      <c r="T2082" s="217"/>
      <c r="U2082" s="217"/>
      <c r="V2082" s="217"/>
      <c r="W2082" s="217"/>
      <c r="X2082" s="217"/>
      <c r="Y2082" s="217"/>
      <c r="Z2082" s="217"/>
      <c r="AA2082" s="217"/>
      <c r="AB2082" s="217"/>
      <c r="AC2082" s="217"/>
      <c r="AD2082" s="217"/>
    </row>
    <row r="2083" spans="1:30" x14ac:dyDescent="0.2">
      <c r="A2083" s="232"/>
      <c r="B2083" s="210"/>
      <c r="C2083" s="210"/>
      <c r="D2083" s="210"/>
      <c r="E2083" s="210"/>
      <c r="G2083" s="55"/>
      <c r="H2083" s="56"/>
      <c r="I2083" s="217"/>
      <c r="J2083" s="217"/>
      <c r="K2083" s="217"/>
      <c r="L2083" s="217"/>
      <c r="M2083" s="217"/>
      <c r="N2083" s="217"/>
      <c r="O2083" s="217"/>
      <c r="P2083" s="217"/>
      <c r="Q2083" s="217"/>
      <c r="R2083" s="217"/>
      <c r="S2083" s="217"/>
      <c r="T2083" s="217"/>
      <c r="U2083" s="217"/>
      <c r="V2083" s="217"/>
      <c r="W2083" s="217"/>
      <c r="X2083" s="217"/>
      <c r="Y2083" s="217"/>
      <c r="Z2083" s="217"/>
      <c r="AA2083" s="217"/>
      <c r="AB2083" s="217"/>
      <c r="AC2083" s="217"/>
      <c r="AD2083" s="217"/>
    </row>
    <row r="2084" spans="1:30" x14ac:dyDescent="0.2">
      <c r="A2084" s="232"/>
      <c r="B2084" s="210"/>
      <c r="C2084" s="210"/>
      <c r="D2084" s="210"/>
      <c r="E2084" s="210"/>
      <c r="G2084" s="55"/>
      <c r="H2084" s="56"/>
      <c r="I2084" s="217"/>
      <c r="J2084" s="217"/>
      <c r="K2084" s="217"/>
      <c r="L2084" s="217"/>
      <c r="M2084" s="217"/>
      <c r="N2084" s="217"/>
      <c r="O2084" s="217"/>
      <c r="P2084" s="217"/>
      <c r="Q2084" s="217"/>
      <c r="R2084" s="217"/>
      <c r="S2084" s="217"/>
      <c r="T2084" s="217"/>
      <c r="U2084" s="217"/>
      <c r="V2084" s="217"/>
      <c r="W2084" s="217"/>
      <c r="X2084" s="217"/>
      <c r="Y2084" s="217"/>
      <c r="Z2084" s="217"/>
      <c r="AA2084" s="217"/>
      <c r="AB2084" s="217"/>
      <c r="AC2084" s="217"/>
      <c r="AD2084" s="217"/>
    </row>
    <row r="2085" spans="1:30" x14ac:dyDescent="0.2">
      <c r="A2085" s="232"/>
      <c r="B2085" s="210"/>
      <c r="C2085" s="210"/>
      <c r="D2085" s="210"/>
      <c r="E2085" s="210"/>
      <c r="G2085" s="55"/>
      <c r="H2085" s="56"/>
      <c r="I2085" s="217"/>
      <c r="J2085" s="217"/>
      <c r="K2085" s="217"/>
      <c r="L2085" s="217"/>
      <c r="M2085" s="217"/>
      <c r="N2085" s="217"/>
      <c r="O2085" s="217"/>
      <c r="P2085" s="217"/>
      <c r="Q2085" s="217"/>
      <c r="R2085" s="217"/>
      <c r="S2085" s="217"/>
      <c r="T2085" s="217"/>
      <c r="U2085" s="217"/>
      <c r="V2085" s="217"/>
      <c r="W2085" s="217"/>
      <c r="X2085" s="217"/>
      <c r="Y2085" s="217"/>
      <c r="Z2085" s="217"/>
      <c r="AA2085" s="217"/>
      <c r="AB2085" s="217"/>
      <c r="AC2085" s="217"/>
      <c r="AD2085" s="217"/>
    </row>
    <row r="2086" spans="1:30" x14ac:dyDescent="0.2">
      <c r="A2086" s="232"/>
      <c r="B2086" s="210"/>
      <c r="C2086" s="210"/>
      <c r="D2086" s="210"/>
      <c r="E2086" s="210"/>
      <c r="G2086" s="55"/>
      <c r="H2086" s="56"/>
      <c r="I2086" s="217"/>
      <c r="J2086" s="217"/>
      <c r="K2086" s="217"/>
      <c r="L2086" s="217"/>
      <c r="M2086" s="217"/>
      <c r="N2086" s="217"/>
      <c r="O2086" s="217"/>
      <c r="P2086" s="217"/>
      <c r="Q2086" s="217"/>
      <c r="R2086" s="217"/>
      <c r="S2086" s="217"/>
      <c r="T2086" s="217"/>
      <c r="U2086" s="217"/>
      <c r="V2086" s="217"/>
      <c r="W2086" s="217"/>
      <c r="X2086" s="217"/>
      <c r="Y2086" s="217"/>
      <c r="Z2086" s="217"/>
      <c r="AA2086" s="217"/>
      <c r="AB2086" s="217"/>
      <c r="AC2086" s="217"/>
      <c r="AD2086" s="217"/>
    </row>
    <row r="2087" spans="1:30" x14ac:dyDescent="0.2">
      <c r="A2087" s="232"/>
      <c r="B2087" s="210"/>
      <c r="C2087" s="210"/>
      <c r="D2087" s="210"/>
      <c r="E2087" s="210"/>
      <c r="G2087" s="55"/>
      <c r="H2087" s="56"/>
      <c r="I2087" s="217"/>
      <c r="J2087" s="217"/>
      <c r="K2087" s="217"/>
      <c r="L2087" s="217"/>
      <c r="M2087" s="217"/>
      <c r="N2087" s="217"/>
      <c r="O2087" s="217"/>
      <c r="P2087" s="217"/>
      <c r="Q2087" s="217"/>
      <c r="R2087" s="217"/>
      <c r="S2087" s="217"/>
      <c r="T2087" s="217"/>
      <c r="U2087" s="217"/>
      <c r="V2087" s="217"/>
      <c r="W2087" s="217"/>
      <c r="X2087" s="217"/>
      <c r="Y2087" s="217"/>
      <c r="Z2087" s="217"/>
      <c r="AA2087" s="217"/>
      <c r="AB2087" s="217"/>
      <c r="AC2087" s="217"/>
      <c r="AD2087" s="217"/>
    </row>
    <row r="2088" spans="1:30" x14ac:dyDescent="0.2">
      <c r="A2088" s="232"/>
      <c r="B2088" s="210"/>
      <c r="C2088" s="210"/>
      <c r="D2088" s="210"/>
      <c r="E2088" s="210"/>
      <c r="G2088" s="55"/>
      <c r="H2088" s="56"/>
      <c r="I2088" s="217"/>
      <c r="J2088" s="217"/>
      <c r="K2088" s="217"/>
      <c r="L2088" s="217"/>
      <c r="M2088" s="217"/>
      <c r="N2088" s="217"/>
      <c r="O2088" s="217"/>
      <c r="P2088" s="217"/>
      <c r="Q2088" s="217"/>
      <c r="R2088" s="217"/>
      <c r="S2088" s="217"/>
      <c r="T2088" s="217"/>
      <c r="U2088" s="217"/>
      <c r="V2088" s="217"/>
      <c r="W2088" s="217"/>
      <c r="X2088" s="217"/>
      <c r="Y2088" s="217"/>
      <c r="Z2088" s="217"/>
      <c r="AA2088" s="217"/>
      <c r="AB2088" s="217"/>
      <c r="AC2088" s="217"/>
      <c r="AD2088" s="217"/>
    </row>
    <row r="2089" spans="1:30" x14ac:dyDescent="0.2">
      <c r="A2089" s="232"/>
      <c r="B2089" s="210"/>
      <c r="C2089" s="210"/>
      <c r="D2089" s="210"/>
      <c r="E2089" s="210"/>
      <c r="G2089" s="55"/>
      <c r="H2089" s="56"/>
      <c r="I2089" s="217"/>
      <c r="J2089" s="217"/>
      <c r="K2089" s="217"/>
      <c r="L2089" s="217"/>
      <c r="M2089" s="217"/>
      <c r="N2089" s="217"/>
      <c r="O2089" s="217"/>
      <c r="P2089" s="217"/>
      <c r="Q2089" s="217"/>
      <c r="R2089" s="217"/>
      <c r="S2089" s="217"/>
      <c r="T2089" s="217"/>
      <c r="U2089" s="217"/>
      <c r="V2089" s="217"/>
      <c r="W2089" s="217"/>
      <c r="X2089" s="217"/>
      <c r="Y2089" s="217"/>
      <c r="Z2089" s="217"/>
      <c r="AA2089" s="217"/>
      <c r="AB2089" s="217"/>
      <c r="AC2089" s="217"/>
      <c r="AD2089" s="217"/>
    </row>
    <row r="2090" spans="1:30" x14ac:dyDescent="0.2">
      <c r="A2090" s="232"/>
      <c r="B2090" s="210"/>
      <c r="C2090" s="210"/>
      <c r="D2090" s="210"/>
      <c r="E2090" s="210"/>
      <c r="G2090" s="55"/>
      <c r="H2090" s="56"/>
      <c r="I2090" s="217"/>
      <c r="J2090" s="217"/>
      <c r="K2090" s="217"/>
      <c r="L2090" s="217"/>
      <c r="M2090" s="217"/>
      <c r="N2090" s="217"/>
      <c r="O2090" s="217"/>
      <c r="P2090" s="217"/>
      <c r="Q2090" s="217"/>
      <c r="R2090" s="217"/>
      <c r="S2090" s="217"/>
      <c r="T2090" s="217"/>
      <c r="U2090" s="217"/>
      <c r="V2090" s="217"/>
      <c r="W2090" s="217"/>
      <c r="X2090" s="217"/>
      <c r="Y2090" s="217"/>
      <c r="Z2090" s="217"/>
      <c r="AA2090" s="217"/>
      <c r="AB2090" s="217"/>
      <c r="AC2090" s="217"/>
      <c r="AD2090" s="217"/>
    </row>
    <row r="2091" spans="1:30" x14ac:dyDescent="0.2">
      <c r="A2091" s="232"/>
      <c r="B2091" s="210"/>
      <c r="C2091" s="210"/>
      <c r="D2091" s="210"/>
      <c r="E2091" s="210"/>
      <c r="G2091" s="55"/>
      <c r="H2091" s="56"/>
      <c r="I2091" s="217"/>
      <c r="J2091" s="217"/>
      <c r="K2091" s="217"/>
      <c r="L2091" s="217"/>
      <c r="M2091" s="217"/>
      <c r="N2091" s="217"/>
      <c r="O2091" s="217"/>
      <c r="P2091" s="217"/>
      <c r="Q2091" s="217"/>
      <c r="R2091" s="217"/>
      <c r="S2091" s="217"/>
      <c r="T2091" s="217"/>
      <c r="U2091" s="217"/>
      <c r="V2091" s="217"/>
      <c r="W2091" s="217"/>
      <c r="X2091" s="217"/>
      <c r="Y2091" s="217"/>
      <c r="Z2091" s="217"/>
      <c r="AA2091" s="217"/>
      <c r="AB2091" s="217"/>
      <c r="AC2091" s="217"/>
      <c r="AD2091" s="217"/>
    </row>
    <row r="2092" spans="1:30" x14ac:dyDescent="0.2">
      <c r="A2092" s="232"/>
      <c r="B2092" s="210"/>
      <c r="C2092" s="210"/>
      <c r="D2092" s="210"/>
      <c r="E2092" s="210"/>
      <c r="G2092" s="55"/>
      <c r="H2092" s="56"/>
      <c r="I2092" s="217"/>
      <c r="J2092" s="217"/>
      <c r="K2092" s="217"/>
      <c r="L2092" s="217"/>
      <c r="M2092" s="217"/>
      <c r="N2092" s="217"/>
      <c r="O2092" s="217"/>
      <c r="P2092" s="217"/>
      <c r="Q2092" s="217"/>
      <c r="R2092" s="217"/>
      <c r="S2092" s="217"/>
      <c r="T2092" s="217"/>
      <c r="U2092" s="217"/>
      <c r="V2092" s="217"/>
      <c r="W2092" s="217"/>
      <c r="X2092" s="217"/>
      <c r="Y2092" s="217"/>
      <c r="Z2092" s="217"/>
      <c r="AA2092" s="217"/>
      <c r="AB2092" s="217"/>
      <c r="AC2092" s="217"/>
      <c r="AD2092" s="217"/>
    </row>
    <row r="2093" spans="1:30" x14ac:dyDescent="0.2">
      <c r="A2093" s="232"/>
      <c r="B2093" s="210"/>
      <c r="C2093" s="210"/>
      <c r="D2093" s="210"/>
      <c r="E2093" s="210"/>
      <c r="G2093" s="55"/>
      <c r="H2093" s="56"/>
      <c r="I2093" s="217"/>
      <c r="J2093" s="217"/>
      <c r="K2093" s="217"/>
      <c r="L2093" s="217"/>
      <c r="M2093" s="217"/>
      <c r="N2093" s="217"/>
      <c r="O2093" s="217"/>
      <c r="P2093" s="217"/>
      <c r="Q2093" s="217"/>
      <c r="R2093" s="217"/>
      <c r="S2093" s="217"/>
      <c r="T2093" s="217"/>
      <c r="U2093" s="217"/>
      <c r="V2093" s="217"/>
      <c r="W2093" s="217"/>
      <c r="X2093" s="217"/>
      <c r="Y2093" s="217"/>
      <c r="Z2093" s="217"/>
      <c r="AA2093" s="217"/>
      <c r="AB2093" s="217"/>
      <c r="AC2093" s="217"/>
      <c r="AD2093" s="217"/>
    </row>
    <row r="2094" spans="1:30" x14ac:dyDescent="0.2">
      <c r="A2094" s="232"/>
      <c r="B2094" s="210"/>
      <c r="C2094" s="210"/>
      <c r="D2094" s="210"/>
      <c r="E2094" s="210"/>
      <c r="G2094" s="55"/>
      <c r="H2094" s="56"/>
      <c r="I2094" s="217"/>
      <c r="J2094" s="217"/>
      <c r="K2094" s="217"/>
      <c r="L2094" s="217"/>
      <c r="M2094" s="217"/>
      <c r="N2094" s="217"/>
      <c r="O2094" s="217"/>
      <c r="P2094" s="217"/>
      <c r="Q2094" s="217"/>
      <c r="R2094" s="217"/>
      <c r="S2094" s="217"/>
      <c r="T2094" s="217"/>
      <c r="U2094" s="217"/>
      <c r="V2094" s="217"/>
      <c r="W2094" s="217"/>
      <c r="X2094" s="217"/>
      <c r="Y2094" s="217"/>
      <c r="Z2094" s="217"/>
      <c r="AA2094" s="217"/>
      <c r="AB2094" s="217"/>
      <c r="AC2094" s="217"/>
      <c r="AD2094" s="217"/>
    </row>
    <row r="2095" spans="1:30" x14ac:dyDescent="0.2">
      <c r="A2095" s="232"/>
      <c r="B2095" s="210"/>
      <c r="C2095" s="210"/>
      <c r="D2095" s="210"/>
      <c r="E2095" s="210"/>
      <c r="G2095" s="55"/>
      <c r="H2095" s="56"/>
      <c r="I2095" s="217"/>
      <c r="J2095" s="217"/>
      <c r="K2095" s="217"/>
      <c r="L2095" s="217"/>
      <c r="M2095" s="217"/>
      <c r="N2095" s="217"/>
      <c r="O2095" s="217"/>
      <c r="P2095" s="217"/>
      <c r="Q2095" s="217"/>
      <c r="R2095" s="217"/>
      <c r="S2095" s="217"/>
      <c r="T2095" s="217"/>
      <c r="U2095" s="217"/>
      <c r="V2095" s="217"/>
      <c r="W2095" s="217"/>
      <c r="X2095" s="217"/>
      <c r="Y2095" s="217"/>
      <c r="Z2095" s="217"/>
      <c r="AA2095" s="217"/>
      <c r="AB2095" s="217"/>
      <c r="AC2095" s="217"/>
      <c r="AD2095" s="217"/>
    </row>
    <row r="2096" spans="1:30" x14ac:dyDescent="0.2">
      <c r="A2096" s="232"/>
      <c r="B2096" s="210"/>
      <c r="C2096" s="210"/>
      <c r="D2096" s="210"/>
      <c r="E2096" s="210"/>
      <c r="G2096" s="55"/>
      <c r="H2096" s="56"/>
      <c r="I2096" s="217"/>
      <c r="J2096" s="217"/>
      <c r="K2096" s="217"/>
      <c r="L2096" s="217"/>
      <c r="M2096" s="217"/>
      <c r="N2096" s="217"/>
      <c r="O2096" s="217"/>
      <c r="P2096" s="217"/>
      <c r="Q2096" s="217"/>
      <c r="R2096" s="217"/>
      <c r="S2096" s="217"/>
      <c r="T2096" s="217"/>
      <c r="U2096" s="217"/>
      <c r="V2096" s="217"/>
      <c r="W2096" s="217"/>
      <c r="X2096" s="217"/>
      <c r="Y2096" s="217"/>
      <c r="Z2096" s="217"/>
      <c r="AA2096" s="217"/>
      <c r="AB2096" s="217"/>
      <c r="AC2096" s="217"/>
      <c r="AD2096" s="217"/>
    </row>
    <row r="2097" spans="1:30" x14ac:dyDescent="0.2">
      <c r="A2097" s="232"/>
      <c r="B2097" s="210"/>
      <c r="C2097" s="210"/>
      <c r="D2097" s="210"/>
      <c r="E2097" s="210"/>
      <c r="G2097" s="55"/>
      <c r="H2097" s="56"/>
      <c r="I2097" s="217"/>
      <c r="J2097" s="217"/>
      <c r="K2097" s="217"/>
      <c r="L2097" s="217"/>
      <c r="M2097" s="217"/>
      <c r="N2097" s="217"/>
      <c r="O2097" s="217"/>
      <c r="P2097" s="217"/>
      <c r="Q2097" s="217"/>
      <c r="R2097" s="217"/>
      <c r="S2097" s="217"/>
      <c r="T2097" s="217"/>
      <c r="U2097" s="217"/>
      <c r="V2097" s="217"/>
      <c r="W2097" s="217"/>
      <c r="X2097" s="217"/>
      <c r="Y2097" s="217"/>
      <c r="Z2097" s="217"/>
      <c r="AA2097" s="217"/>
      <c r="AB2097" s="217"/>
      <c r="AC2097" s="217"/>
      <c r="AD2097" s="217"/>
    </row>
    <row r="2098" spans="1:30" x14ac:dyDescent="0.2">
      <c r="A2098" s="232"/>
      <c r="B2098" s="210"/>
      <c r="C2098" s="210"/>
      <c r="D2098" s="210"/>
      <c r="E2098" s="210"/>
      <c r="G2098" s="55"/>
      <c r="H2098" s="56"/>
      <c r="I2098" s="217"/>
      <c r="J2098" s="217"/>
      <c r="K2098" s="217"/>
      <c r="L2098" s="217"/>
      <c r="M2098" s="217"/>
      <c r="N2098" s="217"/>
      <c r="O2098" s="217"/>
      <c r="P2098" s="217"/>
      <c r="Q2098" s="217"/>
      <c r="R2098" s="217"/>
      <c r="S2098" s="217"/>
      <c r="T2098" s="217"/>
      <c r="U2098" s="217"/>
      <c r="V2098" s="217"/>
      <c r="W2098" s="217"/>
      <c r="X2098" s="217"/>
      <c r="Y2098" s="217"/>
      <c r="Z2098" s="217"/>
      <c r="AA2098" s="217"/>
      <c r="AB2098" s="217"/>
      <c r="AC2098" s="217"/>
      <c r="AD2098" s="217"/>
    </row>
    <row r="2099" spans="1:30" x14ac:dyDescent="0.2">
      <c r="A2099" s="232"/>
      <c r="B2099" s="210"/>
      <c r="C2099" s="210"/>
      <c r="D2099" s="210"/>
      <c r="E2099" s="210"/>
      <c r="G2099" s="55"/>
      <c r="H2099" s="56"/>
      <c r="I2099" s="217"/>
      <c r="J2099" s="217"/>
      <c r="K2099" s="217"/>
      <c r="L2099" s="217"/>
      <c r="M2099" s="217"/>
      <c r="N2099" s="217"/>
      <c r="O2099" s="217"/>
      <c r="P2099" s="217"/>
      <c r="Q2099" s="217"/>
      <c r="R2099" s="217"/>
      <c r="S2099" s="217"/>
      <c r="T2099" s="217"/>
      <c r="U2099" s="217"/>
      <c r="V2099" s="217"/>
      <c r="W2099" s="217"/>
      <c r="X2099" s="217"/>
      <c r="Y2099" s="217"/>
      <c r="Z2099" s="217"/>
      <c r="AA2099" s="217"/>
      <c r="AB2099" s="217"/>
      <c r="AC2099" s="217"/>
      <c r="AD2099" s="217"/>
    </row>
    <row r="2100" spans="1:30" x14ac:dyDescent="0.2">
      <c r="A2100" s="232"/>
      <c r="B2100" s="210"/>
      <c r="C2100" s="210"/>
      <c r="D2100" s="210"/>
      <c r="E2100" s="210"/>
      <c r="G2100" s="55"/>
      <c r="H2100" s="56"/>
      <c r="I2100" s="217"/>
      <c r="J2100" s="217"/>
      <c r="K2100" s="217"/>
      <c r="L2100" s="217"/>
      <c r="M2100" s="217"/>
      <c r="N2100" s="217"/>
      <c r="O2100" s="217"/>
      <c r="P2100" s="217"/>
      <c r="Q2100" s="217"/>
      <c r="R2100" s="217"/>
      <c r="S2100" s="217"/>
      <c r="T2100" s="217"/>
      <c r="U2100" s="217"/>
      <c r="V2100" s="217"/>
      <c r="W2100" s="217"/>
      <c r="X2100" s="217"/>
      <c r="Y2100" s="217"/>
      <c r="Z2100" s="217"/>
      <c r="AA2100" s="217"/>
      <c r="AB2100" s="217"/>
      <c r="AC2100" s="217"/>
      <c r="AD2100" s="217"/>
    </row>
    <row r="2101" spans="1:30" x14ac:dyDescent="0.2">
      <c r="A2101" s="232"/>
      <c r="B2101" s="210"/>
      <c r="C2101" s="210"/>
      <c r="D2101" s="210"/>
      <c r="E2101" s="210"/>
      <c r="G2101" s="55"/>
      <c r="H2101" s="56"/>
      <c r="I2101" s="217"/>
      <c r="J2101" s="217"/>
      <c r="K2101" s="217"/>
      <c r="L2101" s="217"/>
      <c r="M2101" s="217"/>
      <c r="N2101" s="217"/>
      <c r="O2101" s="217"/>
      <c r="P2101" s="217"/>
      <c r="Q2101" s="217"/>
      <c r="R2101" s="217"/>
      <c r="S2101" s="217"/>
      <c r="T2101" s="217"/>
      <c r="U2101" s="217"/>
      <c r="V2101" s="217"/>
      <c r="W2101" s="217"/>
      <c r="X2101" s="217"/>
      <c r="Y2101" s="217"/>
      <c r="Z2101" s="217"/>
      <c r="AA2101" s="217"/>
      <c r="AB2101" s="217"/>
      <c r="AC2101" s="217"/>
      <c r="AD2101" s="217"/>
    </row>
    <row r="2102" spans="1:30" x14ac:dyDescent="0.2">
      <c r="A2102" s="232"/>
      <c r="B2102" s="210"/>
      <c r="C2102" s="210"/>
      <c r="D2102" s="210"/>
      <c r="E2102" s="210"/>
      <c r="G2102" s="55"/>
      <c r="H2102" s="56"/>
      <c r="I2102" s="217"/>
      <c r="J2102" s="217"/>
      <c r="K2102" s="217"/>
      <c r="L2102" s="217"/>
      <c r="M2102" s="217"/>
      <c r="N2102" s="217"/>
      <c r="O2102" s="217"/>
      <c r="P2102" s="217"/>
      <c r="Q2102" s="217"/>
      <c r="R2102" s="217"/>
      <c r="S2102" s="217"/>
      <c r="T2102" s="217"/>
      <c r="U2102" s="217"/>
      <c r="V2102" s="217"/>
      <c r="W2102" s="217"/>
      <c r="X2102" s="217"/>
      <c r="Y2102" s="217"/>
      <c r="Z2102" s="217"/>
      <c r="AA2102" s="217"/>
      <c r="AB2102" s="217"/>
      <c r="AC2102" s="217"/>
      <c r="AD2102" s="217"/>
    </row>
    <row r="2103" spans="1:30" x14ac:dyDescent="0.2">
      <c r="A2103" s="232"/>
      <c r="B2103" s="210"/>
      <c r="C2103" s="210"/>
      <c r="D2103" s="210"/>
      <c r="E2103" s="210"/>
      <c r="G2103" s="55"/>
      <c r="H2103" s="56"/>
      <c r="I2103" s="217"/>
      <c r="J2103" s="217"/>
      <c r="K2103" s="217"/>
      <c r="L2103" s="217"/>
      <c r="M2103" s="217"/>
      <c r="N2103" s="217"/>
      <c r="O2103" s="217"/>
      <c r="P2103" s="217"/>
      <c r="Q2103" s="217"/>
      <c r="R2103" s="217"/>
      <c r="S2103" s="217"/>
      <c r="T2103" s="217"/>
      <c r="U2103" s="217"/>
      <c r="V2103" s="217"/>
      <c r="W2103" s="217"/>
      <c r="X2103" s="217"/>
      <c r="Y2103" s="217"/>
      <c r="Z2103" s="217"/>
      <c r="AA2103" s="217"/>
      <c r="AB2103" s="217"/>
      <c r="AC2103" s="217"/>
      <c r="AD2103" s="217"/>
    </row>
    <row r="2104" spans="1:30" x14ac:dyDescent="0.2">
      <c r="A2104" s="232"/>
      <c r="B2104" s="210"/>
      <c r="C2104" s="210"/>
      <c r="D2104" s="210"/>
      <c r="E2104" s="210"/>
      <c r="G2104" s="55"/>
      <c r="H2104" s="56"/>
      <c r="I2104" s="217"/>
      <c r="J2104" s="217"/>
      <c r="K2104" s="217"/>
      <c r="L2104" s="217"/>
      <c r="M2104" s="217"/>
      <c r="N2104" s="217"/>
      <c r="O2104" s="217"/>
      <c r="P2104" s="217"/>
      <c r="Q2104" s="217"/>
      <c r="R2104" s="217"/>
      <c r="S2104" s="217"/>
      <c r="T2104" s="217"/>
      <c r="U2104" s="217"/>
      <c r="V2104" s="217"/>
      <c r="W2104" s="217"/>
      <c r="X2104" s="217"/>
      <c r="Y2104" s="217"/>
      <c r="Z2104" s="217"/>
      <c r="AA2104" s="217"/>
      <c r="AB2104" s="217"/>
      <c r="AC2104" s="217"/>
      <c r="AD2104" s="217"/>
    </row>
    <row r="2105" spans="1:30" x14ac:dyDescent="0.2">
      <c r="A2105" s="232"/>
      <c r="B2105" s="210"/>
      <c r="C2105" s="210"/>
      <c r="D2105" s="210"/>
      <c r="E2105" s="210"/>
      <c r="G2105" s="55"/>
      <c r="H2105" s="56"/>
      <c r="I2105" s="217"/>
      <c r="J2105" s="217"/>
      <c r="K2105" s="217"/>
      <c r="L2105" s="217"/>
      <c r="M2105" s="217"/>
      <c r="N2105" s="217"/>
      <c r="O2105" s="217"/>
      <c r="P2105" s="217"/>
      <c r="Q2105" s="217"/>
      <c r="R2105" s="217"/>
      <c r="S2105" s="217"/>
      <c r="T2105" s="217"/>
      <c r="U2105" s="217"/>
      <c r="V2105" s="217"/>
      <c r="W2105" s="217"/>
      <c r="X2105" s="217"/>
      <c r="Y2105" s="217"/>
      <c r="Z2105" s="217"/>
      <c r="AA2105" s="217"/>
      <c r="AB2105" s="217"/>
      <c r="AC2105" s="217"/>
      <c r="AD2105" s="217"/>
    </row>
    <row r="2106" spans="1:30" x14ac:dyDescent="0.2">
      <c r="A2106" s="232"/>
      <c r="B2106" s="210"/>
      <c r="C2106" s="210"/>
      <c r="D2106" s="210"/>
      <c r="E2106" s="210"/>
      <c r="G2106" s="55"/>
      <c r="H2106" s="56"/>
      <c r="I2106" s="217"/>
      <c r="J2106" s="217"/>
      <c r="K2106" s="217"/>
      <c r="L2106" s="217"/>
      <c r="M2106" s="217"/>
      <c r="N2106" s="217"/>
      <c r="O2106" s="217"/>
      <c r="P2106" s="217"/>
      <c r="Q2106" s="217"/>
      <c r="R2106" s="217"/>
      <c r="S2106" s="217"/>
      <c r="T2106" s="217"/>
      <c r="U2106" s="217"/>
      <c r="V2106" s="217"/>
      <c r="W2106" s="217"/>
      <c r="X2106" s="217"/>
      <c r="Y2106" s="217"/>
      <c r="Z2106" s="217"/>
      <c r="AA2106" s="217"/>
      <c r="AB2106" s="217"/>
      <c r="AC2106" s="217"/>
      <c r="AD2106" s="217"/>
    </row>
    <row r="2107" spans="1:30" x14ac:dyDescent="0.2">
      <c r="A2107" s="232"/>
      <c r="B2107" s="210"/>
      <c r="C2107" s="210"/>
      <c r="D2107" s="210"/>
      <c r="E2107" s="210"/>
      <c r="G2107" s="55"/>
      <c r="H2107" s="56"/>
      <c r="I2107" s="217"/>
      <c r="J2107" s="217"/>
      <c r="K2107" s="217"/>
      <c r="L2107" s="217"/>
      <c r="M2107" s="217"/>
      <c r="N2107" s="217"/>
      <c r="O2107" s="217"/>
      <c r="P2107" s="217"/>
      <c r="Q2107" s="217"/>
      <c r="R2107" s="217"/>
      <c r="S2107" s="217"/>
      <c r="T2107" s="217"/>
      <c r="U2107" s="217"/>
      <c r="V2107" s="217"/>
      <c r="W2107" s="217"/>
      <c r="X2107" s="217"/>
      <c r="Y2107" s="217"/>
      <c r="Z2107" s="217"/>
      <c r="AA2107" s="217"/>
      <c r="AB2107" s="217"/>
      <c r="AC2107" s="217"/>
      <c r="AD2107" s="217"/>
    </row>
    <row r="2108" spans="1:30" x14ac:dyDescent="0.2">
      <c r="A2108" s="232"/>
      <c r="B2108" s="210"/>
      <c r="C2108" s="210"/>
      <c r="D2108" s="210"/>
      <c r="E2108" s="210"/>
      <c r="G2108" s="55"/>
      <c r="H2108" s="56"/>
      <c r="I2108" s="217"/>
      <c r="J2108" s="217"/>
      <c r="K2108" s="217"/>
      <c r="L2108" s="217"/>
      <c r="M2108" s="217"/>
      <c r="N2108" s="217"/>
      <c r="O2108" s="217"/>
      <c r="P2108" s="217"/>
      <c r="Q2108" s="217"/>
      <c r="R2108" s="217"/>
      <c r="S2108" s="217"/>
      <c r="T2108" s="217"/>
      <c r="U2108" s="217"/>
      <c r="V2108" s="217"/>
      <c r="W2108" s="217"/>
      <c r="X2108" s="217"/>
      <c r="Y2108" s="217"/>
      <c r="Z2108" s="217"/>
      <c r="AA2108" s="217"/>
      <c r="AB2108" s="217"/>
      <c r="AC2108" s="217"/>
      <c r="AD2108" s="217"/>
    </row>
    <row r="2109" spans="1:30" x14ac:dyDescent="0.2">
      <c r="A2109" s="232"/>
      <c r="B2109" s="210"/>
      <c r="C2109" s="210"/>
      <c r="D2109" s="210"/>
      <c r="E2109" s="210"/>
      <c r="G2109" s="55"/>
      <c r="H2109" s="56"/>
      <c r="I2109" s="217"/>
      <c r="J2109" s="217"/>
      <c r="K2109" s="217"/>
      <c r="L2109" s="217"/>
      <c r="M2109" s="217"/>
      <c r="N2109" s="217"/>
      <c r="O2109" s="217"/>
      <c r="P2109" s="217"/>
      <c r="Q2109" s="217"/>
      <c r="R2109" s="217"/>
      <c r="S2109" s="217"/>
      <c r="T2109" s="217"/>
      <c r="U2109" s="217"/>
      <c r="V2109" s="217"/>
      <c r="W2109" s="217"/>
      <c r="X2109" s="217"/>
      <c r="Y2109" s="217"/>
      <c r="Z2109" s="217"/>
      <c r="AA2109" s="217"/>
      <c r="AB2109" s="217"/>
      <c r="AC2109" s="217"/>
      <c r="AD2109" s="217"/>
    </row>
    <row r="2110" spans="1:30" x14ac:dyDescent="0.2">
      <c r="A2110" s="232"/>
      <c r="B2110" s="210"/>
      <c r="C2110" s="210"/>
      <c r="D2110" s="210"/>
      <c r="E2110" s="210"/>
      <c r="G2110" s="55"/>
      <c r="H2110" s="56"/>
      <c r="I2110" s="217"/>
      <c r="J2110" s="217"/>
      <c r="K2110" s="217"/>
      <c r="L2110" s="217"/>
      <c r="M2110" s="217"/>
      <c r="N2110" s="217"/>
      <c r="O2110" s="217"/>
      <c r="P2110" s="217"/>
      <c r="Q2110" s="217"/>
      <c r="R2110" s="217"/>
      <c r="S2110" s="217"/>
      <c r="T2110" s="217"/>
      <c r="U2110" s="217"/>
      <c r="V2110" s="217"/>
      <c r="W2110" s="217"/>
      <c r="X2110" s="217"/>
      <c r="Y2110" s="217"/>
      <c r="Z2110" s="217"/>
      <c r="AA2110" s="217"/>
      <c r="AB2110" s="217"/>
      <c r="AC2110" s="217"/>
      <c r="AD2110" s="217"/>
    </row>
    <row r="2111" spans="1:30" x14ac:dyDescent="0.2">
      <c r="A2111" s="232"/>
      <c r="B2111" s="210"/>
      <c r="C2111" s="210"/>
      <c r="D2111" s="210"/>
      <c r="E2111" s="210"/>
      <c r="G2111" s="55"/>
      <c r="H2111" s="56"/>
      <c r="I2111" s="217"/>
      <c r="J2111" s="217"/>
      <c r="K2111" s="217"/>
      <c r="L2111" s="217"/>
      <c r="M2111" s="217"/>
      <c r="N2111" s="217"/>
      <c r="O2111" s="217"/>
      <c r="P2111" s="217"/>
      <c r="Q2111" s="217"/>
      <c r="R2111" s="217"/>
      <c r="S2111" s="217"/>
      <c r="T2111" s="217"/>
      <c r="U2111" s="217"/>
      <c r="V2111" s="217"/>
      <c r="W2111" s="217"/>
      <c r="X2111" s="217"/>
      <c r="Y2111" s="217"/>
      <c r="Z2111" s="217"/>
      <c r="AA2111" s="217"/>
      <c r="AB2111" s="217"/>
      <c r="AC2111" s="217"/>
      <c r="AD2111" s="217"/>
    </row>
    <row r="2112" spans="1:30" x14ac:dyDescent="0.2">
      <c r="A2112" s="232"/>
      <c r="B2112" s="210"/>
      <c r="C2112" s="210"/>
      <c r="D2112" s="210"/>
      <c r="E2112" s="210"/>
      <c r="G2112" s="55"/>
      <c r="H2112" s="56"/>
      <c r="I2112" s="217"/>
      <c r="J2112" s="217"/>
      <c r="K2112" s="217"/>
      <c r="L2112" s="217"/>
      <c r="M2112" s="217"/>
      <c r="N2112" s="217"/>
      <c r="O2112" s="217"/>
      <c r="P2112" s="217"/>
      <c r="Q2112" s="217"/>
      <c r="R2112" s="217"/>
      <c r="S2112" s="217"/>
      <c r="T2112" s="217"/>
      <c r="U2112" s="217"/>
      <c r="V2112" s="217"/>
      <c r="W2112" s="217"/>
      <c r="X2112" s="217"/>
      <c r="Y2112" s="217"/>
      <c r="Z2112" s="217"/>
      <c r="AA2112" s="217"/>
      <c r="AB2112" s="217"/>
      <c r="AC2112" s="217"/>
      <c r="AD2112" s="217"/>
    </row>
    <row r="2113" spans="1:30" x14ac:dyDescent="0.2">
      <c r="A2113" s="232"/>
      <c r="B2113" s="210"/>
      <c r="C2113" s="210"/>
      <c r="D2113" s="210"/>
      <c r="E2113" s="210"/>
      <c r="G2113" s="55"/>
      <c r="H2113" s="56"/>
      <c r="I2113" s="217"/>
      <c r="J2113" s="217"/>
      <c r="K2113" s="217"/>
      <c r="L2113" s="217"/>
      <c r="M2113" s="217"/>
      <c r="N2113" s="217"/>
      <c r="O2113" s="217"/>
      <c r="P2113" s="217"/>
      <c r="Q2113" s="217"/>
      <c r="R2113" s="217"/>
      <c r="S2113" s="217"/>
      <c r="T2113" s="217"/>
      <c r="U2113" s="217"/>
      <c r="V2113" s="217"/>
      <c r="W2113" s="217"/>
      <c r="X2113" s="217"/>
      <c r="Y2113" s="217"/>
      <c r="Z2113" s="217"/>
      <c r="AA2113" s="217"/>
      <c r="AB2113" s="217"/>
      <c r="AC2113" s="217"/>
      <c r="AD2113" s="217"/>
    </row>
    <row r="2114" spans="1:30" x14ac:dyDescent="0.2">
      <c r="A2114" s="232"/>
      <c r="B2114" s="210"/>
      <c r="C2114" s="210"/>
      <c r="D2114" s="210"/>
      <c r="E2114" s="210"/>
      <c r="G2114" s="55"/>
      <c r="H2114" s="56"/>
      <c r="I2114" s="217"/>
      <c r="J2114" s="217"/>
      <c r="K2114" s="217"/>
      <c r="L2114" s="217"/>
      <c r="M2114" s="217"/>
      <c r="N2114" s="217"/>
      <c r="O2114" s="217"/>
      <c r="P2114" s="217"/>
      <c r="Q2114" s="217"/>
      <c r="R2114" s="217"/>
      <c r="S2114" s="217"/>
      <c r="T2114" s="217"/>
      <c r="U2114" s="217"/>
      <c r="V2114" s="217"/>
      <c r="W2114" s="217"/>
      <c r="X2114" s="217"/>
      <c r="Y2114" s="217"/>
      <c r="Z2114" s="217"/>
      <c r="AA2114" s="217"/>
      <c r="AB2114" s="217"/>
      <c r="AC2114" s="217"/>
      <c r="AD2114" s="217"/>
    </row>
    <row r="2115" spans="1:30" x14ac:dyDescent="0.2">
      <c r="A2115" s="232"/>
      <c r="B2115" s="210"/>
      <c r="C2115" s="210"/>
      <c r="D2115" s="210"/>
      <c r="E2115" s="210"/>
      <c r="G2115" s="55"/>
      <c r="H2115" s="56"/>
      <c r="I2115" s="217"/>
      <c r="J2115" s="217"/>
      <c r="K2115" s="217"/>
      <c r="L2115" s="217"/>
      <c r="M2115" s="217"/>
      <c r="N2115" s="217"/>
      <c r="O2115" s="217"/>
      <c r="P2115" s="217"/>
      <c r="Q2115" s="217"/>
      <c r="R2115" s="217"/>
      <c r="S2115" s="217"/>
      <c r="T2115" s="217"/>
      <c r="U2115" s="217"/>
      <c r="V2115" s="217"/>
      <c r="W2115" s="217"/>
      <c r="X2115" s="217"/>
      <c r="Y2115" s="217"/>
      <c r="Z2115" s="217"/>
      <c r="AA2115" s="217"/>
      <c r="AB2115" s="217"/>
      <c r="AC2115" s="217"/>
      <c r="AD2115" s="217"/>
    </row>
    <row r="2116" spans="1:30" x14ac:dyDescent="0.2">
      <c r="A2116" s="232"/>
      <c r="B2116" s="210"/>
      <c r="C2116" s="210"/>
      <c r="D2116" s="210"/>
      <c r="E2116" s="210"/>
      <c r="G2116" s="55"/>
      <c r="H2116" s="56"/>
      <c r="I2116" s="217"/>
      <c r="J2116" s="217"/>
      <c r="K2116" s="217"/>
      <c r="L2116" s="217"/>
      <c r="M2116" s="217"/>
      <c r="N2116" s="217"/>
      <c r="O2116" s="217"/>
      <c r="P2116" s="217"/>
      <c r="Q2116" s="217"/>
      <c r="R2116" s="217"/>
      <c r="S2116" s="217"/>
      <c r="T2116" s="217"/>
      <c r="U2116" s="217"/>
      <c r="V2116" s="217"/>
      <c r="W2116" s="217"/>
      <c r="X2116" s="217"/>
      <c r="Y2116" s="217"/>
      <c r="Z2116" s="217"/>
      <c r="AA2116" s="217"/>
      <c r="AB2116" s="217"/>
      <c r="AC2116" s="217"/>
      <c r="AD2116" s="217"/>
    </row>
    <row r="2117" spans="1:30" x14ac:dyDescent="0.2">
      <c r="A2117" s="232"/>
      <c r="B2117" s="210"/>
      <c r="C2117" s="210"/>
      <c r="D2117" s="210"/>
      <c r="E2117" s="210"/>
      <c r="G2117" s="55"/>
      <c r="H2117" s="56"/>
      <c r="I2117" s="217"/>
      <c r="J2117" s="217"/>
      <c r="K2117" s="217"/>
      <c r="L2117" s="217"/>
      <c r="M2117" s="217"/>
      <c r="N2117" s="217"/>
      <c r="O2117" s="217"/>
      <c r="P2117" s="217"/>
      <c r="Q2117" s="217"/>
      <c r="R2117" s="217"/>
      <c r="S2117" s="217"/>
      <c r="T2117" s="217"/>
      <c r="U2117" s="217"/>
      <c r="V2117" s="217"/>
      <c r="W2117" s="217"/>
      <c r="X2117" s="217"/>
      <c r="Y2117" s="217"/>
      <c r="Z2117" s="217"/>
      <c r="AA2117" s="217"/>
      <c r="AB2117" s="217"/>
      <c r="AC2117" s="217"/>
      <c r="AD2117" s="217"/>
    </row>
    <row r="2118" spans="1:30" x14ac:dyDescent="0.2">
      <c r="A2118" s="232"/>
      <c r="B2118" s="210"/>
      <c r="C2118" s="210"/>
      <c r="D2118" s="210"/>
      <c r="E2118" s="210"/>
      <c r="G2118" s="55"/>
      <c r="H2118" s="56"/>
      <c r="I2118" s="217"/>
      <c r="J2118" s="217"/>
      <c r="K2118" s="217"/>
      <c r="L2118" s="217"/>
      <c r="M2118" s="217"/>
      <c r="N2118" s="217"/>
      <c r="O2118" s="217"/>
      <c r="P2118" s="217"/>
      <c r="Q2118" s="217"/>
      <c r="R2118" s="217"/>
      <c r="S2118" s="217"/>
      <c r="T2118" s="217"/>
      <c r="U2118" s="217"/>
      <c r="V2118" s="217"/>
      <c r="W2118" s="217"/>
      <c r="X2118" s="217"/>
      <c r="Y2118" s="217"/>
      <c r="Z2118" s="217"/>
      <c r="AA2118" s="217"/>
      <c r="AB2118" s="217"/>
      <c r="AC2118" s="217"/>
      <c r="AD2118" s="217"/>
    </row>
    <row r="2119" spans="1:30" x14ac:dyDescent="0.2">
      <c r="A2119" s="232"/>
      <c r="B2119" s="210"/>
      <c r="C2119" s="210"/>
      <c r="D2119" s="210"/>
      <c r="E2119" s="210"/>
      <c r="G2119" s="55"/>
      <c r="H2119" s="56"/>
      <c r="I2119" s="217"/>
      <c r="J2119" s="217"/>
      <c r="K2119" s="217"/>
      <c r="L2119" s="217"/>
      <c r="M2119" s="217"/>
      <c r="N2119" s="217"/>
      <c r="O2119" s="217"/>
      <c r="P2119" s="217"/>
      <c r="Q2119" s="217"/>
      <c r="R2119" s="217"/>
      <c r="S2119" s="217"/>
      <c r="T2119" s="217"/>
      <c r="U2119" s="217"/>
      <c r="V2119" s="217"/>
      <c r="W2119" s="217"/>
      <c r="X2119" s="217"/>
      <c r="Y2119" s="217"/>
      <c r="Z2119" s="217"/>
      <c r="AA2119" s="217"/>
      <c r="AB2119" s="217"/>
      <c r="AC2119" s="217"/>
      <c r="AD2119" s="217"/>
    </row>
    <row r="2120" spans="1:30" x14ac:dyDescent="0.2">
      <c r="A2120" s="232"/>
      <c r="B2120" s="210"/>
      <c r="C2120" s="210"/>
      <c r="D2120" s="210"/>
      <c r="E2120" s="210"/>
      <c r="G2120" s="55"/>
      <c r="H2120" s="56"/>
      <c r="I2120" s="217"/>
      <c r="J2120" s="217"/>
      <c r="K2120" s="217"/>
      <c r="L2120" s="217"/>
      <c r="M2120" s="217"/>
      <c r="N2120" s="217"/>
      <c r="O2120" s="217"/>
      <c r="P2120" s="217"/>
      <c r="Q2120" s="217"/>
      <c r="R2120" s="217"/>
      <c r="S2120" s="217"/>
      <c r="T2120" s="217"/>
      <c r="U2120" s="217"/>
      <c r="V2120" s="217"/>
      <c r="W2120" s="217"/>
      <c r="X2120" s="217"/>
      <c r="Y2120" s="217"/>
      <c r="Z2120" s="217"/>
      <c r="AA2120" s="217"/>
      <c r="AB2120" s="217"/>
      <c r="AC2120" s="217"/>
      <c r="AD2120" s="217"/>
    </row>
    <row r="2121" spans="1:30" x14ac:dyDescent="0.2">
      <c r="A2121" s="232"/>
      <c r="B2121" s="210"/>
      <c r="C2121" s="210"/>
      <c r="D2121" s="210"/>
      <c r="E2121" s="210"/>
      <c r="G2121" s="55"/>
      <c r="H2121" s="56"/>
      <c r="I2121" s="217"/>
      <c r="J2121" s="217"/>
      <c r="K2121" s="217"/>
      <c r="L2121" s="217"/>
      <c r="M2121" s="217"/>
      <c r="N2121" s="217"/>
      <c r="O2121" s="217"/>
      <c r="P2121" s="217"/>
      <c r="Q2121" s="217"/>
      <c r="R2121" s="217"/>
      <c r="S2121" s="217"/>
      <c r="T2121" s="217"/>
      <c r="U2121" s="217"/>
      <c r="V2121" s="217"/>
      <c r="W2121" s="217"/>
      <c r="X2121" s="217"/>
      <c r="Y2121" s="217"/>
      <c r="Z2121" s="217"/>
      <c r="AA2121" s="217"/>
      <c r="AB2121" s="217"/>
      <c r="AC2121" s="217"/>
      <c r="AD2121" s="217"/>
    </row>
    <row r="2122" spans="1:30" x14ac:dyDescent="0.2">
      <c r="A2122" s="232"/>
      <c r="B2122" s="210"/>
      <c r="C2122" s="210"/>
      <c r="D2122" s="210"/>
      <c r="E2122" s="210"/>
      <c r="G2122" s="55"/>
      <c r="H2122" s="56"/>
      <c r="I2122" s="217"/>
      <c r="J2122" s="217"/>
      <c r="K2122" s="217"/>
      <c r="L2122" s="217"/>
      <c r="M2122" s="217"/>
      <c r="N2122" s="217"/>
      <c r="O2122" s="217"/>
      <c r="P2122" s="217"/>
      <c r="Q2122" s="217"/>
      <c r="R2122" s="217"/>
      <c r="S2122" s="217"/>
      <c r="T2122" s="217"/>
      <c r="U2122" s="217"/>
      <c r="V2122" s="217"/>
      <c r="W2122" s="217"/>
      <c r="X2122" s="217"/>
      <c r="Y2122" s="217"/>
      <c r="Z2122" s="217"/>
      <c r="AA2122" s="217"/>
      <c r="AB2122" s="217"/>
      <c r="AC2122" s="217"/>
      <c r="AD2122" s="217"/>
    </row>
    <row r="2123" spans="1:30" x14ac:dyDescent="0.2">
      <c r="A2123" s="232"/>
      <c r="B2123" s="210"/>
      <c r="C2123" s="210"/>
      <c r="D2123" s="210"/>
      <c r="E2123" s="210"/>
      <c r="G2123" s="55"/>
      <c r="H2123" s="56"/>
      <c r="I2123" s="217"/>
      <c r="J2123" s="217"/>
      <c r="K2123" s="217"/>
      <c r="L2123" s="217"/>
      <c r="M2123" s="217"/>
      <c r="N2123" s="217"/>
      <c r="O2123" s="217"/>
      <c r="P2123" s="217"/>
      <c r="Q2123" s="217"/>
      <c r="R2123" s="217"/>
      <c r="S2123" s="217"/>
      <c r="T2123" s="217"/>
      <c r="U2123" s="217"/>
      <c r="V2123" s="217"/>
      <c r="W2123" s="217"/>
      <c r="X2123" s="217"/>
      <c r="Y2123" s="217"/>
      <c r="Z2123" s="217"/>
      <c r="AA2123" s="217"/>
      <c r="AB2123" s="217"/>
      <c r="AC2123" s="217"/>
      <c r="AD2123" s="217"/>
    </row>
    <row r="2124" spans="1:30" x14ac:dyDescent="0.2">
      <c r="A2124" s="232"/>
      <c r="B2124" s="210"/>
      <c r="C2124" s="210"/>
      <c r="D2124" s="210"/>
      <c r="E2124" s="210"/>
      <c r="G2124" s="55"/>
      <c r="H2124" s="56"/>
      <c r="I2124" s="217"/>
      <c r="J2124" s="217"/>
      <c r="K2124" s="217"/>
      <c r="L2124" s="217"/>
      <c r="M2124" s="217"/>
      <c r="N2124" s="217"/>
      <c r="O2124" s="217"/>
      <c r="P2124" s="217"/>
      <c r="Q2124" s="217"/>
      <c r="R2124" s="217"/>
      <c r="S2124" s="217"/>
      <c r="T2124" s="217"/>
      <c r="U2124" s="217"/>
      <c r="V2124" s="217"/>
      <c r="W2124" s="217"/>
      <c r="X2124" s="217"/>
      <c r="Y2124" s="217"/>
      <c r="Z2124" s="217"/>
      <c r="AA2124" s="217"/>
      <c r="AB2124" s="217"/>
      <c r="AC2124" s="217"/>
      <c r="AD2124" s="217"/>
    </row>
    <row r="2125" spans="1:30" x14ac:dyDescent="0.2">
      <c r="A2125" s="232"/>
      <c r="B2125" s="210"/>
      <c r="C2125" s="210"/>
      <c r="D2125" s="210"/>
      <c r="E2125" s="210"/>
      <c r="G2125" s="55"/>
      <c r="H2125" s="56"/>
      <c r="I2125" s="217"/>
      <c r="J2125" s="217"/>
      <c r="K2125" s="217"/>
      <c r="L2125" s="217"/>
      <c r="M2125" s="217"/>
      <c r="N2125" s="217"/>
      <c r="O2125" s="217"/>
      <c r="P2125" s="217"/>
      <c r="Q2125" s="217"/>
      <c r="R2125" s="217"/>
      <c r="S2125" s="217"/>
      <c r="T2125" s="217"/>
      <c r="U2125" s="217"/>
      <c r="V2125" s="217"/>
      <c r="W2125" s="217"/>
      <c r="X2125" s="217"/>
      <c r="Y2125" s="217"/>
      <c r="Z2125" s="217"/>
      <c r="AA2125" s="217"/>
      <c r="AB2125" s="217"/>
      <c r="AC2125" s="217"/>
      <c r="AD2125" s="217"/>
    </row>
    <row r="2126" spans="1:30" x14ac:dyDescent="0.2">
      <c r="A2126" s="232"/>
      <c r="B2126" s="210"/>
      <c r="C2126" s="210"/>
      <c r="D2126" s="210"/>
      <c r="E2126" s="210"/>
      <c r="G2126" s="55"/>
      <c r="H2126" s="56"/>
      <c r="I2126" s="217"/>
      <c r="J2126" s="217"/>
      <c r="K2126" s="217"/>
      <c r="L2126" s="217"/>
      <c r="M2126" s="217"/>
      <c r="N2126" s="217"/>
      <c r="O2126" s="217"/>
      <c r="P2126" s="217"/>
      <c r="Q2126" s="217"/>
      <c r="R2126" s="217"/>
      <c r="S2126" s="217"/>
      <c r="T2126" s="217"/>
      <c r="U2126" s="217"/>
      <c r="V2126" s="217"/>
      <c r="W2126" s="217"/>
      <c r="X2126" s="217"/>
      <c r="Y2126" s="217"/>
      <c r="Z2126" s="217"/>
      <c r="AA2126" s="217"/>
      <c r="AB2126" s="217"/>
      <c r="AC2126" s="217"/>
      <c r="AD2126" s="217"/>
    </row>
    <row r="2127" spans="1:30" x14ac:dyDescent="0.2">
      <c r="A2127" s="232"/>
      <c r="B2127" s="210"/>
      <c r="C2127" s="210"/>
      <c r="D2127" s="210"/>
      <c r="E2127" s="210"/>
      <c r="G2127" s="55"/>
      <c r="H2127" s="56"/>
      <c r="I2127" s="217"/>
      <c r="J2127" s="217"/>
      <c r="K2127" s="217"/>
      <c r="L2127" s="217"/>
      <c r="M2127" s="217"/>
      <c r="N2127" s="217"/>
      <c r="O2127" s="217"/>
      <c r="P2127" s="217"/>
      <c r="Q2127" s="217"/>
      <c r="R2127" s="217"/>
      <c r="S2127" s="217"/>
      <c r="T2127" s="217"/>
      <c r="U2127" s="217"/>
      <c r="V2127" s="217"/>
      <c r="W2127" s="217"/>
      <c r="X2127" s="217"/>
      <c r="Y2127" s="217"/>
      <c r="Z2127" s="217"/>
      <c r="AA2127" s="217"/>
      <c r="AB2127" s="217"/>
      <c r="AC2127" s="217"/>
      <c r="AD2127" s="217"/>
    </row>
    <row r="2128" spans="1:30" x14ac:dyDescent="0.2">
      <c r="A2128" s="232"/>
      <c r="B2128" s="210"/>
      <c r="C2128" s="210"/>
      <c r="D2128" s="210"/>
      <c r="E2128" s="210"/>
      <c r="G2128" s="55"/>
      <c r="H2128" s="56"/>
      <c r="I2128" s="217"/>
      <c r="J2128" s="217"/>
      <c r="K2128" s="217"/>
      <c r="L2128" s="217"/>
      <c r="M2128" s="217"/>
      <c r="N2128" s="217"/>
      <c r="O2128" s="217"/>
      <c r="P2128" s="217"/>
      <c r="Q2128" s="217"/>
      <c r="R2128" s="217"/>
      <c r="S2128" s="217"/>
      <c r="T2128" s="217"/>
      <c r="U2128" s="217"/>
      <c r="V2128" s="217"/>
      <c r="W2128" s="217"/>
      <c r="X2128" s="217"/>
      <c r="Y2128" s="217"/>
      <c r="Z2128" s="217"/>
      <c r="AA2128" s="217"/>
      <c r="AB2128" s="217"/>
      <c r="AC2128" s="217"/>
      <c r="AD2128" s="217"/>
    </row>
    <row r="2129" spans="1:30" x14ac:dyDescent="0.2">
      <c r="A2129" s="232"/>
      <c r="B2129" s="210"/>
      <c r="C2129" s="210"/>
      <c r="D2129" s="210"/>
      <c r="E2129" s="210"/>
      <c r="G2129" s="55"/>
      <c r="H2129" s="56"/>
      <c r="I2129" s="217"/>
      <c r="J2129" s="217"/>
      <c r="K2129" s="217"/>
      <c r="L2129" s="217"/>
      <c r="M2129" s="217"/>
      <c r="N2129" s="217"/>
      <c r="O2129" s="217"/>
      <c r="P2129" s="217"/>
      <c r="Q2129" s="217"/>
      <c r="R2129" s="217"/>
      <c r="S2129" s="217"/>
      <c r="T2129" s="217"/>
      <c r="U2129" s="217"/>
      <c r="V2129" s="217"/>
      <c r="W2129" s="217"/>
      <c r="X2129" s="217"/>
      <c r="Y2129" s="217"/>
      <c r="Z2129" s="217"/>
      <c r="AA2129" s="217"/>
      <c r="AB2129" s="217"/>
      <c r="AC2129" s="217"/>
      <c r="AD2129" s="217"/>
    </row>
    <row r="2130" spans="1:30" x14ac:dyDescent="0.2">
      <c r="A2130" s="232"/>
      <c r="B2130" s="210"/>
      <c r="C2130" s="210"/>
      <c r="D2130" s="210"/>
      <c r="E2130" s="210"/>
      <c r="G2130" s="55"/>
      <c r="H2130" s="56"/>
      <c r="I2130" s="217"/>
      <c r="J2130" s="217"/>
      <c r="K2130" s="217"/>
      <c r="L2130" s="217"/>
      <c r="M2130" s="217"/>
      <c r="N2130" s="217"/>
      <c r="O2130" s="217"/>
      <c r="P2130" s="217"/>
      <c r="Q2130" s="217"/>
      <c r="R2130" s="217"/>
      <c r="S2130" s="217"/>
      <c r="T2130" s="217"/>
      <c r="U2130" s="217"/>
      <c r="V2130" s="217"/>
      <c r="W2130" s="217"/>
      <c r="X2130" s="217"/>
      <c r="Y2130" s="217"/>
      <c r="Z2130" s="217"/>
      <c r="AA2130" s="217"/>
      <c r="AB2130" s="217"/>
      <c r="AC2130" s="217"/>
      <c r="AD2130" s="217"/>
    </row>
    <row r="2131" spans="1:30" x14ac:dyDescent="0.2">
      <c r="A2131" s="232"/>
      <c r="B2131" s="210"/>
      <c r="C2131" s="210"/>
      <c r="D2131" s="210"/>
      <c r="E2131" s="210"/>
      <c r="G2131" s="55"/>
      <c r="H2131" s="56"/>
      <c r="I2131" s="217"/>
      <c r="J2131" s="217"/>
      <c r="K2131" s="217"/>
      <c r="L2131" s="217"/>
      <c r="M2131" s="217"/>
      <c r="N2131" s="217"/>
      <c r="O2131" s="217"/>
      <c r="P2131" s="217"/>
      <c r="Q2131" s="217"/>
      <c r="R2131" s="217"/>
      <c r="S2131" s="217"/>
      <c r="T2131" s="217"/>
      <c r="U2131" s="217"/>
      <c r="V2131" s="217"/>
      <c r="W2131" s="217"/>
      <c r="X2131" s="217"/>
      <c r="Y2131" s="217"/>
      <c r="Z2131" s="217"/>
      <c r="AA2131" s="217"/>
      <c r="AB2131" s="217"/>
      <c r="AC2131" s="217"/>
      <c r="AD2131" s="217"/>
    </row>
    <row r="2132" spans="1:30" x14ac:dyDescent="0.2">
      <c r="A2132" s="232"/>
      <c r="B2132" s="210"/>
      <c r="C2132" s="210"/>
      <c r="D2132" s="210"/>
      <c r="E2132" s="210"/>
      <c r="G2132" s="55"/>
      <c r="H2132" s="56"/>
      <c r="I2132" s="217"/>
      <c r="J2132" s="217"/>
      <c r="K2132" s="217"/>
      <c r="L2132" s="217"/>
      <c r="M2132" s="217"/>
      <c r="N2132" s="217"/>
      <c r="O2132" s="217"/>
      <c r="P2132" s="217"/>
      <c r="Q2132" s="217"/>
      <c r="R2132" s="217"/>
      <c r="S2132" s="217"/>
      <c r="T2132" s="217"/>
      <c r="U2132" s="217"/>
      <c r="V2132" s="217"/>
      <c r="W2132" s="217"/>
      <c r="X2132" s="217"/>
      <c r="Y2132" s="217"/>
      <c r="Z2132" s="217"/>
      <c r="AA2132" s="217"/>
      <c r="AB2132" s="217"/>
      <c r="AC2132" s="217"/>
      <c r="AD2132" s="217"/>
    </row>
    <row r="2133" spans="1:30" x14ac:dyDescent="0.2">
      <c r="A2133" s="232"/>
      <c r="B2133" s="210"/>
      <c r="C2133" s="210"/>
      <c r="D2133" s="210"/>
      <c r="E2133" s="210"/>
      <c r="G2133" s="55"/>
      <c r="H2133" s="56"/>
      <c r="I2133" s="217"/>
      <c r="J2133" s="217"/>
      <c r="K2133" s="217"/>
      <c r="L2133" s="217"/>
      <c r="M2133" s="217"/>
      <c r="N2133" s="217"/>
      <c r="O2133" s="217"/>
      <c r="P2133" s="217"/>
      <c r="Q2133" s="217"/>
      <c r="R2133" s="217"/>
      <c r="S2133" s="217"/>
      <c r="T2133" s="217"/>
      <c r="U2133" s="217"/>
      <c r="V2133" s="217"/>
      <c r="W2133" s="217"/>
      <c r="X2133" s="217"/>
      <c r="Y2133" s="217"/>
      <c r="Z2133" s="217"/>
      <c r="AA2133" s="217"/>
      <c r="AB2133" s="217"/>
      <c r="AC2133" s="217"/>
      <c r="AD2133" s="217"/>
    </row>
    <row r="2134" spans="1:30" x14ac:dyDescent="0.2">
      <c r="A2134" s="232"/>
      <c r="B2134" s="210"/>
      <c r="C2134" s="210"/>
      <c r="D2134" s="210"/>
      <c r="E2134" s="210"/>
      <c r="G2134" s="55"/>
      <c r="H2134" s="56"/>
      <c r="I2134" s="217"/>
      <c r="J2134" s="217"/>
      <c r="K2134" s="217"/>
      <c r="L2134" s="217"/>
      <c r="M2134" s="217"/>
      <c r="N2134" s="217"/>
      <c r="O2134" s="217"/>
      <c r="P2134" s="217"/>
      <c r="Q2134" s="217"/>
      <c r="R2134" s="217"/>
      <c r="S2134" s="217"/>
      <c r="T2134" s="217"/>
      <c r="U2134" s="217"/>
      <c r="V2134" s="217"/>
      <c r="W2134" s="217"/>
      <c r="X2134" s="217"/>
      <c r="Y2134" s="217"/>
      <c r="Z2134" s="217"/>
      <c r="AA2134" s="217"/>
      <c r="AB2134" s="217"/>
      <c r="AC2134" s="217"/>
      <c r="AD2134" s="217"/>
    </row>
    <row r="2135" spans="1:30" x14ac:dyDescent="0.2">
      <c r="A2135" s="232"/>
      <c r="B2135" s="210"/>
      <c r="C2135" s="210"/>
      <c r="D2135" s="210"/>
      <c r="E2135" s="210"/>
      <c r="G2135" s="55"/>
      <c r="H2135" s="56"/>
      <c r="I2135" s="217"/>
      <c r="J2135" s="217"/>
      <c r="K2135" s="217"/>
      <c r="L2135" s="217"/>
      <c r="M2135" s="217"/>
      <c r="N2135" s="217"/>
      <c r="O2135" s="217"/>
      <c r="P2135" s="217"/>
      <c r="Q2135" s="217"/>
      <c r="R2135" s="217"/>
      <c r="S2135" s="217"/>
      <c r="T2135" s="217"/>
      <c r="U2135" s="217"/>
      <c r="V2135" s="217"/>
      <c r="W2135" s="217"/>
      <c r="X2135" s="217"/>
      <c r="Y2135" s="217"/>
      <c r="Z2135" s="217"/>
      <c r="AA2135" s="217"/>
      <c r="AB2135" s="217"/>
      <c r="AC2135" s="217"/>
      <c r="AD2135" s="217"/>
    </row>
    <row r="2136" spans="1:30" x14ac:dyDescent="0.2">
      <c r="A2136" s="232"/>
      <c r="B2136" s="210"/>
      <c r="C2136" s="210"/>
      <c r="D2136" s="210"/>
      <c r="E2136" s="210"/>
      <c r="G2136" s="55"/>
      <c r="H2136" s="56"/>
      <c r="I2136" s="217"/>
      <c r="J2136" s="217"/>
      <c r="K2136" s="217"/>
      <c r="L2136" s="217"/>
      <c r="M2136" s="217"/>
      <c r="N2136" s="217"/>
      <c r="O2136" s="217"/>
      <c r="P2136" s="217"/>
      <c r="Q2136" s="217"/>
      <c r="R2136" s="217"/>
      <c r="S2136" s="217"/>
      <c r="T2136" s="217"/>
      <c r="U2136" s="217"/>
      <c r="V2136" s="217"/>
      <c r="W2136" s="217"/>
      <c r="X2136" s="217"/>
      <c r="Y2136" s="217"/>
      <c r="Z2136" s="217"/>
      <c r="AA2136" s="217"/>
      <c r="AB2136" s="217"/>
      <c r="AC2136" s="217"/>
      <c r="AD2136" s="217"/>
    </row>
    <row r="2137" spans="1:30" x14ac:dyDescent="0.2">
      <c r="A2137" s="232"/>
      <c r="B2137" s="210"/>
      <c r="C2137" s="210"/>
      <c r="D2137" s="210"/>
      <c r="E2137" s="210"/>
      <c r="G2137" s="55"/>
      <c r="H2137" s="56"/>
      <c r="I2137" s="217"/>
      <c r="J2137" s="217"/>
      <c r="K2137" s="217"/>
      <c r="L2137" s="217"/>
      <c r="M2137" s="217"/>
      <c r="N2137" s="217"/>
      <c r="O2137" s="217"/>
      <c r="P2137" s="217"/>
      <c r="Q2137" s="217"/>
      <c r="R2137" s="217"/>
      <c r="S2137" s="217"/>
      <c r="T2137" s="217"/>
      <c r="U2137" s="217"/>
      <c r="V2137" s="217"/>
      <c r="W2137" s="217"/>
      <c r="X2137" s="217"/>
      <c r="Y2137" s="217"/>
      <c r="Z2137" s="217"/>
      <c r="AA2137" s="217"/>
      <c r="AB2137" s="217"/>
      <c r="AC2137" s="217"/>
      <c r="AD2137" s="217"/>
    </row>
    <row r="2138" spans="1:30" x14ac:dyDescent="0.2">
      <c r="A2138" s="232"/>
      <c r="B2138" s="210"/>
      <c r="C2138" s="210"/>
      <c r="D2138" s="210"/>
      <c r="E2138" s="210"/>
      <c r="G2138" s="55"/>
      <c r="H2138" s="56"/>
      <c r="I2138" s="217"/>
      <c r="J2138" s="217"/>
      <c r="K2138" s="217"/>
      <c r="L2138" s="217"/>
      <c r="M2138" s="217"/>
      <c r="N2138" s="217"/>
      <c r="O2138" s="217"/>
      <c r="P2138" s="217"/>
      <c r="Q2138" s="217"/>
      <c r="R2138" s="217"/>
      <c r="S2138" s="217"/>
      <c r="T2138" s="217"/>
      <c r="U2138" s="217"/>
      <c r="V2138" s="217"/>
      <c r="W2138" s="217"/>
      <c r="X2138" s="217"/>
      <c r="Y2138" s="217"/>
      <c r="Z2138" s="217"/>
      <c r="AA2138" s="217"/>
      <c r="AB2138" s="217"/>
      <c r="AC2138" s="217"/>
      <c r="AD2138" s="217"/>
    </row>
    <row r="2139" spans="1:30" x14ac:dyDescent="0.2">
      <c r="A2139" s="232"/>
      <c r="B2139" s="210"/>
      <c r="C2139" s="210"/>
      <c r="D2139" s="210"/>
      <c r="E2139" s="210"/>
      <c r="G2139" s="55"/>
      <c r="H2139" s="56"/>
      <c r="I2139" s="217"/>
      <c r="J2139" s="217"/>
      <c r="K2139" s="217"/>
      <c r="L2139" s="217"/>
      <c r="M2139" s="217"/>
      <c r="N2139" s="217"/>
      <c r="O2139" s="217"/>
      <c r="P2139" s="217"/>
      <c r="Q2139" s="217"/>
      <c r="R2139" s="217"/>
      <c r="S2139" s="217"/>
      <c r="T2139" s="217"/>
      <c r="U2139" s="217"/>
      <c r="V2139" s="217"/>
      <c r="W2139" s="217"/>
      <c r="X2139" s="217"/>
      <c r="Y2139" s="217"/>
      <c r="Z2139" s="217"/>
      <c r="AA2139" s="217"/>
      <c r="AB2139" s="217"/>
      <c r="AC2139" s="217"/>
      <c r="AD2139" s="217"/>
    </row>
    <row r="2140" spans="1:30" x14ac:dyDescent="0.2">
      <c r="A2140" s="232"/>
      <c r="B2140" s="210"/>
      <c r="C2140" s="210"/>
      <c r="D2140" s="210"/>
      <c r="E2140" s="210"/>
      <c r="G2140" s="55"/>
      <c r="H2140" s="56"/>
      <c r="I2140" s="217"/>
      <c r="J2140" s="217"/>
      <c r="K2140" s="217"/>
      <c r="L2140" s="217"/>
      <c r="M2140" s="217"/>
      <c r="N2140" s="217"/>
      <c r="O2140" s="217"/>
      <c r="P2140" s="217"/>
      <c r="Q2140" s="217"/>
      <c r="R2140" s="217"/>
      <c r="S2140" s="217"/>
      <c r="T2140" s="217"/>
      <c r="U2140" s="217"/>
      <c r="V2140" s="217"/>
      <c r="W2140" s="217"/>
      <c r="X2140" s="217"/>
      <c r="Y2140" s="217"/>
      <c r="Z2140" s="217"/>
      <c r="AA2140" s="217"/>
      <c r="AB2140" s="217"/>
      <c r="AC2140" s="217"/>
      <c r="AD2140" s="217"/>
    </row>
    <row r="2141" spans="1:30" x14ac:dyDescent="0.2">
      <c r="A2141" s="232"/>
      <c r="B2141" s="210"/>
      <c r="C2141" s="210"/>
      <c r="D2141" s="210"/>
      <c r="E2141" s="210"/>
      <c r="G2141" s="55"/>
      <c r="H2141" s="56"/>
      <c r="I2141" s="217"/>
      <c r="J2141" s="217"/>
      <c r="K2141" s="217"/>
      <c r="L2141" s="217"/>
      <c r="M2141" s="217"/>
      <c r="N2141" s="217"/>
      <c r="O2141" s="217"/>
      <c r="P2141" s="217"/>
      <c r="Q2141" s="217"/>
      <c r="R2141" s="217"/>
      <c r="S2141" s="217"/>
      <c r="T2141" s="217"/>
      <c r="U2141" s="217"/>
      <c r="V2141" s="217"/>
      <c r="W2141" s="217"/>
      <c r="X2141" s="217"/>
      <c r="Y2141" s="217"/>
      <c r="Z2141" s="217"/>
      <c r="AA2141" s="217"/>
      <c r="AB2141" s="217"/>
      <c r="AC2141" s="217"/>
      <c r="AD2141" s="217"/>
    </row>
    <row r="2142" spans="1:30" x14ac:dyDescent="0.2">
      <c r="A2142" s="232"/>
      <c r="B2142" s="210"/>
      <c r="C2142" s="210"/>
      <c r="D2142" s="210"/>
      <c r="E2142" s="210"/>
      <c r="G2142" s="55"/>
      <c r="H2142" s="56"/>
      <c r="I2142" s="217"/>
      <c r="J2142" s="217"/>
      <c r="K2142" s="217"/>
      <c r="L2142" s="217"/>
      <c r="M2142" s="217"/>
      <c r="N2142" s="217"/>
      <c r="O2142" s="217"/>
      <c r="P2142" s="217"/>
      <c r="Q2142" s="217"/>
      <c r="R2142" s="217"/>
      <c r="S2142" s="217"/>
      <c r="T2142" s="217"/>
      <c r="U2142" s="217"/>
      <c r="V2142" s="217"/>
      <c r="W2142" s="217"/>
      <c r="X2142" s="217"/>
      <c r="Y2142" s="217"/>
      <c r="Z2142" s="217"/>
      <c r="AA2142" s="217"/>
      <c r="AB2142" s="217"/>
      <c r="AC2142" s="217"/>
      <c r="AD2142" s="217"/>
    </row>
    <row r="2143" spans="1:30" x14ac:dyDescent="0.2">
      <c r="A2143" s="232"/>
      <c r="B2143" s="210"/>
      <c r="C2143" s="210"/>
      <c r="D2143" s="210"/>
      <c r="E2143" s="210"/>
      <c r="G2143" s="55"/>
      <c r="H2143" s="56"/>
      <c r="I2143" s="217"/>
      <c r="J2143" s="217"/>
      <c r="K2143" s="217"/>
      <c r="L2143" s="217"/>
      <c r="M2143" s="217"/>
      <c r="N2143" s="217"/>
      <c r="O2143" s="217"/>
      <c r="P2143" s="217"/>
      <c r="Q2143" s="217"/>
      <c r="R2143" s="217"/>
      <c r="S2143" s="217"/>
      <c r="T2143" s="217"/>
      <c r="U2143" s="217"/>
      <c r="V2143" s="217"/>
      <c r="W2143" s="217"/>
      <c r="X2143" s="217"/>
      <c r="Y2143" s="217"/>
      <c r="Z2143" s="217"/>
      <c r="AA2143" s="217"/>
      <c r="AB2143" s="217"/>
      <c r="AC2143" s="217"/>
      <c r="AD2143" s="217"/>
    </row>
    <row r="2144" spans="1:30" x14ac:dyDescent="0.2">
      <c r="A2144" s="232"/>
      <c r="B2144" s="210"/>
      <c r="C2144" s="210"/>
      <c r="D2144" s="210"/>
      <c r="E2144" s="210"/>
      <c r="G2144" s="55"/>
      <c r="H2144" s="56"/>
      <c r="I2144" s="217"/>
      <c r="J2144" s="217"/>
      <c r="K2144" s="217"/>
      <c r="L2144" s="217"/>
      <c r="M2144" s="217"/>
      <c r="N2144" s="217"/>
      <c r="O2144" s="217"/>
      <c r="P2144" s="217"/>
      <c r="Q2144" s="217"/>
      <c r="R2144" s="217"/>
      <c r="S2144" s="217"/>
      <c r="T2144" s="217"/>
      <c r="U2144" s="217"/>
      <c r="V2144" s="217"/>
      <c r="W2144" s="217"/>
      <c r="X2144" s="217"/>
      <c r="Y2144" s="217"/>
      <c r="Z2144" s="217"/>
      <c r="AA2144" s="217"/>
      <c r="AB2144" s="217"/>
      <c r="AC2144" s="217"/>
      <c r="AD2144" s="217"/>
    </row>
    <row r="2145" spans="1:30" x14ac:dyDescent="0.2">
      <c r="A2145" s="232"/>
      <c r="B2145" s="210"/>
      <c r="C2145" s="210"/>
      <c r="D2145" s="210"/>
      <c r="E2145" s="210"/>
      <c r="G2145" s="55"/>
      <c r="H2145" s="56"/>
      <c r="I2145" s="217"/>
      <c r="J2145" s="217"/>
      <c r="K2145" s="217"/>
      <c r="L2145" s="217"/>
      <c r="M2145" s="217"/>
      <c r="N2145" s="217"/>
      <c r="O2145" s="217"/>
      <c r="P2145" s="217"/>
      <c r="Q2145" s="217"/>
      <c r="R2145" s="217"/>
      <c r="S2145" s="217"/>
      <c r="T2145" s="217"/>
      <c r="U2145" s="217"/>
      <c r="V2145" s="217"/>
      <c r="W2145" s="217"/>
      <c r="X2145" s="217"/>
      <c r="Y2145" s="217"/>
      <c r="Z2145" s="217"/>
      <c r="AA2145" s="217"/>
      <c r="AB2145" s="217"/>
      <c r="AC2145" s="217"/>
      <c r="AD2145" s="217"/>
    </row>
    <row r="2146" spans="1:30" x14ac:dyDescent="0.2">
      <c r="A2146" s="232"/>
      <c r="B2146" s="210"/>
      <c r="C2146" s="210"/>
      <c r="D2146" s="210"/>
      <c r="E2146" s="210"/>
      <c r="G2146" s="55"/>
      <c r="H2146" s="56"/>
      <c r="I2146" s="217"/>
      <c r="J2146" s="217"/>
      <c r="K2146" s="217"/>
      <c r="L2146" s="217"/>
      <c r="M2146" s="217"/>
      <c r="N2146" s="217"/>
      <c r="O2146" s="217"/>
      <c r="P2146" s="217"/>
      <c r="Q2146" s="217"/>
      <c r="R2146" s="217"/>
      <c r="S2146" s="217"/>
      <c r="T2146" s="217"/>
      <c r="U2146" s="217"/>
      <c r="V2146" s="217"/>
      <c r="W2146" s="217"/>
      <c r="X2146" s="217"/>
      <c r="Y2146" s="217"/>
      <c r="Z2146" s="217"/>
      <c r="AA2146" s="217"/>
      <c r="AB2146" s="217"/>
      <c r="AC2146" s="217"/>
      <c r="AD2146" s="217"/>
    </row>
    <row r="2147" spans="1:30" x14ac:dyDescent="0.2">
      <c r="A2147" s="232"/>
      <c r="B2147" s="210"/>
      <c r="C2147" s="210"/>
      <c r="D2147" s="210"/>
      <c r="E2147" s="210"/>
      <c r="G2147" s="55"/>
      <c r="H2147" s="56"/>
      <c r="I2147" s="217"/>
      <c r="J2147" s="217"/>
      <c r="K2147" s="217"/>
      <c r="L2147" s="217"/>
      <c r="M2147" s="217"/>
      <c r="N2147" s="217"/>
      <c r="O2147" s="217"/>
      <c r="P2147" s="217"/>
      <c r="Q2147" s="217"/>
      <c r="R2147" s="217"/>
      <c r="S2147" s="217"/>
      <c r="T2147" s="217"/>
      <c r="U2147" s="217"/>
      <c r="V2147" s="217"/>
      <c r="W2147" s="217"/>
      <c r="X2147" s="217"/>
      <c r="Y2147" s="217"/>
      <c r="Z2147" s="217"/>
      <c r="AA2147" s="217"/>
      <c r="AB2147" s="217"/>
      <c r="AC2147" s="217"/>
      <c r="AD2147" s="217"/>
    </row>
    <row r="2148" spans="1:30" x14ac:dyDescent="0.2">
      <c r="A2148" s="232"/>
      <c r="B2148" s="210"/>
      <c r="C2148" s="210"/>
      <c r="D2148" s="210"/>
      <c r="E2148" s="210"/>
      <c r="G2148" s="55"/>
      <c r="H2148" s="56"/>
      <c r="I2148" s="217"/>
      <c r="J2148" s="217"/>
      <c r="K2148" s="217"/>
      <c r="L2148" s="217"/>
      <c r="M2148" s="217"/>
      <c r="N2148" s="217"/>
      <c r="O2148" s="217"/>
      <c r="P2148" s="217"/>
      <c r="Q2148" s="217"/>
      <c r="R2148" s="217"/>
      <c r="S2148" s="217"/>
      <c r="T2148" s="217"/>
      <c r="U2148" s="217"/>
      <c r="V2148" s="217"/>
      <c r="W2148" s="217"/>
      <c r="X2148" s="217"/>
      <c r="Y2148" s="217"/>
      <c r="Z2148" s="217"/>
      <c r="AA2148" s="217"/>
      <c r="AB2148" s="217"/>
      <c r="AC2148" s="217"/>
      <c r="AD2148" s="217"/>
    </row>
    <row r="2149" spans="1:30" x14ac:dyDescent="0.2">
      <c r="A2149" s="232"/>
      <c r="B2149" s="210"/>
      <c r="C2149" s="210"/>
      <c r="D2149" s="210"/>
      <c r="E2149" s="210"/>
      <c r="G2149" s="55"/>
      <c r="H2149" s="56"/>
      <c r="I2149" s="217"/>
      <c r="J2149" s="217"/>
      <c r="K2149" s="217"/>
      <c r="L2149" s="217"/>
      <c r="M2149" s="217"/>
      <c r="N2149" s="217"/>
      <c r="O2149" s="217"/>
      <c r="P2149" s="217"/>
      <c r="Q2149" s="217"/>
      <c r="R2149" s="217"/>
      <c r="S2149" s="217"/>
      <c r="T2149" s="217"/>
      <c r="U2149" s="217"/>
      <c r="V2149" s="217"/>
      <c r="W2149" s="217"/>
      <c r="X2149" s="217"/>
      <c r="Y2149" s="217"/>
      <c r="Z2149" s="217"/>
      <c r="AA2149" s="217"/>
      <c r="AB2149" s="217"/>
      <c r="AC2149" s="217"/>
      <c r="AD2149" s="217"/>
    </row>
    <row r="2150" spans="1:30" x14ac:dyDescent="0.2">
      <c r="A2150" s="232"/>
      <c r="B2150" s="210"/>
      <c r="C2150" s="210"/>
      <c r="D2150" s="210"/>
      <c r="E2150" s="210"/>
      <c r="G2150" s="55"/>
      <c r="H2150" s="56"/>
      <c r="I2150" s="217"/>
      <c r="J2150" s="217"/>
      <c r="K2150" s="217"/>
      <c r="L2150" s="217"/>
      <c r="M2150" s="217"/>
      <c r="N2150" s="217"/>
      <c r="O2150" s="217"/>
      <c r="P2150" s="217"/>
      <c r="Q2150" s="217"/>
      <c r="R2150" s="217"/>
      <c r="S2150" s="217"/>
      <c r="T2150" s="217"/>
      <c r="U2150" s="217"/>
      <c r="V2150" s="217"/>
      <c r="W2150" s="217"/>
      <c r="X2150" s="217"/>
      <c r="Y2150" s="217"/>
      <c r="Z2150" s="217"/>
      <c r="AA2150" s="217"/>
      <c r="AB2150" s="217"/>
      <c r="AC2150" s="217"/>
      <c r="AD2150" s="217"/>
    </row>
    <row r="2151" spans="1:30" x14ac:dyDescent="0.2">
      <c r="A2151" s="232"/>
      <c r="B2151" s="210"/>
      <c r="C2151" s="210"/>
      <c r="D2151" s="210"/>
      <c r="E2151" s="210"/>
      <c r="G2151" s="55"/>
      <c r="H2151" s="56"/>
      <c r="I2151" s="217"/>
      <c r="J2151" s="217"/>
      <c r="K2151" s="217"/>
      <c r="L2151" s="217"/>
      <c r="M2151" s="217"/>
      <c r="N2151" s="217"/>
      <c r="O2151" s="217"/>
      <c r="P2151" s="217"/>
      <c r="Q2151" s="217"/>
      <c r="R2151" s="217"/>
      <c r="S2151" s="217"/>
      <c r="T2151" s="217"/>
      <c r="U2151" s="217"/>
      <c r="V2151" s="217"/>
      <c r="W2151" s="217"/>
      <c r="X2151" s="217"/>
      <c r="Y2151" s="217"/>
      <c r="Z2151" s="217"/>
      <c r="AA2151" s="217"/>
      <c r="AB2151" s="217"/>
      <c r="AC2151" s="217"/>
      <c r="AD2151" s="217"/>
    </row>
    <row r="2152" spans="1:30" x14ac:dyDescent="0.2">
      <c r="A2152" s="232"/>
      <c r="B2152" s="210"/>
      <c r="C2152" s="210"/>
      <c r="D2152" s="210"/>
      <c r="E2152" s="210"/>
      <c r="G2152" s="55"/>
      <c r="H2152" s="56"/>
      <c r="I2152" s="217"/>
      <c r="J2152" s="217"/>
      <c r="K2152" s="217"/>
      <c r="L2152" s="217"/>
      <c r="M2152" s="217"/>
      <c r="N2152" s="217"/>
      <c r="O2152" s="217"/>
      <c r="P2152" s="217"/>
      <c r="Q2152" s="217"/>
      <c r="R2152" s="217"/>
      <c r="S2152" s="217"/>
      <c r="T2152" s="217"/>
      <c r="U2152" s="217"/>
      <c r="V2152" s="217"/>
      <c r="W2152" s="217"/>
      <c r="X2152" s="217"/>
      <c r="Y2152" s="217"/>
      <c r="Z2152" s="217"/>
      <c r="AA2152" s="217"/>
      <c r="AB2152" s="217"/>
      <c r="AC2152" s="217"/>
      <c r="AD2152" s="217"/>
    </row>
    <row r="2153" spans="1:30" x14ac:dyDescent="0.2">
      <c r="A2153" s="232"/>
      <c r="B2153" s="210"/>
      <c r="C2153" s="210"/>
      <c r="D2153" s="210"/>
      <c r="E2153" s="210"/>
      <c r="G2153" s="55"/>
      <c r="H2153" s="56"/>
      <c r="I2153" s="217"/>
      <c r="J2153" s="217"/>
      <c r="K2153" s="217"/>
      <c r="L2153" s="217"/>
      <c r="M2153" s="217"/>
      <c r="N2153" s="217"/>
      <c r="O2153" s="217"/>
      <c r="P2153" s="217"/>
      <c r="Q2153" s="217"/>
      <c r="R2153" s="217"/>
      <c r="S2153" s="217"/>
      <c r="T2153" s="217"/>
      <c r="U2153" s="217"/>
      <c r="V2153" s="217"/>
      <c r="W2153" s="217"/>
      <c r="X2153" s="217"/>
      <c r="Y2153" s="217"/>
      <c r="Z2153" s="217"/>
      <c r="AA2153" s="217"/>
      <c r="AB2153" s="217"/>
      <c r="AC2153" s="217"/>
      <c r="AD2153" s="217"/>
    </row>
    <row r="2154" spans="1:30" x14ac:dyDescent="0.2">
      <c r="A2154" s="232"/>
      <c r="B2154" s="210"/>
      <c r="C2154" s="210"/>
      <c r="D2154" s="210"/>
      <c r="E2154" s="210"/>
      <c r="G2154" s="55"/>
      <c r="H2154" s="56"/>
      <c r="I2154" s="217"/>
      <c r="J2154" s="217"/>
      <c r="K2154" s="217"/>
      <c r="L2154" s="217"/>
      <c r="M2154" s="217"/>
      <c r="N2154" s="217"/>
      <c r="O2154" s="217"/>
      <c r="P2154" s="217"/>
      <c r="Q2154" s="217"/>
      <c r="R2154" s="217"/>
      <c r="S2154" s="217"/>
      <c r="T2154" s="217"/>
      <c r="U2154" s="217"/>
      <c r="V2154" s="217"/>
      <c r="W2154" s="217"/>
      <c r="X2154" s="217"/>
      <c r="Y2154" s="217"/>
      <c r="Z2154" s="217"/>
      <c r="AA2154" s="217"/>
      <c r="AB2154" s="217"/>
      <c r="AC2154" s="217"/>
      <c r="AD2154" s="217"/>
    </row>
    <row r="2155" spans="1:30" x14ac:dyDescent="0.2">
      <c r="A2155" s="232"/>
      <c r="B2155" s="210"/>
      <c r="C2155" s="210"/>
      <c r="D2155" s="210"/>
      <c r="E2155" s="210"/>
      <c r="G2155" s="55"/>
      <c r="H2155" s="56"/>
      <c r="I2155" s="217"/>
      <c r="J2155" s="217"/>
      <c r="K2155" s="217"/>
      <c r="L2155" s="217"/>
      <c r="M2155" s="217"/>
      <c r="N2155" s="217"/>
      <c r="O2155" s="217"/>
      <c r="P2155" s="217"/>
      <c r="Q2155" s="217"/>
      <c r="R2155" s="217"/>
      <c r="S2155" s="217"/>
      <c r="T2155" s="217"/>
      <c r="U2155" s="217"/>
      <c r="V2155" s="217"/>
      <c r="W2155" s="217"/>
      <c r="X2155" s="217"/>
      <c r="Y2155" s="217"/>
      <c r="Z2155" s="217"/>
      <c r="AA2155" s="217"/>
      <c r="AB2155" s="217"/>
      <c r="AC2155" s="217"/>
      <c r="AD2155" s="217"/>
    </row>
    <row r="2156" spans="1:30" x14ac:dyDescent="0.2">
      <c r="A2156" s="232"/>
      <c r="B2156" s="210"/>
      <c r="C2156" s="210"/>
      <c r="D2156" s="210"/>
      <c r="E2156" s="210"/>
      <c r="G2156" s="55"/>
      <c r="H2156" s="56"/>
      <c r="I2156" s="217"/>
      <c r="J2156" s="217"/>
      <c r="K2156" s="217"/>
      <c r="L2156" s="217"/>
      <c r="M2156" s="217"/>
      <c r="N2156" s="217"/>
      <c r="O2156" s="217"/>
      <c r="P2156" s="217"/>
      <c r="Q2156" s="217"/>
      <c r="R2156" s="217"/>
      <c r="S2156" s="217"/>
      <c r="T2156" s="217"/>
      <c r="U2156" s="217"/>
      <c r="V2156" s="217"/>
      <c r="W2156" s="217"/>
      <c r="X2156" s="217"/>
      <c r="Y2156" s="217"/>
      <c r="Z2156" s="217"/>
      <c r="AA2156" s="217"/>
      <c r="AB2156" s="217"/>
      <c r="AC2156" s="217"/>
      <c r="AD2156" s="217"/>
    </row>
    <row r="2157" spans="1:30" x14ac:dyDescent="0.2">
      <c r="A2157" s="232"/>
      <c r="B2157" s="210"/>
      <c r="C2157" s="210"/>
      <c r="D2157" s="210"/>
      <c r="E2157" s="210"/>
      <c r="G2157" s="55"/>
      <c r="H2157" s="56"/>
      <c r="I2157" s="217"/>
      <c r="J2157" s="217"/>
      <c r="K2157" s="217"/>
      <c r="L2157" s="217"/>
      <c r="M2157" s="217"/>
      <c r="N2157" s="217"/>
      <c r="O2157" s="217"/>
      <c r="P2157" s="217"/>
      <c r="Q2157" s="217"/>
      <c r="R2157" s="217"/>
      <c r="S2157" s="217"/>
      <c r="T2157" s="217"/>
      <c r="U2157" s="217"/>
      <c r="V2157" s="217"/>
      <c r="W2157" s="217"/>
      <c r="X2157" s="217"/>
      <c r="Y2157" s="217"/>
      <c r="Z2157" s="217"/>
      <c r="AA2157" s="217"/>
      <c r="AB2157" s="217"/>
      <c r="AC2157" s="217"/>
      <c r="AD2157" s="217"/>
    </row>
    <row r="2158" spans="1:30" x14ac:dyDescent="0.2">
      <c r="A2158" s="232"/>
      <c r="B2158" s="210"/>
      <c r="C2158" s="210"/>
      <c r="D2158" s="210"/>
      <c r="E2158" s="210"/>
      <c r="G2158" s="55"/>
      <c r="H2158" s="56"/>
      <c r="I2158" s="217"/>
      <c r="J2158" s="217"/>
      <c r="K2158" s="217"/>
      <c r="L2158" s="217"/>
      <c r="M2158" s="217"/>
      <c r="N2158" s="217"/>
      <c r="O2158" s="217"/>
      <c r="P2158" s="217"/>
      <c r="Q2158" s="217"/>
      <c r="R2158" s="217"/>
      <c r="S2158" s="217"/>
      <c r="T2158" s="217"/>
      <c r="U2158" s="217"/>
      <c r="V2158" s="217"/>
      <c r="W2158" s="217"/>
      <c r="X2158" s="217"/>
      <c r="Y2158" s="217"/>
      <c r="Z2158" s="217"/>
      <c r="AA2158" s="217"/>
      <c r="AB2158" s="217"/>
      <c r="AC2158" s="217"/>
      <c r="AD2158" s="217"/>
    </row>
    <row r="2159" spans="1:30" x14ac:dyDescent="0.2">
      <c r="A2159" s="232"/>
      <c r="B2159" s="210"/>
      <c r="C2159" s="210"/>
      <c r="D2159" s="210"/>
      <c r="E2159" s="210"/>
      <c r="G2159" s="55"/>
      <c r="H2159" s="56"/>
      <c r="I2159" s="217"/>
      <c r="J2159" s="217"/>
      <c r="K2159" s="217"/>
      <c r="L2159" s="217"/>
      <c r="M2159" s="217"/>
      <c r="N2159" s="217"/>
      <c r="O2159" s="217"/>
      <c r="P2159" s="217"/>
      <c r="Q2159" s="217"/>
      <c r="R2159" s="217"/>
      <c r="S2159" s="217"/>
      <c r="T2159" s="217"/>
      <c r="U2159" s="217"/>
      <c r="V2159" s="217"/>
      <c r="W2159" s="217"/>
      <c r="X2159" s="217"/>
      <c r="Y2159" s="217"/>
      <c r="Z2159" s="217"/>
      <c r="AA2159" s="217"/>
      <c r="AB2159" s="217"/>
      <c r="AC2159" s="217"/>
      <c r="AD2159" s="217"/>
    </row>
    <row r="2160" spans="1:30" x14ac:dyDescent="0.2">
      <c r="A2160" s="232"/>
      <c r="B2160" s="210"/>
      <c r="C2160" s="210"/>
      <c r="D2160" s="210"/>
      <c r="E2160" s="210"/>
      <c r="G2160" s="55"/>
      <c r="H2160" s="56"/>
      <c r="I2160" s="217"/>
      <c r="J2160" s="217"/>
      <c r="K2160" s="217"/>
      <c r="L2160" s="217"/>
      <c r="M2160" s="217"/>
      <c r="N2160" s="217"/>
      <c r="O2160" s="217"/>
      <c r="P2160" s="217"/>
      <c r="Q2160" s="217"/>
      <c r="R2160" s="217"/>
      <c r="S2160" s="217"/>
      <c r="T2160" s="217"/>
      <c r="U2160" s="217"/>
      <c r="V2160" s="217"/>
      <c r="W2160" s="217"/>
      <c r="X2160" s="217"/>
      <c r="Y2160" s="217"/>
      <c r="Z2160" s="217"/>
      <c r="AA2160" s="217"/>
      <c r="AB2160" s="217"/>
      <c r="AC2160" s="217"/>
      <c r="AD2160" s="217"/>
    </row>
    <row r="2161" spans="1:30" x14ac:dyDescent="0.2">
      <c r="A2161" s="232"/>
      <c r="B2161" s="210"/>
      <c r="C2161" s="210"/>
      <c r="D2161" s="210"/>
      <c r="E2161" s="210"/>
      <c r="G2161" s="55"/>
      <c r="H2161" s="56"/>
      <c r="I2161" s="217"/>
      <c r="J2161" s="217"/>
      <c r="K2161" s="217"/>
      <c r="L2161" s="217"/>
      <c r="M2161" s="217"/>
      <c r="N2161" s="217"/>
      <c r="O2161" s="217"/>
      <c r="P2161" s="217"/>
      <c r="Q2161" s="217"/>
      <c r="R2161" s="217"/>
      <c r="S2161" s="217"/>
      <c r="T2161" s="217"/>
      <c r="U2161" s="217"/>
      <c r="V2161" s="217"/>
      <c r="W2161" s="217"/>
      <c r="X2161" s="217"/>
      <c r="Y2161" s="217"/>
      <c r="Z2161" s="217"/>
      <c r="AA2161" s="217"/>
      <c r="AB2161" s="217"/>
      <c r="AC2161" s="217"/>
      <c r="AD2161" s="217"/>
    </row>
    <row r="2162" spans="1:30" x14ac:dyDescent="0.2">
      <c r="A2162" s="232"/>
      <c r="B2162" s="210"/>
      <c r="C2162" s="210"/>
      <c r="D2162" s="210"/>
      <c r="E2162" s="210"/>
      <c r="G2162" s="55"/>
      <c r="H2162" s="56"/>
      <c r="I2162" s="217"/>
      <c r="J2162" s="217"/>
      <c r="K2162" s="217"/>
      <c r="L2162" s="217"/>
      <c r="M2162" s="217"/>
      <c r="N2162" s="217"/>
      <c r="O2162" s="217"/>
      <c r="P2162" s="217"/>
      <c r="Q2162" s="217"/>
      <c r="R2162" s="217"/>
      <c r="S2162" s="217"/>
      <c r="T2162" s="217"/>
      <c r="U2162" s="217"/>
      <c r="V2162" s="217"/>
      <c r="W2162" s="217"/>
      <c r="X2162" s="217"/>
      <c r="Y2162" s="217"/>
      <c r="Z2162" s="217"/>
      <c r="AA2162" s="217"/>
      <c r="AB2162" s="217"/>
      <c r="AC2162" s="217"/>
      <c r="AD2162" s="217"/>
    </row>
    <row r="2163" spans="1:30" x14ac:dyDescent="0.2">
      <c r="A2163" s="232"/>
      <c r="B2163" s="210"/>
      <c r="C2163" s="210"/>
      <c r="D2163" s="210"/>
      <c r="E2163" s="210"/>
      <c r="G2163" s="55"/>
      <c r="H2163" s="56"/>
      <c r="I2163" s="217"/>
      <c r="J2163" s="217"/>
      <c r="K2163" s="217"/>
      <c r="L2163" s="217"/>
      <c r="M2163" s="217"/>
      <c r="N2163" s="217"/>
      <c r="O2163" s="217"/>
      <c r="P2163" s="217"/>
      <c r="Q2163" s="217"/>
      <c r="R2163" s="217"/>
      <c r="S2163" s="217"/>
      <c r="T2163" s="217"/>
      <c r="U2163" s="217"/>
      <c r="V2163" s="217"/>
      <c r="W2163" s="217"/>
      <c r="X2163" s="217"/>
      <c r="Y2163" s="217"/>
      <c r="Z2163" s="217"/>
      <c r="AA2163" s="217"/>
      <c r="AB2163" s="217"/>
      <c r="AC2163" s="217"/>
      <c r="AD2163" s="217"/>
    </row>
    <row r="2164" spans="1:30" x14ac:dyDescent="0.2">
      <c r="A2164" s="232"/>
      <c r="B2164" s="210"/>
      <c r="C2164" s="210"/>
      <c r="D2164" s="210"/>
      <c r="E2164" s="210"/>
      <c r="G2164" s="55"/>
      <c r="H2164" s="56"/>
      <c r="I2164" s="217"/>
      <c r="J2164" s="217"/>
      <c r="K2164" s="217"/>
      <c r="L2164" s="217"/>
      <c r="M2164" s="217"/>
      <c r="N2164" s="217"/>
      <c r="O2164" s="217"/>
      <c r="P2164" s="217"/>
      <c r="Q2164" s="217"/>
      <c r="R2164" s="217"/>
      <c r="S2164" s="217"/>
      <c r="T2164" s="217"/>
      <c r="U2164" s="217"/>
      <c r="V2164" s="217"/>
      <c r="W2164" s="217"/>
      <c r="X2164" s="217"/>
      <c r="Y2164" s="217"/>
      <c r="Z2164" s="217"/>
      <c r="AA2164" s="217"/>
      <c r="AB2164" s="217"/>
      <c r="AC2164" s="217"/>
      <c r="AD2164" s="217"/>
    </row>
    <row r="2165" spans="1:30" x14ac:dyDescent="0.2">
      <c r="A2165" s="232"/>
      <c r="B2165" s="210"/>
      <c r="C2165" s="210"/>
      <c r="D2165" s="210"/>
      <c r="E2165" s="210"/>
      <c r="G2165" s="55"/>
      <c r="H2165" s="56"/>
      <c r="I2165" s="217"/>
      <c r="J2165" s="217"/>
      <c r="K2165" s="217"/>
      <c r="L2165" s="217"/>
      <c r="M2165" s="217"/>
      <c r="N2165" s="217"/>
      <c r="O2165" s="217"/>
      <c r="P2165" s="217"/>
      <c r="Q2165" s="217"/>
      <c r="R2165" s="217"/>
      <c r="S2165" s="217"/>
      <c r="T2165" s="217"/>
      <c r="U2165" s="217"/>
      <c r="V2165" s="217"/>
      <c r="W2165" s="217"/>
      <c r="X2165" s="217"/>
      <c r="Y2165" s="217"/>
      <c r="Z2165" s="217"/>
      <c r="AA2165" s="217"/>
      <c r="AB2165" s="217"/>
      <c r="AC2165" s="217"/>
      <c r="AD2165" s="217"/>
    </row>
    <row r="2166" spans="1:30" x14ac:dyDescent="0.2">
      <c r="A2166" s="232"/>
      <c r="B2166" s="210"/>
      <c r="C2166" s="210"/>
      <c r="D2166" s="210"/>
      <c r="E2166" s="210"/>
      <c r="G2166" s="55"/>
      <c r="H2166" s="56"/>
      <c r="I2166" s="217"/>
      <c r="J2166" s="217"/>
      <c r="K2166" s="217"/>
      <c r="L2166" s="217"/>
      <c r="M2166" s="217"/>
      <c r="N2166" s="217"/>
      <c r="O2166" s="217"/>
      <c r="P2166" s="217"/>
      <c r="Q2166" s="217"/>
      <c r="R2166" s="217"/>
      <c r="S2166" s="217"/>
      <c r="T2166" s="217"/>
      <c r="U2166" s="217"/>
      <c r="V2166" s="217"/>
      <c r="W2166" s="217"/>
      <c r="X2166" s="217"/>
      <c r="Y2166" s="217"/>
      <c r="Z2166" s="217"/>
      <c r="AA2166" s="217"/>
      <c r="AB2166" s="217"/>
      <c r="AC2166" s="217"/>
      <c r="AD2166" s="217"/>
    </row>
    <row r="2167" spans="1:30" x14ac:dyDescent="0.2">
      <c r="A2167" s="232"/>
      <c r="B2167" s="210"/>
      <c r="C2167" s="210"/>
      <c r="D2167" s="210"/>
      <c r="E2167" s="210"/>
      <c r="G2167" s="55"/>
      <c r="H2167" s="56"/>
      <c r="I2167" s="217"/>
      <c r="J2167" s="217"/>
      <c r="K2167" s="217"/>
      <c r="L2167" s="217"/>
      <c r="M2167" s="217"/>
      <c r="N2167" s="217"/>
      <c r="O2167" s="217"/>
      <c r="P2167" s="217"/>
      <c r="Q2167" s="217"/>
      <c r="R2167" s="217"/>
      <c r="S2167" s="217"/>
      <c r="T2167" s="217"/>
      <c r="U2167" s="217"/>
      <c r="V2167" s="217"/>
      <c r="W2167" s="217"/>
      <c r="X2167" s="217"/>
      <c r="Y2167" s="217"/>
      <c r="Z2167" s="217"/>
      <c r="AA2167" s="217"/>
      <c r="AB2167" s="217"/>
      <c r="AC2167" s="217"/>
      <c r="AD2167" s="217"/>
    </row>
    <row r="2168" spans="1:30" x14ac:dyDescent="0.2">
      <c r="A2168" s="232"/>
      <c r="B2168" s="210"/>
      <c r="C2168" s="210"/>
      <c r="D2168" s="210"/>
      <c r="E2168" s="210"/>
      <c r="G2168" s="55"/>
      <c r="H2168" s="56"/>
      <c r="I2168" s="217"/>
      <c r="J2168" s="217"/>
      <c r="K2168" s="217"/>
      <c r="L2168" s="217"/>
      <c r="M2168" s="217"/>
      <c r="N2168" s="217"/>
      <c r="O2168" s="217"/>
      <c r="P2168" s="217"/>
      <c r="Q2168" s="217"/>
      <c r="R2168" s="217"/>
      <c r="S2168" s="217"/>
      <c r="T2168" s="217"/>
      <c r="U2168" s="217"/>
      <c r="V2168" s="217"/>
      <c r="W2168" s="217"/>
      <c r="X2168" s="217"/>
      <c r="Y2168" s="217"/>
      <c r="Z2168" s="217"/>
      <c r="AA2168" s="217"/>
      <c r="AB2168" s="217"/>
      <c r="AC2168" s="217"/>
      <c r="AD2168" s="217"/>
    </row>
    <row r="2169" spans="1:30" x14ac:dyDescent="0.2">
      <c r="A2169" s="232"/>
      <c r="B2169" s="210"/>
      <c r="C2169" s="210"/>
      <c r="D2169" s="210"/>
      <c r="E2169" s="210"/>
      <c r="G2169" s="55"/>
      <c r="H2169" s="56"/>
      <c r="I2169" s="217"/>
      <c r="J2169" s="217"/>
      <c r="K2169" s="217"/>
      <c r="L2169" s="217"/>
      <c r="M2169" s="217"/>
      <c r="N2169" s="217"/>
      <c r="O2169" s="217"/>
      <c r="P2169" s="217"/>
      <c r="Q2169" s="217"/>
      <c r="R2169" s="217"/>
      <c r="S2169" s="217"/>
      <c r="T2169" s="217"/>
      <c r="U2169" s="217"/>
      <c r="V2169" s="217"/>
      <c r="W2169" s="217"/>
      <c r="X2169" s="217"/>
      <c r="Y2169" s="217"/>
      <c r="Z2169" s="217"/>
      <c r="AA2169" s="217"/>
      <c r="AB2169" s="217"/>
      <c r="AC2169" s="217"/>
      <c r="AD2169" s="217"/>
    </row>
    <row r="2170" spans="1:30" x14ac:dyDescent="0.2">
      <c r="A2170" s="232"/>
      <c r="B2170" s="210"/>
      <c r="C2170" s="210"/>
      <c r="D2170" s="210"/>
      <c r="E2170" s="210"/>
      <c r="G2170" s="55"/>
      <c r="H2170" s="56"/>
      <c r="I2170" s="217"/>
      <c r="J2170" s="217"/>
      <c r="K2170" s="217"/>
      <c r="L2170" s="217"/>
      <c r="M2170" s="217"/>
      <c r="N2170" s="217"/>
      <c r="O2170" s="217"/>
      <c r="P2170" s="217"/>
      <c r="Q2170" s="217"/>
      <c r="R2170" s="217"/>
      <c r="S2170" s="217"/>
      <c r="T2170" s="217"/>
      <c r="U2170" s="217"/>
      <c r="V2170" s="217"/>
      <c r="W2170" s="217"/>
      <c r="X2170" s="217"/>
      <c r="Y2170" s="217"/>
      <c r="Z2170" s="217"/>
      <c r="AA2170" s="217"/>
      <c r="AB2170" s="217"/>
      <c r="AC2170" s="217"/>
      <c r="AD2170" s="217"/>
    </row>
    <row r="2171" spans="1:30" x14ac:dyDescent="0.2">
      <c r="A2171" s="232"/>
      <c r="B2171" s="210"/>
      <c r="C2171" s="210"/>
      <c r="D2171" s="210"/>
      <c r="E2171" s="210"/>
      <c r="G2171" s="55"/>
      <c r="H2171" s="56"/>
      <c r="I2171" s="217"/>
      <c r="J2171" s="217"/>
      <c r="K2171" s="217"/>
      <c r="L2171" s="217"/>
      <c r="M2171" s="217"/>
      <c r="N2171" s="217"/>
      <c r="O2171" s="217"/>
      <c r="P2171" s="217"/>
      <c r="Q2171" s="217"/>
      <c r="R2171" s="217"/>
      <c r="S2171" s="217"/>
      <c r="T2171" s="217"/>
      <c r="U2171" s="217"/>
      <c r="V2171" s="217"/>
      <c r="W2171" s="217"/>
      <c r="X2171" s="217"/>
      <c r="Y2171" s="217"/>
      <c r="Z2171" s="217"/>
      <c r="AA2171" s="217"/>
      <c r="AB2171" s="217"/>
      <c r="AC2171" s="217"/>
      <c r="AD2171" s="217"/>
    </row>
    <row r="2172" spans="1:30" x14ac:dyDescent="0.2">
      <c r="A2172" s="232"/>
      <c r="B2172" s="210"/>
      <c r="C2172" s="210"/>
      <c r="D2172" s="210"/>
      <c r="E2172" s="210"/>
      <c r="G2172" s="55"/>
      <c r="H2172" s="56"/>
      <c r="I2172" s="217"/>
      <c r="J2172" s="217"/>
      <c r="K2172" s="217"/>
      <c r="L2172" s="217"/>
      <c r="M2172" s="217"/>
      <c r="N2172" s="217"/>
      <c r="O2172" s="217"/>
      <c r="P2172" s="217"/>
      <c r="Q2172" s="217"/>
      <c r="R2172" s="217"/>
      <c r="S2172" s="217"/>
      <c r="T2172" s="217"/>
      <c r="U2172" s="217"/>
      <c r="V2172" s="217"/>
      <c r="W2172" s="217"/>
      <c r="X2172" s="217"/>
      <c r="Y2172" s="217"/>
      <c r="Z2172" s="217"/>
      <c r="AA2172" s="217"/>
      <c r="AB2172" s="217"/>
      <c r="AC2172" s="217"/>
      <c r="AD2172" s="217"/>
    </row>
    <row r="2173" spans="1:30" x14ac:dyDescent="0.2">
      <c r="A2173" s="232"/>
      <c r="B2173" s="210"/>
      <c r="C2173" s="210"/>
      <c r="D2173" s="210"/>
      <c r="E2173" s="210"/>
      <c r="G2173" s="55"/>
      <c r="H2173" s="56"/>
      <c r="I2173" s="217"/>
      <c r="J2173" s="217"/>
      <c r="K2173" s="217"/>
      <c r="L2173" s="217"/>
      <c r="M2173" s="217"/>
      <c r="N2173" s="217"/>
      <c r="O2173" s="217"/>
      <c r="P2173" s="217"/>
      <c r="Q2173" s="217"/>
      <c r="R2173" s="217"/>
      <c r="S2173" s="217"/>
      <c r="T2173" s="217"/>
      <c r="U2173" s="217"/>
      <c r="V2173" s="217"/>
      <c r="W2173" s="217"/>
      <c r="X2173" s="217"/>
      <c r="Y2173" s="217"/>
      <c r="Z2173" s="217"/>
      <c r="AA2173" s="217"/>
      <c r="AB2173" s="217"/>
      <c r="AC2173" s="217"/>
      <c r="AD2173" s="217"/>
    </row>
    <row r="2174" spans="1:30" x14ac:dyDescent="0.2">
      <c r="A2174" s="232"/>
      <c r="B2174" s="210"/>
      <c r="C2174" s="210"/>
      <c r="D2174" s="210"/>
      <c r="E2174" s="210"/>
      <c r="G2174" s="55"/>
      <c r="H2174" s="56"/>
      <c r="I2174" s="217"/>
      <c r="J2174" s="217"/>
      <c r="K2174" s="217"/>
      <c r="L2174" s="217"/>
      <c r="M2174" s="217"/>
      <c r="N2174" s="217"/>
      <c r="O2174" s="217"/>
      <c r="P2174" s="217"/>
      <c r="Q2174" s="217"/>
      <c r="R2174" s="217"/>
      <c r="S2174" s="217"/>
      <c r="T2174" s="217"/>
      <c r="U2174" s="217"/>
      <c r="V2174" s="217"/>
      <c r="W2174" s="217"/>
      <c r="X2174" s="217"/>
      <c r="Y2174" s="217"/>
      <c r="Z2174" s="217"/>
      <c r="AA2174" s="217"/>
      <c r="AB2174" s="217"/>
      <c r="AC2174" s="217"/>
      <c r="AD2174" s="217"/>
    </row>
    <row r="2175" spans="1:30" x14ac:dyDescent="0.2">
      <c r="A2175" s="232"/>
      <c r="B2175" s="210"/>
      <c r="C2175" s="210"/>
      <c r="D2175" s="210"/>
      <c r="E2175" s="210"/>
      <c r="G2175" s="55"/>
      <c r="H2175" s="56"/>
      <c r="I2175" s="217"/>
      <c r="J2175" s="217"/>
      <c r="K2175" s="217"/>
      <c r="L2175" s="217"/>
      <c r="M2175" s="217"/>
      <c r="N2175" s="217"/>
      <c r="O2175" s="217"/>
      <c r="P2175" s="217"/>
      <c r="Q2175" s="217"/>
      <c r="R2175" s="217"/>
      <c r="S2175" s="217"/>
      <c r="T2175" s="217"/>
      <c r="U2175" s="217"/>
      <c r="V2175" s="217"/>
      <c r="W2175" s="217"/>
      <c r="X2175" s="217"/>
      <c r="Y2175" s="217"/>
      <c r="Z2175" s="217"/>
      <c r="AA2175" s="217"/>
      <c r="AB2175" s="217"/>
      <c r="AC2175" s="217"/>
      <c r="AD2175" s="217"/>
    </row>
    <row r="2176" spans="1:30" x14ac:dyDescent="0.2">
      <c r="A2176" s="232"/>
      <c r="B2176" s="210"/>
      <c r="C2176" s="210"/>
      <c r="D2176" s="210"/>
      <c r="E2176" s="210"/>
      <c r="G2176" s="55"/>
      <c r="H2176" s="56"/>
      <c r="I2176" s="217"/>
      <c r="J2176" s="217"/>
      <c r="K2176" s="217"/>
      <c r="L2176" s="217"/>
      <c r="M2176" s="217"/>
      <c r="N2176" s="217"/>
      <c r="O2176" s="217"/>
      <c r="P2176" s="217"/>
      <c r="Q2176" s="217"/>
      <c r="R2176" s="217"/>
      <c r="S2176" s="217"/>
      <c r="T2176" s="217"/>
      <c r="U2176" s="217"/>
      <c r="V2176" s="217"/>
      <c r="W2176" s="217"/>
      <c r="X2176" s="217"/>
      <c r="Y2176" s="217"/>
      <c r="Z2176" s="217"/>
      <c r="AA2176" s="217"/>
      <c r="AB2176" s="217"/>
      <c r="AC2176" s="217"/>
      <c r="AD2176" s="217"/>
    </row>
    <row r="2177" spans="1:30" x14ac:dyDescent="0.2">
      <c r="A2177" s="232"/>
      <c r="B2177" s="210"/>
      <c r="C2177" s="210"/>
      <c r="D2177" s="210"/>
      <c r="E2177" s="210"/>
      <c r="G2177" s="55"/>
      <c r="H2177" s="56"/>
      <c r="I2177" s="217"/>
      <c r="J2177" s="217"/>
      <c r="K2177" s="217"/>
      <c r="L2177" s="217"/>
      <c r="M2177" s="217"/>
      <c r="N2177" s="217"/>
      <c r="O2177" s="217"/>
      <c r="P2177" s="217"/>
      <c r="Q2177" s="217"/>
      <c r="R2177" s="217"/>
      <c r="S2177" s="217"/>
      <c r="T2177" s="217"/>
      <c r="U2177" s="217"/>
      <c r="V2177" s="217"/>
      <c r="W2177" s="217"/>
      <c r="X2177" s="217"/>
      <c r="Y2177" s="217"/>
      <c r="Z2177" s="217"/>
      <c r="AA2177" s="217"/>
      <c r="AB2177" s="217"/>
      <c r="AC2177" s="217"/>
      <c r="AD2177" s="217"/>
    </row>
    <row r="2178" spans="1:30" x14ac:dyDescent="0.2">
      <c r="A2178" s="232"/>
      <c r="B2178" s="210"/>
      <c r="C2178" s="210"/>
      <c r="D2178" s="210"/>
      <c r="E2178" s="210"/>
      <c r="G2178" s="55"/>
      <c r="H2178" s="56"/>
      <c r="I2178" s="217"/>
      <c r="J2178" s="217"/>
      <c r="K2178" s="217"/>
      <c r="L2178" s="217"/>
      <c r="M2178" s="217"/>
      <c r="N2178" s="217"/>
      <c r="O2178" s="217"/>
      <c r="P2178" s="217"/>
      <c r="Q2178" s="217"/>
      <c r="R2178" s="217"/>
      <c r="S2178" s="217"/>
      <c r="T2178" s="217"/>
      <c r="U2178" s="217"/>
      <c r="V2178" s="217"/>
      <c r="W2178" s="217"/>
      <c r="X2178" s="217"/>
      <c r="Y2178" s="217"/>
      <c r="Z2178" s="217"/>
      <c r="AA2178" s="217"/>
      <c r="AB2178" s="217"/>
      <c r="AC2178" s="217"/>
      <c r="AD2178" s="217"/>
    </row>
    <row r="2179" spans="1:30" x14ac:dyDescent="0.2">
      <c r="A2179" s="232"/>
      <c r="B2179" s="210"/>
      <c r="C2179" s="210"/>
      <c r="D2179" s="210"/>
      <c r="E2179" s="210"/>
      <c r="G2179" s="55"/>
      <c r="H2179" s="56"/>
      <c r="I2179" s="217"/>
      <c r="J2179" s="217"/>
      <c r="K2179" s="217"/>
      <c r="L2179" s="217"/>
      <c r="M2179" s="217"/>
      <c r="N2179" s="217"/>
      <c r="O2179" s="217"/>
      <c r="P2179" s="217"/>
      <c r="Q2179" s="217"/>
      <c r="R2179" s="217"/>
      <c r="S2179" s="217"/>
      <c r="T2179" s="217"/>
      <c r="U2179" s="217"/>
      <c r="V2179" s="217"/>
      <c r="W2179" s="217"/>
      <c r="X2179" s="217"/>
      <c r="Y2179" s="217"/>
      <c r="Z2179" s="217"/>
      <c r="AA2179" s="217"/>
      <c r="AB2179" s="217"/>
      <c r="AC2179" s="217"/>
      <c r="AD2179" s="217"/>
    </row>
    <row r="2180" spans="1:30" x14ac:dyDescent="0.2">
      <c r="A2180" s="232"/>
      <c r="B2180" s="210"/>
      <c r="C2180" s="210"/>
      <c r="D2180" s="210"/>
      <c r="E2180" s="210"/>
      <c r="G2180" s="55"/>
      <c r="H2180" s="56"/>
      <c r="I2180" s="217"/>
      <c r="J2180" s="217"/>
      <c r="K2180" s="217"/>
      <c r="L2180" s="217"/>
      <c r="M2180" s="217"/>
      <c r="N2180" s="217"/>
      <c r="O2180" s="217"/>
      <c r="P2180" s="217"/>
      <c r="Q2180" s="217"/>
      <c r="R2180" s="217"/>
      <c r="S2180" s="217"/>
      <c r="T2180" s="217"/>
      <c r="U2180" s="217"/>
      <c r="V2180" s="217"/>
      <c r="W2180" s="217"/>
      <c r="X2180" s="217"/>
      <c r="Y2180" s="217"/>
      <c r="Z2180" s="217"/>
      <c r="AA2180" s="217"/>
      <c r="AB2180" s="217"/>
      <c r="AC2180" s="217"/>
      <c r="AD2180" s="217"/>
    </row>
    <row r="2181" spans="1:30" x14ac:dyDescent="0.2">
      <c r="A2181" s="232"/>
      <c r="B2181" s="210"/>
      <c r="C2181" s="210"/>
      <c r="D2181" s="210"/>
      <c r="E2181" s="210"/>
      <c r="G2181" s="55"/>
      <c r="H2181" s="56"/>
      <c r="I2181" s="217"/>
      <c r="J2181" s="217"/>
      <c r="K2181" s="217"/>
      <c r="L2181" s="217"/>
      <c r="M2181" s="217"/>
      <c r="N2181" s="217"/>
      <c r="O2181" s="217"/>
      <c r="P2181" s="217"/>
      <c r="Q2181" s="217"/>
      <c r="R2181" s="217"/>
      <c r="S2181" s="217"/>
      <c r="T2181" s="217"/>
      <c r="U2181" s="217"/>
      <c r="V2181" s="217"/>
      <c r="W2181" s="217"/>
      <c r="X2181" s="217"/>
      <c r="Y2181" s="217"/>
      <c r="Z2181" s="217"/>
      <c r="AA2181" s="217"/>
      <c r="AB2181" s="217"/>
      <c r="AC2181" s="217"/>
      <c r="AD2181" s="217"/>
    </row>
    <row r="2182" spans="1:30" x14ac:dyDescent="0.2">
      <c r="A2182" s="232"/>
      <c r="B2182" s="210"/>
      <c r="C2182" s="210"/>
      <c r="D2182" s="210"/>
      <c r="E2182" s="210"/>
      <c r="G2182" s="55"/>
      <c r="H2182" s="56"/>
      <c r="I2182" s="217"/>
      <c r="J2182" s="217"/>
      <c r="K2182" s="217"/>
      <c r="L2182" s="217"/>
      <c r="M2182" s="217"/>
      <c r="N2182" s="217"/>
      <c r="O2182" s="217"/>
      <c r="P2182" s="217"/>
      <c r="Q2182" s="217"/>
      <c r="R2182" s="217"/>
      <c r="S2182" s="217"/>
      <c r="T2182" s="217"/>
      <c r="U2182" s="217"/>
      <c r="V2182" s="217"/>
      <c r="W2182" s="217"/>
      <c r="X2182" s="217"/>
      <c r="Y2182" s="217"/>
      <c r="Z2182" s="217"/>
      <c r="AA2182" s="217"/>
      <c r="AB2182" s="217"/>
      <c r="AC2182" s="217"/>
      <c r="AD2182" s="217"/>
    </row>
    <row r="2183" spans="1:30" x14ac:dyDescent="0.2">
      <c r="A2183" s="232"/>
      <c r="B2183" s="210"/>
      <c r="C2183" s="210"/>
      <c r="D2183" s="210"/>
      <c r="E2183" s="210"/>
      <c r="G2183" s="55"/>
      <c r="H2183" s="56"/>
      <c r="I2183" s="217"/>
      <c r="J2183" s="217"/>
      <c r="K2183" s="217"/>
      <c r="L2183" s="217"/>
      <c r="M2183" s="217"/>
      <c r="N2183" s="217"/>
      <c r="O2183" s="217"/>
      <c r="P2183" s="217"/>
      <c r="Q2183" s="217"/>
      <c r="R2183" s="217"/>
      <c r="S2183" s="217"/>
      <c r="T2183" s="217"/>
      <c r="U2183" s="217"/>
      <c r="V2183" s="217"/>
      <c r="W2183" s="217"/>
      <c r="X2183" s="217"/>
      <c r="Y2183" s="217"/>
      <c r="Z2183" s="217"/>
      <c r="AA2183" s="217"/>
      <c r="AB2183" s="217"/>
      <c r="AC2183" s="217"/>
      <c r="AD2183" s="217"/>
    </row>
    <row r="2184" spans="1:30" x14ac:dyDescent="0.2">
      <c r="A2184" s="232"/>
      <c r="B2184" s="210"/>
      <c r="C2184" s="210"/>
      <c r="D2184" s="210"/>
      <c r="E2184" s="210"/>
      <c r="G2184" s="55"/>
      <c r="H2184" s="56"/>
      <c r="I2184" s="217"/>
      <c r="J2184" s="217"/>
      <c r="K2184" s="217"/>
      <c r="L2184" s="217"/>
      <c r="M2184" s="217"/>
      <c r="N2184" s="217"/>
      <c r="O2184" s="217"/>
      <c r="P2184" s="217"/>
      <c r="Q2184" s="217"/>
      <c r="R2184" s="217"/>
      <c r="S2184" s="217"/>
      <c r="T2184" s="217"/>
      <c r="U2184" s="217"/>
      <c r="V2184" s="217"/>
      <c r="W2184" s="217"/>
      <c r="X2184" s="217"/>
      <c r="Y2184" s="217"/>
      <c r="Z2184" s="217"/>
      <c r="AA2184" s="217"/>
      <c r="AB2184" s="217"/>
      <c r="AC2184" s="217"/>
      <c r="AD2184" s="217"/>
    </row>
    <row r="2185" spans="1:30" x14ac:dyDescent="0.2">
      <c r="A2185" s="232"/>
      <c r="B2185" s="210"/>
      <c r="C2185" s="210"/>
      <c r="D2185" s="210"/>
      <c r="E2185" s="210"/>
      <c r="G2185" s="55"/>
      <c r="H2185" s="56"/>
      <c r="I2185" s="217"/>
      <c r="J2185" s="217"/>
      <c r="K2185" s="217"/>
      <c r="L2185" s="217"/>
      <c r="M2185" s="217"/>
      <c r="N2185" s="217"/>
      <c r="O2185" s="217"/>
      <c r="P2185" s="217"/>
      <c r="Q2185" s="217"/>
      <c r="R2185" s="217"/>
      <c r="S2185" s="217"/>
      <c r="T2185" s="217"/>
      <c r="U2185" s="217"/>
      <c r="V2185" s="217"/>
      <c r="W2185" s="217"/>
      <c r="X2185" s="217"/>
      <c r="Y2185" s="217"/>
      <c r="Z2185" s="217"/>
      <c r="AA2185" s="217"/>
      <c r="AB2185" s="217"/>
      <c r="AC2185" s="217"/>
      <c r="AD2185" s="217"/>
    </row>
    <row r="2186" spans="1:30" x14ac:dyDescent="0.2">
      <c r="A2186" s="232"/>
      <c r="B2186" s="210"/>
      <c r="C2186" s="210"/>
      <c r="D2186" s="210"/>
      <c r="E2186" s="210"/>
      <c r="G2186" s="55"/>
      <c r="H2186" s="56"/>
      <c r="I2186" s="217"/>
      <c r="J2186" s="217"/>
      <c r="K2186" s="217"/>
      <c r="L2186" s="217"/>
      <c r="M2186" s="217"/>
      <c r="N2186" s="217"/>
      <c r="O2186" s="217"/>
      <c r="P2186" s="217"/>
      <c r="Q2186" s="217"/>
      <c r="R2186" s="217"/>
      <c r="S2186" s="217"/>
      <c r="T2186" s="217"/>
      <c r="U2186" s="217"/>
      <c r="V2186" s="217"/>
      <c r="W2186" s="217"/>
      <c r="X2186" s="217"/>
      <c r="Y2186" s="217"/>
      <c r="Z2186" s="217"/>
      <c r="AA2186" s="217"/>
      <c r="AB2186" s="217"/>
      <c r="AC2186" s="217"/>
      <c r="AD2186" s="217"/>
    </row>
    <row r="2187" spans="1:30" x14ac:dyDescent="0.2">
      <c r="A2187" s="232"/>
      <c r="B2187" s="210"/>
      <c r="C2187" s="210"/>
      <c r="D2187" s="210"/>
      <c r="E2187" s="210"/>
      <c r="G2187" s="55"/>
      <c r="H2187" s="56"/>
      <c r="I2187" s="217"/>
      <c r="J2187" s="217"/>
      <c r="K2187" s="217"/>
      <c r="L2187" s="217"/>
      <c r="M2187" s="217"/>
      <c r="N2187" s="217"/>
      <c r="O2187" s="217"/>
      <c r="P2187" s="217"/>
      <c r="Q2187" s="217"/>
      <c r="R2187" s="217"/>
      <c r="S2187" s="217"/>
      <c r="T2187" s="217"/>
      <c r="U2187" s="217"/>
      <c r="V2187" s="217"/>
      <c r="W2187" s="217"/>
      <c r="X2187" s="217"/>
      <c r="Y2187" s="217"/>
      <c r="Z2187" s="217"/>
      <c r="AA2187" s="217"/>
      <c r="AB2187" s="217"/>
      <c r="AC2187" s="217"/>
      <c r="AD2187" s="217"/>
    </row>
    <row r="2188" spans="1:30" x14ac:dyDescent="0.2">
      <c r="A2188" s="232"/>
      <c r="B2188" s="210"/>
      <c r="C2188" s="210"/>
      <c r="D2188" s="210"/>
      <c r="E2188" s="210"/>
      <c r="G2188" s="55"/>
      <c r="H2188" s="56"/>
      <c r="I2188" s="217"/>
      <c r="J2188" s="217"/>
      <c r="K2188" s="217"/>
      <c r="L2188" s="217"/>
      <c r="M2188" s="217"/>
      <c r="N2188" s="217"/>
      <c r="O2188" s="217"/>
      <c r="P2188" s="217"/>
      <c r="Q2188" s="217"/>
      <c r="R2188" s="217"/>
      <c r="S2188" s="217"/>
      <c r="T2188" s="217"/>
      <c r="U2188" s="217"/>
      <c r="V2188" s="217"/>
      <c r="W2188" s="217"/>
      <c r="X2188" s="217"/>
      <c r="Y2188" s="217"/>
      <c r="Z2188" s="217"/>
      <c r="AA2188" s="217"/>
      <c r="AB2188" s="217"/>
      <c r="AC2188" s="217"/>
      <c r="AD2188" s="217"/>
    </row>
    <row r="2189" spans="1:30" x14ac:dyDescent="0.2">
      <c r="A2189" s="232"/>
      <c r="B2189" s="210"/>
      <c r="C2189" s="210"/>
      <c r="D2189" s="210"/>
      <c r="E2189" s="210"/>
      <c r="G2189" s="55"/>
      <c r="H2189" s="56"/>
      <c r="I2189" s="217"/>
      <c r="J2189" s="217"/>
      <c r="K2189" s="217"/>
      <c r="L2189" s="217"/>
      <c r="M2189" s="217"/>
      <c r="N2189" s="217"/>
      <c r="O2189" s="217"/>
      <c r="P2189" s="217"/>
      <c r="Q2189" s="217"/>
      <c r="R2189" s="217"/>
      <c r="S2189" s="217"/>
      <c r="T2189" s="217"/>
      <c r="U2189" s="217"/>
      <c r="V2189" s="217"/>
      <c r="W2189" s="217"/>
      <c r="X2189" s="217"/>
      <c r="Y2189" s="217"/>
      <c r="Z2189" s="217"/>
      <c r="AA2189" s="217"/>
      <c r="AB2189" s="217"/>
      <c r="AC2189" s="217"/>
      <c r="AD2189" s="217"/>
    </row>
    <row r="2190" spans="1:30" x14ac:dyDescent="0.2">
      <c r="A2190" s="232"/>
      <c r="B2190" s="210"/>
      <c r="C2190" s="210"/>
      <c r="D2190" s="210"/>
      <c r="E2190" s="210"/>
      <c r="G2190" s="55"/>
      <c r="H2190" s="56"/>
      <c r="I2190" s="217"/>
      <c r="J2190" s="217"/>
      <c r="K2190" s="217"/>
      <c r="L2190" s="217"/>
      <c r="M2190" s="217"/>
      <c r="N2190" s="217"/>
      <c r="O2190" s="217"/>
      <c r="P2190" s="217"/>
      <c r="Q2190" s="217"/>
      <c r="R2190" s="217"/>
      <c r="S2190" s="217"/>
      <c r="T2190" s="217"/>
      <c r="U2190" s="217"/>
      <c r="V2190" s="217"/>
      <c r="W2190" s="217"/>
      <c r="X2190" s="217"/>
      <c r="Y2190" s="217"/>
      <c r="Z2190" s="217"/>
      <c r="AA2190" s="217"/>
      <c r="AB2190" s="217"/>
      <c r="AC2190" s="217"/>
      <c r="AD2190" s="217"/>
    </row>
    <row r="2191" spans="1:30" x14ac:dyDescent="0.2">
      <c r="A2191" s="232"/>
      <c r="B2191" s="210"/>
      <c r="C2191" s="210"/>
      <c r="D2191" s="210"/>
      <c r="E2191" s="210"/>
      <c r="G2191" s="55"/>
      <c r="H2191" s="56"/>
      <c r="I2191" s="217"/>
      <c r="J2191" s="217"/>
      <c r="K2191" s="217"/>
      <c r="L2191" s="217"/>
      <c r="M2191" s="217"/>
      <c r="N2191" s="217"/>
      <c r="O2191" s="217"/>
      <c r="P2191" s="217"/>
      <c r="Q2191" s="217"/>
      <c r="R2191" s="217"/>
      <c r="S2191" s="217"/>
      <c r="T2191" s="217"/>
      <c r="U2191" s="217"/>
      <c r="V2191" s="217"/>
      <c r="W2191" s="217"/>
      <c r="X2191" s="217"/>
      <c r="Y2191" s="217"/>
      <c r="Z2191" s="217"/>
      <c r="AA2191" s="217"/>
      <c r="AB2191" s="217"/>
      <c r="AC2191" s="217"/>
      <c r="AD2191" s="217"/>
    </row>
    <row r="2192" spans="1:30" x14ac:dyDescent="0.2">
      <c r="A2192" s="232"/>
      <c r="B2192" s="210"/>
      <c r="C2192" s="210"/>
      <c r="D2192" s="210"/>
      <c r="E2192" s="210"/>
      <c r="G2192" s="55"/>
      <c r="H2192" s="56"/>
      <c r="I2192" s="217"/>
      <c r="J2192" s="217"/>
      <c r="K2192" s="217"/>
      <c r="L2192" s="217"/>
      <c r="M2192" s="217"/>
      <c r="N2192" s="217"/>
      <c r="O2192" s="217"/>
      <c r="P2192" s="217"/>
      <c r="Q2192" s="217"/>
      <c r="R2192" s="217"/>
      <c r="S2192" s="217"/>
      <c r="T2192" s="217"/>
      <c r="U2192" s="217"/>
      <c r="V2192" s="217"/>
      <c r="W2192" s="217"/>
      <c r="X2192" s="217"/>
      <c r="Y2192" s="217"/>
      <c r="Z2192" s="217"/>
      <c r="AA2192" s="217"/>
      <c r="AB2192" s="217"/>
      <c r="AC2192" s="217"/>
      <c r="AD2192" s="217"/>
    </row>
    <row r="2193" spans="1:30" x14ac:dyDescent="0.2">
      <c r="A2193" s="232"/>
      <c r="B2193" s="210"/>
      <c r="C2193" s="210"/>
      <c r="D2193" s="210"/>
      <c r="E2193" s="210"/>
      <c r="G2193" s="55"/>
      <c r="H2193" s="56"/>
      <c r="I2193" s="217"/>
      <c r="J2193" s="217"/>
      <c r="K2193" s="217"/>
      <c r="L2193" s="217"/>
      <c r="M2193" s="217"/>
      <c r="N2193" s="217"/>
      <c r="O2193" s="217"/>
      <c r="P2193" s="217"/>
      <c r="Q2193" s="217"/>
      <c r="R2193" s="217"/>
      <c r="S2193" s="217"/>
      <c r="T2193" s="217"/>
      <c r="U2193" s="217"/>
      <c r="V2193" s="217"/>
      <c r="W2193" s="217"/>
      <c r="X2193" s="217"/>
      <c r="Y2193" s="217"/>
      <c r="Z2193" s="217"/>
      <c r="AA2193" s="217"/>
      <c r="AB2193" s="217"/>
      <c r="AC2193" s="217"/>
      <c r="AD2193" s="217"/>
    </row>
    <row r="2194" spans="1:30" x14ac:dyDescent="0.2">
      <c r="A2194" s="232"/>
      <c r="B2194" s="210"/>
      <c r="C2194" s="210"/>
      <c r="D2194" s="210"/>
      <c r="E2194" s="210"/>
      <c r="G2194" s="55"/>
      <c r="H2194" s="56"/>
      <c r="I2194" s="217"/>
      <c r="J2194" s="217"/>
      <c r="K2194" s="217"/>
      <c r="L2194" s="217"/>
      <c r="M2194" s="217"/>
      <c r="N2194" s="217"/>
      <c r="O2194" s="217"/>
      <c r="P2194" s="217"/>
      <c r="Q2194" s="217"/>
      <c r="R2194" s="217"/>
      <c r="S2194" s="217"/>
      <c r="T2194" s="217"/>
      <c r="U2194" s="217"/>
      <c r="V2194" s="217"/>
      <c r="W2194" s="217"/>
      <c r="X2194" s="217"/>
      <c r="Y2194" s="217"/>
      <c r="Z2194" s="217"/>
      <c r="AA2194" s="217"/>
      <c r="AB2194" s="217"/>
      <c r="AC2194" s="217"/>
      <c r="AD2194" s="217"/>
    </row>
    <row r="2195" spans="1:30" x14ac:dyDescent="0.2">
      <c r="A2195" s="232"/>
      <c r="B2195" s="210"/>
      <c r="C2195" s="210"/>
      <c r="D2195" s="210"/>
      <c r="E2195" s="210"/>
      <c r="G2195" s="55"/>
      <c r="H2195" s="56"/>
      <c r="I2195" s="217"/>
      <c r="J2195" s="217"/>
      <c r="K2195" s="217"/>
      <c r="L2195" s="217"/>
      <c r="M2195" s="217"/>
      <c r="N2195" s="217"/>
      <c r="O2195" s="217"/>
      <c r="P2195" s="217"/>
      <c r="Q2195" s="217"/>
      <c r="R2195" s="217"/>
      <c r="S2195" s="217"/>
      <c r="T2195" s="217"/>
      <c r="U2195" s="217"/>
      <c r="V2195" s="217"/>
      <c r="W2195" s="217"/>
      <c r="X2195" s="217"/>
      <c r="Y2195" s="217"/>
      <c r="Z2195" s="217"/>
      <c r="AA2195" s="217"/>
      <c r="AB2195" s="217"/>
      <c r="AC2195" s="217"/>
      <c r="AD2195" s="217"/>
    </row>
    <row r="2196" spans="1:30" x14ac:dyDescent="0.2">
      <c r="A2196" s="232"/>
      <c r="B2196" s="210"/>
      <c r="C2196" s="210"/>
      <c r="D2196" s="210"/>
      <c r="E2196" s="210"/>
      <c r="G2196" s="55"/>
      <c r="H2196" s="56"/>
      <c r="I2196" s="217"/>
      <c r="J2196" s="217"/>
      <c r="K2196" s="217"/>
      <c r="L2196" s="217"/>
      <c r="M2196" s="217"/>
      <c r="N2196" s="217"/>
      <c r="O2196" s="217"/>
      <c r="P2196" s="217"/>
      <c r="Q2196" s="217"/>
      <c r="R2196" s="217"/>
      <c r="S2196" s="217"/>
      <c r="T2196" s="217"/>
      <c r="U2196" s="217"/>
      <c r="V2196" s="217"/>
      <c r="W2196" s="217"/>
      <c r="X2196" s="217"/>
      <c r="Y2196" s="217"/>
      <c r="Z2196" s="217"/>
      <c r="AA2196" s="217"/>
      <c r="AB2196" s="217"/>
      <c r="AC2196" s="217"/>
      <c r="AD2196" s="217"/>
    </row>
    <row r="2197" spans="1:30" x14ac:dyDescent="0.2">
      <c r="A2197" s="232"/>
      <c r="B2197" s="210"/>
      <c r="C2197" s="210"/>
      <c r="D2197" s="210"/>
      <c r="E2197" s="210"/>
      <c r="G2197" s="55"/>
      <c r="H2197" s="56"/>
      <c r="I2197" s="217"/>
      <c r="J2197" s="217"/>
      <c r="K2197" s="217"/>
      <c r="L2197" s="217"/>
      <c r="M2197" s="217"/>
      <c r="N2197" s="217"/>
      <c r="O2197" s="217"/>
      <c r="P2197" s="217"/>
      <c r="Q2197" s="217"/>
      <c r="R2197" s="217"/>
      <c r="S2197" s="217"/>
      <c r="T2197" s="217"/>
      <c r="U2197" s="217"/>
      <c r="V2197" s="217"/>
      <c r="W2197" s="217"/>
      <c r="X2197" s="217"/>
      <c r="Y2197" s="217"/>
      <c r="Z2197" s="217"/>
      <c r="AA2197" s="217"/>
      <c r="AB2197" s="217"/>
      <c r="AC2197" s="217"/>
      <c r="AD2197" s="217"/>
    </row>
    <row r="2198" spans="1:30" x14ac:dyDescent="0.2">
      <c r="A2198" s="232"/>
      <c r="B2198" s="210"/>
      <c r="C2198" s="210"/>
      <c r="D2198" s="210"/>
      <c r="E2198" s="210"/>
      <c r="G2198" s="55"/>
      <c r="H2198" s="56"/>
      <c r="I2198" s="217"/>
      <c r="J2198" s="217"/>
      <c r="K2198" s="217"/>
      <c r="L2198" s="217"/>
      <c r="M2198" s="217"/>
      <c r="N2198" s="217"/>
      <c r="O2198" s="217"/>
      <c r="P2198" s="217"/>
      <c r="Q2198" s="217"/>
      <c r="R2198" s="217"/>
      <c r="S2198" s="217"/>
      <c r="T2198" s="217"/>
      <c r="U2198" s="217"/>
      <c r="V2198" s="217"/>
      <c r="W2198" s="217"/>
      <c r="X2198" s="217"/>
      <c r="Y2198" s="217"/>
      <c r="Z2198" s="217"/>
      <c r="AA2198" s="217"/>
      <c r="AB2198" s="217"/>
      <c r="AC2198" s="217"/>
      <c r="AD2198" s="217"/>
    </row>
    <row r="2199" spans="1:30" x14ac:dyDescent="0.2">
      <c r="A2199" s="232"/>
      <c r="B2199" s="210"/>
      <c r="C2199" s="210"/>
      <c r="D2199" s="210"/>
      <c r="E2199" s="210"/>
      <c r="G2199" s="55"/>
      <c r="H2199" s="56"/>
      <c r="I2199" s="217"/>
      <c r="J2199" s="217"/>
      <c r="K2199" s="217"/>
      <c r="L2199" s="217"/>
      <c r="M2199" s="217"/>
      <c r="N2199" s="217"/>
      <c r="O2199" s="217"/>
      <c r="P2199" s="217"/>
      <c r="Q2199" s="217"/>
      <c r="R2199" s="217"/>
      <c r="S2199" s="217"/>
      <c r="T2199" s="217"/>
      <c r="U2199" s="217"/>
      <c r="V2199" s="217"/>
      <c r="W2199" s="217"/>
      <c r="X2199" s="217"/>
      <c r="Y2199" s="217"/>
      <c r="Z2199" s="217"/>
      <c r="AA2199" s="217"/>
      <c r="AB2199" s="217"/>
      <c r="AC2199" s="217"/>
      <c r="AD2199" s="217"/>
    </row>
    <row r="2200" spans="1:30" x14ac:dyDescent="0.2">
      <c r="A2200" s="232"/>
      <c r="B2200" s="210"/>
      <c r="C2200" s="210"/>
      <c r="D2200" s="210"/>
      <c r="E2200" s="210"/>
      <c r="G2200" s="55"/>
      <c r="H2200" s="56"/>
      <c r="I2200" s="217"/>
      <c r="J2200" s="217"/>
      <c r="K2200" s="217"/>
      <c r="L2200" s="217"/>
      <c r="M2200" s="217"/>
      <c r="N2200" s="217"/>
      <c r="O2200" s="217"/>
      <c r="P2200" s="217"/>
      <c r="Q2200" s="217"/>
      <c r="R2200" s="217"/>
      <c r="S2200" s="217"/>
      <c r="T2200" s="217"/>
      <c r="U2200" s="217"/>
      <c r="V2200" s="217"/>
      <c r="W2200" s="217"/>
      <c r="X2200" s="217"/>
      <c r="Y2200" s="217"/>
      <c r="Z2200" s="217"/>
      <c r="AA2200" s="217"/>
      <c r="AB2200" s="217"/>
      <c r="AC2200" s="217"/>
      <c r="AD2200" s="217"/>
    </row>
    <row r="2201" spans="1:30" x14ac:dyDescent="0.2">
      <c r="A2201" s="232"/>
      <c r="B2201" s="210"/>
      <c r="C2201" s="210"/>
      <c r="D2201" s="210"/>
      <c r="E2201" s="210"/>
      <c r="G2201" s="55"/>
      <c r="H2201" s="56"/>
      <c r="I2201" s="217"/>
      <c r="J2201" s="217"/>
      <c r="K2201" s="217"/>
      <c r="L2201" s="217"/>
      <c r="M2201" s="217"/>
      <c r="N2201" s="217"/>
      <c r="O2201" s="217"/>
      <c r="P2201" s="217"/>
      <c r="Q2201" s="217"/>
      <c r="R2201" s="217"/>
      <c r="S2201" s="217"/>
      <c r="T2201" s="217"/>
      <c r="U2201" s="217"/>
      <c r="V2201" s="217"/>
      <c r="W2201" s="217"/>
      <c r="X2201" s="217"/>
      <c r="Y2201" s="217"/>
      <c r="Z2201" s="217"/>
      <c r="AA2201" s="217"/>
      <c r="AB2201" s="217"/>
      <c r="AC2201" s="217"/>
      <c r="AD2201" s="217"/>
    </row>
    <row r="2202" spans="1:30" x14ac:dyDescent="0.2">
      <c r="A2202" s="232"/>
      <c r="B2202" s="210"/>
      <c r="C2202" s="210"/>
      <c r="D2202" s="210"/>
      <c r="E2202" s="210"/>
      <c r="G2202" s="55"/>
      <c r="H2202" s="56"/>
      <c r="I2202" s="217"/>
      <c r="J2202" s="217"/>
      <c r="K2202" s="217"/>
      <c r="L2202" s="217"/>
      <c r="M2202" s="217"/>
      <c r="N2202" s="217"/>
      <c r="O2202" s="217"/>
      <c r="P2202" s="217"/>
      <c r="Q2202" s="217"/>
      <c r="R2202" s="217"/>
      <c r="S2202" s="217"/>
      <c r="T2202" s="217"/>
      <c r="U2202" s="217"/>
      <c r="V2202" s="217"/>
      <c r="W2202" s="217"/>
      <c r="X2202" s="217"/>
      <c r="Y2202" s="217"/>
      <c r="Z2202" s="217"/>
      <c r="AA2202" s="217"/>
      <c r="AB2202" s="217"/>
      <c r="AC2202" s="217"/>
      <c r="AD2202" s="217"/>
    </row>
    <row r="2203" spans="1:30" x14ac:dyDescent="0.2">
      <c r="A2203" s="232"/>
      <c r="B2203" s="210"/>
      <c r="C2203" s="210"/>
      <c r="D2203" s="210"/>
      <c r="E2203" s="210"/>
      <c r="G2203" s="55"/>
      <c r="H2203" s="56"/>
      <c r="I2203" s="217"/>
      <c r="J2203" s="217"/>
      <c r="K2203" s="217"/>
      <c r="L2203" s="217"/>
      <c r="M2203" s="217"/>
      <c r="N2203" s="217"/>
      <c r="O2203" s="217"/>
      <c r="P2203" s="217"/>
      <c r="Q2203" s="217"/>
      <c r="R2203" s="217"/>
      <c r="S2203" s="217"/>
      <c r="T2203" s="217"/>
      <c r="U2203" s="217"/>
      <c r="V2203" s="217"/>
      <c r="W2203" s="217"/>
      <c r="X2203" s="217"/>
      <c r="Y2203" s="217"/>
      <c r="Z2203" s="217"/>
      <c r="AA2203" s="217"/>
      <c r="AB2203" s="217"/>
      <c r="AC2203" s="217"/>
      <c r="AD2203" s="217"/>
    </row>
    <row r="2204" spans="1:30" x14ac:dyDescent="0.2">
      <c r="A2204" s="232"/>
      <c r="B2204" s="210"/>
      <c r="C2204" s="210"/>
      <c r="D2204" s="210"/>
      <c r="E2204" s="210"/>
      <c r="G2204" s="55"/>
      <c r="H2204" s="56"/>
      <c r="I2204" s="217"/>
      <c r="J2204" s="217"/>
      <c r="K2204" s="217"/>
      <c r="L2204" s="217"/>
      <c r="M2204" s="217"/>
      <c r="N2204" s="217"/>
      <c r="O2204" s="217"/>
      <c r="P2204" s="217"/>
      <c r="Q2204" s="217"/>
      <c r="R2204" s="217"/>
      <c r="S2204" s="217"/>
      <c r="T2204" s="217"/>
      <c r="U2204" s="217"/>
      <c r="V2204" s="217"/>
      <c r="W2204" s="217"/>
      <c r="X2204" s="217"/>
      <c r="Y2204" s="217"/>
      <c r="Z2204" s="217"/>
      <c r="AA2204" s="217"/>
      <c r="AB2204" s="217"/>
      <c r="AC2204" s="217"/>
      <c r="AD2204" s="217"/>
    </row>
    <row r="2205" spans="1:30" x14ac:dyDescent="0.2">
      <c r="A2205" s="232"/>
      <c r="B2205" s="210"/>
      <c r="C2205" s="210"/>
      <c r="D2205" s="210"/>
      <c r="E2205" s="210"/>
      <c r="G2205" s="55"/>
      <c r="H2205" s="56"/>
      <c r="I2205" s="217"/>
      <c r="J2205" s="217"/>
      <c r="K2205" s="217"/>
      <c r="L2205" s="217"/>
      <c r="M2205" s="217"/>
      <c r="N2205" s="217"/>
      <c r="O2205" s="217"/>
      <c r="P2205" s="217"/>
      <c r="Q2205" s="217"/>
      <c r="R2205" s="217"/>
      <c r="S2205" s="217"/>
      <c r="T2205" s="217"/>
      <c r="U2205" s="217"/>
      <c r="V2205" s="217"/>
      <c r="W2205" s="217"/>
      <c r="X2205" s="217"/>
      <c r="Y2205" s="217"/>
      <c r="Z2205" s="217"/>
      <c r="AA2205" s="217"/>
      <c r="AB2205" s="217"/>
      <c r="AC2205" s="217"/>
      <c r="AD2205" s="217"/>
    </row>
    <row r="2206" spans="1:30" x14ac:dyDescent="0.2">
      <c r="A2206" s="232"/>
      <c r="B2206" s="210"/>
      <c r="C2206" s="210"/>
      <c r="D2206" s="210"/>
      <c r="E2206" s="210"/>
      <c r="G2206" s="55"/>
      <c r="H2206" s="56"/>
      <c r="I2206" s="217"/>
      <c r="J2206" s="217"/>
      <c r="K2206" s="217"/>
      <c r="L2206" s="217"/>
      <c r="M2206" s="217"/>
      <c r="N2206" s="217"/>
      <c r="O2206" s="217"/>
      <c r="P2206" s="217"/>
      <c r="Q2206" s="217"/>
      <c r="R2206" s="217"/>
      <c r="S2206" s="217"/>
      <c r="T2206" s="217"/>
      <c r="U2206" s="217"/>
      <c r="V2206" s="217"/>
      <c r="W2206" s="217"/>
      <c r="X2206" s="217"/>
      <c r="Y2206" s="217"/>
      <c r="Z2206" s="217"/>
      <c r="AA2206" s="217"/>
      <c r="AB2206" s="217"/>
      <c r="AC2206" s="217"/>
      <c r="AD2206" s="217"/>
    </row>
    <row r="2207" spans="1:30" x14ac:dyDescent="0.2">
      <c r="A2207" s="232"/>
      <c r="B2207" s="210"/>
      <c r="C2207" s="210"/>
      <c r="D2207" s="210"/>
      <c r="E2207" s="210"/>
      <c r="G2207" s="55"/>
      <c r="H2207" s="56"/>
      <c r="I2207" s="217"/>
      <c r="J2207" s="217"/>
      <c r="K2207" s="217"/>
      <c r="L2207" s="217"/>
      <c r="M2207" s="217"/>
      <c r="N2207" s="217"/>
      <c r="O2207" s="217"/>
      <c r="P2207" s="217"/>
      <c r="Q2207" s="217"/>
      <c r="R2207" s="217"/>
      <c r="S2207" s="217"/>
      <c r="T2207" s="217"/>
      <c r="U2207" s="217"/>
      <c r="V2207" s="217"/>
      <c r="W2207" s="217"/>
      <c r="X2207" s="217"/>
      <c r="Y2207" s="217"/>
      <c r="Z2207" s="217"/>
      <c r="AA2207" s="217"/>
      <c r="AB2207" s="217"/>
      <c r="AC2207" s="217"/>
      <c r="AD2207" s="217"/>
    </row>
    <row r="2208" spans="1:30" x14ac:dyDescent="0.2">
      <c r="A2208" s="232"/>
      <c r="B2208" s="210"/>
      <c r="C2208" s="210"/>
      <c r="D2208" s="210"/>
      <c r="E2208" s="210"/>
      <c r="G2208" s="55"/>
      <c r="H2208" s="56"/>
      <c r="I2208" s="217"/>
      <c r="J2208" s="217"/>
      <c r="K2208" s="217"/>
      <c r="L2208" s="217"/>
      <c r="M2208" s="217"/>
      <c r="N2208" s="217"/>
      <c r="O2208" s="217"/>
      <c r="P2208" s="217"/>
      <c r="Q2208" s="217"/>
      <c r="R2208" s="217"/>
      <c r="S2208" s="217"/>
      <c r="T2208" s="217"/>
      <c r="U2208" s="217"/>
      <c r="V2208" s="217"/>
      <c r="W2208" s="217"/>
      <c r="X2208" s="217"/>
      <c r="Y2208" s="217"/>
      <c r="Z2208" s="217"/>
      <c r="AA2208" s="217"/>
      <c r="AB2208" s="217"/>
      <c r="AC2208" s="217"/>
      <c r="AD2208" s="217"/>
    </row>
    <row r="2209" spans="1:30" x14ac:dyDescent="0.2">
      <c r="A2209" s="232"/>
      <c r="B2209" s="210"/>
      <c r="C2209" s="210"/>
      <c r="D2209" s="210"/>
      <c r="E2209" s="210"/>
      <c r="G2209" s="55"/>
      <c r="H2209" s="56"/>
      <c r="I2209" s="217"/>
      <c r="J2209" s="217"/>
      <c r="K2209" s="217"/>
      <c r="L2209" s="217"/>
      <c r="M2209" s="217"/>
      <c r="N2209" s="217"/>
      <c r="O2209" s="217"/>
      <c r="P2209" s="217"/>
      <c r="Q2209" s="217"/>
      <c r="R2209" s="217"/>
      <c r="S2209" s="217"/>
      <c r="T2209" s="217"/>
      <c r="U2209" s="217"/>
      <c r="V2209" s="217"/>
      <c r="W2209" s="217"/>
      <c r="X2209" s="217"/>
      <c r="Y2209" s="217"/>
      <c r="Z2209" s="217"/>
      <c r="AA2209" s="217"/>
      <c r="AB2209" s="217"/>
      <c r="AC2209" s="217"/>
      <c r="AD2209" s="217"/>
    </row>
    <row r="2210" spans="1:30" x14ac:dyDescent="0.2">
      <c r="A2210" s="232"/>
      <c r="B2210" s="210"/>
      <c r="C2210" s="210"/>
      <c r="D2210" s="210"/>
      <c r="E2210" s="210"/>
      <c r="G2210" s="55"/>
      <c r="H2210" s="56"/>
      <c r="I2210" s="217"/>
      <c r="J2210" s="217"/>
      <c r="K2210" s="217"/>
      <c r="L2210" s="217"/>
      <c r="M2210" s="217"/>
      <c r="N2210" s="217"/>
      <c r="O2210" s="217"/>
      <c r="P2210" s="217"/>
      <c r="Q2210" s="217"/>
      <c r="R2210" s="217"/>
      <c r="S2210" s="217"/>
      <c r="T2210" s="217"/>
      <c r="U2210" s="217"/>
      <c r="V2210" s="217"/>
      <c r="W2210" s="217"/>
      <c r="X2210" s="217"/>
      <c r="Y2210" s="217"/>
      <c r="Z2210" s="217"/>
      <c r="AA2210" s="217"/>
      <c r="AB2210" s="217"/>
      <c r="AC2210" s="217"/>
      <c r="AD2210" s="217"/>
    </row>
    <row r="2211" spans="1:30" x14ac:dyDescent="0.2">
      <c r="A2211" s="232"/>
      <c r="B2211" s="210"/>
      <c r="C2211" s="210"/>
      <c r="D2211" s="210"/>
      <c r="E2211" s="210"/>
      <c r="G2211" s="55"/>
      <c r="H2211" s="56"/>
      <c r="I2211" s="217"/>
      <c r="J2211" s="217"/>
      <c r="K2211" s="217"/>
      <c r="L2211" s="217"/>
      <c r="M2211" s="217"/>
      <c r="N2211" s="217"/>
      <c r="O2211" s="217"/>
      <c r="P2211" s="217"/>
      <c r="Q2211" s="217"/>
      <c r="R2211" s="217"/>
      <c r="S2211" s="217"/>
      <c r="T2211" s="217"/>
      <c r="U2211" s="217"/>
      <c r="V2211" s="217"/>
      <c r="W2211" s="217"/>
      <c r="X2211" s="217"/>
      <c r="Y2211" s="217"/>
      <c r="Z2211" s="217"/>
      <c r="AA2211" s="217"/>
      <c r="AB2211" s="217"/>
      <c r="AC2211" s="217"/>
      <c r="AD2211" s="217"/>
    </row>
    <row r="2212" spans="1:30" x14ac:dyDescent="0.2">
      <c r="A2212" s="232"/>
      <c r="B2212" s="210"/>
      <c r="C2212" s="210"/>
      <c r="D2212" s="210"/>
      <c r="E2212" s="210"/>
      <c r="G2212" s="55"/>
      <c r="H2212" s="56"/>
      <c r="I2212" s="217"/>
      <c r="J2212" s="217"/>
      <c r="K2212" s="217"/>
      <c r="L2212" s="217"/>
      <c r="M2212" s="217"/>
      <c r="N2212" s="217"/>
      <c r="O2212" s="217"/>
      <c r="P2212" s="217"/>
      <c r="Q2212" s="217"/>
      <c r="R2212" s="217"/>
      <c r="S2212" s="217"/>
      <c r="T2212" s="217"/>
      <c r="U2212" s="217"/>
      <c r="V2212" s="217"/>
      <c r="W2212" s="217"/>
      <c r="X2212" s="217"/>
      <c r="Y2212" s="217"/>
      <c r="Z2212" s="217"/>
      <c r="AA2212" s="217"/>
      <c r="AB2212" s="217"/>
      <c r="AC2212" s="217"/>
      <c r="AD2212" s="217"/>
    </row>
    <row r="2213" spans="1:30" x14ac:dyDescent="0.2">
      <c r="A2213" s="232"/>
      <c r="B2213" s="210"/>
      <c r="C2213" s="210"/>
      <c r="D2213" s="210"/>
      <c r="E2213" s="210"/>
      <c r="G2213" s="55"/>
      <c r="H2213" s="56"/>
      <c r="I2213" s="217"/>
      <c r="J2213" s="217"/>
      <c r="K2213" s="217"/>
      <c r="L2213" s="217"/>
      <c r="M2213" s="217"/>
      <c r="N2213" s="217"/>
      <c r="O2213" s="217"/>
      <c r="P2213" s="217"/>
      <c r="Q2213" s="217"/>
      <c r="R2213" s="217"/>
      <c r="S2213" s="217"/>
      <c r="T2213" s="217"/>
      <c r="U2213" s="217"/>
      <c r="V2213" s="217"/>
      <c r="W2213" s="217"/>
      <c r="X2213" s="217"/>
      <c r="Y2213" s="217"/>
      <c r="Z2213" s="217"/>
      <c r="AA2213" s="217"/>
      <c r="AB2213" s="217"/>
      <c r="AC2213" s="217"/>
      <c r="AD2213" s="217"/>
    </row>
    <row r="2214" spans="1:30" x14ac:dyDescent="0.2">
      <c r="A2214" s="232"/>
      <c r="B2214" s="210"/>
      <c r="C2214" s="210"/>
      <c r="D2214" s="210"/>
      <c r="E2214" s="210"/>
      <c r="G2214" s="55"/>
      <c r="H2214" s="56"/>
      <c r="I2214" s="217"/>
      <c r="J2214" s="217"/>
      <c r="K2214" s="217"/>
      <c r="L2214" s="217"/>
      <c r="M2214" s="217"/>
      <c r="N2214" s="217"/>
      <c r="O2214" s="217"/>
      <c r="P2214" s="217"/>
      <c r="Q2214" s="217"/>
      <c r="R2214" s="217"/>
      <c r="S2214" s="217"/>
      <c r="T2214" s="217"/>
      <c r="U2214" s="217"/>
      <c r="V2214" s="217"/>
      <c r="W2214" s="217"/>
      <c r="X2214" s="217"/>
      <c r="Y2214" s="217"/>
      <c r="Z2214" s="217"/>
      <c r="AA2214" s="217"/>
      <c r="AB2214" s="217"/>
      <c r="AC2214" s="217"/>
      <c r="AD2214" s="217"/>
    </row>
    <row r="2215" spans="1:30" x14ac:dyDescent="0.2">
      <c r="A2215" s="232"/>
      <c r="B2215" s="210"/>
      <c r="C2215" s="210"/>
      <c r="D2215" s="210"/>
      <c r="E2215" s="210"/>
      <c r="G2215" s="55"/>
      <c r="H2215" s="56"/>
      <c r="I2215" s="217"/>
      <c r="J2215" s="217"/>
      <c r="K2215" s="217"/>
      <c r="L2215" s="217"/>
      <c r="M2215" s="217"/>
      <c r="N2215" s="217"/>
      <c r="O2215" s="217"/>
      <c r="P2215" s="217"/>
      <c r="Q2215" s="217"/>
      <c r="R2215" s="217"/>
      <c r="S2215" s="217"/>
      <c r="T2215" s="217"/>
      <c r="U2215" s="217"/>
      <c r="V2215" s="217"/>
      <c r="W2215" s="217"/>
      <c r="X2215" s="217"/>
      <c r="Y2215" s="217"/>
      <c r="Z2215" s="217"/>
      <c r="AA2215" s="217"/>
      <c r="AB2215" s="217"/>
      <c r="AC2215" s="217"/>
      <c r="AD2215" s="217"/>
    </row>
    <row r="2216" spans="1:30" x14ac:dyDescent="0.2">
      <c r="A2216" s="232"/>
      <c r="B2216" s="210"/>
      <c r="C2216" s="210"/>
      <c r="D2216" s="210"/>
      <c r="E2216" s="210"/>
      <c r="G2216" s="55"/>
      <c r="H2216" s="56"/>
      <c r="I2216" s="217"/>
      <c r="J2216" s="217"/>
      <c r="K2216" s="217"/>
      <c r="L2216" s="217"/>
      <c r="M2216" s="217"/>
      <c r="N2216" s="217"/>
      <c r="O2216" s="217"/>
      <c r="P2216" s="217"/>
      <c r="Q2216" s="217"/>
      <c r="R2216" s="217"/>
      <c r="S2216" s="217"/>
      <c r="T2216" s="217"/>
      <c r="U2216" s="217"/>
      <c r="V2216" s="217"/>
      <c r="W2216" s="217"/>
      <c r="X2216" s="217"/>
      <c r="Y2216" s="217"/>
      <c r="Z2216" s="217"/>
      <c r="AA2216" s="217"/>
      <c r="AB2216" s="217"/>
      <c r="AC2216" s="217"/>
      <c r="AD2216" s="217"/>
    </row>
    <row r="2217" spans="1:30" x14ac:dyDescent="0.2">
      <c r="A2217" s="232"/>
      <c r="B2217" s="210"/>
      <c r="C2217" s="210"/>
      <c r="D2217" s="210"/>
      <c r="E2217" s="210"/>
      <c r="G2217" s="55"/>
      <c r="H2217" s="56"/>
      <c r="I2217" s="217"/>
      <c r="J2217" s="217"/>
      <c r="K2217" s="217"/>
      <c r="L2217" s="217"/>
      <c r="M2217" s="217"/>
      <c r="N2217" s="217"/>
      <c r="O2217" s="217"/>
      <c r="P2217" s="217"/>
      <c r="Q2217" s="217"/>
      <c r="R2217" s="217"/>
      <c r="S2217" s="217"/>
      <c r="T2217" s="217"/>
      <c r="U2217" s="217"/>
      <c r="V2217" s="217"/>
      <c r="W2217" s="217"/>
      <c r="X2217" s="217"/>
      <c r="Y2217" s="217"/>
      <c r="Z2217" s="217"/>
      <c r="AA2217" s="217"/>
      <c r="AB2217" s="217"/>
      <c r="AC2217" s="217"/>
      <c r="AD2217" s="217"/>
    </row>
    <row r="2218" spans="1:30" x14ac:dyDescent="0.2">
      <c r="A2218" s="232"/>
      <c r="B2218" s="210"/>
      <c r="C2218" s="210"/>
      <c r="D2218" s="210"/>
      <c r="E2218" s="210"/>
      <c r="G2218" s="55"/>
      <c r="H2218" s="56"/>
    </row>
    <row r="2219" spans="1:30" x14ac:dyDescent="0.2">
      <c r="A2219" s="232"/>
      <c r="B2219" s="210"/>
      <c r="C2219" s="210"/>
      <c r="D2219" s="210"/>
      <c r="E2219" s="210"/>
      <c r="G2219" s="55"/>
      <c r="H2219" s="56"/>
    </row>
    <row r="2220" spans="1:30" x14ac:dyDescent="0.2">
      <c r="A2220" s="232"/>
      <c r="B2220" s="210"/>
      <c r="C2220" s="210"/>
      <c r="D2220" s="210"/>
      <c r="E2220" s="210"/>
      <c r="G2220" s="55"/>
      <c r="H2220" s="56"/>
    </row>
    <row r="2221" spans="1:30" x14ac:dyDescent="0.2">
      <c r="A2221" s="232"/>
      <c r="B2221" s="210"/>
      <c r="C2221" s="210"/>
      <c r="D2221" s="210"/>
      <c r="E2221" s="210"/>
      <c r="G2221" s="55"/>
      <c r="H2221" s="56"/>
    </row>
    <row r="2222" spans="1:30" x14ac:dyDescent="0.2">
      <c r="A2222" s="232"/>
      <c r="B2222" s="210"/>
      <c r="C2222" s="210"/>
      <c r="D2222" s="210"/>
      <c r="E2222" s="210"/>
      <c r="G2222" s="55"/>
      <c r="H2222" s="56"/>
    </row>
    <row r="2223" spans="1:30" x14ac:dyDescent="0.2">
      <c r="A2223" s="232"/>
      <c r="B2223" s="210"/>
      <c r="C2223" s="210"/>
      <c r="D2223" s="210"/>
      <c r="E2223" s="210"/>
      <c r="G2223" s="55"/>
      <c r="H2223" s="56"/>
    </row>
    <row r="2224" spans="1:30" x14ac:dyDescent="0.2">
      <c r="A2224" s="232"/>
      <c r="B2224" s="210"/>
      <c r="C2224" s="210"/>
      <c r="D2224" s="210"/>
      <c r="E2224" s="210"/>
      <c r="G2224" s="55"/>
      <c r="H2224" s="56"/>
    </row>
    <row r="2225" spans="1:8" x14ac:dyDescent="0.2">
      <c r="A2225" s="232"/>
      <c r="B2225" s="210"/>
      <c r="C2225" s="210"/>
      <c r="D2225" s="210"/>
      <c r="E2225" s="210"/>
      <c r="G2225" s="55"/>
      <c r="H2225" s="56"/>
    </row>
    <row r="2226" spans="1:8" x14ac:dyDescent="0.2">
      <c r="A2226" s="232"/>
      <c r="B2226" s="210"/>
      <c r="C2226" s="210"/>
      <c r="D2226" s="210"/>
      <c r="E2226" s="210"/>
      <c r="G2226" s="55"/>
      <c r="H2226" s="56"/>
    </row>
    <row r="2227" spans="1:8" x14ac:dyDescent="0.2">
      <c r="A2227" s="232"/>
      <c r="B2227" s="210"/>
      <c r="C2227" s="210"/>
      <c r="D2227" s="210"/>
      <c r="E2227" s="210"/>
      <c r="G2227" s="55"/>
      <c r="H2227" s="56"/>
    </row>
    <row r="2228" spans="1:8" x14ac:dyDescent="0.2">
      <c r="A2228" s="232"/>
      <c r="B2228" s="210"/>
      <c r="C2228" s="210"/>
      <c r="D2228" s="210"/>
      <c r="E2228" s="210"/>
      <c r="G2228" s="55"/>
      <c r="H2228" s="56"/>
    </row>
    <row r="2229" spans="1:8" x14ac:dyDescent="0.2">
      <c r="A2229" s="232"/>
      <c r="B2229" s="210"/>
      <c r="C2229" s="210"/>
      <c r="D2229" s="210"/>
      <c r="E2229" s="210"/>
      <c r="G2229" s="55"/>
      <c r="H2229" s="56"/>
    </row>
    <row r="2230" spans="1:8" x14ac:dyDescent="0.2">
      <c r="A2230" s="232"/>
      <c r="B2230" s="210"/>
      <c r="C2230" s="210"/>
      <c r="D2230" s="210"/>
      <c r="E2230" s="210"/>
      <c r="G2230" s="55"/>
      <c r="H2230" s="56"/>
    </row>
    <row r="2231" spans="1:8" x14ac:dyDescent="0.2">
      <c r="A2231" s="232"/>
      <c r="B2231" s="210"/>
      <c r="C2231" s="210"/>
      <c r="D2231" s="210"/>
      <c r="E2231" s="210"/>
      <c r="G2231" s="55"/>
      <c r="H2231" s="56"/>
    </row>
    <row r="2232" spans="1:8" x14ac:dyDescent="0.2">
      <c r="A2232" s="232"/>
      <c r="B2232" s="210"/>
      <c r="C2232" s="210"/>
      <c r="D2232" s="210"/>
      <c r="E2232" s="210"/>
      <c r="G2232" s="55"/>
      <c r="H2232" s="56"/>
    </row>
    <row r="2233" spans="1:8" x14ac:dyDescent="0.2">
      <c r="A2233" s="232"/>
      <c r="B2233" s="210"/>
      <c r="C2233" s="210"/>
      <c r="D2233" s="210"/>
      <c r="E2233" s="210"/>
      <c r="G2233" s="55"/>
      <c r="H2233" s="56"/>
    </row>
    <row r="2234" spans="1:8" x14ac:dyDescent="0.2">
      <c r="A2234" s="232"/>
      <c r="B2234" s="210"/>
      <c r="C2234" s="210"/>
      <c r="D2234" s="210"/>
      <c r="E2234" s="210"/>
      <c r="G2234" s="55"/>
      <c r="H2234" s="56"/>
    </row>
    <row r="2235" spans="1:8" x14ac:dyDescent="0.2">
      <c r="A2235" s="232"/>
      <c r="B2235" s="210"/>
      <c r="C2235" s="210"/>
      <c r="D2235" s="210"/>
      <c r="E2235" s="210"/>
      <c r="G2235" s="55"/>
      <c r="H2235" s="56"/>
    </row>
    <row r="2236" spans="1:8" x14ac:dyDescent="0.2">
      <c r="A2236" s="232"/>
      <c r="B2236" s="210"/>
      <c r="C2236" s="210"/>
      <c r="D2236" s="210"/>
      <c r="E2236" s="210"/>
      <c r="G2236" s="55"/>
      <c r="H2236" s="56"/>
    </row>
    <row r="2237" spans="1:8" x14ac:dyDescent="0.2">
      <c r="A2237" s="232"/>
      <c r="B2237" s="210"/>
      <c r="C2237" s="210"/>
      <c r="D2237" s="210"/>
      <c r="E2237" s="210"/>
      <c r="G2237" s="55"/>
      <c r="H2237" s="56"/>
    </row>
    <row r="2238" spans="1:8" x14ac:dyDescent="0.2">
      <c r="A2238" s="232"/>
      <c r="B2238" s="210"/>
      <c r="C2238" s="210"/>
      <c r="D2238" s="210"/>
      <c r="E2238" s="210"/>
      <c r="G2238" s="55"/>
      <c r="H2238" s="56"/>
    </row>
    <row r="2239" spans="1:8" x14ac:dyDescent="0.2">
      <c r="A2239" s="232"/>
      <c r="B2239" s="210"/>
      <c r="C2239" s="210"/>
      <c r="D2239" s="210"/>
      <c r="E2239" s="210"/>
      <c r="G2239" s="55"/>
      <c r="H2239" s="56"/>
    </row>
    <row r="2240" spans="1:8" x14ac:dyDescent="0.2">
      <c r="A2240" s="232"/>
      <c r="B2240" s="210"/>
      <c r="C2240" s="210"/>
      <c r="D2240" s="210"/>
      <c r="E2240" s="210"/>
      <c r="G2240" s="55"/>
      <c r="H2240" s="56"/>
    </row>
    <row r="2241" spans="1:8" x14ac:dyDescent="0.2">
      <c r="A2241" s="232"/>
      <c r="B2241" s="210"/>
      <c r="C2241" s="210"/>
      <c r="D2241" s="210"/>
      <c r="E2241" s="210"/>
      <c r="G2241" s="55"/>
      <c r="H2241" s="56"/>
    </row>
    <row r="2242" spans="1:8" x14ac:dyDescent="0.2">
      <c r="A2242" s="232"/>
      <c r="B2242" s="210"/>
      <c r="C2242" s="210"/>
      <c r="D2242" s="210"/>
      <c r="E2242" s="210"/>
      <c r="G2242" s="55"/>
      <c r="H2242" s="56"/>
    </row>
    <row r="2243" spans="1:8" x14ac:dyDescent="0.2">
      <c r="A2243" s="232"/>
      <c r="B2243" s="210"/>
      <c r="C2243" s="210"/>
      <c r="D2243" s="210"/>
      <c r="E2243" s="210"/>
      <c r="G2243" s="55"/>
      <c r="H2243" s="56"/>
    </row>
    <row r="2244" spans="1:8" x14ac:dyDescent="0.2">
      <c r="A2244" s="232"/>
      <c r="B2244" s="210"/>
      <c r="C2244" s="210"/>
      <c r="D2244" s="210"/>
      <c r="E2244" s="210"/>
      <c r="G2244" s="55"/>
      <c r="H2244" s="56"/>
    </row>
    <row r="2245" spans="1:8" x14ac:dyDescent="0.2">
      <c r="A2245" s="232"/>
      <c r="B2245" s="210"/>
      <c r="C2245" s="210"/>
      <c r="D2245" s="210"/>
      <c r="E2245" s="210"/>
      <c r="G2245" s="55"/>
      <c r="H2245" s="56"/>
    </row>
    <row r="2246" spans="1:8" x14ac:dyDescent="0.2">
      <c r="A2246" s="232"/>
      <c r="B2246" s="210"/>
      <c r="C2246" s="210"/>
      <c r="D2246" s="210"/>
      <c r="E2246" s="210"/>
      <c r="G2246" s="55"/>
      <c r="H2246" s="56"/>
    </row>
    <row r="2247" spans="1:8" x14ac:dyDescent="0.2">
      <c r="A2247" s="232"/>
      <c r="B2247" s="210"/>
      <c r="C2247" s="210"/>
      <c r="D2247" s="210"/>
      <c r="E2247" s="210"/>
      <c r="G2247" s="55"/>
      <c r="H2247" s="56"/>
    </row>
    <row r="2248" spans="1:8" x14ac:dyDescent="0.2">
      <c r="A2248" s="232"/>
      <c r="B2248" s="210"/>
      <c r="C2248" s="210"/>
      <c r="D2248" s="210"/>
      <c r="E2248" s="210"/>
      <c r="G2248" s="55"/>
      <c r="H2248" s="56"/>
    </row>
    <row r="2249" spans="1:8" x14ac:dyDescent="0.2">
      <c r="A2249" s="232"/>
      <c r="B2249" s="210"/>
      <c r="C2249" s="210"/>
      <c r="D2249" s="210"/>
      <c r="E2249" s="210"/>
      <c r="G2249" s="55"/>
      <c r="H2249" s="56"/>
    </row>
    <row r="2250" spans="1:8" x14ac:dyDescent="0.2">
      <c r="A2250" s="232"/>
      <c r="B2250" s="210"/>
      <c r="C2250" s="210"/>
      <c r="D2250" s="210"/>
      <c r="E2250" s="210"/>
      <c r="G2250" s="55"/>
      <c r="H2250" s="56"/>
    </row>
    <row r="2251" spans="1:8" x14ac:dyDescent="0.2">
      <c r="A2251" s="232"/>
      <c r="B2251" s="210"/>
      <c r="C2251" s="210"/>
      <c r="D2251" s="210"/>
      <c r="E2251" s="210"/>
      <c r="G2251" s="55"/>
      <c r="H2251" s="56"/>
    </row>
    <row r="2252" spans="1:8" x14ac:dyDescent="0.2">
      <c r="A2252" s="232"/>
      <c r="B2252" s="210"/>
      <c r="C2252" s="210"/>
      <c r="D2252" s="210"/>
      <c r="E2252" s="210"/>
      <c r="G2252" s="55"/>
      <c r="H2252" s="56"/>
    </row>
    <row r="2253" spans="1:8" x14ac:dyDescent="0.2">
      <c r="A2253" s="232"/>
      <c r="B2253" s="210"/>
      <c r="C2253" s="210"/>
      <c r="D2253" s="210"/>
      <c r="E2253" s="210"/>
      <c r="G2253" s="55"/>
      <c r="H2253" s="56"/>
    </row>
    <row r="2254" spans="1:8" x14ac:dyDescent="0.2">
      <c r="A2254" s="232"/>
      <c r="B2254" s="210"/>
      <c r="C2254" s="210"/>
      <c r="D2254" s="210"/>
      <c r="E2254" s="210"/>
      <c r="G2254" s="55"/>
      <c r="H2254" s="56"/>
    </row>
    <row r="2255" spans="1:8" x14ac:dyDescent="0.2">
      <c r="A2255" s="232"/>
      <c r="B2255" s="210"/>
      <c r="C2255" s="210"/>
      <c r="D2255" s="210"/>
      <c r="E2255" s="210"/>
      <c r="G2255" s="55"/>
      <c r="H2255" s="56"/>
    </row>
    <row r="2256" spans="1:8" x14ac:dyDescent="0.2">
      <c r="A2256" s="232"/>
      <c r="B2256" s="210"/>
      <c r="C2256" s="210"/>
      <c r="D2256" s="210"/>
      <c r="E2256" s="210"/>
      <c r="G2256" s="55"/>
      <c r="H2256" s="56"/>
    </row>
    <row r="2257" spans="1:8" x14ac:dyDescent="0.2">
      <c r="A2257" s="232"/>
      <c r="B2257" s="210"/>
      <c r="C2257" s="210"/>
      <c r="D2257" s="210"/>
      <c r="E2257" s="210"/>
      <c r="G2257" s="55"/>
      <c r="H2257" s="56"/>
    </row>
    <row r="2258" spans="1:8" x14ac:dyDescent="0.2">
      <c r="A2258" s="232"/>
      <c r="B2258" s="210"/>
      <c r="C2258" s="210"/>
      <c r="D2258" s="210"/>
      <c r="E2258" s="210"/>
      <c r="G2258" s="55"/>
      <c r="H2258" s="56"/>
    </row>
    <row r="2259" spans="1:8" x14ac:dyDescent="0.2">
      <c r="A2259" s="232"/>
      <c r="B2259" s="210"/>
      <c r="C2259" s="210"/>
      <c r="D2259" s="210"/>
      <c r="E2259" s="210"/>
      <c r="G2259" s="55"/>
      <c r="H2259" s="56"/>
    </row>
    <row r="2260" spans="1:8" x14ac:dyDescent="0.2">
      <c r="A2260" s="232"/>
      <c r="B2260" s="210"/>
      <c r="C2260" s="210"/>
      <c r="D2260" s="210"/>
      <c r="E2260" s="210"/>
      <c r="G2260" s="55"/>
      <c r="H2260" s="56"/>
    </row>
    <row r="2261" spans="1:8" x14ac:dyDescent="0.2">
      <c r="A2261" s="232"/>
      <c r="B2261" s="210"/>
      <c r="C2261" s="210"/>
      <c r="D2261" s="210"/>
      <c r="E2261" s="210"/>
      <c r="G2261" s="55"/>
      <c r="H2261" s="56"/>
    </row>
    <row r="2262" spans="1:8" x14ac:dyDescent="0.2">
      <c r="A2262" s="232"/>
      <c r="B2262" s="210"/>
      <c r="C2262" s="210"/>
      <c r="D2262" s="210"/>
      <c r="E2262" s="210"/>
      <c r="G2262" s="55"/>
      <c r="H2262" s="56"/>
    </row>
    <row r="2263" spans="1:8" x14ac:dyDescent="0.2">
      <c r="A2263" s="232"/>
      <c r="B2263" s="210"/>
      <c r="C2263" s="210"/>
      <c r="D2263" s="210"/>
      <c r="E2263" s="210"/>
      <c r="G2263" s="55"/>
      <c r="H2263" s="56"/>
    </row>
    <row r="2264" spans="1:8" x14ac:dyDescent="0.2">
      <c r="A2264" s="232"/>
      <c r="B2264" s="210"/>
      <c r="C2264" s="210"/>
      <c r="D2264" s="210"/>
      <c r="E2264" s="210"/>
      <c r="G2264" s="55"/>
      <c r="H2264" s="56"/>
    </row>
    <row r="2265" spans="1:8" x14ac:dyDescent="0.2">
      <c r="A2265" s="232"/>
      <c r="B2265" s="210"/>
      <c r="C2265" s="210"/>
      <c r="D2265" s="210"/>
      <c r="E2265" s="210"/>
      <c r="G2265" s="55"/>
      <c r="H2265" s="56"/>
    </row>
    <row r="2266" spans="1:8" x14ac:dyDescent="0.2">
      <c r="A2266" s="232"/>
      <c r="B2266" s="210"/>
      <c r="C2266" s="210"/>
      <c r="D2266" s="210"/>
      <c r="E2266" s="210"/>
      <c r="G2266" s="55"/>
      <c r="H2266" s="56"/>
    </row>
    <row r="2267" spans="1:8" x14ac:dyDescent="0.2">
      <c r="A2267" s="232"/>
      <c r="B2267" s="210"/>
      <c r="C2267" s="210"/>
      <c r="D2267" s="210"/>
      <c r="E2267" s="210"/>
      <c r="G2267" s="55"/>
      <c r="H2267" s="56"/>
    </row>
    <row r="2268" spans="1:8" x14ac:dyDescent="0.2">
      <c r="A2268" s="232"/>
      <c r="B2268" s="210"/>
      <c r="C2268" s="210"/>
      <c r="D2268" s="210"/>
      <c r="E2268" s="210"/>
      <c r="G2268" s="55"/>
      <c r="H2268" s="56"/>
    </row>
    <row r="2269" spans="1:8" x14ac:dyDescent="0.2">
      <c r="A2269" s="232"/>
      <c r="B2269" s="210"/>
      <c r="C2269" s="210"/>
      <c r="D2269" s="210"/>
      <c r="E2269" s="210"/>
      <c r="G2269" s="55"/>
      <c r="H2269" s="56"/>
    </row>
    <row r="2270" spans="1:8" x14ac:dyDescent="0.2">
      <c r="A2270" s="232"/>
      <c r="B2270" s="210"/>
      <c r="C2270" s="210"/>
      <c r="D2270" s="210"/>
      <c r="E2270" s="210"/>
      <c r="G2270" s="55"/>
      <c r="H2270" s="56"/>
    </row>
    <row r="2271" spans="1:8" x14ac:dyDescent="0.2">
      <c r="A2271" s="232"/>
      <c r="B2271" s="210"/>
      <c r="C2271" s="210"/>
      <c r="D2271" s="210"/>
      <c r="E2271" s="210"/>
      <c r="G2271" s="55"/>
      <c r="H2271" s="56"/>
    </row>
    <row r="2272" spans="1:8" x14ac:dyDescent="0.2">
      <c r="A2272" s="232"/>
      <c r="B2272" s="210"/>
      <c r="C2272" s="210"/>
      <c r="D2272" s="210"/>
      <c r="E2272" s="210"/>
      <c r="G2272" s="57"/>
      <c r="H2272" s="58"/>
    </row>
    <row r="2273" spans="1:8" x14ac:dyDescent="0.2">
      <c r="A2273" s="232"/>
      <c r="B2273" s="210"/>
      <c r="C2273" s="210"/>
      <c r="D2273" s="210"/>
      <c r="E2273" s="210"/>
      <c r="G2273" s="53"/>
      <c r="H2273" s="54"/>
    </row>
    <row r="2274" spans="1:8" x14ac:dyDescent="0.2">
      <c r="A2274" s="232"/>
      <c r="B2274" s="210"/>
      <c r="C2274" s="210"/>
      <c r="D2274" s="210"/>
      <c r="E2274" s="210"/>
      <c r="G2274" s="55"/>
      <c r="H2274" s="56"/>
    </row>
    <row r="2275" spans="1:8" x14ac:dyDescent="0.2">
      <c r="A2275" s="232"/>
      <c r="B2275" s="210"/>
      <c r="C2275" s="210"/>
      <c r="D2275" s="210"/>
      <c r="E2275" s="210"/>
      <c r="G2275" s="55"/>
      <c r="H2275" s="56"/>
    </row>
    <row r="2276" spans="1:8" x14ac:dyDescent="0.2">
      <c r="A2276" s="232"/>
      <c r="B2276" s="210"/>
      <c r="C2276" s="210"/>
      <c r="D2276" s="210"/>
      <c r="E2276" s="210"/>
      <c r="G2276" s="55"/>
      <c r="H2276" s="56"/>
    </row>
    <row r="2277" spans="1:8" x14ac:dyDescent="0.2">
      <c r="A2277" s="232"/>
      <c r="B2277" s="210"/>
      <c r="C2277" s="210"/>
      <c r="D2277" s="210"/>
      <c r="E2277" s="210"/>
      <c r="G2277" s="55"/>
      <c r="H2277" s="56"/>
    </row>
    <row r="2278" spans="1:8" x14ac:dyDescent="0.2">
      <c r="A2278" s="232"/>
      <c r="B2278" s="210"/>
      <c r="C2278" s="210"/>
      <c r="D2278" s="210"/>
      <c r="E2278" s="210"/>
      <c r="G2278" s="55"/>
      <c r="H2278" s="56"/>
    </row>
    <row r="2279" spans="1:8" x14ac:dyDescent="0.2">
      <c r="A2279" s="232"/>
      <c r="B2279" s="210"/>
      <c r="C2279" s="210"/>
      <c r="D2279" s="210"/>
      <c r="E2279" s="210"/>
      <c r="G2279" s="55"/>
      <c r="H2279" s="56"/>
    </row>
    <row r="2280" spans="1:8" x14ac:dyDescent="0.2">
      <c r="A2280" s="232"/>
      <c r="B2280" s="210"/>
      <c r="C2280" s="210"/>
      <c r="D2280" s="210"/>
      <c r="E2280" s="210"/>
      <c r="G2280" s="55"/>
      <c r="H2280" s="56"/>
    </row>
    <row r="2281" spans="1:8" x14ac:dyDescent="0.2">
      <c r="A2281" s="232"/>
      <c r="B2281" s="210"/>
      <c r="C2281" s="210"/>
      <c r="D2281" s="210"/>
      <c r="E2281" s="210"/>
      <c r="G2281" s="55"/>
      <c r="H2281" s="56"/>
    </row>
    <row r="2282" spans="1:8" x14ac:dyDescent="0.2">
      <c r="A2282" s="232"/>
      <c r="B2282" s="210"/>
      <c r="C2282" s="210"/>
      <c r="D2282" s="210"/>
      <c r="E2282" s="210"/>
      <c r="G2282" s="55"/>
      <c r="H2282" s="56"/>
    </row>
    <row r="2283" spans="1:8" x14ac:dyDescent="0.2">
      <c r="A2283" s="232"/>
      <c r="B2283" s="210"/>
      <c r="C2283" s="210"/>
      <c r="D2283" s="210"/>
      <c r="E2283" s="210"/>
      <c r="G2283" s="55"/>
      <c r="H2283" s="56"/>
    </row>
    <row r="2284" spans="1:8" x14ac:dyDescent="0.2">
      <c r="A2284" s="232"/>
      <c r="B2284" s="210"/>
      <c r="C2284" s="210"/>
      <c r="D2284" s="210"/>
      <c r="E2284" s="210"/>
      <c r="G2284" s="55"/>
      <c r="H2284" s="56"/>
    </row>
    <row r="2285" spans="1:8" x14ac:dyDescent="0.2">
      <c r="A2285" s="232"/>
      <c r="B2285" s="210"/>
      <c r="C2285" s="210"/>
      <c r="D2285" s="210"/>
      <c r="E2285" s="210"/>
      <c r="G2285" s="55"/>
      <c r="H2285" s="56"/>
    </row>
    <row r="2286" spans="1:8" x14ac:dyDescent="0.2">
      <c r="A2286" s="232"/>
      <c r="B2286" s="210"/>
      <c r="C2286" s="210"/>
      <c r="D2286" s="210"/>
      <c r="E2286" s="210"/>
      <c r="G2286" s="55"/>
      <c r="H2286" s="56"/>
    </row>
    <row r="2287" spans="1:8" x14ac:dyDescent="0.2">
      <c r="A2287" s="232"/>
      <c r="B2287" s="210"/>
      <c r="C2287" s="210"/>
      <c r="D2287" s="210"/>
      <c r="E2287" s="210"/>
      <c r="G2287" s="55"/>
      <c r="H2287" s="56"/>
    </row>
    <row r="2288" spans="1:8" x14ac:dyDescent="0.2">
      <c r="A2288" s="232"/>
      <c r="B2288" s="210"/>
      <c r="C2288" s="210"/>
      <c r="D2288" s="210"/>
      <c r="E2288" s="210"/>
      <c r="G2288" s="55"/>
      <c r="H2288" s="56"/>
    </row>
    <row r="2289" spans="1:8" x14ac:dyDescent="0.2">
      <c r="A2289" s="232"/>
      <c r="B2289" s="210"/>
      <c r="C2289" s="210"/>
      <c r="D2289" s="210"/>
      <c r="E2289" s="210"/>
      <c r="G2289" s="55"/>
      <c r="H2289" s="56"/>
    </row>
    <row r="2290" spans="1:8" x14ac:dyDescent="0.2">
      <c r="A2290" s="232"/>
      <c r="B2290" s="210"/>
      <c r="C2290" s="210"/>
      <c r="D2290" s="210"/>
      <c r="E2290" s="210"/>
      <c r="G2290" s="55"/>
      <c r="H2290" s="56"/>
    </row>
    <row r="2291" spans="1:8" x14ac:dyDescent="0.2">
      <c r="A2291" s="232"/>
      <c r="B2291" s="210"/>
      <c r="C2291" s="210"/>
      <c r="D2291" s="210"/>
      <c r="E2291" s="210"/>
      <c r="G2291" s="55"/>
      <c r="H2291" s="56"/>
    </row>
    <row r="2292" spans="1:8" x14ac:dyDescent="0.2">
      <c r="A2292" s="232"/>
      <c r="B2292" s="210"/>
      <c r="C2292" s="210"/>
      <c r="D2292" s="210"/>
      <c r="E2292" s="210"/>
      <c r="G2292" s="55"/>
      <c r="H2292" s="56"/>
    </row>
    <row r="2293" spans="1:8" x14ac:dyDescent="0.2">
      <c r="A2293" s="232"/>
      <c r="B2293" s="210"/>
      <c r="C2293" s="210"/>
      <c r="D2293" s="210"/>
      <c r="E2293" s="210"/>
      <c r="G2293" s="55"/>
      <c r="H2293" s="56"/>
    </row>
    <row r="2294" spans="1:8" x14ac:dyDescent="0.2">
      <c r="A2294" s="232"/>
      <c r="B2294" s="210"/>
      <c r="C2294" s="210"/>
      <c r="D2294" s="210"/>
      <c r="E2294" s="210"/>
      <c r="G2294" s="55"/>
      <c r="H2294" s="56"/>
    </row>
    <row r="2295" spans="1:8" x14ac:dyDescent="0.2">
      <c r="A2295" s="232"/>
      <c r="B2295" s="210"/>
      <c r="C2295" s="210"/>
      <c r="D2295" s="210"/>
      <c r="E2295" s="210"/>
      <c r="G2295" s="55"/>
      <c r="H2295" s="56"/>
    </row>
    <row r="2296" spans="1:8" x14ac:dyDescent="0.2">
      <c r="A2296" s="232"/>
      <c r="B2296" s="210"/>
      <c r="C2296" s="210"/>
      <c r="D2296" s="210"/>
      <c r="E2296" s="210"/>
      <c r="G2296" s="55"/>
      <c r="H2296" s="56"/>
    </row>
    <row r="2297" spans="1:8" x14ac:dyDescent="0.2">
      <c r="A2297" s="232"/>
      <c r="B2297" s="210"/>
      <c r="C2297" s="210"/>
      <c r="D2297" s="210"/>
      <c r="E2297" s="210"/>
      <c r="G2297" s="55"/>
      <c r="H2297" s="56"/>
    </row>
    <row r="2298" spans="1:8" x14ac:dyDescent="0.2">
      <c r="A2298" s="232"/>
      <c r="B2298" s="210"/>
      <c r="C2298" s="210"/>
      <c r="D2298" s="210"/>
      <c r="E2298" s="210"/>
      <c r="G2298" s="55"/>
      <c r="H2298" s="56"/>
    </row>
    <row r="2299" spans="1:8" x14ac:dyDescent="0.2">
      <c r="A2299" s="232"/>
      <c r="B2299" s="210"/>
      <c r="C2299" s="210"/>
      <c r="D2299" s="210"/>
      <c r="E2299" s="210"/>
      <c r="G2299" s="55"/>
      <c r="H2299" s="56"/>
    </row>
    <row r="2300" spans="1:8" x14ac:dyDescent="0.2">
      <c r="A2300" s="232"/>
      <c r="B2300" s="210"/>
      <c r="C2300" s="210"/>
      <c r="D2300" s="210"/>
      <c r="E2300" s="210"/>
      <c r="G2300" s="55"/>
      <c r="H2300" s="56"/>
    </row>
    <row r="2301" spans="1:8" x14ac:dyDescent="0.2">
      <c r="A2301" s="232"/>
      <c r="B2301" s="210"/>
      <c r="C2301" s="210"/>
      <c r="D2301" s="210"/>
      <c r="E2301" s="210"/>
      <c r="G2301" s="55"/>
      <c r="H2301" s="56"/>
    </row>
    <row r="2302" spans="1:8" x14ac:dyDescent="0.2">
      <c r="A2302" s="232"/>
      <c r="B2302" s="210"/>
      <c r="C2302" s="210"/>
      <c r="D2302" s="210"/>
      <c r="E2302" s="210"/>
      <c r="G2302" s="55"/>
      <c r="H2302" s="56"/>
    </row>
    <row r="2303" spans="1:8" x14ac:dyDescent="0.2">
      <c r="A2303" s="232"/>
      <c r="B2303" s="210"/>
      <c r="C2303" s="210"/>
      <c r="D2303" s="210"/>
      <c r="E2303" s="210"/>
      <c r="G2303" s="55"/>
      <c r="H2303" s="56"/>
    </row>
    <row r="2304" spans="1:8" x14ac:dyDescent="0.2">
      <c r="A2304" s="232"/>
      <c r="B2304" s="210"/>
      <c r="C2304" s="210"/>
      <c r="D2304" s="210"/>
      <c r="E2304" s="210"/>
      <c r="G2304" s="55"/>
      <c r="H2304" s="56"/>
    </row>
    <row r="2305" spans="1:8" x14ac:dyDescent="0.2">
      <c r="A2305" s="232"/>
      <c r="B2305" s="210"/>
      <c r="C2305" s="210"/>
      <c r="D2305" s="210"/>
      <c r="E2305" s="210"/>
      <c r="G2305" s="55"/>
      <c r="H2305" s="56"/>
    </row>
    <row r="2306" spans="1:8" x14ac:dyDescent="0.2">
      <c r="A2306" s="232"/>
      <c r="B2306" s="210"/>
      <c r="C2306" s="210"/>
      <c r="D2306" s="210"/>
      <c r="E2306" s="210"/>
      <c r="G2306" s="55"/>
      <c r="H2306" s="56"/>
    </row>
    <row r="2307" spans="1:8" x14ac:dyDescent="0.2">
      <c r="A2307" s="232"/>
      <c r="B2307" s="210"/>
      <c r="C2307" s="210"/>
      <c r="D2307" s="210"/>
      <c r="E2307" s="210"/>
      <c r="G2307" s="55"/>
      <c r="H2307" s="56"/>
    </row>
    <row r="2308" spans="1:8" x14ac:dyDescent="0.2">
      <c r="A2308" s="232"/>
      <c r="B2308" s="210"/>
      <c r="C2308" s="210"/>
      <c r="D2308" s="210"/>
      <c r="E2308" s="210"/>
      <c r="G2308" s="55"/>
      <c r="H2308" s="56"/>
    </row>
    <row r="2309" spans="1:8" x14ac:dyDescent="0.2">
      <c r="A2309" s="232"/>
      <c r="B2309" s="210"/>
      <c r="C2309" s="210"/>
      <c r="D2309" s="210"/>
      <c r="E2309" s="210"/>
      <c r="G2309" s="55"/>
      <c r="H2309" s="56"/>
    </row>
    <row r="2310" spans="1:8" x14ac:dyDescent="0.2">
      <c r="A2310" s="232"/>
      <c r="B2310" s="210"/>
      <c r="C2310" s="210"/>
      <c r="D2310" s="210"/>
      <c r="E2310" s="210"/>
      <c r="G2310" s="55"/>
      <c r="H2310" s="56"/>
    </row>
    <row r="2311" spans="1:8" x14ac:dyDescent="0.2">
      <c r="A2311" s="232"/>
      <c r="B2311" s="210"/>
      <c r="C2311" s="210"/>
      <c r="D2311" s="210"/>
      <c r="E2311" s="210"/>
      <c r="G2311" s="55"/>
      <c r="H2311" s="56"/>
    </row>
    <row r="2312" spans="1:8" x14ac:dyDescent="0.2">
      <c r="A2312" s="232"/>
      <c r="B2312" s="210"/>
      <c r="C2312" s="210"/>
      <c r="D2312" s="210"/>
      <c r="E2312" s="210"/>
      <c r="G2312" s="55"/>
      <c r="H2312" s="56"/>
    </row>
    <row r="2313" spans="1:8" x14ac:dyDescent="0.2">
      <c r="A2313" s="232"/>
      <c r="B2313" s="210"/>
      <c r="C2313" s="210"/>
      <c r="D2313" s="210"/>
      <c r="E2313" s="210"/>
      <c r="G2313" s="55"/>
      <c r="H2313" s="56"/>
    </row>
    <row r="2314" spans="1:8" x14ac:dyDescent="0.2">
      <c r="A2314" s="232"/>
      <c r="B2314" s="210"/>
      <c r="C2314" s="210"/>
      <c r="D2314" s="210"/>
      <c r="E2314" s="210"/>
      <c r="G2314" s="55"/>
      <c r="H2314" s="56"/>
    </row>
    <row r="2315" spans="1:8" x14ac:dyDescent="0.2">
      <c r="A2315" s="232"/>
      <c r="B2315" s="210"/>
      <c r="C2315" s="210"/>
      <c r="D2315" s="210"/>
      <c r="E2315" s="210"/>
      <c r="G2315" s="55"/>
      <c r="H2315" s="56"/>
    </row>
    <row r="2316" spans="1:8" x14ac:dyDescent="0.2">
      <c r="A2316" s="232"/>
      <c r="B2316" s="210"/>
      <c r="C2316" s="210"/>
      <c r="D2316" s="210"/>
      <c r="E2316" s="210"/>
      <c r="G2316" s="55"/>
      <c r="H2316" s="56"/>
    </row>
    <row r="2317" spans="1:8" x14ac:dyDescent="0.2">
      <c r="A2317" s="232"/>
      <c r="B2317" s="210"/>
      <c r="C2317" s="210"/>
      <c r="D2317" s="210"/>
      <c r="E2317" s="210"/>
      <c r="G2317" s="55"/>
      <c r="H2317" s="56"/>
    </row>
    <row r="2318" spans="1:8" x14ac:dyDescent="0.2">
      <c r="A2318" s="232"/>
      <c r="B2318" s="210"/>
      <c r="C2318" s="210"/>
      <c r="D2318" s="210"/>
      <c r="E2318" s="210"/>
      <c r="G2318" s="55"/>
      <c r="H2318" s="56"/>
    </row>
    <row r="2319" spans="1:8" x14ac:dyDescent="0.2">
      <c r="A2319" s="232"/>
      <c r="B2319" s="210"/>
      <c r="C2319" s="210"/>
      <c r="D2319" s="210"/>
      <c r="E2319" s="210"/>
      <c r="G2319" s="55"/>
      <c r="H2319" s="56"/>
    </row>
    <row r="2320" spans="1:8" x14ac:dyDescent="0.2">
      <c r="A2320" s="232"/>
      <c r="B2320" s="210"/>
      <c r="C2320" s="210"/>
      <c r="D2320" s="210"/>
      <c r="E2320" s="210"/>
      <c r="G2320" s="55"/>
      <c r="H2320" s="56"/>
    </row>
    <row r="2321" spans="1:8" x14ac:dyDescent="0.2">
      <c r="A2321" s="232"/>
      <c r="B2321" s="210"/>
      <c r="C2321" s="210"/>
      <c r="D2321" s="210"/>
      <c r="E2321" s="210"/>
      <c r="G2321" s="55"/>
      <c r="H2321" s="56"/>
    </row>
    <row r="2322" spans="1:8" x14ac:dyDescent="0.2">
      <c r="A2322" s="232"/>
      <c r="B2322" s="210"/>
      <c r="C2322" s="210"/>
      <c r="D2322" s="210"/>
      <c r="E2322" s="210"/>
      <c r="G2322" s="55"/>
      <c r="H2322" s="56"/>
    </row>
    <row r="2323" spans="1:8" x14ac:dyDescent="0.2">
      <c r="A2323" s="232"/>
      <c r="B2323" s="210"/>
      <c r="C2323" s="210"/>
      <c r="D2323" s="210"/>
      <c r="E2323" s="210"/>
      <c r="G2323" s="55"/>
      <c r="H2323" s="56"/>
    </row>
    <row r="2324" spans="1:8" x14ac:dyDescent="0.2">
      <c r="A2324" s="232"/>
      <c r="B2324" s="210"/>
      <c r="C2324" s="210"/>
      <c r="D2324" s="210"/>
      <c r="E2324" s="210"/>
      <c r="G2324" s="55"/>
      <c r="H2324" s="56"/>
    </row>
    <row r="2325" spans="1:8" x14ac:dyDescent="0.2">
      <c r="A2325" s="232"/>
      <c r="B2325" s="210"/>
      <c r="C2325" s="210"/>
      <c r="D2325" s="210"/>
      <c r="E2325" s="210"/>
      <c r="G2325" s="55"/>
      <c r="H2325" s="56"/>
    </row>
    <row r="2326" spans="1:8" x14ac:dyDescent="0.2">
      <c r="A2326" s="232"/>
      <c r="B2326" s="210"/>
      <c r="C2326" s="210"/>
      <c r="D2326" s="210"/>
      <c r="E2326" s="210"/>
      <c r="G2326" s="55"/>
      <c r="H2326" s="56"/>
    </row>
    <row r="2327" spans="1:8" x14ac:dyDescent="0.2">
      <c r="A2327" s="232"/>
      <c r="B2327" s="210"/>
      <c r="C2327" s="210"/>
      <c r="D2327" s="210"/>
      <c r="E2327" s="210"/>
      <c r="G2327" s="55"/>
      <c r="H2327" s="56"/>
    </row>
    <row r="2328" spans="1:8" x14ac:dyDescent="0.2">
      <c r="A2328" s="232"/>
      <c r="B2328" s="210"/>
      <c r="C2328" s="210"/>
      <c r="D2328" s="210"/>
      <c r="E2328" s="210"/>
      <c r="G2328" s="55"/>
      <c r="H2328" s="56"/>
    </row>
    <row r="2329" spans="1:8" x14ac:dyDescent="0.2">
      <c r="A2329" s="232"/>
      <c r="B2329" s="210"/>
      <c r="C2329" s="210"/>
      <c r="D2329" s="210"/>
      <c r="E2329" s="210"/>
      <c r="G2329" s="55"/>
      <c r="H2329" s="56"/>
    </row>
    <row r="2330" spans="1:8" x14ac:dyDescent="0.2">
      <c r="A2330" s="232"/>
      <c r="B2330" s="210"/>
      <c r="C2330" s="210"/>
      <c r="D2330" s="210"/>
      <c r="E2330" s="210"/>
      <c r="G2330" s="55"/>
      <c r="H2330" s="56"/>
    </row>
    <row r="2331" spans="1:8" x14ac:dyDescent="0.2">
      <c r="A2331" s="232"/>
      <c r="B2331" s="210"/>
      <c r="C2331" s="210"/>
      <c r="D2331" s="210"/>
      <c r="E2331" s="210"/>
      <c r="G2331" s="55"/>
      <c r="H2331" s="56"/>
    </row>
    <row r="2332" spans="1:8" x14ac:dyDescent="0.2">
      <c r="A2332" s="232"/>
      <c r="B2332" s="210"/>
      <c r="C2332" s="210"/>
      <c r="D2332" s="210"/>
      <c r="E2332" s="210"/>
      <c r="G2332" s="55"/>
      <c r="H2332" s="56"/>
    </row>
    <row r="2333" spans="1:8" x14ac:dyDescent="0.2">
      <c r="A2333" s="232"/>
      <c r="B2333" s="210"/>
      <c r="C2333" s="210"/>
      <c r="D2333" s="210"/>
      <c r="E2333" s="210"/>
      <c r="G2333" s="55"/>
      <c r="H2333" s="56"/>
    </row>
    <row r="2334" spans="1:8" x14ac:dyDescent="0.2">
      <c r="A2334" s="232"/>
      <c r="B2334" s="210"/>
      <c r="C2334" s="210"/>
      <c r="D2334" s="210"/>
      <c r="E2334" s="210"/>
      <c r="G2334" s="55"/>
      <c r="H2334" s="56"/>
    </row>
    <row r="2335" spans="1:8" x14ac:dyDescent="0.2">
      <c r="A2335" s="232"/>
      <c r="B2335" s="210"/>
      <c r="C2335" s="210"/>
      <c r="D2335" s="210"/>
      <c r="E2335" s="210"/>
      <c r="G2335" s="55"/>
      <c r="H2335" s="56"/>
    </row>
    <row r="2336" spans="1:8" x14ac:dyDescent="0.2">
      <c r="A2336" s="232"/>
      <c r="B2336" s="210"/>
      <c r="C2336" s="210"/>
      <c r="D2336" s="210"/>
      <c r="E2336" s="210"/>
      <c r="G2336" s="55"/>
      <c r="H2336" s="56"/>
    </row>
    <row r="2337" spans="1:8" x14ac:dyDescent="0.2">
      <c r="A2337" s="232"/>
      <c r="B2337" s="210"/>
      <c r="C2337" s="210"/>
      <c r="D2337" s="210"/>
      <c r="E2337" s="210"/>
      <c r="G2337" s="55"/>
      <c r="H2337" s="56"/>
    </row>
    <row r="2338" spans="1:8" x14ac:dyDescent="0.2">
      <c r="A2338" s="232"/>
      <c r="B2338" s="210"/>
      <c r="C2338" s="210"/>
      <c r="D2338" s="210"/>
      <c r="E2338" s="210"/>
      <c r="G2338" s="55"/>
      <c r="H2338" s="56"/>
    </row>
    <row r="2339" spans="1:8" x14ac:dyDescent="0.2">
      <c r="A2339" s="232"/>
      <c r="B2339" s="210"/>
      <c r="C2339" s="210"/>
      <c r="D2339" s="210"/>
      <c r="E2339" s="210"/>
      <c r="G2339" s="55"/>
      <c r="H2339" s="56"/>
    </row>
    <row r="2340" spans="1:8" x14ac:dyDescent="0.2">
      <c r="A2340" s="232"/>
      <c r="B2340" s="210"/>
      <c r="C2340" s="210"/>
      <c r="D2340" s="210"/>
      <c r="E2340" s="210"/>
      <c r="G2340" s="55"/>
      <c r="H2340" s="56"/>
    </row>
    <row r="2341" spans="1:8" x14ac:dyDescent="0.2">
      <c r="A2341" s="232"/>
      <c r="B2341" s="210"/>
      <c r="C2341" s="210"/>
      <c r="D2341" s="210"/>
      <c r="E2341" s="210"/>
      <c r="G2341" s="55"/>
      <c r="H2341" s="56"/>
    </row>
    <row r="2342" spans="1:8" x14ac:dyDescent="0.2">
      <c r="A2342" s="232"/>
      <c r="B2342" s="210"/>
      <c r="C2342" s="210"/>
      <c r="D2342" s="210"/>
      <c r="E2342" s="210"/>
      <c r="G2342" s="55"/>
      <c r="H2342" s="56"/>
    </row>
    <row r="2343" spans="1:8" x14ac:dyDescent="0.2">
      <c r="A2343" s="232"/>
      <c r="B2343" s="210"/>
      <c r="C2343" s="210"/>
      <c r="D2343" s="210"/>
      <c r="E2343" s="210"/>
      <c r="G2343" s="55"/>
      <c r="H2343" s="56"/>
    </row>
    <row r="2344" spans="1:8" x14ac:dyDescent="0.2">
      <c r="A2344" s="232"/>
      <c r="B2344" s="210"/>
      <c r="C2344" s="210"/>
      <c r="D2344" s="210"/>
      <c r="E2344" s="210"/>
      <c r="G2344" s="55"/>
      <c r="H2344" s="56"/>
    </row>
    <row r="2345" spans="1:8" x14ac:dyDescent="0.2">
      <c r="A2345" s="232"/>
      <c r="B2345" s="210"/>
      <c r="C2345" s="210"/>
      <c r="D2345" s="210"/>
      <c r="E2345" s="210"/>
      <c r="G2345" s="55"/>
      <c r="H2345" s="56"/>
    </row>
    <row r="2346" spans="1:8" x14ac:dyDescent="0.2">
      <c r="A2346" s="232"/>
      <c r="B2346" s="210"/>
      <c r="C2346" s="210"/>
      <c r="D2346" s="210"/>
      <c r="E2346" s="210"/>
      <c r="G2346" s="55"/>
      <c r="H2346" s="56"/>
    </row>
    <row r="2347" spans="1:8" x14ac:dyDescent="0.2">
      <c r="A2347" s="232"/>
      <c r="B2347" s="210"/>
      <c r="C2347" s="210"/>
      <c r="D2347" s="210"/>
      <c r="E2347" s="210"/>
      <c r="G2347" s="55"/>
      <c r="H2347" s="56"/>
    </row>
    <row r="2348" spans="1:8" x14ac:dyDescent="0.2">
      <c r="A2348" s="232"/>
      <c r="B2348" s="210"/>
      <c r="C2348" s="210"/>
      <c r="D2348" s="210"/>
      <c r="E2348" s="210"/>
      <c r="G2348" s="55"/>
      <c r="H2348" s="56"/>
    </row>
    <row r="2349" spans="1:8" x14ac:dyDescent="0.2">
      <c r="A2349" s="232"/>
      <c r="B2349" s="210"/>
      <c r="C2349" s="210"/>
      <c r="D2349" s="210"/>
      <c r="E2349" s="210"/>
      <c r="G2349" s="55"/>
      <c r="H2349" s="56"/>
    </row>
    <row r="2350" spans="1:8" x14ac:dyDescent="0.2">
      <c r="A2350" s="232"/>
      <c r="B2350" s="210"/>
      <c r="C2350" s="210"/>
      <c r="D2350" s="210"/>
      <c r="E2350" s="210"/>
      <c r="G2350" s="55"/>
      <c r="H2350" s="56"/>
    </row>
    <row r="2351" spans="1:8" x14ac:dyDescent="0.2">
      <c r="A2351" s="232"/>
      <c r="B2351" s="210"/>
      <c r="C2351" s="210"/>
      <c r="D2351" s="210"/>
      <c r="E2351" s="210"/>
      <c r="G2351" s="55"/>
      <c r="H2351" s="56"/>
    </row>
    <row r="2352" spans="1:8" x14ac:dyDescent="0.2">
      <c r="A2352" s="232"/>
      <c r="B2352" s="210"/>
      <c r="C2352" s="210"/>
      <c r="D2352" s="210"/>
      <c r="E2352" s="210"/>
      <c r="G2352" s="55"/>
      <c r="H2352" s="56"/>
    </row>
    <row r="2353" spans="1:8" x14ac:dyDescent="0.2">
      <c r="A2353" s="232"/>
      <c r="B2353" s="210"/>
      <c r="C2353" s="210"/>
      <c r="D2353" s="210"/>
      <c r="E2353" s="210"/>
      <c r="G2353" s="55"/>
      <c r="H2353" s="56"/>
    </row>
    <row r="2354" spans="1:8" x14ac:dyDescent="0.2">
      <c r="A2354" s="232"/>
      <c r="B2354" s="210"/>
      <c r="C2354" s="210"/>
      <c r="D2354" s="210"/>
      <c r="E2354" s="210"/>
      <c r="G2354" s="55"/>
      <c r="H2354" s="56"/>
    </row>
    <row r="2355" spans="1:8" x14ac:dyDescent="0.2">
      <c r="A2355" s="232"/>
      <c r="B2355" s="210"/>
      <c r="C2355" s="210"/>
      <c r="D2355" s="210"/>
      <c r="E2355" s="210"/>
      <c r="G2355" s="55"/>
      <c r="H2355" s="56"/>
    </row>
    <row r="2356" spans="1:8" x14ac:dyDescent="0.2">
      <c r="A2356" s="232"/>
      <c r="B2356" s="210"/>
      <c r="C2356" s="210"/>
      <c r="D2356" s="210"/>
      <c r="E2356" s="210"/>
      <c r="G2356" s="55"/>
      <c r="H2356" s="56"/>
    </row>
    <row r="2357" spans="1:8" x14ac:dyDescent="0.2">
      <c r="A2357" s="232"/>
      <c r="B2357" s="210"/>
      <c r="C2357" s="210"/>
      <c r="D2357" s="210"/>
      <c r="E2357" s="210"/>
      <c r="G2357" s="55"/>
      <c r="H2357" s="56"/>
    </row>
    <row r="2358" spans="1:8" x14ac:dyDescent="0.2">
      <c r="A2358" s="232"/>
      <c r="B2358" s="210"/>
      <c r="C2358" s="210"/>
      <c r="D2358" s="210"/>
      <c r="E2358" s="210"/>
      <c r="G2358" s="55"/>
      <c r="H2358" s="56"/>
    </row>
    <row r="2359" spans="1:8" x14ac:dyDescent="0.2">
      <c r="A2359" s="232"/>
      <c r="B2359" s="210"/>
      <c r="C2359" s="210"/>
      <c r="D2359" s="210"/>
      <c r="E2359" s="210"/>
      <c r="G2359" s="55"/>
      <c r="H2359" s="56"/>
    </row>
    <row r="2360" spans="1:8" x14ac:dyDescent="0.2">
      <c r="A2360" s="232"/>
      <c r="B2360" s="210"/>
      <c r="C2360" s="210"/>
      <c r="D2360" s="210"/>
      <c r="E2360" s="210"/>
      <c r="G2360" s="55"/>
      <c r="H2360" s="56"/>
    </row>
    <row r="2361" spans="1:8" x14ac:dyDescent="0.2">
      <c r="A2361" s="232"/>
      <c r="B2361" s="210"/>
      <c r="C2361" s="210"/>
      <c r="D2361" s="210"/>
      <c r="E2361" s="210"/>
      <c r="G2361" s="55"/>
      <c r="H2361" s="56"/>
    </row>
    <row r="2362" spans="1:8" x14ac:dyDescent="0.2">
      <c r="A2362" s="232"/>
      <c r="B2362" s="210"/>
      <c r="C2362" s="210"/>
      <c r="D2362" s="210"/>
      <c r="E2362" s="210"/>
      <c r="G2362" s="55"/>
      <c r="H2362" s="56"/>
    </row>
    <row r="2363" spans="1:8" x14ac:dyDescent="0.2">
      <c r="A2363" s="232"/>
      <c r="B2363" s="210"/>
      <c r="C2363" s="210"/>
      <c r="D2363" s="210"/>
      <c r="E2363" s="210"/>
      <c r="G2363" s="55"/>
      <c r="H2363" s="56"/>
    </row>
    <row r="2364" spans="1:8" x14ac:dyDescent="0.2">
      <c r="A2364" s="232"/>
      <c r="B2364" s="210"/>
      <c r="C2364" s="210"/>
      <c r="D2364" s="210"/>
      <c r="E2364" s="210"/>
      <c r="G2364" s="55"/>
      <c r="H2364" s="56"/>
    </row>
    <row r="2365" spans="1:8" x14ac:dyDescent="0.2">
      <c r="A2365" s="232"/>
      <c r="B2365" s="210"/>
      <c r="C2365" s="210"/>
      <c r="D2365" s="210"/>
      <c r="E2365" s="210"/>
      <c r="G2365" s="55"/>
      <c r="H2365" s="56"/>
    </row>
    <row r="2366" spans="1:8" x14ac:dyDescent="0.2">
      <c r="A2366" s="232"/>
      <c r="B2366" s="210"/>
      <c r="C2366" s="210"/>
      <c r="D2366" s="210"/>
      <c r="E2366" s="210"/>
      <c r="G2366" s="55"/>
      <c r="H2366" s="56"/>
    </row>
    <row r="2367" spans="1:8" x14ac:dyDescent="0.2">
      <c r="A2367" s="232"/>
      <c r="B2367" s="210"/>
      <c r="C2367" s="210"/>
      <c r="D2367" s="210"/>
      <c r="E2367" s="210"/>
      <c r="G2367" s="55"/>
      <c r="H2367" s="56"/>
    </row>
    <row r="2368" spans="1:8" x14ac:dyDescent="0.2">
      <c r="A2368" s="232"/>
      <c r="B2368" s="210"/>
      <c r="C2368" s="210"/>
      <c r="D2368" s="210"/>
      <c r="E2368" s="210"/>
      <c r="G2368" s="55"/>
      <c r="H2368" s="56"/>
    </row>
    <row r="2369" spans="1:8" x14ac:dyDescent="0.2">
      <c r="A2369" s="232"/>
      <c r="B2369" s="210"/>
      <c r="C2369" s="210"/>
      <c r="D2369" s="210"/>
      <c r="E2369" s="210"/>
      <c r="G2369" s="55"/>
      <c r="H2369" s="56"/>
    </row>
    <row r="2370" spans="1:8" x14ac:dyDescent="0.2">
      <c r="A2370" s="232"/>
      <c r="B2370" s="210"/>
      <c r="C2370" s="210"/>
      <c r="D2370" s="210"/>
      <c r="E2370" s="210"/>
      <c r="G2370" s="55"/>
      <c r="H2370" s="56"/>
    </row>
    <row r="2371" spans="1:8" x14ac:dyDescent="0.2">
      <c r="A2371" s="232"/>
      <c r="B2371" s="210"/>
      <c r="C2371" s="210"/>
      <c r="D2371" s="210"/>
      <c r="E2371" s="210"/>
      <c r="G2371" s="55"/>
      <c r="H2371" s="56"/>
    </row>
    <row r="2372" spans="1:8" x14ac:dyDescent="0.2">
      <c r="A2372" s="232"/>
      <c r="B2372" s="210"/>
      <c r="C2372" s="210"/>
      <c r="D2372" s="210"/>
      <c r="E2372" s="210"/>
      <c r="G2372" s="55"/>
      <c r="H2372" s="56"/>
    </row>
    <row r="2373" spans="1:8" x14ac:dyDescent="0.2">
      <c r="A2373" s="232"/>
      <c r="B2373" s="210"/>
      <c r="C2373" s="210"/>
      <c r="D2373" s="210"/>
      <c r="E2373" s="210"/>
      <c r="G2373" s="55"/>
      <c r="H2373" s="56"/>
    </row>
    <row r="2374" spans="1:8" x14ac:dyDescent="0.2">
      <c r="A2374" s="232"/>
      <c r="B2374" s="210"/>
      <c r="C2374" s="210"/>
      <c r="D2374" s="210"/>
      <c r="E2374" s="210"/>
      <c r="G2374" s="55"/>
      <c r="H2374" s="56"/>
    </row>
    <row r="2375" spans="1:8" x14ac:dyDescent="0.2">
      <c r="A2375" s="232"/>
      <c r="B2375" s="210"/>
      <c r="C2375" s="210"/>
      <c r="D2375" s="210"/>
      <c r="E2375" s="210"/>
      <c r="G2375" s="55"/>
      <c r="H2375" s="56"/>
    </row>
    <row r="2376" spans="1:8" x14ac:dyDescent="0.2">
      <c r="A2376" s="232"/>
      <c r="B2376" s="210"/>
      <c r="C2376" s="210"/>
      <c r="D2376" s="210"/>
      <c r="E2376" s="210"/>
      <c r="G2376" s="55"/>
      <c r="H2376" s="56"/>
    </row>
    <row r="2377" spans="1:8" x14ac:dyDescent="0.2">
      <c r="A2377" s="232"/>
      <c r="B2377" s="210"/>
      <c r="C2377" s="210"/>
      <c r="D2377" s="210"/>
      <c r="E2377" s="210"/>
      <c r="G2377" s="55"/>
      <c r="H2377" s="56"/>
    </row>
    <row r="2378" spans="1:8" x14ac:dyDescent="0.2">
      <c r="A2378" s="232"/>
      <c r="B2378" s="210"/>
      <c r="C2378" s="210"/>
      <c r="D2378" s="210"/>
      <c r="E2378" s="210"/>
      <c r="G2378" s="55"/>
      <c r="H2378" s="56"/>
    </row>
    <row r="2379" spans="1:8" x14ac:dyDescent="0.2">
      <c r="A2379" s="232"/>
      <c r="B2379" s="210"/>
      <c r="C2379" s="210"/>
      <c r="D2379" s="210"/>
      <c r="E2379" s="210"/>
      <c r="G2379" s="55"/>
      <c r="H2379" s="56"/>
    </row>
    <row r="2380" spans="1:8" x14ac:dyDescent="0.2">
      <c r="A2380" s="232"/>
      <c r="B2380" s="210"/>
      <c r="C2380" s="210"/>
      <c r="D2380" s="210"/>
      <c r="E2380" s="210"/>
      <c r="G2380" s="55"/>
      <c r="H2380" s="56"/>
    </row>
    <row r="2381" spans="1:8" x14ac:dyDescent="0.2">
      <c r="A2381" s="232"/>
      <c r="B2381" s="210"/>
      <c r="C2381" s="210"/>
      <c r="D2381" s="210"/>
      <c r="E2381" s="210"/>
      <c r="G2381" s="55"/>
      <c r="H2381" s="56"/>
    </row>
    <row r="2382" spans="1:8" x14ac:dyDescent="0.2">
      <c r="A2382" s="232"/>
      <c r="B2382" s="210"/>
      <c r="C2382" s="210"/>
      <c r="D2382" s="210"/>
      <c r="E2382" s="210"/>
      <c r="G2382" s="55"/>
      <c r="H2382" s="56"/>
    </row>
    <row r="2383" spans="1:8" x14ac:dyDescent="0.2">
      <c r="A2383" s="232"/>
      <c r="B2383" s="210"/>
      <c r="C2383" s="210"/>
      <c r="D2383" s="210"/>
      <c r="E2383" s="210"/>
      <c r="G2383" s="55"/>
      <c r="H2383" s="56"/>
    </row>
    <row r="2384" spans="1:8" x14ac:dyDescent="0.2">
      <c r="A2384" s="232"/>
      <c r="B2384" s="210"/>
      <c r="C2384" s="210"/>
      <c r="D2384" s="210"/>
      <c r="E2384" s="210"/>
      <c r="G2384" s="55"/>
      <c r="H2384" s="56"/>
    </row>
    <row r="2385" spans="1:8" x14ac:dyDescent="0.2">
      <c r="A2385" s="232"/>
      <c r="B2385" s="210"/>
      <c r="C2385" s="210"/>
      <c r="D2385" s="210"/>
      <c r="E2385" s="210"/>
      <c r="G2385" s="55"/>
      <c r="H2385" s="56"/>
    </row>
    <row r="2386" spans="1:8" x14ac:dyDescent="0.2">
      <c r="A2386" s="232"/>
      <c r="B2386" s="210"/>
      <c r="C2386" s="210"/>
      <c r="D2386" s="210"/>
      <c r="E2386" s="210"/>
      <c r="G2386" s="55"/>
      <c r="H2386" s="56"/>
    </row>
    <row r="2387" spans="1:8" x14ac:dyDescent="0.2">
      <c r="A2387" s="232"/>
      <c r="B2387" s="210"/>
      <c r="C2387" s="210"/>
      <c r="D2387" s="210"/>
      <c r="E2387" s="210"/>
      <c r="G2387" s="55"/>
      <c r="H2387" s="56"/>
    </row>
    <row r="2388" spans="1:8" x14ac:dyDescent="0.2">
      <c r="A2388" s="232"/>
      <c r="B2388" s="210"/>
      <c r="C2388" s="210"/>
      <c r="D2388" s="210"/>
      <c r="E2388" s="210"/>
      <c r="G2388" s="55"/>
      <c r="H2388" s="56"/>
    </row>
    <row r="2389" spans="1:8" x14ac:dyDescent="0.2">
      <c r="A2389" s="232"/>
      <c r="B2389" s="210"/>
      <c r="C2389" s="210"/>
      <c r="D2389" s="210"/>
      <c r="E2389" s="210"/>
      <c r="G2389" s="55"/>
      <c r="H2389" s="56"/>
    </row>
    <row r="2390" spans="1:8" x14ac:dyDescent="0.2">
      <c r="A2390" s="232"/>
      <c r="B2390" s="210"/>
      <c r="C2390" s="210"/>
      <c r="D2390" s="210"/>
      <c r="E2390" s="210"/>
      <c r="G2390" s="55"/>
      <c r="H2390" s="56"/>
    </row>
    <row r="2391" spans="1:8" x14ac:dyDescent="0.2">
      <c r="A2391" s="232"/>
      <c r="B2391" s="210"/>
      <c r="C2391" s="210"/>
      <c r="D2391" s="210"/>
      <c r="E2391" s="210"/>
      <c r="G2391" s="55"/>
      <c r="H2391" s="56"/>
    </row>
    <row r="2392" spans="1:8" x14ac:dyDescent="0.2">
      <c r="A2392" s="232"/>
      <c r="B2392" s="210"/>
      <c r="C2392" s="210"/>
      <c r="D2392" s="210"/>
      <c r="E2392" s="210"/>
      <c r="G2392" s="55"/>
      <c r="H2392" s="56"/>
    </row>
    <row r="2393" spans="1:8" x14ac:dyDescent="0.2">
      <c r="A2393" s="232"/>
      <c r="B2393" s="210"/>
      <c r="C2393" s="210"/>
      <c r="D2393" s="210"/>
      <c r="E2393" s="210"/>
      <c r="G2393" s="55"/>
      <c r="H2393" s="56"/>
    </row>
    <row r="2394" spans="1:8" x14ac:dyDescent="0.2">
      <c r="A2394" s="232"/>
      <c r="B2394" s="210"/>
      <c r="C2394" s="210"/>
      <c r="D2394" s="210"/>
      <c r="E2394" s="210"/>
      <c r="G2394" s="55"/>
      <c r="H2394" s="56"/>
    </row>
    <row r="2395" spans="1:8" x14ac:dyDescent="0.2">
      <c r="A2395" s="232"/>
      <c r="B2395" s="210"/>
      <c r="C2395" s="210"/>
      <c r="D2395" s="210"/>
      <c r="E2395" s="210"/>
      <c r="G2395" s="55"/>
      <c r="H2395" s="56"/>
    </row>
    <row r="2396" spans="1:8" x14ac:dyDescent="0.2">
      <c r="A2396" s="232"/>
      <c r="B2396" s="210"/>
      <c r="C2396" s="210"/>
      <c r="D2396" s="210"/>
      <c r="E2396" s="210"/>
      <c r="G2396" s="55"/>
      <c r="H2396" s="56"/>
    </row>
    <row r="2397" spans="1:8" x14ac:dyDescent="0.2">
      <c r="A2397" s="232"/>
      <c r="B2397" s="210"/>
      <c r="C2397" s="210"/>
      <c r="D2397" s="210"/>
      <c r="E2397" s="210"/>
      <c r="G2397" s="55"/>
      <c r="H2397" s="56"/>
    </row>
    <row r="2398" spans="1:8" x14ac:dyDescent="0.2">
      <c r="A2398" s="232"/>
      <c r="B2398" s="210"/>
      <c r="C2398" s="210"/>
      <c r="D2398" s="210"/>
      <c r="E2398" s="210"/>
      <c r="G2398" s="55"/>
      <c r="H2398" s="56"/>
    </row>
    <row r="2399" spans="1:8" x14ac:dyDescent="0.2">
      <c r="A2399" s="232"/>
      <c r="B2399" s="210"/>
      <c r="C2399" s="210"/>
      <c r="D2399" s="210"/>
      <c r="E2399" s="210"/>
      <c r="G2399" s="55"/>
      <c r="H2399" s="56"/>
    </row>
    <row r="2400" spans="1:8" x14ac:dyDescent="0.2">
      <c r="A2400" s="232"/>
      <c r="B2400" s="210"/>
      <c r="C2400" s="210"/>
      <c r="D2400" s="210"/>
      <c r="E2400" s="210"/>
      <c r="G2400" s="55"/>
      <c r="H2400" s="56"/>
    </row>
    <row r="2401" spans="1:8" x14ac:dyDescent="0.2">
      <c r="A2401" s="232"/>
      <c r="B2401" s="210"/>
      <c r="C2401" s="210"/>
      <c r="D2401" s="210"/>
      <c r="E2401" s="210"/>
      <c r="G2401" s="55"/>
      <c r="H2401" s="56"/>
    </row>
    <row r="2402" spans="1:8" x14ac:dyDescent="0.2">
      <c r="A2402" s="232"/>
      <c r="B2402" s="210"/>
      <c r="C2402" s="210"/>
      <c r="D2402" s="210"/>
      <c r="E2402" s="210"/>
      <c r="G2402" s="55"/>
      <c r="H2402" s="56"/>
    </row>
    <row r="2403" spans="1:8" x14ac:dyDescent="0.2">
      <c r="A2403" s="232"/>
      <c r="B2403" s="210"/>
      <c r="C2403" s="210"/>
      <c r="D2403" s="210"/>
      <c r="E2403" s="210"/>
      <c r="G2403" s="55"/>
      <c r="H2403" s="56"/>
    </row>
    <row r="2404" spans="1:8" x14ac:dyDescent="0.2">
      <c r="A2404" s="232"/>
      <c r="B2404" s="210"/>
      <c r="C2404" s="210"/>
      <c r="D2404" s="210"/>
      <c r="E2404" s="210"/>
      <c r="G2404" s="55"/>
      <c r="H2404" s="56"/>
    </row>
    <row r="2405" spans="1:8" x14ac:dyDescent="0.2">
      <c r="A2405" s="232"/>
      <c r="B2405" s="210"/>
      <c r="C2405" s="210"/>
      <c r="D2405" s="210"/>
      <c r="E2405" s="210"/>
      <c r="G2405" s="55"/>
      <c r="H2405" s="56"/>
    </row>
    <row r="2406" spans="1:8" x14ac:dyDescent="0.2">
      <c r="A2406" s="232"/>
      <c r="B2406" s="210"/>
      <c r="C2406" s="210"/>
      <c r="D2406" s="210"/>
      <c r="E2406" s="210"/>
      <c r="G2406" s="55"/>
      <c r="H2406" s="56"/>
    </row>
    <row r="2407" spans="1:8" x14ac:dyDescent="0.2">
      <c r="A2407" s="232"/>
      <c r="B2407" s="210"/>
      <c r="C2407" s="210"/>
      <c r="D2407" s="210"/>
      <c r="E2407" s="210"/>
      <c r="G2407" s="55"/>
      <c r="H2407" s="56"/>
    </row>
    <row r="2408" spans="1:8" x14ac:dyDescent="0.2">
      <c r="A2408" s="232"/>
      <c r="B2408" s="210"/>
      <c r="C2408" s="210"/>
      <c r="D2408" s="210"/>
      <c r="E2408" s="210"/>
      <c r="G2408" s="55"/>
      <c r="H2408" s="56"/>
    </row>
    <row r="2409" spans="1:8" x14ac:dyDescent="0.2">
      <c r="A2409" s="232"/>
      <c r="B2409" s="210"/>
      <c r="C2409" s="210"/>
      <c r="D2409" s="210"/>
      <c r="E2409" s="210"/>
      <c r="G2409" s="55"/>
      <c r="H2409" s="56"/>
    </row>
    <row r="2410" spans="1:8" x14ac:dyDescent="0.2">
      <c r="A2410" s="232"/>
      <c r="B2410" s="210"/>
      <c r="C2410" s="210"/>
      <c r="D2410" s="210"/>
      <c r="E2410" s="210"/>
      <c r="G2410" s="55"/>
      <c r="H2410" s="56"/>
    </row>
    <row r="2411" spans="1:8" x14ac:dyDescent="0.2">
      <c r="A2411" s="232"/>
      <c r="B2411" s="210"/>
      <c r="C2411" s="210"/>
      <c r="D2411" s="210"/>
      <c r="E2411" s="210"/>
      <c r="G2411" s="55"/>
      <c r="H2411" s="56"/>
    </row>
    <row r="2412" spans="1:8" x14ac:dyDescent="0.2">
      <c r="A2412" s="232"/>
      <c r="B2412" s="210"/>
      <c r="C2412" s="210"/>
      <c r="D2412" s="210"/>
      <c r="E2412" s="210"/>
      <c r="G2412" s="55"/>
      <c r="H2412" s="56"/>
    </row>
    <row r="2413" spans="1:8" x14ac:dyDescent="0.2">
      <c r="A2413" s="232"/>
      <c r="B2413" s="210"/>
      <c r="C2413" s="210"/>
      <c r="D2413" s="210"/>
      <c r="E2413" s="210"/>
      <c r="G2413" s="55"/>
      <c r="H2413" s="56"/>
    </row>
    <row r="2414" spans="1:8" x14ac:dyDescent="0.2">
      <c r="A2414" s="232"/>
      <c r="B2414" s="210"/>
      <c r="C2414" s="210"/>
      <c r="D2414" s="210"/>
      <c r="E2414" s="210"/>
      <c r="G2414" s="55"/>
      <c r="H2414" s="56"/>
    </row>
    <row r="2415" spans="1:8" x14ac:dyDescent="0.2">
      <c r="A2415" s="232"/>
      <c r="B2415" s="210"/>
      <c r="C2415" s="210"/>
      <c r="D2415" s="210"/>
      <c r="E2415" s="210"/>
      <c r="G2415" s="55"/>
      <c r="H2415" s="56"/>
    </row>
    <row r="2416" spans="1:8" x14ac:dyDescent="0.2">
      <c r="A2416" s="232"/>
      <c r="B2416" s="210"/>
      <c r="C2416" s="210"/>
      <c r="D2416" s="210"/>
      <c r="E2416" s="210"/>
      <c r="G2416" s="55"/>
      <c r="H2416" s="56"/>
    </row>
    <row r="2417" spans="1:8" x14ac:dyDescent="0.2">
      <c r="A2417" s="232"/>
      <c r="B2417" s="210"/>
      <c r="C2417" s="210"/>
      <c r="D2417" s="210"/>
      <c r="E2417" s="210"/>
      <c r="G2417" s="55"/>
      <c r="H2417" s="56"/>
    </row>
    <row r="2418" spans="1:8" x14ac:dyDescent="0.2">
      <c r="A2418" s="232"/>
      <c r="B2418" s="210"/>
      <c r="C2418" s="210"/>
      <c r="D2418" s="210"/>
      <c r="E2418" s="210"/>
      <c r="G2418" s="55"/>
      <c r="H2418" s="56"/>
    </row>
    <row r="2419" spans="1:8" x14ac:dyDescent="0.2">
      <c r="A2419" s="232"/>
      <c r="B2419" s="210"/>
      <c r="C2419" s="210"/>
      <c r="D2419" s="210"/>
      <c r="E2419" s="210"/>
      <c r="G2419" s="55"/>
      <c r="H2419" s="56"/>
    </row>
    <row r="2420" spans="1:8" x14ac:dyDescent="0.2">
      <c r="A2420" s="232"/>
      <c r="B2420" s="210"/>
      <c r="C2420" s="210"/>
      <c r="D2420" s="210"/>
      <c r="E2420" s="210"/>
      <c r="G2420" s="55"/>
      <c r="H2420" s="56"/>
    </row>
    <row r="2421" spans="1:8" x14ac:dyDescent="0.2">
      <c r="A2421" s="232"/>
      <c r="B2421" s="210"/>
      <c r="C2421" s="210"/>
      <c r="D2421" s="210"/>
      <c r="E2421" s="210"/>
      <c r="G2421" s="55"/>
      <c r="H2421" s="56"/>
    </row>
    <row r="2422" spans="1:8" x14ac:dyDescent="0.2">
      <c r="A2422" s="232"/>
      <c r="B2422" s="210"/>
      <c r="C2422" s="210"/>
      <c r="D2422" s="210"/>
      <c r="E2422" s="210"/>
      <c r="G2422" s="55"/>
      <c r="H2422" s="56"/>
    </row>
    <row r="2423" spans="1:8" x14ac:dyDescent="0.2">
      <c r="A2423" s="232"/>
      <c r="B2423" s="210"/>
      <c r="C2423" s="210"/>
      <c r="D2423" s="210"/>
      <c r="E2423" s="210"/>
      <c r="G2423" s="55"/>
      <c r="H2423" s="56"/>
    </row>
    <row r="2424" spans="1:8" x14ac:dyDescent="0.2">
      <c r="A2424" s="232"/>
      <c r="B2424" s="210"/>
      <c r="C2424" s="210"/>
      <c r="D2424" s="210"/>
      <c r="E2424" s="210"/>
      <c r="G2424" s="55"/>
      <c r="H2424" s="56"/>
    </row>
    <row r="2425" spans="1:8" x14ac:dyDescent="0.2">
      <c r="A2425" s="232"/>
      <c r="B2425" s="210"/>
      <c r="C2425" s="210"/>
      <c r="D2425" s="210"/>
      <c r="E2425" s="210"/>
      <c r="G2425" s="55"/>
      <c r="H2425" s="56"/>
    </row>
    <row r="2426" spans="1:8" x14ac:dyDescent="0.2">
      <c r="A2426" s="232"/>
      <c r="B2426" s="210"/>
      <c r="C2426" s="210"/>
      <c r="D2426" s="210"/>
      <c r="E2426" s="210"/>
      <c r="G2426" s="55"/>
      <c r="H2426" s="56"/>
    </row>
    <row r="2427" spans="1:8" x14ac:dyDescent="0.2">
      <c r="A2427" s="232"/>
      <c r="B2427" s="210"/>
      <c r="C2427" s="210"/>
      <c r="D2427" s="210"/>
      <c r="E2427" s="210"/>
      <c r="G2427" s="55"/>
      <c r="H2427" s="56"/>
    </row>
    <row r="2428" spans="1:8" x14ac:dyDescent="0.2">
      <c r="A2428" s="232"/>
      <c r="B2428" s="210"/>
      <c r="C2428" s="210"/>
      <c r="D2428" s="210"/>
      <c r="E2428" s="210"/>
      <c r="G2428" s="55"/>
      <c r="H2428" s="56"/>
    </row>
    <row r="2429" spans="1:8" x14ac:dyDescent="0.2">
      <c r="A2429" s="232"/>
      <c r="B2429" s="210"/>
      <c r="C2429" s="210"/>
      <c r="D2429" s="210"/>
      <c r="E2429" s="210"/>
      <c r="G2429" s="55"/>
      <c r="H2429" s="56"/>
    </row>
    <row r="2430" spans="1:8" x14ac:dyDescent="0.2">
      <c r="A2430" s="232"/>
      <c r="B2430" s="210"/>
      <c r="C2430" s="210"/>
      <c r="D2430" s="210"/>
      <c r="E2430" s="210"/>
      <c r="G2430" s="55"/>
      <c r="H2430" s="56"/>
    </row>
    <row r="2431" spans="1:8" x14ac:dyDescent="0.2">
      <c r="B2431" s="210"/>
      <c r="C2431" s="210"/>
      <c r="D2431" s="210"/>
      <c r="E2431" s="210"/>
      <c r="G2431" s="55"/>
      <c r="H2431" s="56"/>
    </row>
    <row r="2432" spans="1:8" x14ac:dyDescent="0.2">
      <c r="B2432" s="210"/>
      <c r="C2432" s="210"/>
      <c r="D2432" s="210"/>
      <c r="E2432" s="210"/>
      <c r="G2432" s="55"/>
      <c r="H2432" s="56"/>
    </row>
    <row r="2433" spans="2:8" x14ac:dyDescent="0.2">
      <c r="B2433" s="210"/>
      <c r="C2433" s="210"/>
      <c r="D2433" s="210"/>
      <c r="E2433" s="210"/>
      <c r="G2433" s="55"/>
      <c r="H2433" s="56"/>
    </row>
    <row r="2434" spans="2:8" x14ac:dyDescent="0.2">
      <c r="B2434" s="210"/>
      <c r="C2434" s="210"/>
      <c r="D2434" s="210"/>
      <c r="E2434" s="210"/>
      <c r="G2434" s="55"/>
      <c r="H2434" s="56"/>
    </row>
    <row r="2435" spans="2:8" x14ac:dyDescent="0.2">
      <c r="B2435" s="210"/>
      <c r="C2435" s="210"/>
      <c r="D2435" s="210"/>
      <c r="E2435" s="210"/>
      <c r="G2435" s="55"/>
      <c r="H2435" s="56"/>
    </row>
    <row r="2436" spans="2:8" x14ac:dyDescent="0.2">
      <c r="B2436" s="210"/>
      <c r="C2436" s="210"/>
      <c r="D2436" s="210"/>
      <c r="E2436" s="210"/>
      <c r="G2436" s="55"/>
      <c r="H2436" s="56"/>
    </row>
  </sheetData>
  <autoFilter ref="A12:D2431" xr:uid="{37090F21-18DD-4ABA-80C2-3BD34FE7C38F}"/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CD0D-4845-453A-8EDD-123089BDF1AE}">
  <sheetPr>
    <tabColor theme="4"/>
  </sheetPr>
  <dimension ref="C3:M139"/>
  <sheetViews>
    <sheetView showGridLines="0" topLeftCell="A28" zoomScale="71" zoomScaleNormal="90" workbookViewId="0">
      <selection activeCell="D70" sqref="D70"/>
    </sheetView>
  </sheetViews>
  <sheetFormatPr baseColWidth="10" defaultColWidth="9.33203125" defaultRowHeight="15" x14ac:dyDescent="0.2"/>
  <cols>
    <col min="2" max="2" width="2.5" customWidth="1"/>
    <col min="3" max="3" width="43.6640625" customWidth="1"/>
    <col min="4" max="4" width="32.6640625" customWidth="1"/>
    <col min="5" max="5" width="10.6640625" style="4" customWidth="1"/>
    <col min="6" max="6" width="38.5" bestFit="1" customWidth="1"/>
    <col min="10" max="13" width="28.33203125" customWidth="1"/>
  </cols>
  <sheetData>
    <row r="3" spans="3:13" x14ac:dyDescent="0.2">
      <c r="C3" t="s">
        <v>95</v>
      </c>
      <c r="E3" s="265" t="str">
        <f>IF(ISERROR(SUM(feat[Match])),"Missing Group 1 in dict","No gaps")</f>
        <v>No gaps</v>
      </c>
      <c r="J3" t="s">
        <v>96</v>
      </c>
    </row>
    <row r="4" spans="3:13" x14ac:dyDescent="0.2">
      <c r="C4" t="s">
        <v>24</v>
      </c>
      <c r="D4" t="s">
        <v>14</v>
      </c>
      <c r="E4" s="4" t="s">
        <v>97</v>
      </c>
      <c r="F4" t="s">
        <v>98</v>
      </c>
      <c r="J4" t="s">
        <v>14</v>
      </c>
      <c r="K4" t="s">
        <v>93</v>
      </c>
      <c r="L4" t="s">
        <v>94</v>
      </c>
      <c r="M4" t="s">
        <v>99</v>
      </c>
    </row>
    <row r="5" spans="3:13" x14ac:dyDescent="0.2">
      <c r="C5" t="s">
        <v>109</v>
      </c>
      <c r="D5" t="s">
        <v>110</v>
      </c>
      <c r="E5" s="4">
        <f>MATCH(feat[[#This Row],[Group 1]],dict[Group 1],0)</f>
        <v>1</v>
      </c>
      <c r="F5" s="266" t="str">
        <f>CONCATENATE("'",feat[[#This Row],[Feature]],"': {},")</f>
        <v>'sales': {},</v>
      </c>
      <c r="J5" s="246" t="s">
        <v>110</v>
      </c>
      <c r="K5" s="246" t="s">
        <v>110</v>
      </c>
      <c r="L5" s="246" t="s">
        <v>110</v>
      </c>
      <c r="M5" s="246" t="s">
        <v>110</v>
      </c>
    </row>
    <row r="6" spans="3:13" x14ac:dyDescent="0.2">
      <c r="C6" t="s">
        <v>173</v>
      </c>
      <c r="D6" t="s">
        <v>181</v>
      </c>
      <c r="E6" s="4">
        <f>MATCH(feat[[#This Row],[Group 1]],dict[Group 1],0)</f>
        <v>2</v>
      </c>
      <c r="F6" s="266" t="str">
        <f>CONCATENATE("'",feat[[#This Row],[Feature]],"': {},")</f>
        <v>'vday_dummy': {},</v>
      </c>
      <c r="J6" t="s">
        <v>181</v>
      </c>
      <c r="K6" t="s">
        <v>111</v>
      </c>
      <c r="L6" t="s">
        <v>111</v>
      </c>
      <c r="M6" t="s">
        <v>111</v>
      </c>
    </row>
    <row r="7" spans="3:13" x14ac:dyDescent="0.2">
      <c r="C7" t="s">
        <v>140</v>
      </c>
      <c r="D7" t="s">
        <v>181</v>
      </c>
      <c r="E7" s="4">
        <f>MATCH(feat[[#This Row],[Group 1]],dict[Group 1],0)</f>
        <v>2</v>
      </c>
      <c r="F7" s="266" t="str">
        <f>CONCATENATE("'",feat[[#This Row],[Feature]],"': {},")</f>
        <v>'blackfriday_dummy': {},</v>
      </c>
      <c r="J7" s="403" t="s">
        <v>182</v>
      </c>
      <c r="K7" t="s">
        <v>111</v>
      </c>
      <c r="L7" t="s">
        <v>111</v>
      </c>
      <c r="M7" t="s">
        <v>111</v>
      </c>
    </row>
    <row r="8" spans="3:13" x14ac:dyDescent="0.2">
      <c r="C8" t="s">
        <v>159</v>
      </c>
      <c r="D8" t="s">
        <v>181</v>
      </c>
      <c r="E8" s="4">
        <f>MATCH(feat[[#This Row],[Group 1]],dict[Group 1],0)</f>
        <v>2</v>
      </c>
      <c r="F8" s="266" t="str">
        <f>CONCATENATE("'",feat[[#This Row],[Feature]],"': {},")</f>
        <v>'mothersday_dummy': {},</v>
      </c>
      <c r="J8" s="403" t="s">
        <v>179</v>
      </c>
      <c r="K8" t="s">
        <v>179</v>
      </c>
      <c r="L8" t="s">
        <v>179</v>
      </c>
      <c r="M8" t="s">
        <v>111</v>
      </c>
    </row>
    <row r="9" spans="3:13" x14ac:dyDescent="0.2">
      <c r="C9" t="s">
        <v>174</v>
      </c>
      <c r="D9" t="s">
        <v>181</v>
      </c>
      <c r="E9" s="4">
        <f>MATCH(feat[[#This Row],[Group 1]],dict[Group 1],0)</f>
        <v>2</v>
      </c>
      <c r="F9" s="266" t="str">
        <f>CONCATENATE("'",feat[[#This Row],[Feature]],"': {},")</f>
        <v>'xmas_dummy': {},</v>
      </c>
      <c r="J9" s="403" t="s">
        <v>112</v>
      </c>
      <c r="K9" s="403" t="s">
        <v>112</v>
      </c>
      <c r="L9" t="s">
        <v>191</v>
      </c>
      <c r="M9" t="s">
        <v>191</v>
      </c>
    </row>
    <row r="10" spans="3:13" x14ac:dyDescent="0.2">
      <c r="C10" t="s">
        <v>158</v>
      </c>
      <c r="D10" t="s">
        <v>182</v>
      </c>
      <c r="E10" s="4">
        <f>MATCH(feat[[#This Row],[Group 1]],dict[Group 1],0)</f>
        <v>3</v>
      </c>
      <c r="F10" s="266" t="str">
        <f>CONCATENATE("'",feat[[#This Row],[Feature]],"': {},")</f>
        <v>'market_sales': {},</v>
      </c>
      <c r="J10" s="403" t="s">
        <v>128</v>
      </c>
      <c r="K10" s="403" t="s">
        <v>128</v>
      </c>
      <c r="L10" t="s">
        <v>191</v>
      </c>
      <c r="M10" t="s">
        <v>191</v>
      </c>
    </row>
    <row r="11" spans="3:13" x14ac:dyDescent="0.2">
      <c r="C11" t="s">
        <v>141</v>
      </c>
      <c r="D11" t="s">
        <v>179</v>
      </c>
      <c r="E11" s="4">
        <f>MATCH(feat[[#This Row],[Group 1]],dict[Group 1],0)</f>
        <v>4</v>
      </c>
      <c r="F11" s="266" t="str">
        <f>CONCATENATE("'",feat[[#This Row],[Feature]],"': {},")</f>
        <v>'covid_trend': {},</v>
      </c>
      <c r="J11" s="403" t="s">
        <v>129</v>
      </c>
      <c r="K11" s="403" t="s">
        <v>129</v>
      </c>
      <c r="L11" t="s">
        <v>191</v>
      </c>
      <c r="M11" t="s">
        <v>191</v>
      </c>
    </row>
    <row r="12" spans="3:13" x14ac:dyDescent="0.2">
      <c r="C12" t="s">
        <v>155</v>
      </c>
      <c r="D12" t="s">
        <v>112</v>
      </c>
      <c r="E12" s="4">
        <f>MATCH(feat[[#This Row],[Group 1]],dict[Group 1],0)</f>
        <v>5</v>
      </c>
      <c r="F12" s="266" t="str">
        <f>CONCATENATE("'",feat[[#This Row],[Feature]],"': {},")</f>
        <v>'launch_fragrance_trend': {},</v>
      </c>
      <c r="J12" s="403" t="s">
        <v>183</v>
      </c>
      <c r="K12" t="s">
        <v>134</v>
      </c>
      <c r="L12" t="s">
        <v>133</v>
      </c>
      <c r="M12" s="247" t="s">
        <v>132</v>
      </c>
    </row>
    <row r="13" spans="3:13" x14ac:dyDescent="0.2">
      <c r="C13" t="s">
        <v>156</v>
      </c>
      <c r="D13" t="s">
        <v>112</v>
      </c>
      <c r="E13" s="4">
        <f>MATCH(feat[[#This Row],[Group 1]],dict[Group 1],0)</f>
        <v>5</v>
      </c>
      <c r="F13" s="266" t="str">
        <f>CONCATENATE("'",feat[[#This Row],[Feature]],"': {},")</f>
        <v>'launch_makeup_trend': {},</v>
      </c>
      <c r="J13" s="403" t="s">
        <v>184</v>
      </c>
      <c r="K13" t="s">
        <v>134</v>
      </c>
      <c r="L13" t="s">
        <v>133</v>
      </c>
      <c r="M13" s="247" t="s">
        <v>132</v>
      </c>
    </row>
    <row r="14" spans="3:13" x14ac:dyDescent="0.2">
      <c r="C14" t="s">
        <v>157</v>
      </c>
      <c r="D14" t="s">
        <v>112</v>
      </c>
      <c r="E14" s="4">
        <f>MATCH(feat[[#This Row],[Group 1]],dict[Group 1],0)</f>
        <v>5</v>
      </c>
      <c r="F14" s="266" t="str">
        <f>CONCATENATE("'",feat[[#This Row],[Feature]],"': {},")</f>
        <v>'launch_skincare_trend': {},</v>
      </c>
      <c r="J14" s="403" t="s">
        <v>185</v>
      </c>
      <c r="K14" t="s">
        <v>116</v>
      </c>
      <c r="L14" t="s">
        <v>133</v>
      </c>
      <c r="M14" s="247" t="s">
        <v>132</v>
      </c>
    </row>
    <row r="15" spans="3:13" x14ac:dyDescent="0.2">
      <c r="C15" t="s">
        <v>154</v>
      </c>
      <c r="D15" t="s">
        <v>128</v>
      </c>
      <c r="E15" s="4">
        <f>MATCH(feat[[#This Row],[Group 1]],dict[Group 1],0)</f>
        <v>6</v>
      </c>
      <c r="F15" s="266" t="str">
        <f>CONCATENATE("'",feat[[#This Row],[Feature]],"': {},")</f>
        <v>'gwp_units_distributed': {},</v>
      </c>
      <c r="J15" s="403" t="s">
        <v>186</v>
      </c>
      <c r="K15" t="s">
        <v>116</v>
      </c>
      <c r="L15" t="s">
        <v>133</v>
      </c>
      <c r="M15" s="247" t="s">
        <v>132</v>
      </c>
    </row>
    <row r="16" spans="3:13" x14ac:dyDescent="0.2">
      <c r="C16" t="s">
        <v>166</v>
      </c>
      <c r="D16" t="s">
        <v>129</v>
      </c>
      <c r="E16" s="4">
        <f>MATCH(feat[[#This Row],[Group 1]],dict[Group 1],0)</f>
        <v>7</v>
      </c>
      <c r="F16" s="266" t="str">
        <f>CONCATENATE("'",feat[[#This Row],[Feature]],"': {},")</f>
        <v>'samples_quantity_distributed': {},</v>
      </c>
      <c r="J16" s="403" t="s">
        <v>180</v>
      </c>
      <c r="K16" t="s">
        <v>180</v>
      </c>
      <c r="L16" t="s">
        <v>133</v>
      </c>
      <c r="M16" s="247" t="s">
        <v>132</v>
      </c>
    </row>
    <row r="17" spans="3:13" x14ac:dyDescent="0.2">
      <c r="C17" t="s">
        <v>136</v>
      </c>
      <c r="D17" t="s">
        <v>183</v>
      </c>
      <c r="E17" s="4">
        <f>MATCH(feat[[#This Row],[Group 1]],dict[Group 1],0)</f>
        <v>8</v>
      </c>
      <c r="F17" s="266" t="str">
        <f>CONCATENATE("'",feat[[#This Row],[Feature]],"': {},")</f>
        <v>'tv_pure_imp': {},</v>
      </c>
      <c r="J17" s="404" t="s">
        <v>113</v>
      </c>
      <c r="K17" t="s">
        <v>130</v>
      </c>
      <c r="L17" t="s">
        <v>131</v>
      </c>
      <c r="M17" s="247" t="s">
        <v>132</v>
      </c>
    </row>
    <row r="18" spans="3:13" x14ac:dyDescent="0.2">
      <c r="C18" t="s">
        <v>135</v>
      </c>
      <c r="D18" t="s">
        <v>183</v>
      </c>
      <c r="E18" s="4">
        <f>MATCH(feat[[#This Row],[Group 1]],dict[Group 1],0)</f>
        <v>8</v>
      </c>
      <c r="F18" s="266" t="str">
        <f>CONCATENATE("'",feat[[#This Row],[Feature]],"': {},")</f>
        <v>'tv_pure_spend': {},</v>
      </c>
      <c r="J18" t="s">
        <v>114</v>
      </c>
      <c r="K18" t="s">
        <v>130</v>
      </c>
      <c r="L18" t="s">
        <v>131</v>
      </c>
      <c r="M18" s="247" t="s">
        <v>132</v>
      </c>
    </row>
    <row r="19" spans="3:13" x14ac:dyDescent="0.2">
      <c r="C19" t="s">
        <v>122</v>
      </c>
      <c r="D19" t="s">
        <v>184</v>
      </c>
      <c r="E19" s="4">
        <f>MATCH(feat[[#This Row],[Group 1]],dict[Group 1],0)</f>
        <v>9</v>
      </c>
      <c r="F19" s="266" t="str">
        <f>CONCATENATE("'",feat[[#This Row],[Feature]],"': {},")</f>
        <v>'tv_coop_spend': {},</v>
      </c>
      <c r="J19" t="s">
        <v>187</v>
      </c>
      <c r="K19" t="s">
        <v>118</v>
      </c>
      <c r="L19" t="s">
        <v>131</v>
      </c>
      <c r="M19" s="247" t="s">
        <v>132</v>
      </c>
    </row>
    <row r="20" spans="3:13" x14ac:dyDescent="0.2">
      <c r="C20" t="s">
        <v>115</v>
      </c>
      <c r="D20" t="s">
        <v>185</v>
      </c>
      <c r="E20" s="4">
        <f>MATCH(feat[[#This Row],[Group 1]],dict[Group 1],0)</f>
        <v>10</v>
      </c>
      <c r="F20" s="266" t="str">
        <f>CONCATENATE("'",feat[[#This Row],[Feature]],"': {},")</f>
        <v>'print_pure_spend': {},</v>
      </c>
      <c r="J20" t="s">
        <v>188</v>
      </c>
      <c r="K20" t="s">
        <v>118</v>
      </c>
      <c r="L20" t="s">
        <v>131</v>
      </c>
      <c r="M20" s="247" t="s">
        <v>132</v>
      </c>
    </row>
    <row r="21" spans="3:13" x14ac:dyDescent="0.2">
      <c r="C21" t="s">
        <v>123</v>
      </c>
      <c r="D21" t="s">
        <v>186</v>
      </c>
      <c r="E21" s="4">
        <f>MATCH(feat[[#This Row],[Group 1]],dict[Group 1],0)</f>
        <v>11</v>
      </c>
      <c r="F21" s="266" t="str">
        <f>CONCATENATE("'",feat[[#This Row],[Feature]],"': {},")</f>
        <v>'print_coop_spend': {},</v>
      </c>
      <c r="J21" t="s">
        <v>189</v>
      </c>
      <c r="K21" t="s">
        <v>118</v>
      </c>
      <c r="L21" t="s">
        <v>131</v>
      </c>
      <c r="M21" s="247" t="s">
        <v>132</v>
      </c>
    </row>
    <row r="22" spans="3:13" x14ac:dyDescent="0.2">
      <c r="C22" t="s">
        <v>176</v>
      </c>
      <c r="D22" t="s">
        <v>180</v>
      </c>
      <c r="E22" s="4">
        <f>MATCH(feat[[#This Row],[Group 1]],dict[Group 1],0)</f>
        <v>12</v>
      </c>
      <c r="F22" s="266" t="str">
        <f>CONCATENATE("'",feat[[#This Row],[Feature]],"': {},")</f>
        <v>'outdoor_impressions': {},</v>
      </c>
      <c r="J22" t="s">
        <v>190</v>
      </c>
      <c r="K22" t="s">
        <v>118</v>
      </c>
      <c r="L22" t="s">
        <v>131</v>
      </c>
      <c r="M22" s="247" t="s">
        <v>132</v>
      </c>
    </row>
    <row r="23" spans="3:13" x14ac:dyDescent="0.2">
      <c r="C23" t="s">
        <v>177</v>
      </c>
      <c r="D23" t="s">
        <v>180</v>
      </c>
      <c r="E23" s="4">
        <f>MATCH(feat[[#This Row],[Group 1]],dict[Group 1],0)</f>
        <v>12</v>
      </c>
      <c r="F23" s="266" t="str">
        <f>CONCATENATE("'",feat[[#This Row],[Feature]],"': {},")</f>
        <v>'outdoor_spend': {},</v>
      </c>
      <c r="J23" t="s">
        <v>120</v>
      </c>
      <c r="K23" t="s">
        <v>120</v>
      </c>
      <c r="L23" t="s">
        <v>131</v>
      </c>
      <c r="M23" s="247" t="s">
        <v>132</v>
      </c>
    </row>
    <row r="24" spans="3:13" x14ac:dyDescent="0.2">
      <c r="C24" t="s">
        <v>142</v>
      </c>
      <c r="D24" t="s">
        <v>113</v>
      </c>
      <c r="E24" s="4">
        <f>MATCH(feat[[#This Row],[Group 1]],dict[Group 1],0)</f>
        <v>13</v>
      </c>
      <c r="F24" s="266" t="str">
        <f>CONCATENATE("'",feat[[#This Row],[Feature]],"': {},")</f>
        <v>'google_brand_search_clicks': {},</v>
      </c>
      <c r="J24" t="s">
        <v>121</v>
      </c>
      <c r="K24" t="s">
        <v>121</v>
      </c>
      <c r="L24" t="s">
        <v>131</v>
      </c>
      <c r="M24" s="247" t="s">
        <v>132</v>
      </c>
    </row>
    <row r="25" spans="3:13" x14ac:dyDescent="0.2">
      <c r="C25" t="s">
        <v>143</v>
      </c>
      <c r="D25" t="s">
        <v>113</v>
      </c>
      <c r="E25" s="4">
        <f>MATCH(feat[[#This Row],[Group 1]],dict[Group 1],0)</f>
        <v>13</v>
      </c>
      <c r="F25" s="266" t="str">
        <f>CONCATENATE("'",feat[[#This Row],[Feature]],"': {},")</f>
        <v>'google_brand_search_imp': {},</v>
      </c>
      <c r="M25" s="247"/>
    </row>
    <row r="26" spans="3:13" x14ac:dyDescent="0.2">
      <c r="C26" t="s">
        <v>144</v>
      </c>
      <c r="D26" t="s">
        <v>113</v>
      </c>
      <c r="E26" s="4">
        <f>MATCH(feat[[#This Row],[Group 1]],dict[Group 1],0)</f>
        <v>13</v>
      </c>
      <c r="F26" s="266" t="str">
        <f>CONCATENATE("'",feat[[#This Row],[Feature]],"': {},")</f>
        <v>'google_brand_search_spend': {},</v>
      </c>
      <c r="M26" s="247"/>
    </row>
    <row r="27" spans="3:13" x14ac:dyDescent="0.2">
      <c r="C27" t="s">
        <v>148</v>
      </c>
      <c r="D27" t="s">
        <v>114</v>
      </c>
      <c r="E27" s="4">
        <f>MATCH(feat[[#This Row],[Group 1]],dict[Group 1],0)</f>
        <v>14</v>
      </c>
      <c r="F27" s="266" t="str">
        <f>CONCATENATE("'",feat[[#This Row],[Feature]],"': {},")</f>
        <v>'google_nonbrand_search_clicks': {},</v>
      </c>
      <c r="M27" s="247"/>
    </row>
    <row r="28" spans="3:13" x14ac:dyDescent="0.2">
      <c r="C28" t="s">
        <v>149</v>
      </c>
      <c r="D28" t="s">
        <v>114</v>
      </c>
      <c r="E28" s="4">
        <f>MATCH(feat[[#This Row],[Group 1]],dict[Group 1],0)</f>
        <v>14</v>
      </c>
      <c r="F28" s="266" t="str">
        <f>CONCATENATE("'",feat[[#This Row],[Feature]],"': {},")</f>
        <v>'google_nonbrand_search_imp': {},</v>
      </c>
      <c r="M28" s="247"/>
    </row>
    <row r="29" spans="3:13" x14ac:dyDescent="0.2">
      <c r="C29" t="s">
        <v>150</v>
      </c>
      <c r="D29" t="s">
        <v>114</v>
      </c>
      <c r="E29" s="4">
        <f>MATCH(feat[[#This Row],[Group 1]],dict[Group 1],0)</f>
        <v>14</v>
      </c>
      <c r="F29" s="266" t="str">
        <f>CONCATENATE("'",feat[[#This Row],[Feature]],"': {},")</f>
        <v>'google_nonbrand_search_spend': {},</v>
      </c>
      <c r="M29" s="247"/>
    </row>
    <row r="30" spans="3:13" x14ac:dyDescent="0.2">
      <c r="C30" t="s">
        <v>138</v>
      </c>
      <c r="D30" t="s">
        <v>113</v>
      </c>
      <c r="E30" s="4">
        <f>MATCH(feat[[#This Row],[Group 1]],dict[Group 1],0)</f>
        <v>13</v>
      </c>
      <c r="F30" s="266" t="str">
        <f>CONCATENATE("'",feat[[#This Row],[Feature]],"': {},")</f>
        <v>'bing_brand_search_clicks': {},</v>
      </c>
      <c r="M30" s="247"/>
    </row>
    <row r="31" spans="3:13" x14ac:dyDescent="0.2">
      <c r="C31" t="s">
        <v>139</v>
      </c>
      <c r="D31" t="s">
        <v>113</v>
      </c>
      <c r="E31" s="4">
        <f>MATCH(feat[[#This Row],[Group 1]],dict[Group 1],0)</f>
        <v>13</v>
      </c>
      <c r="F31" s="266" t="str">
        <f>CONCATENATE("'",feat[[#This Row],[Feature]],"': {},")</f>
        <v>'bing_brand_search_spend': {},</v>
      </c>
      <c r="M31" s="247"/>
    </row>
    <row r="32" spans="3:13" x14ac:dyDescent="0.2">
      <c r="C32" t="s">
        <v>162</v>
      </c>
      <c r="D32" t="s">
        <v>187</v>
      </c>
      <c r="E32" s="4">
        <f>MATCH(feat[[#This Row],[Group 1]],dict[Group 1],0)</f>
        <v>15</v>
      </c>
      <c r="F32" s="266" t="str">
        <f>CONCATENATE("'",feat[[#This Row],[Feature]],"': {},")</f>
        <v>'pinterest_awareness_imp': {},</v>
      </c>
      <c r="M32" s="247"/>
    </row>
    <row r="33" spans="3:13" x14ac:dyDescent="0.2">
      <c r="C33" t="s">
        <v>163</v>
      </c>
      <c r="D33" t="s">
        <v>187</v>
      </c>
      <c r="E33" s="4">
        <f>MATCH(feat[[#This Row],[Group 1]],dict[Group 1],0)</f>
        <v>15</v>
      </c>
      <c r="F33" s="266" t="str">
        <f>CONCATENATE("'",feat[[#This Row],[Feature]],"': {},")</f>
        <v>'pinterest_awareness_spend': {},</v>
      </c>
      <c r="M33" s="247"/>
    </row>
    <row r="34" spans="3:13" x14ac:dyDescent="0.2">
      <c r="C34" t="s">
        <v>164</v>
      </c>
      <c r="D34" t="s">
        <v>187</v>
      </c>
      <c r="E34" s="4">
        <f>MATCH(feat[[#This Row],[Group 1]],dict[Group 1],0)</f>
        <v>15</v>
      </c>
      <c r="F34" s="266" t="str">
        <f>CONCATENATE("'",feat[[#This Row],[Feature]],"': {},")</f>
        <v>'pinterest_conversion_imp': {},</v>
      </c>
      <c r="M34" s="247"/>
    </row>
    <row r="35" spans="3:13" x14ac:dyDescent="0.2">
      <c r="C35" t="s">
        <v>165</v>
      </c>
      <c r="D35" t="s">
        <v>187</v>
      </c>
      <c r="E35" s="4">
        <f>MATCH(feat[[#This Row],[Group 1]],dict[Group 1],0)</f>
        <v>15</v>
      </c>
      <c r="F35" s="266" t="str">
        <f>CONCATENATE("'",feat[[#This Row],[Feature]],"': {},")</f>
        <v>'pinterest_conversion_spend': {},</v>
      </c>
      <c r="M35" s="247"/>
    </row>
    <row r="36" spans="3:13" x14ac:dyDescent="0.2">
      <c r="C36" t="s">
        <v>167</v>
      </c>
      <c r="D36" t="s">
        <v>188</v>
      </c>
      <c r="E36" s="4">
        <f>MATCH(feat[[#This Row],[Group 1]],dict[Group 1],0)</f>
        <v>16</v>
      </c>
      <c r="F36" s="266" t="str">
        <f>CONCATENATE("'",feat[[#This Row],[Feature]],"': {},")</f>
        <v>'snap_awareness_imp': {},</v>
      </c>
      <c r="M36" s="247"/>
    </row>
    <row r="37" spans="3:13" x14ac:dyDescent="0.2">
      <c r="C37" t="s">
        <v>168</v>
      </c>
      <c r="D37" t="s">
        <v>188</v>
      </c>
      <c r="E37" s="4">
        <f>MATCH(feat[[#This Row],[Group 1]],dict[Group 1],0)</f>
        <v>16</v>
      </c>
      <c r="F37" s="266" t="str">
        <f>CONCATENATE("'",feat[[#This Row],[Feature]],"': {},")</f>
        <v>'snap_awareness_spend': {},</v>
      </c>
      <c r="M37" s="247"/>
    </row>
    <row r="38" spans="3:13" x14ac:dyDescent="0.2">
      <c r="C38" t="s">
        <v>169</v>
      </c>
      <c r="D38" t="s">
        <v>188</v>
      </c>
      <c r="E38" s="4">
        <f>MATCH(feat[[#This Row],[Group 1]],dict[Group 1],0)</f>
        <v>16</v>
      </c>
      <c r="F38" s="266" t="str">
        <f>CONCATENATE("'",feat[[#This Row],[Feature]],"': {},")</f>
        <v>'snap_conversion_imp': {},</v>
      </c>
      <c r="M38" s="247"/>
    </row>
    <row r="39" spans="3:13" x14ac:dyDescent="0.2">
      <c r="C39" t="s">
        <v>170</v>
      </c>
      <c r="D39" t="s">
        <v>188</v>
      </c>
      <c r="E39" s="4">
        <f>MATCH(feat[[#This Row],[Group 1]],dict[Group 1],0)</f>
        <v>16</v>
      </c>
      <c r="F39" s="266" t="str">
        <f>CONCATENATE("'",feat[[#This Row],[Feature]],"': {},")</f>
        <v>'snap_conversion_spend': {},</v>
      </c>
      <c r="M39" s="247"/>
    </row>
    <row r="40" spans="3:13" x14ac:dyDescent="0.2">
      <c r="C40" t="s">
        <v>171</v>
      </c>
      <c r="D40" t="s">
        <v>189</v>
      </c>
      <c r="E40" s="4">
        <f>MATCH(feat[[#This Row],[Group 1]],dict[Group 1],0)</f>
        <v>17</v>
      </c>
      <c r="F40" s="266" t="str">
        <f>CONCATENATE("'",feat[[#This Row],[Feature]],"': {},")</f>
        <v>'tiktok_awareness_imp': {},</v>
      </c>
      <c r="M40" s="247"/>
    </row>
    <row r="41" spans="3:13" x14ac:dyDescent="0.2">
      <c r="C41" t="s">
        <v>172</v>
      </c>
      <c r="D41" t="s">
        <v>189</v>
      </c>
      <c r="E41" s="4">
        <f>MATCH(feat[[#This Row],[Group 1]],dict[Group 1],0)</f>
        <v>17</v>
      </c>
      <c r="F41" s="266" t="str">
        <f>CONCATENATE("'",feat[[#This Row],[Feature]],"': {},")</f>
        <v>'tiktok_awareness_spend': {},</v>
      </c>
      <c r="M41" s="247"/>
    </row>
    <row r="42" spans="3:13" x14ac:dyDescent="0.2">
      <c r="C42" t="s">
        <v>117</v>
      </c>
      <c r="D42" t="s">
        <v>190</v>
      </c>
      <c r="E42" s="4">
        <f>MATCH(feat[[#This Row],[Group 1]],dict[Group 1],0)</f>
        <v>18</v>
      </c>
      <c r="F42" s="266" t="str">
        <f>CONCATENATE("'",feat[[#This Row],[Feature]],"': {},")</f>
        <v>'fbig_spend': {},</v>
      </c>
      <c r="M42" s="247"/>
    </row>
    <row r="43" spans="3:13" x14ac:dyDescent="0.2">
      <c r="C43" t="s">
        <v>119</v>
      </c>
      <c r="D43" t="s">
        <v>190</v>
      </c>
      <c r="E43" s="4">
        <f>MATCH(feat[[#This Row],[Group 1]],dict[Group 1],0)</f>
        <v>18</v>
      </c>
      <c r="F43" s="266" t="str">
        <f>CONCATENATE("'",feat[[#This Row],[Feature]],"': {},")</f>
        <v>'fbig_imp': {},</v>
      </c>
      <c r="M43" s="247"/>
    </row>
    <row r="44" spans="3:13" x14ac:dyDescent="0.2">
      <c r="C44" t="s">
        <v>151</v>
      </c>
      <c r="D44" t="s">
        <v>120</v>
      </c>
      <c r="E44" s="4">
        <f>MATCH(feat[[#This Row],[Group 1]],dict[Group 1],0)</f>
        <v>19</v>
      </c>
      <c r="F44" s="266" t="str">
        <f>CONCATENATE("'",feat[[#This Row],[Feature]],"': {},")</f>
        <v>'google_video_clicks': {},</v>
      </c>
      <c r="M44" s="247"/>
    </row>
    <row r="45" spans="3:13" x14ac:dyDescent="0.2">
      <c r="C45" t="s">
        <v>152</v>
      </c>
      <c r="D45" t="s">
        <v>120</v>
      </c>
      <c r="E45" s="4">
        <f>MATCH(feat[[#This Row],[Group 1]],dict[Group 1],0)</f>
        <v>19</v>
      </c>
      <c r="F45" s="266" t="str">
        <f>CONCATENATE("'",feat[[#This Row],[Feature]],"': {},")</f>
        <v>'google_video_imp': {},</v>
      </c>
      <c r="M45" s="247"/>
    </row>
    <row r="46" spans="3:13" x14ac:dyDescent="0.2">
      <c r="C46" t="s">
        <v>153</v>
      </c>
      <c r="D46" t="s">
        <v>120</v>
      </c>
      <c r="E46" s="4">
        <f>MATCH(feat[[#This Row],[Group 1]],dict[Group 1],0)</f>
        <v>19</v>
      </c>
      <c r="F46" s="266" t="str">
        <f>CONCATENATE("'",feat[[#This Row],[Feature]],"': {},")</f>
        <v>'google_video_spend': {},</v>
      </c>
      <c r="M46" s="247"/>
    </row>
    <row r="47" spans="3:13" x14ac:dyDescent="0.2">
      <c r="C47" t="s">
        <v>178</v>
      </c>
      <c r="D47" t="s">
        <v>120</v>
      </c>
      <c r="E47" s="4">
        <f>MATCH(feat[[#This Row],[Group 1]],dict[Group 1],0)</f>
        <v>19</v>
      </c>
      <c r="F47" s="266" t="str">
        <f>CONCATENATE("'",feat[[#This Row],[Feature]],"': {},")</f>
        <v>'youtube_video_imp': {},</v>
      </c>
      <c r="M47" s="247"/>
    </row>
    <row r="48" spans="3:13" x14ac:dyDescent="0.2">
      <c r="C48" t="s">
        <v>175</v>
      </c>
      <c r="D48" t="s">
        <v>120</v>
      </c>
      <c r="E48" s="4">
        <f>MATCH(feat[[#This Row],[Group 1]],dict[Group 1],0)</f>
        <v>19</v>
      </c>
      <c r="F48" s="266" t="str">
        <f>CONCATENATE("'",feat[[#This Row],[Feature]],"': {},")</f>
        <v>'youtube_video_spend': {},</v>
      </c>
      <c r="M48" s="247"/>
    </row>
    <row r="49" spans="3:13" x14ac:dyDescent="0.2">
      <c r="C49" t="s">
        <v>161</v>
      </c>
      <c r="D49" t="s">
        <v>120</v>
      </c>
      <c r="E49" s="4">
        <f>MATCH(feat[[#This Row],[Group 1]],dict[Group 1],0)</f>
        <v>19</v>
      </c>
      <c r="F49" s="266" t="str">
        <f>CONCATENATE("'",feat[[#This Row],[Feature]],"': {},")</f>
        <v>'nongoogle_video_spend': {},</v>
      </c>
      <c r="M49" s="247"/>
    </row>
    <row r="50" spans="3:13" x14ac:dyDescent="0.2">
      <c r="C50" t="s">
        <v>145</v>
      </c>
      <c r="D50" t="s">
        <v>121</v>
      </c>
      <c r="E50" s="4">
        <f>MATCH(feat[[#This Row],[Group 1]],dict[Group 1],0)</f>
        <v>20</v>
      </c>
      <c r="F50" s="266" t="str">
        <f>CONCATENATE("'",feat[[#This Row],[Feature]],"': {},")</f>
        <v>'google_display_clicks': {},</v>
      </c>
      <c r="M50" s="247"/>
    </row>
    <row r="51" spans="3:13" x14ac:dyDescent="0.2">
      <c r="C51" t="s">
        <v>146</v>
      </c>
      <c r="D51" t="s">
        <v>121</v>
      </c>
      <c r="E51" s="4">
        <f>MATCH(feat[[#This Row],[Group 1]],dict[Group 1],0)</f>
        <v>20</v>
      </c>
      <c r="F51" s="266" t="str">
        <f>CONCATENATE("'",feat[[#This Row],[Feature]],"': {},")</f>
        <v>'google_display_imp': {},</v>
      </c>
      <c r="M51" s="247"/>
    </row>
    <row r="52" spans="3:13" x14ac:dyDescent="0.2">
      <c r="C52" t="s">
        <v>147</v>
      </c>
      <c r="D52" t="s">
        <v>121</v>
      </c>
      <c r="E52" s="4">
        <f>MATCH(feat[[#This Row],[Group 1]],dict[Group 1],0)</f>
        <v>20</v>
      </c>
      <c r="F52" s="266" t="str">
        <f>CONCATENATE("'",feat[[#This Row],[Feature]],"': {},")</f>
        <v>'google_display_spend': {},</v>
      </c>
      <c r="M52" s="247"/>
    </row>
    <row r="53" spans="3:13" x14ac:dyDescent="0.2">
      <c r="C53" t="s">
        <v>160</v>
      </c>
      <c r="D53" t="s">
        <v>121</v>
      </c>
      <c r="E53" s="4">
        <f>MATCH(feat[[#This Row],[Group 1]],dict[Group 1],0)</f>
        <v>20</v>
      </c>
      <c r="F53" s="266" t="str">
        <f>CONCATENATE("'",feat[[#This Row],[Feature]],"': {},")</f>
        <v>'nongoogle_display_spend': {},</v>
      </c>
      <c r="M53" s="247"/>
    </row>
    <row r="54" spans="3:13" x14ac:dyDescent="0.2">
      <c r="C54" t="s">
        <v>125</v>
      </c>
      <c r="D54" t="s">
        <v>181</v>
      </c>
      <c r="E54" s="4">
        <f>MATCH(feat[[#This Row],[Group 1]],dict[Group 1],0)</f>
        <v>2</v>
      </c>
      <c r="F54" s="266" t="str">
        <f>CONCATENATE("'",feat[[#This Row],[Feature]],"': {},")</f>
        <v>'week_before_xmas': {},</v>
      </c>
      <c r="M54" s="247"/>
    </row>
    <row r="55" spans="3:13" x14ac:dyDescent="0.2">
      <c r="C55" t="s">
        <v>126</v>
      </c>
      <c r="D55" t="s">
        <v>181</v>
      </c>
      <c r="E55" s="4">
        <f>MATCH(feat[[#This Row],[Group 1]],dict[Group 1],0)</f>
        <v>2</v>
      </c>
      <c r="F55" s="266" t="str">
        <f>CONCATENATE("'",feat[[#This Row],[Feature]],"': {},")</f>
        <v>'week_before_vday': {},</v>
      </c>
      <c r="M55" s="247"/>
    </row>
    <row r="56" spans="3:13" x14ac:dyDescent="0.2">
      <c r="C56" t="s">
        <v>124</v>
      </c>
      <c r="D56" t="s">
        <v>181</v>
      </c>
      <c r="E56" s="4">
        <f>MATCH(feat[[#This Row],[Group 1]],dict[Group 1],0)</f>
        <v>2</v>
      </c>
      <c r="F56" s="266" t="str">
        <f>CONCATENATE("'",feat[[#This Row],[Feature]],"': {},")</f>
        <v>'covid_holiday_period': {},</v>
      </c>
      <c r="M56" s="247"/>
    </row>
    <row r="57" spans="3:13" x14ac:dyDescent="0.2">
      <c r="C57" s="3" t="s">
        <v>197</v>
      </c>
      <c r="D57" t="s">
        <v>112</v>
      </c>
      <c r="E57" s="4">
        <f>MATCH(feat[[#This Row],[Group 1]],dict[Group 1],0)</f>
        <v>5</v>
      </c>
      <c r="F57" s="266" t="str">
        <f>CONCATENATE("'",feat[[#This Row],[Feature]],"': {},")</f>
        <v>'total_product_launch': {},</v>
      </c>
      <c r="M57" s="247"/>
    </row>
    <row r="58" spans="3:13" x14ac:dyDescent="0.2">
      <c r="C58" s="3" t="s">
        <v>127</v>
      </c>
      <c r="D58" t="s">
        <v>128</v>
      </c>
      <c r="E58" s="4">
        <f>MATCH(feat[[#This Row],[Group 1]],dict[Group 1],0)</f>
        <v>6</v>
      </c>
      <c r="F58" s="266" t="str">
        <f>CONCATENATE("'",feat[[#This Row],[Feature]],"': {},")</f>
        <v>'friends_and_family_august_promo': {},</v>
      </c>
      <c r="M58" s="247"/>
    </row>
    <row r="59" spans="3:13" x14ac:dyDescent="0.2">
      <c r="C59" s="3" t="s">
        <v>201</v>
      </c>
      <c r="D59" t="s">
        <v>181</v>
      </c>
      <c r="E59" s="4">
        <f>MATCH(feat[[#This Row],[Group 1]],dict[Group 1],0)</f>
        <v>2</v>
      </c>
      <c r="F59" s="266" t="str">
        <f>CONCATENATE("'",feat[[#This Row],[Feature]],"': {},")</f>
        <v>'mothersday_2019': {},</v>
      </c>
      <c r="M59" s="247"/>
    </row>
    <row r="60" spans="3:13" x14ac:dyDescent="0.2">
      <c r="C60" t="s">
        <v>203</v>
      </c>
      <c r="D60" t="s">
        <v>184</v>
      </c>
      <c r="E60" s="4">
        <f>MATCH(feat[[#This Row],[Group 1]],dict[Group 1],0)</f>
        <v>9</v>
      </c>
      <c r="F60" s="266" t="str">
        <f>CONCATENATE("'",feat[[#This Row],[Feature]],"': {},")</f>
        <v>'tv_coop_spend_after_2020-04-13': {},</v>
      </c>
      <c r="M60" s="247"/>
    </row>
    <row r="61" spans="3:13" x14ac:dyDescent="0.2">
      <c r="C61" t="s">
        <v>202</v>
      </c>
      <c r="D61" t="s">
        <v>181</v>
      </c>
      <c r="E61" s="4">
        <f>MATCH(feat[[#This Row],[Group 1]],dict[Group 1],0)</f>
        <v>2</v>
      </c>
      <c r="F61" s="266" t="str">
        <f>CONCATENATE("'",feat[[#This Row],[Feature]],"': {},")</f>
        <v>'blackfriday_2019': {},</v>
      </c>
      <c r="M61" s="247"/>
    </row>
    <row r="62" spans="3:13" x14ac:dyDescent="0.2">
      <c r="C62" t="s">
        <v>228</v>
      </c>
      <c r="D62" t="s">
        <v>181</v>
      </c>
      <c r="E62" s="4">
        <f>MATCH(feat[[#This Row],[Group 1]],dict[Group 1],0)</f>
        <v>2</v>
      </c>
      <c r="F62" s="266" t="str">
        <f>CONCATENATE("'",feat[[#This Row],[Feature]],"': {},")</f>
        <v>'july_promo': {},</v>
      </c>
      <c r="M62" s="247"/>
    </row>
    <row r="63" spans="3:13" x14ac:dyDescent="0.2">
      <c r="C63" t="s">
        <v>230</v>
      </c>
      <c r="D63" t="s">
        <v>185</v>
      </c>
      <c r="E63" s="4">
        <f>MATCH(feat[[#This Row],[Group 1]],dict[Group 1],0)</f>
        <v>10</v>
      </c>
      <c r="F63" s="266" t="str">
        <f>CONCATENATE("'",feat[[#This Row],[Feature]],"': {},")</f>
        <v>'print_pure_spend_before_2020-04-13': {},</v>
      </c>
      <c r="M63" s="247"/>
    </row>
    <row r="64" spans="3:13" x14ac:dyDescent="0.2">
      <c r="C64" t="s">
        <v>231</v>
      </c>
      <c r="D64" t="s">
        <v>185</v>
      </c>
      <c r="E64" s="4">
        <f>MATCH(feat[[#This Row],[Group 1]],dict[Group 1],0)</f>
        <v>10</v>
      </c>
      <c r="F64" s="266" t="str">
        <f>CONCATENATE("'",feat[[#This Row],[Feature]],"': {},")</f>
        <v>'print_pure_spend_after_2020-04-13': {},</v>
      </c>
      <c r="M64" s="247"/>
    </row>
    <row r="65" spans="3:13" x14ac:dyDescent="0.2">
      <c r="C65" t="s">
        <v>229</v>
      </c>
      <c r="D65" t="s">
        <v>181</v>
      </c>
      <c r="E65" s="4">
        <f>MATCH(feat[[#This Row],[Group 1]],dict[Group 1],0)</f>
        <v>2</v>
      </c>
      <c r="F65" s="266" t="str">
        <f>CONCATENATE("'",feat[[#This Row],[Feature]],"': {},")</f>
        <v>'covid_xmas': {},</v>
      </c>
      <c r="M65" s="247"/>
    </row>
    <row r="66" spans="3:13" x14ac:dyDescent="0.2">
      <c r="C66" t="s">
        <v>233</v>
      </c>
      <c r="D66" t="s">
        <v>128</v>
      </c>
      <c r="E66" s="4">
        <f>MATCH(feat[[#This Row],[Group 1]],dict[Group 1],0)</f>
        <v>6</v>
      </c>
      <c r="F66" s="266" t="str">
        <f>CONCATENATE("'",feat[[#This Row],[Feature]],"': {},")</f>
        <v>'flash_sale_promo': {},</v>
      </c>
      <c r="M66" s="247"/>
    </row>
    <row r="67" spans="3:13" x14ac:dyDescent="0.2">
      <c r="C67" s="10" t="s">
        <v>236</v>
      </c>
      <c r="D67" t="s">
        <v>181</v>
      </c>
      <c r="E67" s="4">
        <f>MATCH(feat[[#This Row],[Group 1]],dict[Group 1],0)</f>
        <v>2</v>
      </c>
      <c r="F67" s="266" t="str">
        <f>CONCATENATE("'",feat[[#This Row],[Feature]],"': {},")</f>
        <v>'type_in_name_of_new_seasonality_variable': {},</v>
      </c>
      <c r="M67" s="247"/>
    </row>
    <row r="68" spans="3:13" x14ac:dyDescent="0.2">
      <c r="F68" s="266"/>
      <c r="M68" s="247"/>
    </row>
    <row r="69" spans="3:13" x14ac:dyDescent="0.2">
      <c r="F69" s="267"/>
      <c r="M69" s="247"/>
    </row>
    <row r="70" spans="3:13" x14ac:dyDescent="0.2">
      <c r="F70" s="267"/>
      <c r="M70" s="247"/>
    </row>
    <row r="71" spans="3:13" x14ac:dyDescent="0.2">
      <c r="F71" s="267"/>
      <c r="M71" s="247"/>
    </row>
    <row r="72" spans="3:13" x14ac:dyDescent="0.2">
      <c r="F72" s="267"/>
      <c r="M72" s="247"/>
    </row>
    <row r="73" spans="3:13" x14ac:dyDescent="0.2">
      <c r="F73" s="267"/>
      <c r="M73" s="247"/>
    </row>
    <row r="74" spans="3:13" x14ac:dyDescent="0.2">
      <c r="F74" s="267"/>
      <c r="M74" s="247"/>
    </row>
    <row r="75" spans="3:13" x14ac:dyDescent="0.2">
      <c r="F75" s="267"/>
      <c r="M75" s="247"/>
    </row>
    <row r="76" spans="3:13" x14ac:dyDescent="0.2">
      <c r="F76" s="267"/>
      <c r="M76" s="247"/>
    </row>
    <row r="77" spans="3:13" x14ac:dyDescent="0.2">
      <c r="F77" s="267"/>
      <c r="M77" s="247"/>
    </row>
    <row r="78" spans="3:13" x14ac:dyDescent="0.2">
      <c r="F78" s="267"/>
      <c r="M78" s="247"/>
    </row>
    <row r="79" spans="3:13" x14ac:dyDescent="0.2">
      <c r="F79" s="267"/>
      <c r="M79" s="247"/>
    </row>
    <row r="80" spans="3:13" x14ac:dyDescent="0.2">
      <c r="F80" s="267"/>
      <c r="M80" s="247"/>
    </row>
    <row r="81" spans="6:13" x14ac:dyDescent="0.2">
      <c r="F81" s="267"/>
      <c r="M81" s="247"/>
    </row>
    <row r="82" spans="6:13" x14ac:dyDescent="0.2">
      <c r="F82" s="267"/>
      <c r="M82" s="247"/>
    </row>
    <row r="83" spans="6:13" x14ac:dyDescent="0.2">
      <c r="F83" s="267"/>
      <c r="M83" s="247"/>
    </row>
    <row r="84" spans="6:13" x14ac:dyDescent="0.2">
      <c r="F84" s="267"/>
      <c r="M84" s="247"/>
    </row>
    <row r="85" spans="6:13" x14ac:dyDescent="0.2">
      <c r="F85" s="267"/>
      <c r="M85" s="247"/>
    </row>
    <row r="86" spans="6:13" x14ac:dyDescent="0.2">
      <c r="F86" s="267"/>
      <c r="M86" s="247"/>
    </row>
    <row r="87" spans="6:13" x14ac:dyDescent="0.2">
      <c r="F87" s="267"/>
      <c r="M87" s="247"/>
    </row>
    <row r="88" spans="6:13" x14ac:dyDescent="0.2">
      <c r="F88" s="267"/>
      <c r="M88" s="247"/>
    </row>
    <row r="89" spans="6:13" x14ac:dyDescent="0.2">
      <c r="F89" s="267"/>
      <c r="M89" s="247"/>
    </row>
    <row r="90" spans="6:13" x14ac:dyDescent="0.2">
      <c r="F90" s="267"/>
      <c r="M90" s="247"/>
    </row>
    <row r="91" spans="6:13" x14ac:dyDescent="0.2">
      <c r="F91" s="267"/>
      <c r="M91" s="247"/>
    </row>
    <row r="92" spans="6:13" x14ac:dyDescent="0.2">
      <c r="F92" s="267"/>
      <c r="M92" s="247"/>
    </row>
    <row r="93" spans="6:13" x14ac:dyDescent="0.2">
      <c r="F93" s="267"/>
      <c r="M93" s="247"/>
    </row>
    <row r="94" spans="6:13" x14ac:dyDescent="0.2">
      <c r="F94" s="267"/>
      <c r="M94" s="247"/>
    </row>
    <row r="95" spans="6:13" x14ac:dyDescent="0.2">
      <c r="F95" s="267"/>
      <c r="M95" s="247"/>
    </row>
    <row r="96" spans="6:13" x14ac:dyDescent="0.2">
      <c r="F96" s="267"/>
      <c r="M96" s="247"/>
    </row>
    <row r="97" spans="6:13" x14ac:dyDescent="0.2">
      <c r="F97" s="267"/>
      <c r="M97" s="247"/>
    </row>
    <row r="98" spans="6:13" x14ac:dyDescent="0.2">
      <c r="F98" s="267"/>
      <c r="M98" s="247"/>
    </row>
    <row r="99" spans="6:13" x14ac:dyDescent="0.2">
      <c r="F99" s="267"/>
      <c r="M99" s="247"/>
    </row>
    <row r="100" spans="6:13" x14ac:dyDescent="0.2">
      <c r="M100" s="247"/>
    </row>
    <row r="101" spans="6:13" x14ac:dyDescent="0.2">
      <c r="M101" s="247"/>
    </row>
    <row r="102" spans="6:13" x14ac:dyDescent="0.2">
      <c r="M102" s="247"/>
    </row>
    <row r="103" spans="6:13" x14ac:dyDescent="0.2">
      <c r="M103" s="247"/>
    </row>
    <row r="104" spans="6:13" x14ac:dyDescent="0.2">
      <c r="M104" s="247"/>
    </row>
    <row r="105" spans="6:13" x14ac:dyDescent="0.2">
      <c r="M105" s="247"/>
    </row>
    <row r="106" spans="6:13" x14ac:dyDescent="0.2">
      <c r="M106" s="247"/>
    </row>
    <row r="107" spans="6:13" x14ac:dyDescent="0.2">
      <c r="M107" s="247"/>
    </row>
    <row r="108" spans="6:13" x14ac:dyDescent="0.2">
      <c r="M108" s="247"/>
    </row>
    <row r="109" spans="6:13" x14ac:dyDescent="0.2">
      <c r="M109" s="247"/>
    </row>
    <row r="110" spans="6:13" x14ac:dyDescent="0.2">
      <c r="M110" s="247"/>
    </row>
    <row r="111" spans="6:13" x14ac:dyDescent="0.2">
      <c r="M111" s="247"/>
    </row>
    <row r="112" spans="6:13" x14ac:dyDescent="0.2">
      <c r="M112" s="247"/>
    </row>
    <row r="113" spans="13:13" x14ac:dyDescent="0.2">
      <c r="M113" s="247"/>
    </row>
    <row r="114" spans="13:13" x14ac:dyDescent="0.2">
      <c r="M114" s="247"/>
    </row>
    <row r="115" spans="13:13" x14ac:dyDescent="0.2">
      <c r="M115" s="247"/>
    </row>
    <row r="116" spans="13:13" x14ac:dyDescent="0.2">
      <c r="M116" s="247"/>
    </row>
    <row r="117" spans="13:13" x14ac:dyDescent="0.2">
      <c r="M117" s="247"/>
    </row>
    <row r="118" spans="13:13" x14ac:dyDescent="0.2">
      <c r="M118" s="247"/>
    </row>
    <row r="119" spans="13:13" x14ac:dyDescent="0.2">
      <c r="M119" s="247"/>
    </row>
    <row r="120" spans="13:13" x14ac:dyDescent="0.2">
      <c r="M120" s="247"/>
    </row>
    <row r="121" spans="13:13" x14ac:dyDescent="0.2">
      <c r="M121" s="247"/>
    </row>
    <row r="122" spans="13:13" x14ac:dyDescent="0.2">
      <c r="M122" s="247"/>
    </row>
    <row r="123" spans="13:13" x14ac:dyDescent="0.2">
      <c r="M123" s="247"/>
    </row>
    <row r="124" spans="13:13" x14ac:dyDescent="0.2">
      <c r="M124" s="247"/>
    </row>
    <row r="125" spans="13:13" x14ac:dyDescent="0.2">
      <c r="M125" s="247"/>
    </row>
    <row r="126" spans="13:13" x14ac:dyDescent="0.2">
      <c r="M126" s="247"/>
    </row>
    <row r="127" spans="13:13" x14ac:dyDescent="0.2">
      <c r="M127" s="247"/>
    </row>
    <row r="128" spans="13:13" x14ac:dyDescent="0.2">
      <c r="M128" s="247"/>
    </row>
    <row r="129" spans="13:13" x14ac:dyDescent="0.2">
      <c r="M129" s="247"/>
    </row>
    <row r="130" spans="13:13" x14ac:dyDescent="0.2">
      <c r="M130" s="247"/>
    </row>
    <row r="131" spans="13:13" x14ac:dyDescent="0.2">
      <c r="M131" s="247"/>
    </row>
    <row r="132" spans="13:13" x14ac:dyDescent="0.2">
      <c r="M132" s="247"/>
    </row>
    <row r="133" spans="13:13" x14ac:dyDescent="0.2">
      <c r="M133" s="247"/>
    </row>
    <row r="134" spans="13:13" x14ac:dyDescent="0.2">
      <c r="M134" s="247"/>
    </row>
    <row r="135" spans="13:13" x14ac:dyDescent="0.2">
      <c r="M135" s="247"/>
    </row>
    <row r="136" spans="13:13" x14ac:dyDescent="0.2">
      <c r="M136" s="247"/>
    </row>
    <row r="137" spans="13:13" x14ac:dyDescent="0.2">
      <c r="M137" s="247"/>
    </row>
    <row r="138" spans="13:13" x14ac:dyDescent="0.2">
      <c r="M138" s="247"/>
    </row>
    <row r="139" spans="13:13" x14ac:dyDescent="0.2">
      <c r="M139" s="247"/>
    </row>
  </sheetData>
  <phoneticPr fontId="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E761-6AF8-4E04-A2ED-B7D0AC15B4EB}">
  <sheetPr>
    <tabColor theme="7" tint="-0.249977111117893"/>
  </sheetPr>
  <dimension ref="A1:EB10192"/>
  <sheetViews>
    <sheetView showGridLines="0" zoomScale="115" zoomScaleNormal="115" workbookViewId="0">
      <pane xSplit="5" ySplit="7" topLeftCell="AN8" activePane="bottomRight" state="frozen"/>
      <selection pane="topRight" activeCell="E1" sqref="E1"/>
      <selection pane="bottomLeft" activeCell="A9" sqref="A9"/>
      <selection pane="bottomRight" activeCell="D3" sqref="D3:BP112"/>
    </sheetView>
  </sheetViews>
  <sheetFormatPr baseColWidth="10" defaultColWidth="8.5" defaultRowHeight="15" x14ac:dyDescent="0.2"/>
  <cols>
    <col min="1" max="1" width="3.33203125" style="4" customWidth="1"/>
    <col min="2" max="2" width="7.5" style="143" customWidth="1"/>
    <col min="3" max="3" width="3.33203125" customWidth="1"/>
    <col min="4" max="4" width="24" style="332" customWidth="1"/>
    <col min="5" max="5" width="16" style="342" customWidth="1"/>
    <col min="6" max="49" width="13.33203125" style="334" customWidth="1"/>
    <col min="50" max="16384" width="8.5" style="334"/>
  </cols>
  <sheetData>
    <row r="1" spans="1:131" customFormat="1" ht="15" customHeight="1" x14ac:dyDescent="0.2">
      <c r="B1" s="331" t="s">
        <v>17</v>
      </c>
      <c r="D1" s="59"/>
      <c r="E1" s="34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31" s="115" customFormat="1" x14ac:dyDescent="0.2">
      <c r="A2" s="4"/>
      <c r="B2" s="129">
        <f>COUNTA(E:E)</f>
        <v>109</v>
      </c>
      <c r="C2"/>
      <c r="D2" s="59" t="s">
        <v>18</v>
      </c>
      <c r="E2" s="340"/>
      <c r="F2" s="113" t="str" cm="1">
        <f t="array" aca="1" ref="F2:BP2" ca="1">OFFSET($E3,0,1,1,$B$4)&amp;TEXT(OFFSET($E4,0,1,1,$B$4)," +L0;;;")&amp;TEXT(OFFSET($E5,0,1,1,$B$4)*100," +A0;;;")&amp;TEXT(OFFSET($E6,0,1,1,$B$4)+OFFSET($E7,0,1,1,$B$4)," +""S""0.0;;;")</f>
        <v>sales</v>
      </c>
      <c r="G2" s="114" t="str">
        <f ca="1"/>
        <v>bing_brand_search_clicks</v>
      </c>
      <c r="H2" s="114" t="str">
        <f ca="1"/>
        <v>bing_brand_search_spend</v>
      </c>
      <c r="I2" s="114" t="str">
        <f ca="1"/>
        <v>blackfriday_dummy</v>
      </c>
      <c r="J2" s="114" t="str">
        <f ca="1"/>
        <v>covid_trend</v>
      </c>
      <c r="K2" s="114" t="str">
        <f ca="1"/>
        <v>google_brand_search_clicks</v>
      </c>
      <c r="L2" s="114" t="str">
        <f ca="1"/>
        <v>google_brand_search_imp</v>
      </c>
      <c r="M2" s="114" t="str">
        <f ca="1"/>
        <v>google_brand_search_spend</v>
      </c>
      <c r="N2" s="114" t="str">
        <f ca="1"/>
        <v>google_display_clicks</v>
      </c>
      <c r="O2" s="114" t="str">
        <f ca="1"/>
        <v>google_display_imp</v>
      </c>
      <c r="P2" s="114" t="str">
        <f ca="1"/>
        <v>google_display_spend</v>
      </c>
      <c r="Q2" s="114" t="str">
        <f ca="1"/>
        <v>google_nonbrand_search_clicks</v>
      </c>
      <c r="R2" s="114" t="str">
        <f ca="1"/>
        <v>google_nonbrand_search_imp</v>
      </c>
      <c r="S2" s="114" t="str">
        <f ca="1"/>
        <v>google_nonbrand_search_spend</v>
      </c>
      <c r="T2" s="114" t="str">
        <f ca="1"/>
        <v>google_video_clicks</v>
      </c>
      <c r="U2" s="114" t="str">
        <f ca="1"/>
        <v>google_video_imp</v>
      </c>
      <c r="V2" s="114" t="str">
        <f ca="1"/>
        <v>google_video_spend</v>
      </c>
      <c r="W2" s="114" t="str">
        <f ca="1"/>
        <v>gwp_units_distributed</v>
      </c>
      <c r="X2" s="114" t="str">
        <f ca="1"/>
        <v>launch_fragrance_trend</v>
      </c>
      <c r="Y2" s="114" t="str">
        <f ca="1"/>
        <v>launch_makeup_trend</v>
      </c>
      <c r="Z2" s="114" t="str">
        <f ca="1"/>
        <v>launch_skincare_trend</v>
      </c>
      <c r="AA2" s="114" t="str">
        <f ca="1"/>
        <v>market_sales</v>
      </c>
      <c r="AB2" s="114" t="str">
        <f ca="1"/>
        <v>mothersday_dummy</v>
      </c>
      <c r="AC2" s="114" t="str">
        <f ca="1"/>
        <v>nongoogle_display_spend</v>
      </c>
      <c r="AD2" s="114" t="str">
        <f ca="1"/>
        <v>nongoogle_video_spend</v>
      </c>
      <c r="AE2" s="114" t="str">
        <f ca="1"/>
        <v>pinterest_awareness_imp</v>
      </c>
      <c r="AF2" s="114" t="str">
        <f ca="1"/>
        <v>pinterest_awareness_spend</v>
      </c>
      <c r="AG2" s="114" t="str">
        <f ca="1"/>
        <v>pinterest_conversion_imp</v>
      </c>
      <c r="AH2" s="114" t="str">
        <f ca="1"/>
        <v>pinterest_conversion_spend</v>
      </c>
      <c r="AI2" s="114" t="str">
        <f ca="1"/>
        <v>print_coop_spend</v>
      </c>
      <c r="AJ2" s="114" t="str">
        <f ca="1"/>
        <v>print_pure_spend</v>
      </c>
      <c r="AK2" s="114" t="str">
        <f ca="1"/>
        <v>samples_quantity_distributed</v>
      </c>
      <c r="AL2" s="114" t="str">
        <f ca="1"/>
        <v>snap_awareness_imp</v>
      </c>
      <c r="AM2" s="114" t="str">
        <f ca="1"/>
        <v>snap_awareness_spend</v>
      </c>
      <c r="AN2" s="114" t="str">
        <f ca="1"/>
        <v>snap_conversion_imp</v>
      </c>
      <c r="AO2" s="114" t="str">
        <f ca="1"/>
        <v>snap_conversion_spend</v>
      </c>
      <c r="AP2" s="114" t="str">
        <f ca="1"/>
        <v>tiktok_awareness_imp</v>
      </c>
      <c r="AQ2" s="114" t="str">
        <f ca="1"/>
        <v>tiktok_awareness_spend</v>
      </c>
      <c r="AR2" s="114" t="str">
        <f ca="1"/>
        <v>tv_coop_spend</v>
      </c>
      <c r="AS2" s="114" t="str">
        <f ca="1"/>
        <v>tv_pure_imp</v>
      </c>
      <c r="AT2" s="114" t="str">
        <f ca="1"/>
        <v>tv_pure_spend +L1</v>
      </c>
      <c r="AU2" s="114" t="str">
        <f ca="1"/>
        <v>vday_dummy</v>
      </c>
      <c r="AV2" s="114" t="str">
        <f ca="1"/>
        <v>xmas_dummy</v>
      </c>
      <c r="AW2" s="114" t="str">
        <f ca="1"/>
        <v>youtube_video_spend</v>
      </c>
      <c r="AX2" s="114" t="str">
        <f ca="1"/>
        <v>fbig_spend</v>
      </c>
      <c r="AY2" s="114" t="str">
        <f ca="1"/>
        <v>fbig_imp +A60</v>
      </c>
      <c r="AZ2" s="114" t="str">
        <f ca="1"/>
        <v>youtube_video_imp</v>
      </c>
      <c r="BA2" s="114" t="str">
        <f ca="1"/>
        <v>outdoor_impressions +A20</v>
      </c>
      <c r="BB2" s="114" t="str">
        <f ca="1"/>
        <v>outdoor_spend</v>
      </c>
      <c r="BC2" s="114" t="str">
        <f ca="1"/>
        <v>covid_holiday_period</v>
      </c>
      <c r="BD2" s="114" t="str">
        <f ca="1"/>
        <v>covid_xmas</v>
      </c>
      <c r="BE2" s="114" t="str">
        <f ca="1"/>
        <v>tv_coop_spend_after_2020-04-13</v>
      </c>
      <c r="BF2" s="114" t="str">
        <f ca="1"/>
        <v>print_pure_spend_after_2020-04-13 +L1</v>
      </c>
      <c r="BG2" s="114" t="str">
        <f ca="1"/>
        <v>print_pure_spend_before_2020-04-13</v>
      </c>
      <c r="BH2" s="114" t="str">
        <f ca="1"/>
        <v>total_product_launch</v>
      </c>
      <c r="BI2" s="114" t="str">
        <f ca="1"/>
        <v>week_before_laborday</v>
      </c>
      <c r="BJ2" s="114" t="str">
        <f ca="1"/>
        <v>week_before_vday +A30</v>
      </c>
      <c r="BK2" s="114" t="str">
        <f ca="1"/>
        <v>july_promo</v>
      </c>
      <c r="BL2" s="114" t="str">
        <f ca="1"/>
        <v>mothersday_2019</v>
      </c>
      <c r="BM2" s="115" t="str">
        <f ca="1"/>
        <v>blackfriday_2019</v>
      </c>
      <c r="BN2" s="115" t="str">
        <f ca="1"/>
        <v>friends_and_family_august_promo</v>
      </c>
      <c r="BO2" s="115" t="str">
        <f ca="1"/>
        <v>flash_sale_promo</v>
      </c>
      <c r="BP2" s="115" t="str">
        <f ca="1"/>
        <v>new_year</v>
      </c>
    </row>
    <row r="3" spans="1:131" s="181" customFormat="1" x14ac:dyDescent="0.2">
      <c r="A3"/>
      <c r="B3" s="331" t="s">
        <v>19</v>
      </c>
      <c r="C3"/>
      <c r="D3" s="99" t="s">
        <v>238</v>
      </c>
      <c r="E3" s="344" t="s">
        <v>239</v>
      </c>
      <c r="F3" s="181" t="s">
        <v>109</v>
      </c>
      <c r="G3" s="181" t="s">
        <v>138</v>
      </c>
      <c r="H3" s="181" t="s">
        <v>139</v>
      </c>
      <c r="I3" s="181" t="s">
        <v>140</v>
      </c>
      <c r="J3" s="181" t="s">
        <v>141</v>
      </c>
      <c r="K3" s="181" t="s">
        <v>142</v>
      </c>
      <c r="L3" s="181" t="s">
        <v>143</v>
      </c>
      <c r="M3" s="181" t="s">
        <v>144</v>
      </c>
      <c r="N3" s="181" t="s">
        <v>145</v>
      </c>
      <c r="O3" s="181" t="s">
        <v>146</v>
      </c>
      <c r="P3" s="181" t="s">
        <v>147</v>
      </c>
      <c r="Q3" s="181" t="s">
        <v>148</v>
      </c>
      <c r="R3" s="181" t="s">
        <v>149</v>
      </c>
      <c r="S3" s="181" t="s">
        <v>150</v>
      </c>
      <c r="T3" s="181" t="s">
        <v>151</v>
      </c>
      <c r="U3" s="181" t="s">
        <v>152</v>
      </c>
      <c r="V3" s="181" t="s">
        <v>153</v>
      </c>
      <c r="W3" s="181" t="s">
        <v>154</v>
      </c>
      <c r="X3" s="181" t="s">
        <v>155</v>
      </c>
      <c r="Y3" s="181" t="s">
        <v>156</v>
      </c>
      <c r="Z3" s="181" t="s">
        <v>157</v>
      </c>
      <c r="AA3" s="181" t="s">
        <v>158</v>
      </c>
      <c r="AB3" s="181" t="s">
        <v>159</v>
      </c>
      <c r="AC3" s="181" t="s">
        <v>160</v>
      </c>
      <c r="AD3" s="181" t="s">
        <v>161</v>
      </c>
      <c r="AE3" s="181" t="s">
        <v>162</v>
      </c>
      <c r="AF3" s="181" t="s">
        <v>163</v>
      </c>
      <c r="AG3" s="181" t="s">
        <v>164</v>
      </c>
      <c r="AH3" s="181" t="s">
        <v>165</v>
      </c>
      <c r="AI3" s="181" t="s">
        <v>123</v>
      </c>
      <c r="AJ3" s="181" t="s">
        <v>115</v>
      </c>
      <c r="AK3" s="181" t="s">
        <v>166</v>
      </c>
      <c r="AL3" s="181" t="s">
        <v>167</v>
      </c>
      <c r="AM3" s="181" t="s">
        <v>168</v>
      </c>
      <c r="AN3" s="181" t="s">
        <v>169</v>
      </c>
      <c r="AO3" s="181" t="s">
        <v>170</v>
      </c>
      <c r="AP3" s="181" t="s">
        <v>171</v>
      </c>
      <c r="AQ3" s="181" t="s">
        <v>172</v>
      </c>
      <c r="AR3" s="181" t="s">
        <v>122</v>
      </c>
      <c r="AS3" s="181" t="s">
        <v>136</v>
      </c>
      <c r="AT3" s="181" t="s">
        <v>135</v>
      </c>
      <c r="AU3" s="181" t="s">
        <v>173</v>
      </c>
      <c r="AV3" s="181" t="s">
        <v>174</v>
      </c>
      <c r="AW3" s="181" t="s">
        <v>175</v>
      </c>
      <c r="AX3" s="181" t="s">
        <v>117</v>
      </c>
      <c r="AY3" s="181" t="s">
        <v>119</v>
      </c>
      <c r="AZ3" s="181" t="s">
        <v>178</v>
      </c>
      <c r="BA3" s="181" t="s">
        <v>176</v>
      </c>
      <c r="BB3" s="181" t="s">
        <v>177</v>
      </c>
      <c r="BC3" s="181" t="s">
        <v>124</v>
      </c>
      <c r="BD3" s="181" t="s">
        <v>229</v>
      </c>
      <c r="BE3" s="181" t="s">
        <v>203</v>
      </c>
      <c r="BF3" s="181" t="s">
        <v>231</v>
      </c>
      <c r="BG3" s="181" t="s">
        <v>230</v>
      </c>
      <c r="BH3" s="181" t="s">
        <v>197</v>
      </c>
      <c r="BI3" s="181" t="s">
        <v>240</v>
      </c>
      <c r="BJ3" s="181" t="s">
        <v>126</v>
      </c>
      <c r="BK3" s="181" t="s">
        <v>228</v>
      </c>
      <c r="BL3" s="181" t="s">
        <v>201</v>
      </c>
      <c r="BM3" s="181" t="s">
        <v>202</v>
      </c>
      <c r="BN3" s="181" t="s">
        <v>127</v>
      </c>
      <c r="BO3" s="181" t="s">
        <v>233</v>
      </c>
      <c r="BP3" s="181" t="s">
        <v>237</v>
      </c>
    </row>
    <row r="4" spans="1:131" ht="11" x14ac:dyDescent="0.15">
      <c r="A4" s="331"/>
      <c r="B4" s="129">
        <f>COUNTA(3:3)-COUNTA(A3:E3)</f>
        <v>63</v>
      </c>
      <c r="C4" s="141"/>
      <c r="E4" s="337" t="s">
        <v>241</v>
      </c>
      <c r="F4" s="333"/>
      <c r="G4" s="333">
        <v>0</v>
      </c>
      <c r="H4" s="333"/>
      <c r="I4" s="333"/>
      <c r="J4" s="333">
        <v>0</v>
      </c>
      <c r="K4" s="333"/>
      <c r="L4" s="333">
        <v>0</v>
      </c>
      <c r="O4" s="334">
        <v>0</v>
      </c>
      <c r="R4" s="334">
        <v>0</v>
      </c>
      <c r="U4" s="334">
        <v>0</v>
      </c>
      <c r="W4" s="334">
        <v>0</v>
      </c>
      <c r="AA4" s="334">
        <v>0</v>
      </c>
      <c r="AC4" s="334">
        <v>0</v>
      </c>
      <c r="AD4" s="334">
        <v>0</v>
      </c>
      <c r="AE4" s="334">
        <v>0</v>
      </c>
      <c r="AG4" s="334">
        <v>0</v>
      </c>
      <c r="AI4" s="334">
        <v>0</v>
      </c>
      <c r="AK4" s="334">
        <v>0</v>
      </c>
      <c r="AL4" s="334">
        <v>0</v>
      </c>
      <c r="AN4" s="334">
        <v>0</v>
      </c>
      <c r="AR4" s="334">
        <v>0</v>
      </c>
      <c r="AT4" s="334">
        <v>1</v>
      </c>
      <c r="AV4" s="334">
        <v>0</v>
      </c>
      <c r="AY4" s="334">
        <v>0</v>
      </c>
      <c r="AZ4" s="334">
        <v>0</v>
      </c>
      <c r="BA4" s="334">
        <v>0</v>
      </c>
      <c r="BC4" s="334">
        <v>0</v>
      </c>
      <c r="BD4" s="334">
        <v>0</v>
      </c>
      <c r="BE4" s="334">
        <v>0</v>
      </c>
      <c r="BF4" s="334">
        <v>1</v>
      </c>
      <c r="BG4" s="334">
        <v>0</v>
      </c>
      <c r="BH4" s="334">
        <v>0</v>
      </c>
      <c r="BJ4" s="334">
        <v>0</v>
      </c>
      <c r="BK4" s="334">
        <v>0</v>
      </c>
      <c r="BL4" s="334">
        <v>0</v>
      </c>
      <c r="BM4" s="334">
        <v>0</v>
      </c>
      <c r="BN4" s="334">
        <v>0</v>
      </c>
      <c r="BO4" s="334">
        <v>0</v>
      </c>
      <c r="BP4" s="334">
        <v>0</v>
      </c>
    </row>
    <row r="5" spans="1:131" ht="11" x14ac:dyDescent="0.15">
      <c r="A5" s="141"/>
      <c r="B5" s="141"/>
      <c r="C5" s="141"/>
      <c r="E5" s="338" t="s">
        <v>242</v>
      </c>
      <c r="G5" s="334">
        <v>0</v>
      </c>
      <c r="J5" s="334">
        <v>0</v>
      </c>
      <c r="L5" s="334">
        <v>0</v>
      </c>
      <c r="O5" s="334">
        <v>0</v>
      </c>
      <c r="R5" s="334">
        <v>0</v>
      </c>
      <c r="U5" s="334">
        <v>0</v>
      </c>
      <c r="W5" s="334">
        <v>0</v>
      </c>
      <c r="AA5" s="334">
        <v>0</v>
      </c>
      <c r="AC5" s="334">
        <v>0</v>
      </c>
      <c r="AD5" s="334">
        <v>0</v>
      </c>
      <c r="AE5" s="334">
        <v>0</v>
      </c>
      <c r="AG5" s="334">
        <v>0</v>
      </c>
      <c r="AI5" s="334">
        <v>0</v>
      </c>
      <c r="AK5" s="334">
        <v>0</v>
      </c>
      <c r="AL5" s="334">
        <v>0</v>
      </c>
      <c r="AN5" s="334">
        <v>0</v>
      </c>
      <c r="AR5" s="334">
        <v>0</v>
      </c>
      <c r="AT5" s="334">
        <v>0</v>
      </c>
      <c r="AV5" s="334">
        <v>0</v>
      </c>
      <c r="AY5" s="334">
        <v>0.6</v>
      </c>
      <c r="AZ5" s="334">
        <v>0</v>
      </c>
      <c r="BA5" s="334">
        <v>0.2</v>
      </c>
      <c r="BC5" s="334">
        <v>0</v>
      </c>
      <c r="BD5" s="334">
        <v>0</v>
      </c>
      <c r="BE5" s="334">
        <v>0</v>
      </c>
      <c r="BF5" s="334">
        <v>0</v>
      </c>
      <c r="BG5" s="334">
        <v>0</v>
      </c>
      <c r="BH5" s="334">
        <v>0</v>
      </c>
      <c r="BJ5" s="334">
        <v>0.3</v>
      </c>
      <c r="BK5" s="334">
        <v>0</v>
      </c>
      <c r="BL5" s="334">
        <v>0</v>
      </c>
      <c r="BM5" s="334">
        <v>0</v>
      </c>
      <c r="BN5" s="334">
        <v>0</v>
      </c>
      <c r="BO5" s="334">
        <v>0</v>
      </c>
      <c r="BP5" s="334">
        <v>0</v>
      </c>
    </row>
    <row r="6" spans="1:131" ht="11" x14ac:dyDescent="0.15">
      <c r="A6" s="141"/>
      <c r="B6" s="130" t="str">
        <f>Setup!B6</f>
        <v>All</v>
      </c>
      <c r="C6" s="141"/>
      <c r="E6" s="338" t="s">
        <v>243</v>
      </c>
    </row>
    <row r="7" spans="1:131" ht="11" x14ac:dyDescent="0.15">
      <c r="A7" s="141"/>
      <c r="B7" s="142" t="s">
        <v>20</v>
      </c>
      <c r="C7" s="141"/>
      <c r="D7" s="335" t="s">
        <v>244</v>
      </c>
      <c r="E7" s="339" t="s">
        <v>245</v>
      </c>
      <c r="F7" s="336"/>
      <c r="G7" s="336"/>
      <c r="H7" s="336"/>
      <c r="I7" s="336"/>
      <c r="J7" s="336"/>
      <c r="K7" s="336"/>
      <c r="L7" s="336"/>
    </row>
    <row r="8" spans="1:131" x14ac:dyDescent="0.2">
      <c r="A8"/>
      <c r="B8" s="143" cm="1">
        <f t="array" aca="1" ref="B8:B116" ca="1">IFERROR(SEARCH($B$6,OFFSET($D$7,1,0,$B$2,1)),0)</f>
        <v>1</v>
      </c>
      <c r="D8" s="341" t="s">
        <v>5</v>
      </c>
      <c r="E8" s="342">
        <v>43472</v>
      </c>
      <c r="F8" s="343">
        <v>6096762.5070000002</v>
      </c>
      <c r="G8" s="343">
        <v>2900.876792</v>
      </c>
      <c r="H8" s="343">
        <v>8535.2130199999992</v>
      </c>
      <c r="I8" s="343">
        <v>0</v>
      </c>
      <c r="J8" s="343">
        <v>0</v>
      </c>
      <c r="K8" s="343">
        <v>6445.1076080000003</v>
      </c>
      <c r="L8" s="343">
        <v>225599.02420000001</v>
      </c>
      <c r="M8" s="334">
        <v>5970.8340040000003</v>
      </c>
      <c r="N8" s="334">
        <v>192.4504287</v>
      </c>
      <c r="O8" s="334">
        <v>72160.543369999999</v>
      </c>
      <c r="P8" s="334">
        <v>385.8137691</v>
      </c>
      <c r="Q8" s="334">
        <v>8048.5675869999995</v>
      </c>
      <c r="R8" s="334">
        <v>301929.62050000002</v>
      </c>
      <c r="S8" s="373">
        <v>19863.905320000002</v>
      </c>
      <c r="T8" s="334">
        <v>417.4897173</v>
      </c>
      <c r="U8" s="334">
        <v>123341.3477</v>
      </c>
      <c r="V8" s="373">
        <v>1587.0688270000001</v>
      </c>
      <c r="W8" s="334">
        <v>21235</v>
      </c>
      <c r="X8" s="373">
        <v>0</v>
      </c>
      <c r="Y8" s="334">
        <v>0.657774623</v>
      </c>
      <c r="Z8" s="373">
        <v>0</v>
      </c>
      <c r="AA8" s="334">
        <v>244615570.5</v>
      </c>
      <c r="AB8" s="334">
        <v>0</v>
      </c>
      <c r="AC8" s="334">
        <v>0</v>
      </c>
      <c r="AD8" s="334">
        <v>0</v>
      </c>
      <c r="AE8" s="334">
        <v>0</v>
      </c>
      <c r="AF8" s="334">
        <v>0</v>
      </c>
      <c r="AG8" s="334">
        <v>0</v>
      </c>
      <c r="AH8" s="334">
        <v>0</v>
      </c>
      <c r="AI8" s="334">
        <v>291.8425987</v>
      </c>
      <c r="AJ8" s="334">
        <v>68696.88</v>
      </c>
      <c r="AK8" s="334">
        <v>285111</v>
      </c>
      <c r="AL8" s="334">
        <v>0</v>
      </c>
      <c r="AM8" s="334">
        <v>0</v>
      </c>
      <c r="AN8" s="334">
        <v>0</v>
      </c>
      <c r="AO8" s="334">
        <v>0</v>
      </c>
      <c r="AP8" s="334">
        <v>0</v>
      </c>
      <c r="AQ8" s="334">
        <v>0</v>
      </c>
      <c r="AR8" s="334">
        <v>0</v>
      </c>
      <c r="AS8" s="334">
        <v>0</v>
      </c>
      <c r="AT8" s="334">
        <v>0</v>
      </c>
      <c r="AU8" s="334">
        <v>0</v>
      </c>
      <c r="AV8" s="334">
        <v>0</v>
      </c>
      <c r="AW8" s="334">
        <v>6008.761614</v>
      </c>
      <c r="AX8" s="334">
        <v>0</v>
      </c>
      <c r="AY8" s="334">
        <v>0</v>
      </c>
      <c r="AZ8" s="334">
        <v>532627.15300000005</v>
      </c>
      <c r="BA8" s="334">
        <v>0</v>
      </c>
      <c r="BB8" s="334">
        <v>0</v>
      </c>
      <c r="BC8" s="334">
        <v>0</v>
      </c>
      <c r="BD8" s="334">
        <v>0</v>
      </c>
      <c r="BE8" s="334">
        <v>0</v>
      </c>
      <c r="BF8" s="334">
        <v>0</v>
      </c>
      <c r="BG8" s="334">
        <v>68696.88</v>
      </c>
      <c r="BH8" s="334">
        <v>0.657774623</v>
      </c>
      <c r="BI8" s="334">
        <v>0</v>
      </c>
      <c r="BJ8" s="334">
        <v>0</v>
      </c>
      <c r="BK8" s="334">
        <v>0</v>
      </c>
      <c r="BL8" s="334">
        <v>0</v>
      </c>
      <c r="BM8" s="334">
        <v>0</v>
      </c>
      <c r="BN8" s="334">
        <v>0</v>
      </c>
      <c r="BO8" s="334">
        <v>0</v>
      </c>
      <c r="BP8" s="334">
        <v>0</v>
      </c>
      <c r="DG8" s="373"/>
      <c r="DH8" s="373"/>
      <c r="DI8" s="373"/>
      <c r="DM8" s="373"/>
      <c r="DN8" s="373"/>
      <c r="DO8" s="373"/>
      <c r="DS8" s="373"/>
      <c r="DY8" s="373"/>
      <c r="EA8" s="373"/>
    </row>
    <row r="9" spans="1:131" s="343" customFormat="1" x14ac:dyDescent="0.2">
      <c r="A9"/>
      <c r="B9" s="144">
        <f ca="1"/>
        <v>1</v>
      </c>
      <c r="C9"/>
      <c r="D9" s="341" t="s">
        <v>5</v>
      </c>
      <c r="E9" s="342">
        <v>43479</v>
      </c>
      <c r="F9" s="343">
        <v>6089210.2319999998</v>
      </c>
      <c r="G9" s="343">
        <v>2256.8670350000002</v>
      </c>
      <c r="H9" s="343">
        <v>7213.1736760000003</v>
      </c>
      <c r="I9" s="343">
        <v>0</v>
      </c>
      <c r="J9" s="343">
        <v>0</v>
      </c>
      <c r="K9" s="343">
        <v>5744.4471219999996</v>
      </c>
      <c r="L9" s="343">
        <v>207751.3388</v>
      </c>
      <c r="M9" s="343">
        <v>5045.9973950000003</v>
      </c>
      <c r="N9" s="343">
        <v>77.508639489999993</v>
      </c>
      <c r="O9" s="343">
        <v>34493.546520000004</v>
      </c>
      <c r="P9" s="343">
        <v>193.17630370000001</v>
      </c>
      <c r="Q9" s="343">
        <v>7100.4079229999998</v>
      </c>
      <c r="R9" s="343">
        <v>270855.26189999998</v>
      </c>
      <c r="S9" s="343">
        <v>17575.176490000002</v>
      </c>
      <c r="T9" s="343">
        <v>503.80615669999997</v>
      </c>
      <c r="U9" s="343">
        <v>150301.58290000001</v>
      </c>
      <c r="V9" s="343">
        <v>1892.7400359999999</v>
      </c>
      <c r="W9" s="343">
        <v>0</v>
      </c>
      <c r="X9" s="343">
        <v>3.8621945999999997E-2</v>
      </c>
      <c r="Y9" s="343">
        <v>0.46331830600000001</v>
      </c>
      <c r="Z9" s="343">
        <v>0</v>
      </c>
      <c r="AA9" s="343">
        <v>252592629.59999999</v>
      </c>
      <c r="AB9" s="343">
        <v>0</v>
      </c>
      <c r="AC9" s="343">
        <v>0</v>
      </c>
      <c r="AD9" s="343">
        <v>0</v>
      </c>
      <c r="AE9" s="343">
        <v>0</v>
      </c>
      <c r="AF9" s="343">
        <v>0</v>
      </c>
      <c r="AG9" s="343">
        <v>0</v>
      </c>
      <c r="AH9" s="343">
        <v>0</v>
      </c>
      <c r="AI9" s="343">
        <v>291.84229160000001</v>
      </c>
      <c r="AJ9" s="343">
        <v>128080.3829</v>
      </c>
      <c r="AK9" s="343">
        <v>489603</v>
      </c>
      <c r="AL9" s="343">
        <v>0</v>
      </c>
      <c r="AM9" s="343">
        <v>0</v>
      </c>
      <c r="AN9" s="343">
        <v>0</v>
      </c>
      <c r="AO9" s="343">
        <v>0</v>
      </c>
      <c r="AP9" s="343">
        <v>0</v>
      </c>
      <c r="AQ9" s="343">
        <v>0</v>
      </c>
      <c r="AR9" s="343">
        <v>0</v>
      </c>
      <c r="AS9" s="343">
        <v>0</v>
      </c>
      <c r="AT9" s="343">
        <v>0</v>
      </c>
      <c r="AU9" s="343">
        <v>0</v>
      </c>
      <c r="AV9" s="343">
        <v>0</v>
      </c>
      <c r="AW9" s="343">
        <v>4042.4815880000001</v>
      </c>
      <c r="AX9" s="343">
        <v>0</v>
      </c>
      <c r="AY9" s="343">
        <v>0</v>
      </c>
      <c r="AZ9" s="343">
        <v>363528.09139999998</v>
      </c>
      <c r="BA9" s="343">
        <v>0</v>
      </c>
      <c r="BB9" s="343">
        <v>0</v>
      </c>
      <c r="BC9" s="343">
        <v>0</v>
      </c>
      <c r="BD9" s="343">
        <v>0</v>
      </c>
      <c r="BE9" s="343">
        <v>0</v>
      </c>
      <c r="BF9" s="343">
        <v>0</v>
      </c>
      <c r="BG9" s="343">
        <v>128080.3829</v>
      </c>
      <c r="BH9" s="343">
        <v>0.50194025200000003</v>
      </c>
      <c r="BI9" s="343">
        <v>0</v>
      </c>
      <c r="BJ9" s="343">
        <v>0</v>
      </c>
      <c r="BK9" s="343">
        <v>0</v>
      </c>
      <c r="BL9" s="343">
        <v>0</v>
      </c>
      <c r="BM9" s="343">
        <v>0</v>
      </c>
      <c r="BN9" s="343">
        <v>0</v>
      </c>
      <c r="BO9" s="343">
        <v>0</v>
      </c>
      <c r="BP9" s="343">
        <v>0</v>
      </c>
    </row>
    <row r="10" spans="1:131" s="343" customFormat="1" x14ac:dyDescent="0.2">
      <c r="A10"/>
      <c r="B10" s="144">
        <f ca="1"/>
        <v>1</v>
      </c>
      <c r="C10"/>
      <c r="D10" s="341" t="s">
        <v>5</v>
      </c>
      <c r="E10" s="342">
        <v>43486</v>
      </c>
      <c r="F10" s="343">
        <v>6508506.8210000005</v>
      </c>
      <c r="G10" s="343">
        <v>834.12798369999996</v>
      </c>
      <c r="H10" s="343">
        <v>7174.7345400000004</v>
      </c>
      <c r="I10" s="343">
        <v>0</v>
      </c>
      <c r="J10" s="343">
        <v>0</v>
      </c>
      <c r="K10" s="343">
        <v>5925.4474110000001</v>
      </c>
      <c r="L10" s="343">
        <v>211989.21170000001</v>
      </c>
      <c r="M10" s="343">
        <v>5019.1071810000003</v>
      </c>
      <c r="N10" s="343">
        <v>188.92730879999999</v>
      </c>
      <c r="O10" s="343">
        <v>84085.864100000006</v>
      </c>
      <c r="P10" s="343">
        <v>459.4632421</v>
      </c>
      <c r="Q10" s="343">
        <v>4985.6551570000001</v>
      </c>
      <c r="R10" s="343">
        <v>198156.12150000001</v>
      </c>
      <c r="S10" s="343">
        <v>12181.654130000001</v>
      </c>
      <c r="T10" s="343">
        <v>413.08581729999997</v>
      </c>
      <c r="U10" s="343">
        <v>135798.21909999999</v>
      </c>
      <c r="V10" s="343">
        <v>1711.43568</v>
      </c>
      <c r="W10" s="343">
        <v>0</v>
      </c>
      <c r="X10" s="343">
        <v>0.22152892299999999</v>
      </c>
      <c r="Y10" s="343">
        <v>0.37955382300000001</v>
      </c>
      <c r="Z10" s="343">
        <v>0</v>
      </c>
      <c r="AA10" s="343">
        <v>255581660.5</v>
      </c>
      <c r="AB10" s="343">
        <v>0</v>
      </c>
      <c r="AC10" s="343">
        <v>0</v>
      </c>
      <c r="AD10" s="343">
        <v>0</v>
      </c>
      <c r="AE10" s="343">
        <v>0</v>
      </c>
      <c r="AF10" s="343">
        <v>0</v>
      </c>
      <c r="AG10" s="343">
        <v>0</v>
      </c>
      <c r="AH10" s="343">
        <v>0</v>
      </c>
      <c r="AI10" s="343">
        <v>291.84167589999998</v>
      </c>
      <c r="AJ10" s="343">
        <v>138871.57829999999</v>
      </c>
      <c r="AK10" s="343">
        <v>302329</v>
      </c>
      <c r="AL10" s="343">
        <v>0</v>
      </c>
      <c r="AM10" s="343">
        <v>0</v>
      </c>
      <c r="AN10" s="343">
        <v>0</v>
      </c>
      <c r="AO10" s="343">
        <v>0</v>
      </c>
      <c r="AP10" s="343">
        <v>0</v>
      </c>
      <c r="AQ10" s="343">
        <v>0</v>
      </c>
      <c r="AR10" s="343">
        <v>0</v>
      </c>
      <c r="AS10" s="343">
        <v>0</v>
      </c>
      <c r="AT10" s="343">
        <v>0</v>
      </c>
      <c r="AU10" s="343">
        <v>0</v>
      </c>
      <c r="AV10" s="343">
        <v>0</v>
      </c>
      <c r="AW10" s="343">
        <v>3810.1153770000001</v>
      </c>
      <c r="AX10" s="343">
        <v>0</v>
      </c>
      <c r="AY10" s="343">
        <v>0</v>
      </c>
      <c r="AZ10" s="343">
        <v>355039.52179999999</v>
      </c>
      <c r="BA10" s="343">
        <v>0</v>
      </c>
      <c r="BB10" s="343">
        <v>0</v>
      </c>
      <c r="BC10" s="343">
        <v>0</v>
      </c>
      <c r="BD10" s="343">
        <v>0</v>
      </c>
      <c r="BE10" s="343">
        <v>0</v>
      </c>
      <c r="BF10" s="343">
        <v>0</v>
      </c>
      <c r="BG10" s="343">
        <v>138871.57829999999</v>
      </c>
      <c r="BH10" s="343">
        <v>0.601082746</v>
      </c>
      <c r="BI10" s="343">
        <v>0</v>
      </c>
      <c r="BJ10" s="343">
        <v>0</v>
      </c>
      <c r="BK10" s="343">
        <v>0</v>
      </c>
      <c r="BL10" s="343">
        <v>0</v>
      </c>
      <c r="BM10" s="343">
        <v>0</v>
      </c>
      <c r="BN10" s="343">
        <v>0</v>
      </c>
      <c r="BO10" s="343">
        <v>0</v>
      </c>
      <c r="BP10" s="343">
        <v>0</v>
      </c>
    </row>
    <row r="11" spans="1:131" s="343" customFormat="1" x14ac:dyDescent="0.2">
      <c r="A11"/>
      <c r="B11" s="144">
        <f ca="1"/>
        <v>1</v>
      </c>
      <c r="C11"/>
      <c r="D11" s="341" t="s">
        <v>5</v>
      </c>
      <c r="E11" s="342">
        <v>43493</v>
      </c>
      <c r="F11" s="343">
        <v>7022937.0590000004</v>
      </c>
      <c r="G11" s="343">
        <v>1875.3715199999999</v>
      </c>
      <c r="H11" s="343">
        <v>7815.470738</v>
      </c>
      <c r="I11" s="343">
        <v>0</v>
      </c>
      <c r="J11" s="343">
        <v>0</v>
      </c>
      <c r="K11" s="343">
        <v>6411.1975780000002</v>
      </c>
      <c r="L11" s="343">
        <v>261913.14300000001</v>
      </c>
      <c r="M11" s="343">
        <v>5467.3361199999999</v>
      </c>
      <c r="N11" s="343">
        <v>221.07577850000001</v>
      </c>
      <c r="O11" s="343">
        <v>103102.3446</v>
      </c>
      <c r="P11" s="343">
        <v>552.38056919999997</v>
      </c>
      <c r="Q11" s="343">
        <v>5072.4119870000004</v>
      </c>
      <c r="R11" s="343">
        <v>193075.7825</v>
      </c>
      <c r="S11" s="343">
        <v>12393.20868</v>
      </c>
      <c r="T11" s="343">
        <v>726.20310519999998</v>
      </c>
      <c r="U11" s="343">
        <v>313427.32250000001</v>
      </c>
      <c r="V11" s="343">
        <v>3413.5202650000001</v>
      </c>
      <c r="W11" s="343">
        <v>0</v>
      </c>
      <c r="X11" s="343">
        <v>2.3616163999999999E-2</v>
      </c>
      <c r="Y11" s="343">
        <v>0</v>
      </c>
      <c r="Z11" s="343">
        <v>0</v>
      </c>
      <c r="AA11" s="343">
        <v>247669570.30000001</v>
      </c>
      <c r="AB11" s="343">
        <v>0</v>
      </c>
      <c r="AC11" s="343">
        <v>0</v>
      </c>
      <c r="AD11" s="343">
        <v>0</v>
      </c>
      <c r="AE11" s="343">
        <v>0</v>
      </c>
      <c r="AF11" s="343">
        <v>0</v>
      </c>
      <c r="AG11" s="343">
        <v>0</v>
      </c>
      <c r="AH11" s="343">
        <v>0</v>
      </c>
      <c r="AI11" s="343">
        <v>13837.331270000001</v>
      </c>
      <c r="AJ11" s="343">
        <v>0</v>
      </c>
      <c r="AK11" s="343">
        <v>371304</v>
      </c>
      <c r="AL11" s="343">
        <v>0</v>
      </c>
      <c r="AM11" s="343">
        <v>0</v>
      </c>
      <c r="AN11" s="343">
        <v>0</v>
      </c>
      <c r="AO11" s="343">
        <v>0</v>
      </c>
      <c r="AP11" s="343">
        <v>0</v>
      </c>
      <c r="AQ11" s="343">
        <v>0</v>
      </c>
      <c r="AR11" s="343">
        <v>0</v>
      </c>
      <c r="AS11" s="343">
        <v>0</v>
      </c>
      <c r="AT11" s="343">
        <v>0</v>
      </c>
      <c r="AU11" s="343">
        <v>0</v>
      </c>
      <c r="AV11" s="343">
        <v>0</v>
      </c>
      <c r="AW11" s="343">
        <v>7283.561874</v>
      </c>
      <c r="AX11" s="343">
        <v>0</v>
      </c>
      <c r="AY11" s="343">
        <v>0</v>
      </c>
      <c r="AZ11" s="343">
        <v>596112.98659999995</v>
      </c>
      <c r="BA11" s="343">
        <v>0</v>
      </c>
      <c r="BB11" s="343">
        <v>0</v>
      </c>
      <c r="BC11" s="343">
        <v>0</v>
      </c>
      <c r="BD11" s="343">
        <v>0</v>
      </c>
      <c r="BE11" s="343">
        <v>0</v>
      </c>
      <c r="BF11" s="343">
        <v>0</v>
      </c>
      <c r="BG11" s="343">
        <v>0</v>
      </c>
      <c r="BH11" s="343">
        <v>2.3616163999999999E-2</v>
      </c>
      <c r="BI11" s="343">
        <v>0</v>
      </c>
      <c r="BJ11" s="343">
        <v>0</v>
      </c>
      <c r="BK11" s="343">
        <v>0</v>
      </c>
      <c r="BL11" s="343">
        <v>0</v>
      </c>
      <c r="BM11" s="343">
        <v>0</v>
      </c>
      <c r="BN11" s="343">
        <v>0</v>
      </c>
      <c r="BO11" s="343">
        <v>0</v>
      </c>
      <c r="BP11" s="343">
        <v>0</v>
      </c>
    </row>
    <row r="12" spans="1:131" s="343" customFormat="1" x14ac:dyDescent="0.2">
      <c r="A12"/>
      <c r="B12" s="144">
        <f ca="1"/>
        <v>1</v>
      </c>
      <c r="C12"/>
      <c r="D12" s="341" t="s">
        <v>5</v>
      </c>
      <c r="E12" s="342">
        <v>43500</v>
      </c>
      <c r="F12" s="343">
        <v>19633182.66</v>
      </c>
      <c r="G12" s="343">
        <v>2128.442802</v>
      </c>
      <c r="H12" s="343">
        <v>9028.5068659999997</v>
      </c>
      <c r="I12" s="343">
        <v>0</v>
      </c>
      <c r="J12" s="343">
        <v>0</v>
      </c>
      <c r="K12" s="343">
        <v>7195.5321629999999</v>
      </c>
      <c r="L12" s="343">
        <v>283329.30849999998</v>
      </c>
      <c r="M12" s="343">
        <v>6315.919202</v>
      </c>
      <c r="N12" s="343">
        <v>1185.5298720000001</v>
      </c>
      <c r="O12" s="343">
        <v>1881717.3160000001</v>
      </c>
      <c r="P12" s="343">
        <v>6625.4674370000002</v>
      </c>
      <c r="Q12" s="343">
        <v>6423.0881079999999</v>
      </c>
      <c r="R12" s="343">
        <v>227563.1636</v>
      </c>
      <c r="S12" s="343">
        <v>15256.219279999999</v>
      </c>
      <c r="T12" s="343">
        <v>1536.96109</v>
      </c>
      <c r="U12" s="343">
        <v>1156974.1040000001</v>
      </c>
      <c r="V12" s="343">
        <v>10973.407429999999</v>
      </c>
      <c r="W12" s="343">
        <v>0</v>
      </c>
      <c r="X12" s="343">
        <v>3.2639320999999999E-2</v>
      </c>
      <c r="Y12" s="343">
        <v>1.32715E-3</v>
      </c>
      <c r="Z12" s="343">
        <v>0</v>
      </c>
      <c r="AA12" s="343">
        <v>302047590.60000002</v>
      </c>
      <c r="AB12" s="343">
        <v>0</v>
      </c>
      <c r="AC12" s="343">
        <v>0</v>
      </c>
      <c r="AD12" s="343">
        <v>0</v>
      </c>
      <c r="AE12" s="343">
        <v>0</v>
      </c>
      <c r="AF12" s="343">
        <v>0</v>
      </c>
      <c r="AG12" s="343">
        <v>0</v>
      </c>
      <c r="AH12" s="343">
        <v>0</v>
      </c>
      <c r="AI12" s="343">
        <v>31897.984359999999</v>
      </c>
      <c r="AJ12" s="343">
        <v>102556.3703</v>
      </c>
      <c r="AK12" s="343">
        <v>468574</v>
      </c>
      <c r="AL12" s="343">
        <v>0</v>
      </c>
      <c r="AM12" s="343">
        <v>0</v>
      </c>
      <c r="AN12" s="343">
        <v>0</v>
      </c>
      <c r="AO12" s="343">
        <v>0</v>
      </c>
      <c r="AP12" s="343">
        <v>0</v>
      </c>
      <c r="AQ12" s="343">
        <v>0</v>
      </c>
      <c r="AR12" s="343">
        <v>191864.9895</v>
      </c>
      <c r="AS12" s="343">
        <v>0</v>
      </c>
      <c r="AT12" s="343">
        <v>0</v>
      </c>
      <c r="AU12" s="343">
        <v>0</v>
      </c>
      <c r="AV12" s="343">
        <v>0</v>
      </c>
      <c r="AW12" s="343">
        <v>25594.410919999998</v>
      </c>
      <c r="AX12" s="343">
        <v>0</v>
      </c>
      <c r="AY12" s="343">
        <v>0</v>
      </c>
      <c r="AZ12" s="343">
        <v>2251435.0410000002</v>
      </c>
      <c r="BA12" s="343">
        <v>0</v>
      </c>
      <c r="BB12" s="343">
        <v>0</v>
      </c>
      <c r="BC12" s="343">
        <v>0</v>
      </c>
      <c r="BD12" s="343">
        <v>0</v>
      </c>
      <c r="BE12" s="343">
        <v>0</v>
      </c>
      <c r="BF12" s="343">
        <v>0</v>
      </c>
      <c r="BG12" s="343">
        <v>102556.3703</v>
      </c>
      <c r="BH12" s="343">
        <v>3.3966470999999998E-2</v>
      </c>
      <c r="BI12" s="343">
        <v>0</v>
      </c>
      <c r="BJ12" s="343">
        <v>1</v>
      </c>
      <c r="BK12" s="343">
        <v>0</v>
      </c>
      <c r="BL12" s="343">
        <v>0</v>
      </c>
      <c r="BM12" s="343">
        <v>0</v>
      </c>
      <c r="BN12" s="343">
        <v>0</v>
      </c>
      <c r="BO12" s="343">
        <v>0</v>
      </c>
      <c r="BP12" s="343">
        <v>0</v>
      </c>
    </row>
    <row r="13" spans="1:131" s="343" customFormat="1" x14ac:dyDescent="0.2">
      <c r="A13"/>
      <c r="B13" s="144">
        <f ca="1"/>
        <v>1</v>
      </c>
      <c r="C13"/>
      <c r="D13" s="341" t="s">
        <v>5</v>
      </c>
      <c r="E13" s="342">
        <v>43507</v>
      </c>
      <c r="F13" s="343">
        <v>12143474.27</v>
      </c>
      <c r="G13" s="343">
        <v>2207.1341219999999</v>
      </c>
      <c r="H13" s="343">
        <v>9331.1159079999998</v>
      </c>
      <c r="I13" s="343">
        <v>0</v>
      </c>
      <c r="J13" s="343">
        <v>0</v>
      </c>
      <c r="K13" s="343">
        <v>6759.9864559999996</v>
      </c>
      <c r="L13" s="343">
        <v>293126.22440000001</v>
      </c>
      <c r="M13" s="343">
        <v>6527.6102700000001</v>
      </c>
      <c r="N13" s="343">
        <v>2989.8076900000001</v>
      </c>
      <c r="O13" s="343">
        <v>5153010.8430000003</v>
      </c>
      <c r="P13" s="343">
        <v>17620.743930000001</v>
      </c>
      <c r="Q13" s="343">
        <v>6428.8131780000003</v>
      </c>
      <c r="R13" s="343">
        <v>230271.56210000001</v>
      </c>
      <c r="S13" s="343">
        <v>15424.668460000001</v>
      </c>
      <c r="T13" s="343">
        <v>1894.1173779999999</v>
      </c>
      <c r="U13" s="343">
        <v>1818067.31</v>
      </c>
      <c r="V13" s="343">
        <v>17235.529119999999</v>
      </c>
      <c r="W13" s="343">
        <v>0</v>
      </c>
      <c r="X13" s="343">
        <v>0</v>
      </c>
      <c r="Y13" s="343">
        <v>4.1399347000000003E-2</v>
      </c>
      <c r="Z13" s="343">
        <v>7.0642000000000003E-4</v>
      </c>
      <c r="AA13" s="343">
        <v>344583075.89999998</v>
      </c>
      <c r="AB13" s="343">
        <v>0</v>
      </c>
      <c r="AC13" s="343">
        <v>0</v>
      </c>
      <c r="AD13" s="343">
        <v>0</v>
      </c>
      <c r="AE13" s="343">
        <v>0</v>
      </c>
      <c r="AF13" s="343">
        <v>0</v>
      </c>
      <c r="AG13" s="343">
        <v>0</v>
      </c>
      <c r="AH13" s="343">
        <v>0</v>
      </c>
      <c r="AI13" s="343">
        <v>30455.078300000001</v>
      </c>
      <c r="AJ13" s="343">
        <v>0</v>
      </c>
      <c r="AK13" s="343">
        <v>208336</v>
      </c>
      <c r="AL13" s="343">
        <v>0</v>
      </c>
      <c r="AM13" s="343">
        <v>0</v>
      </c>
      <c r="AN13" s="343">
        <v>0</v>
      </c>
      <c r="AO13" s="343">
        <v>0</v>
      </c>
      <c r="AP13" s="343">
        <v>0</v>
      </c>
      <c r="AQ13" s="343">
        <v>0</v>
      </c>
      <c r="AR13" s="343">
        <v>191864.9895</v>
      </c>
      <c r="AS13" s="343">
        <v>0</v>
      </c>
      <c r="AT13" s="343">
        <v>0</v>
      </c>
      <c r="AU13" s="343">
        <v>1</v>
      </c>
      <c r="AV13" s="343">
        <v>0</v>
      </c>
      <c r="AW13" s="343">
        <v>28391.390899999999</v>
      </c>
      <c r="AX13" s="343">
        <v>0</v>
      </c>
      <c r="AY13" s="343">
        <v>0</v>
      </c>
      <c r="AZ13" s="343">
        <v>2549329.0279999999</v>
      </c>
      <c r="BA13" s="343">
        <v>0</v>
      </c>
      <c r="BB13" s="343">
        <v>0</v>
      </c>
      <c r="BC13" s="343">
        <v>0</v>
      </c>
      <c r="BD13" s="343">
        <v>0</v>
      </c>
      <c r="BE13" s="343">
        <v>0</v>
      </c>
      <c r="BF13" s="343">
        <v>0</v>
      </c>
      <c r="BG13" s="343">
        <v>0</v>
      </c>
      <c r="BH13" s="343">
        <v>4.2105767000000002E-2</v>
      </c>
      <c r="BI13" s="343">
        <v>0</v>
      </c>
      <c r="BJ13" s="343">
        <v>0.3</v>
      </c>
      <c r="BK13" s="343">
        <v>0</v>
      </c>
      <c r="BL13" s="343">
        <v>0</v>
      </c>
      <c r="BM13" s="343">
        <v>0</v>
      </c>
      <c r="BN13" s="343">
        <v>0</v>
      </c>
      <c r="BO13" s="343">
        <v>0</v>
      </c>
      <c r="BP13" s="343">
        <v>0</v>
      </c>
    </row>
    <row r="14" spans="1:131" s="343" customFormat="1" x14ac:dyDescent="0.2">
      <c r="A14"/>
      <c r="B14" s="144">
        <f ca="1"/>
        <v>1</v>
      </c>
      <c r="C14"/>
      <c r="D14" s="341" t="s">
        <v>5</v>
      </c>
      <c r="E14" s="342">
        <v>43514</v>
      </c>
      <c r="F14" s="343">
        <v>9691781.5439999998</v>
      </c>
      <c r="G14" s="343">
        <v>1704.76874</v>
      </c>
      <c r="H14" s="343">
        <v>7430.1602670000002</v>
      </c>
      <c r="I14" s="343">
        <v>0</v>
      </c>
      <c r="J14" s="343">
        <v>0</v>
      </c>
      <c r="K14" s="343">
        <v>4640.8297899999998</v>
      </c>
      <c r="L14" s="343">
        <v>161760.09020000001</v>
      </c>
      <c r="M14" s="343">
        <v>5197.7910190000002</v>
      </c>
      <c r="N14" s="343">
        <v>1134.885023</v>
      </c>
      <c r="O14" s="343">
        <v>1994596.3189999999</v>
      </c>
      <c r="P14" s="343">
        <v>7583.5941220000004</v>
      </c>
      <c r="Q14" s="343">
        <v>6520.854687</v>
      </c>
      <c r="R14" s="343">
        <v>239695.4676</v>
      </c>
      <c r="S14" s="343">
        <v>15136.64019</v>
      </c>
      <c r="T14" s="343">
        <v>1014.218163</v>
      </c>
      <c r="U14" s="343">
        <v>1171058.2169999999</v>
      </c>
      <c r="V14" s="343">
        <v>10726.01031</v>
      </c>
      <c r="W14" s="343">
        <v>0</v>
      </c>
      <c r="X14" s="343">
        <v>0</v>
      </c>
      <c r="Y14" s="343">
        <v>1.9436999999999999E-2</v>
      </c>
      <c r="Z14" s="343">
        <v>4.2161779000000003E-2</v>
      </c>
      <c r="AA14" s="343">
        <v>295607498.39999998</v>
      </c>
      <c r="AB14" s="343">
        <v>0</v>
      </c>
      <c r="AC14" s="343">
        <v>0</v>
      </c>
      <c r="AD14" s="343">
        <v>0</v>
      </c>
      <c r="AE14" s="343">
        <v>0</v>
      </c>
      <c r="AF14" s="343">
        <v>0</v>
      </c>
      <c r="AG14" s="343">
        <v>0</v>
      </c>
      <c r="AH14" s="343">
        <v>0</v>
      </c>
      <c r="AI14" s="343">
        <v>12580.87052</v>
      </c>
      <c r="AJ14" s="343">
        <v>172271.2084</v>
      </c>
      <c r="AK14" s="343">
        <v>829297</v>
      </c>
      <c r="AL14" s="343">
        <v>0</v>
      </c>
      <c r="AM14" s="343">
        <v>0</v>
      </c>
      <c r="AN14" s="343">
        <v>0</v>
      </c>
      <c r="AO14" s="343">
        <v>0</v>
      </c>
      <c r="AP14" s="343">
        <v>0</v>
      </c>
      <c r="AQ14" s="343">
        <v>0</v>
      </c>
      <c r="AR14" s="343">
        <v>191864.9895</v>
      </c>
      <c r="AS14" s="343">
        <v>0</v>
      </c>
      <c r="AT14" s="343">
        <v>0</v>
      </c>
      <c r="AU14" s="343">
        <v>0</v>
      </c>
      <c r="AV14" s="343">
        <v>0</v>
      </c>
      <c r="AW14" s="343">
        <v>12064.529109999999</v>
      </c>
      <c r="AX14" s="343">
        <v>0</v>
      </c>
      <c r="AY14" s="343">
        <v>0</v>
      </c>
      <c r="AZ14" s="343">
        <v>1120415.9879999999</v>
      </c>
      <c r="BA14" s="343">
        <v>0</v>
      </c>
      <c r="BB14" s="343">
        <v>0</v>
      </c>
      <c r="BC14" s="343">
        <v>0</v>
      </c>
      <c r="BD14" s="343">
        <v>0</v>
      </c>
      <c r="BE14" s="343">
        <v>0</v>
      </c>
      <c r="BF14" s="343">
        <v>0</v>
      </c>
      <c r="BG14" s="343">
        <v>172271.2084</v>
      </c>
      <c r="BH14" s="343">
        <v>6.1598778999999999E-2</v>
      </c>
      <c r="BI14" s="343">
        <v>0</v>
      </c>
      <c r="BJ14" s="343">
        <v>0.09</v>
      </c>
      <c r="BK14" s="343">
        <v>0</v>
      </c>
      <c r="BL14" s="343">
        <v>0</v>
      </c>
      <c r="BM14" s="343">
        <v>0</v>
      </c>
      <c r="BN14" s="343">
        <v>0</v>
      </c>
      <c r="BO14" s="343">
        <v>0</v>
      </c>
      <c r="BP14" s="343">
        <v>0</v>
      </c>
    </row>
    <row r="15" spans="1:131" s="343" customFormat="1" x14ac:dyDescent="0.2">
      <c r="A15"/>
      <c r="B15" s="144">
        <f ca="1"/>
        <v>1</v>
      </c>
      <c r="C15"/>
      <c r="D15" s="341" t="s">
        <v>5</v>
      </c>
      <c r="E15" s="342">
        <v>43521</v>
      </c>
      <c r="F15" s="343">
        <v>7689159.5630000001</v>
      </c>
      <c r="G15" s="343">
        <v>1597.7485449999999</v>
      </c>
      <c r="H15" s="343">
        <v>6198.8047989999995</v>
      </c>
      <c r="I15" s="343">
        <v>0</v>
      </c>
      <c r="J15" s="343">
        <v>0</v>
      </c>
      <c r="K15" s="343">
        <v>3826.989075</v>
      </c>
      <c r="L15" s="343">
        <v>93100.647339999996</v>
      </c>
      <c r="M15" s="343">
        <v>4336.3925879999997</v>
      </c>
      <c r="N15" s="343">
        <v>1394.274731</v>
      </c>
      <c r="O15" s="343">
        <v>2431316.5460000001</v>
      </c>
      <c r="P15" s="343">
        <v>8957.4622729999992</v>
      </c>
      <c r="Q15" s="343">
        <v>5998.9925409999996</v>
      </c>
      <c r="R15" s="343">
        <v>229529.06450000001</v>
      </c>
      <c r="S15" s="343">
        <v>13790.82157</v>
      </c>
      <c r="T15" s="343">
        <v>881.66077419999999</v>
      </c>
      <c r="U15" s="343">
        <v>652310.06759999995</v>
      </c>
      <c r="V15" s="343">
        <v>6222.998877</v>
      </c>
      <c r="W15" s="343">
        <v>0</v>
      </c>
      <c r="X15" s="343">
        <v>0.25167989000000002</v>
      </c>
      <c r="Y15" s="343">
        <v>2.5707E-3</v>
      </c>
      <c r="Z15" s="343">
        <v>5.4890715E-2</v>
      </c>
      <c r="AA15" s="343">
        <v>291426045.5</v>
      </c>
      <c r="AB15" s="343">
        <v>0</v>
      </c>
      <c r="AC15" s="343">
        <v>0</v>
      </c>
      <c r="AD15" s="343">
        <v>0</v>
      </c>
      <c r="AE15" s="343">
        <v>0</v>
      </c>
      <c r="AF15" s="343">
        <v>0</v>
      </c>
      <c r="AG15" s="343">
        <v>0</v>
      </c>
      <c r="AH15" s="343">
        <v>0</v>
      </c>
      <c r="AI15" s="343">
        <v>13242.876029999999</v>
      </c>
      <c r="AJ15" s="343">
        <v>0</v>
      </c>
      <c r="AK15" s="343">
        <v>712828</v>
      </c>
      <c r="AL15" s="343">
        <v>0</v>
      </c>
      <c r="AM15" s="343">
        <v>0</v>
      </c>
      <c r="AN15" s="343">
        <v>0</v>
      </c>
      <c r="AO15" s="343">
        <v>0</v>
      </c>
      <c r="AP15" s="343">
        <v>0</v>
      </c>
      <c r="AQ15" s="343">
        <v>0</v>
      </c>
      <c r="AR15" s="343">
        <v>0</v>
      </c>
      <c r="AS15" s="343">
        <v>0</v>
      </c>
      <c r="AT15" s="343">
        <v>0</v>
      </c>
      <c r="AU15" s="343">
        <v>0</v>
      </c>
      <c r="AV15" s="343">
        <v>0</v>
      </c>
      <c r="AW15" s="343">
        <v>9795.5138179999994</v>
      </c>
      <c r="AX15" s="343">
        <v>0</v>
      </c>
      <c r="AY15" s="343">
        <v>0</v>
      </c>
      <c r="AZ15" s="343">
        <v>901653.69620000001</v>
      </c>
      <c r="BA15" s="343">
        <v>0</v>
      </c>
      <c r="BB15" s="343">
        <v>0</v>
      </c>
      <c r="BC15" s="343">
        <v>0</v>
      </c>
      <c r="BD15" s="343">
        <v>0</v>
      </c>
      <c r="BE15" s="343">
        <v>0</v>
      </c>
      <c r="BF15" s="343">
        <v>0</v>
      </c>
      <c r="BG15" s="343">
        <v>0</v>
      </c>
      <c r="BH15" s="343">
        <v>0.30914130499999998</v>
      </c>
      <c r="BI15" s="343">
        <v>0</v>
      </c>
      <c r="BJ15" s="343">
        <v>2.6999999999999899E-2</v>
      </c>
      <c r="BK15" s="343">
        <v>0</v>
      </c>
      <c r="BL15" s="343">
        <v>0</v>
      </c>
      <c r="BM15" s="343">
        <v>0</v>
      </c>
      <c r="BN15" s="343">
        <v>0</v>
      </c>
      <c r="BO15" s="343">
        <v>0</v>
      </c>
      <c r="BP15" s="343">
        <v>0</v>
      </c>
    </row>
    <row r="16" spans="1:131" s="343" customFormat="1" x14ac:dyDescent="0.2">
      <c r="A16"/>
      <c r="B16" s="144">
        <f ca="1"/>
        <v>1</v>
      </c>
      <c r="C16"/>
      <c r="D16" s="341" t="s">
        <v>5</v>
      </c>
      <c r="E16" s="342">
        <v>43528</v>
      </c>
      <c r="F16" s="343">
        <v>10234521.560000001</v>
      </c>
      <c r="G16" s="343">
        <v>1814.3070560000001</v>
      </c>
      <c r="H16" s="343">
        <v>7126.8902179999995</v>
      </c>
      <c r="I16" s="343">
        <v>0</v>
      </c>
      <c r="J16" s="343">
        <v>0</v>
      </c>
      <c r="K16" s="343">
        <v>4476.5643209999998</v>
      </c>
      <c r="L16" s="343">
        <v>171533.22500000001</v>
      </c>
      <c r="M16" s="343">
        <v>4985.6375420000004</v>
      </c>
      <c r="N16" s="343">
        <v>1411.4499410000001</v>
      </c>
      <c r="O16" s="343">
        <v>2262162.7480000001</v>
      </c>
      <c r="P16" s="343">
        <v>8559.8125209999998</v>
      </c>
      <c r="Q16" s="343">
        <v>5557.2813729999998</v>
      </c>
      <c r="R16" s="343">
        <v>184579.7787</v>
      </c>
      <c r="S16" s="343">
        <v>13539.398510000001</v>
      </c>
      <c r="T16" s="343">
        <v>1532.55719</v>
      </c>
      <c r="U16" s="343">
        <v>1031359.904</v>
      </c>
      <c r="V16" s="343">
        <v>9866.5971730000001</v>
      </c>
      <c r="W16" s="343">
        <v>185897</v>
      </c>
      <c r="X16" s="343">
        <v>2.5620532520000001</v>
      </c>
      <c r="Y16" s="343">
        <v>6.9388000000000002E-3</v>
      </c>
      <c r="Z16" s="343">
        <v>0.107267787</v>
      </c>
      <c r="AA16" s="343">
        <v>331431098.60000002</v>
      </c>
      <c r="AB16" s="343">
        <v>0</v>
      </c>
      <c r="AC16" s="343">
        <v>0</v>
      </c>
      <c r="AD16" s="343">
        <v>0</v>
      </c>
      <c r="AE16" s="343">
        <v>0</v>
      </c>
      <c r="AF16" s="343">
        <v>0</v>
      </c>
      <c r="AG16" s="343">
        <v>0</v>
      </c>
      <c r="AH16" s="343">
        <v>0</v>
      </c>
      <c r="AI16" s="343">
        <v>31621.186740000001</v>
      </c>
      <c r="AJ16" s="343">
        <v>0</v>
      </c>
      <c r="AK16" s="343">
        <v>673603</v>
      </c>
      <c r="AL16" s="343">
        <v>0</v>
      </c>
      <c r="AM16" s="343">
        <v>0</v>
      </c>
      <c r="AN16" s="343">
        <v>0</v>
      </c>
      <c r="AO16" s="343">
        <v>0</v>
      </c>
      <c r="AP16" s="343">
        <v>0</v>
      </c>
      <c r="AQ16" s="343">
        <v>0</v>
      </c>
      <c r="AR16" s="343">
        <v>28401.06753</v>
      </c>
      <c r="AS16" s="343">
        <v>0</v>
      </c>
      <c r="AT16" s="343">
        <v>0</v>
      </c>
      <c r="AU16" s="343">
        <v>0</v>
      </c>
      <c r="AV16" s="343">
        <v>0</v>
      </c>
      <c r="AW16" s="343">
        <v>9919.1396440000008</v>
      </c>
      <c r="AX16" s="343">
        <v>0</v>
      </c>
      <c r="AY16" s="343">
        <v>0</v>
      </c>
      <c r="AZ16" s="343">
        <v>885470.6078</v>
      </c>
      <c r="BA16" s="343">
        <v>0</v>
      </c>
      <c r="BB16" s="343">
        <v>0</v>
      </c>
      <c r="BC16" s="343">
        <v>0</v>
      </c>
      <c r="BD16" s="343">
        <v>0</v>
      </c>
      <c r="BE16" s="343">
        <v>0</v>
      </c>
      <c r="BF16" s="343">
        <v>0</v>
      </c>
      <c r="BG16" s="343">
        <v>0</v>
      </c>
      <c r="BH16" s="343">
        <v>2.6762598390000001</v>
      </c>
      <c r="BI16" s="343">
        <v>0</v>
      </c>
      <c r="BJ16" s="343">
        <v>0</v>
      </c>
      <c r="BK16" s="343">
        <v>0</v>
      </c>
      <c r="BL16" s="343">
        <v>0</v>
      </c>
      <c r="BM16" s="343">
        <v>0</v>
      </c>
      <c r="BN16" s="343">
        <v>0</v>
      </c>
      <c r="BO16" s="343">
        <v>0</v>
      </c>
      <c r="BP16" s="343">
        <v>0</v>
      </c>
    </row>
    <row r="17" spans="1:68" s="343" customFormat="1" x14ac:dyDescent="0.2">
      <c r="A17"/>
      <c r="B17" s="144">
        <f ca="1"/>
        <v>1</v>
      </c>
      <c r="C17"/>
      <c r="D17" s="341" t="s">
        <v>5</v>
      </c>
      <c r="E17" s="342">
        <v>43535</v>
      </c>
      <c r="F17" s="343">
        <v>9309029.1699999999</v>
      </c>
      <c r="G17" s="343">
        <v>1716.1002900000001</v>
      </c>
      <c r="H17" s="343">
        <v>9041.1667259999995</v>
      </c>
      <c r="I17" s="343">
        <v>0</v>
      </c>
      <c r="J17" s="343">
        <v>0</v>
      </c>
      <c r="K17" s="343">
        <v>5948.3476909999999</v>
      </c>
      <c r="L17" s="343">
        <v>275232.29810000001</v>
      </c>
      <c r="M17" s="343">
        <v>6324.7754450000002</v>
      </c>
      <c r="N17" s="343">
        <v>1650.1413190000001</v>
      </c>
      <c r="O17" s="343">
        <v>2892995.4360000002</v>
      </c>
      <c r="P17" s="343">
        <v>11191.914349999999</v>
      </c>
      <c r="Q17" s="343">
        <v>5203.6482059999998</v>
      </c>
      <c r="R17" s="343">
        <v>171564.93309999999</v>
      </c>
      <c r="S17" s="343">
        <v>12826.261780000001</v>
      </c>
      <c r="T17" s="343">
        <v>1916.5772669999999</v>
      </c>
      <c r="U17" s="343">
        <v>1238496.0179999999</v>
      </c>
      <c r="V17" s="343">
        <v>12756.786690000001</v>
      </c>
      <c r="W17" s="343">
        <v>100412</v>
      </c>
      <c r="X17" s="343">
        <v>6.1382000019999996</v>
      </c>
      <c r="Y17" s="343">
        <v>3.3388585999999998E-2</v>
      </c>
      <c r="Z17" s="343">
        <v>1.0504388069999999</v>
      </c>
      <c r="AA17" s="343">
        <v>313024858.30000001</v>
      </c>
      <c r="AB17" s="343">
        <v>0</v>
      </c>
      <c r="AC17" s="343">
        <v>0</v>
      </c>
      <c r="AD17" s="343">
        <v>0</v>
      </c>
      <c r="AE17" s="343">
        <v>0</v>
      </c>
      <c r="AF17" s="343">
        <v>0</v>
      </c>
      <c r="AG17" s="343">
        <v>0</v>
      </c>
      <c r="AH17" s="343">
        <v>0</v>
      </c>
      <c r="AI17" s="343">
        <v>31806.192080000001</v>
      </c>
      <c r="AJ17" s="343">
        <v>124936.10830000001</v>
      </c>
      <c r="AK17" s="343">
        <v>262005</v>
      </c>
      <c r="AL17" s="343">
        <v>0</v>
      </c>
      <c r="AM17" s="343">
        <v>0</v>
      </c>
      <c r="AN17" s="343">
        <v>0</v>
      </c>
      <c r="AO17" s="343">
        <v>0</v>
      </c>
      <c r="AP17" s="343">
        <v>0</v>
      </c>
      <c r="AQ17" s="343">
        <v>0</v>
      </c>
      <c r="AR17" s="343">
        <v>28401.06753</v>
      </c>
      <c r="AS17" s="343">
        <v>0</v>
      </c>
      <c r="AT17" s="343">
        <v>0</v>
      </c>
      <c r="AU17" s="343">
        <v>0</v>
      </c>
      <c r="AV17" s="343">
        <v>0</v>
      </c>
      <c r="AW17" s="343">
        <v>13554.999</v>
      </c>
      <c r="AX17" s="343">
        <v>0</v>
      </c>
      <c r="AY17" s="343">
        <v>0</v>
      </c>
      <c r="AZ17" s="343">
        <v>1072549.25</v>
      </c>
      <c r="BA17" s="343">
        <v>0</v>
      </c>
      <c r="BB17" s="343">
        <v>0</v>
      </c>
      <c r="BC17" s="343">
        <v>0</v>
      </c>
      <c r="BD17" s="343">
        <v>0</v>
      </c>
      <c r="BE17" s="343">
        <v>0</v>
      </c>
      <c r="BF17" s="343">
        <v>0</v>
      </c>
      <c r="BG17" s="343">
        <v>124936.10830000001</v>
      </c>
      <c r="BH17" s="343">
        <v>7.2220273949999996</v>
      </c>
      <c r="BI17" s="343">
        <v>0</v>
      </c>
      <c r="BJ17" s="343">
        <v>0</v>
      </c>
      <c r="BK17" s="343">
        <v>0</v>
      </c>
      <c r="BL17" s="343">
        <v>0</v>
      </c>
      <c r="BM17" s="343">
        <v>0</v>
      </c>
      <c r="BN17" s="343">
        <v>0</v>
      </c>
      <c r="BO17" s="343">
        <v>0</v>
      </c>
      <c r="BP17" s="343">
        <v>0</v>
      </c>
    </row>
    <row r="18" spans="1:68" s="343" customFormat="1" x14ac:dyDescent="0.2">
      <c r="A18"/>
      <c r="B18" s="144">
        <f ca="1"/>
        <v>1</v>
      </c>
      <c r="C18"/>
      <c r="D18" s="341" t="s">
        <v>5</v>
      </c>
      <c r="E18" s="342">
        <v>43542</v>
      </c>
      <c r="F18" s="343">
        <v>12102722.800000001</v>
      </c>
      <c r="G18" s="343">
        <v>1461.1404150000001</v>
      </c>
      <c r="H18" s="343">
        <v>9687.5568700000003</v>
      </c>
      <c r="I18" s="343">
        <v>0</v>
      </c>
      <c r="J18" s="343">
        <v>0</v>
      </c>
      <c r="K18" s="343">
        <v>6383.0126179999997</v>
      </c>
      <c r="L18" s="343">
        <v>302482.75030000001</v>
      </c>
      <c r="M18" s="343">
        <v>6776.9596190000002</v>
      </c>
      <c r="N18" s="343">
        <v>2128.4048560000001</v>
      </c>
      <c r="O18" s="343">
        <v>3771744.352</v>
      </c>
      <c r="P18" s="343">
        <v>14381.07662</v>
      </c>
      <c r="Q18" s="343">
        <v>4656.6838289999996</v>
      </c>
      <c r="R18" s="343">
        <v>160591.29519999999</v>
      </c>
      <c r="S18" s="343">
        <v>11685.268550000001</v>
      </c>
      <c r="T18" s="343">
        <v>1142.812042</v>
      </c>
      <c r="U18" s="343">
        <v>950705.55830000003</v>
      </c>
      <c r="V18" s="343">
        <v>9198.0747510000001</v>
      </c>
      <c r="W18" s="343">
        <v>3528</v>
      </c>
      <c r="X18" s="343">
        <v>13.43613285</v>
      </c>
      <c r="Y18" s="343">
        <v>9.9693000000000004E-3</v>
      </c>
      <c r="Z18" s="343">
        <v>1.584969474</v>
      </c>
      <c r="AA18" s="343">
        <v>378219177.69999999</v>
      </c>
      <c r="AB18" s="343">
        <v>0</v>
      </c>
      <c r="AC18" s="343">
        <v>0</v>
      </c>
      <c r="AD18" s="343">
        <v>0</v>
      </c>
      <c r="AE18" s="343">
        <v>0</v>
      </c>
      <c r="AF18" s="343">
        <v>0</v>
      </c>
      <c r="AG18" s="343">
        <v>365287.8872</v>
      </c>
      <c r="AH18" s="343">
        <v>1466.832028</v>
      </c>
      <c r="AI18" s="343">
        <v>1587.1126360000001</v>
      </c>
      <c r="AJ18" s="343">
        <v>0</v>
      </c>
      <c r="AK18" s="343">
        <v>449101</v>
      </c>
      <c r="AL18" s="343">
        <v>0</v>
      </c>
      <c r="AM18" s="343">
        <v>0</v>
      </c>
      <c r="AN18" s="343">
        <v>0</v>
      </c>
      <c r="AO18" s="343">
        <v>0</v>
      </c>
      <c r="AP18" s="343">
        <v>0</v>
      </c>
      <c r="AQ18" s="343">
        <v>0</v>
      </c>
      <c r="AR18" s="343">
        <v>28401.06753</v>
      </c>
      <c r="AS18" s="343">
        <v>0</v>
      </c>
      <c r="AT18" s="343">
        <v>0</v>
      </c>
      <c r="AU18" s="343">
        <v>0</v>
      </c>
      <c r="AV18" s="343">
        <v>0</v>
      </c>
      <c r="AW18" s="343">
        <v>19186.103139999999</v>
      </c>
      <c r="AX18" s="343">
        <v>0</v>
      </c>
      <c r="AY18" s="343">
        <v>0</v>
      </c>
      <c r="AZ18" s="343">
        <v>1485778.8089999999</v>
      </c>
      <c r="BA18" s="343">
        <v>0</v>
      </c>
      <c r="BB18" s="343">
        <v>0</v>
      </c>
      <c r="BC18" s="343">
        <v>0</v>
      </c>
      <c r="BD18" s="343">
        <v>0</v>
      </c>
      <c r="BE18" s="343">
        <v>0</v>
      </c>
      <c r="BF18" s="343">
        <v>0</v>
      </c>
      <c r="BG18" s="343">
        <v>0</v>
      </c>
      <c r="BH18" s="343">
        <v>15.0310716239999</v>
      </c>
      <c r="BI18" s="343">
        <v>0</v>
      </c>
      <c r="BJ18" s="343">
        <v>0</v>
      </c>
      <c r="BK18" s="343">
        <v>0</v>
      </c>
      <c r="BL18" s="343">
        <v>0</v>
      </c>
      <c r="BM18" s="343">
        <v>0</v>
      </c>
      <c r="BN18" s="343">
        <v>0</v>
      </c>
      <c r="BO18" s="343">
        <v>1</v>
      </c>
      <c r="BP18" s="343">
        <v>0</v>
      </c>
    </row>
    <row r="19" spans="1:68" s="343" customFormat="1" x14ac:dyDescent="0.2">
      <c r="A19"/>
      <c r="B19" s="144">
        <f ca="1"/>
        <v>1</v>
      </c>
      <c r="C19"/>
      <c r="D19" s="341" t="s">
        <v>5</v>
      </c>
      <c r="E19" s="342">
        <v>43549</v>
      </c>
      <c r="F19" s="343">
        <v>9283960.8220000006</v>
      </c>
      <c r="G19" s="343">
        <v>1592.712301</v>
      </c>
      <c r="H19" s="343">
        <v>6094.4151810000003</v>
      </c>
      <c r="I19" s="343">
        <v>0</v>
      </c>
      <c r="J19" s="343">
        <v>0</v>
      </c>
      <c r="K19" s="343">
        <v>4669.4551389999997</v>
      </c>
      <c r="L19" s="343">
        <v>194113.7818</v>
      </c>
      <c r="M19" s="343">
        <v>4263.3665170000004</v>
      </c>
      <c r="N19" s="343">
        <v>1909.090637</v>
      </c>
      <c r="O19" s="343">
        <v>3270127.8139999998</v>
      </c>
      <c r="P19" s="343">
        <v>13680.0623</v>
      </c>
      <c r="Q19" s="343">
        <v>5093.1103169999997</v>
      </c>
      <c r="R19" s="343">
        <v>174979.27679999999</v>
      </c>
      <c r="S19" s="343">
        <v>13208.832969999999</v>
      </c>
      <c r="T19" s="343">
        <v>995.28139350000004</v>
      </c>
      <c r="U19" s="343">
        <v>646405.31850000005</v>
      </c>
      <c r="V19" s="343">
        <v>6776.7153699999999</v>
      </c>
      <c r="W19" s="343">
        <v>0</v>
      </c>
      <c r="X19" s="343">
        <v>10.22843952</v>
      </c>
      <c r="Y19" s="343">
        <v>3.3977548000000003E-2</v>
      </c>
      <c r="Z19" s="343">
        <v>2.3107328420000002</v>
      </c>
      <c r="AA19" s="343">
        <v>355806210.89999998</v>
      </c>
      <c r="AB19" s="343">
        <v>0</v>
      </c>
      <c r="AC19" s="343">
        <v>0</v>
      </c>
      <c r="AD19" s="343">
        <v>0</v>
      </c>
      <c r="AE19" s="343">
        <v>0</v>
      </c>
      <c r="AF19" s="343">
        <v>0</v>
      </c>
      <c r="AG19" s="343">
        <v>1213088.5390000001</v>
      </c>
      <c r="AH19" s="343">
        <v>5663.8374530000001</v>
      </c>
      <c r="AI19" s="343">
        <v>476.88064850000001</v>
      </c>
      <c r="AJ19" s="343">
        <v>346712.64020000002</v>
      </c>
      <c r="AK19" s="343">
        <v>632548</v>
      </c>
      <c r="AL19" s="343">
        <v>0</v>
      </c>
      <c r="AM19" s="343">
        <v>0</v>
      </c>
      <c r="AN19" s="343">
        <v>0</v>
      </c>
      <c r="AO19" s="343">
        <v>0</v>
      </c>
      <c r="AP19" s="343">
        <v>0</v>
      </c>
      <c r="AQ19" s="343">
        <v>0</v>
      </c>
      <c r="AR19" s="343">
        <v>0</v>
      </c>
      <c r="AS19" s="343">
        <v>0</v>
      </c>
      <c r="AT19" s="343">
        <v>0</v>
      </c>
      <c r="AU19" s="343">
        <v>0</v>
      </c>
      <c r="AV19" s="343">
        <v>0</v>
      </c>
      <c r="AW19" s="343">
        <v>17619.135719999998</v>
      </c>
      <c r="AX19" s="343">
        <v>0</v>
      </c>
      <c r="AY19" s="343">
        <v>0</v>
      </c>
      <c r="AZ19" s="343">
        <v>1261825.2339999999</v>
      </c>
      <c r="BA19" s="343">
        <v>0</v>
      </c>
      <c r="BB19" s="343">
        <v>0</v>
      </c>
      <c r="BC19" s="343">
        <v>0</v>
      </c>
      <c r="BD19" s="343">
        <v>0</v>
      </c>
      <c r="BE19" s="343">
        <v>0</v>
      </c>
      <c r="BF19" s="343">
        <v>0</v>
      </c>
      <c r="BG19" s="343">
        <v>346712.64020000002</v>
      </c>
      <c r="BH19" s="343">
        <v>12.57314991</v>
      </c>
      <c r="BI19" s="343">
        <v>0</v>
      </c>
      <c r="BJ19" s="343">
        <v>0</v>
      </c>
      <c r="BK19" s="343">
        <v>0</v>
      </c>
      <c r="BL19" s="343">
        <v>0</v>
      </c>
      <c r="BM19" s="343">
        <v>0</v>
      </c>
      <c r="BN19" s="343">
        <v>0</v>
      </c>
      <c r="BO19" s="343">
        <v>0</v>
      </c>
      <c r="BP19" s="343">
        <v>0</v>
      </c>
    </row>
    <row r="20" spans="1:68" s="343" customFormat="1" x14ac:dyDescent="0.2">
      <c r="A20"/>
      <c r="B20" s="144">
        <f ca="1"/>
        <v>1</v>
      </c>
      <c r="C20"/>
      <c r="D20" s="341" t="s">
        <v>5</v>
      </c>
      <c r="E20" s="342">
        <v>43556</v>
      </c>
      <c r="F20" s="343">
        <v>8030813.165</v>
      </c>
      <c r="G20" s="343">
        <v>1411.407502</v>
      </c>
      <c r="H20" s="343">
        <v>5280.9620969999996</v>
      </c>
      <c r="I20" s="343">
        <v>0</v>
      </c>
      <c r="J20" s="343">
        <v>0</v>
      </c>
      <c r="K20" s="343">
        <v>4353.6955109999999</v>
      </c>
      <c r="L20" s="343">
        <v>208962.8517</v>
      </c>
      <c r="M20" s="343">
        <v>3694.3129589999999</v>
      </c>
      <c r="N20" s="343">
        <v>804.15213470000003</v>
      </c>
      <c r="O20" s="343">
        <v>932129.46790000005</v>
      </c>
      <c r="P20" s="343">
        <v>4133.3607229999998</v>
      </c>
      <c r="Q20" s="343">
        <v>5303.6167349999996</v>
      </c>
      <c r="R20" s="343">
        <v>203297.67480000001</v>
      </c>
      <c r="S20" s="343">
        <v>12834.149160000001</v>
      </c>
      <c r="T20" s="343">
        <v>1772.5697379999999</v>
      </c>
      <c r="U20" s="343">
        <v>477717.01289999997</v>
      </c>
      <c r="V20" s="343">
        <v>5269.9098000000004</v>
      </c>
      <c r="W20" s="343">
        <v>3000</v>
      </c>
      <c r="X20" s="343">
        <v>10.776178570000001</v>
      </c>
      <c r="Y20" s="343">
        <v>0.48124695299999998</v>
      </c>
      <c r="Z20" s="343">
        <v>3.3550964369999998</v>
      </c>
      <c r="AA20" s="343">
        <v>305307156.19999999</v>
      </c>
      <c r="AB20" s="343">
        <v>0</v>
      </c>
      <c r="AC20" s="343">
        <v>0</v>
      </c>
      <c r="AD20" s="343">
        <v>0</v>
      </c>
      <c r="AE20" s="343">
        <v>0</v>
      </c>
      <c r="AF20" s="343">
        <v>0</v>
      </c>
      <c r="AG20" s="343">
        <v>342759.83409999998</v>
      </c>
      <c r="AH20" s="343">
        <v>1968.218926</v>
      </c>
      <c r="AI20" s="343">
        <v>12306.023740000001</v>
      </c>
      <c r="AJ20" s="343">
        <v>0</v>
      </c>
      <c r="AK20" s="343">
        <v>367026</v>
      </c>
      <c r="AL20" s="343">
        <v>0</v>
      </c>
      <c r="AM20" s="343">
        <v>0</v>
      </c>
      <c r="AN20" s="343">
        <v>0</v>
      </c>
      <c r="AO20" s="343">
        <v>0</v>
      </c>
      <c r="AP20" s="343">
        <v>0</v>
      </c>
      <c r="AQ20" s="343">
        <v>0</v>
      </c>
      <c r="AR20" s="343">
        <v>59168.890679999997</v>
      </c>
      <c r="AS20" s="343">
        <v>0</v>
      </c>
      <c r="AT20" s="343">
        <v>0</v>
      </c>
      <c r="AU20" s="343">
        <v>0</v>
      </c>
      <c r="AV20" s="343">
        <v>0</v>
      </c>
      <c r="AW20" s="343">
        <v>9911.1562969999995</v>
      </c>
      <c r="AX20" s="343">
        <v>0</v>
      </c>
      <c r="AY20" s="343">
        <v>0</v>
      </c>
      <c r="AZ20" s="343">
        <v>776745.5416</v>
      </c>
      <c r="BA20" s="343">
        <v>0</v>
      </c>
      <c r="BB20" s="343">
        <v>0</v>
      </c>
      <c r="BC20" s="343">
        <v>0</v>
      </c>
      <c r="BD20" s="343">
        <v>0</v>
      </c>
      <c r="BE20" s="343">
        <v>0</v>
      </c>
      <c r="BF20" s="343">
        <v>0</v>
      </c>
      <c r="BG20" s="343">
        <v>0</v>
      </c>
      <c r="BH20" s="343">
        <v>14.61252196</v>
      </c>
      <c r="BI20" s="343">
        <v>0</v>
      </c>
      <c r="BJ20" s="343">
        <v>0</v>
      </c>
      <c r="BK20" s="343">
        <v>0</v>
      </c>
      <c r="BL20" s="343">
        <v>0</v>
      </c>
      <c r="BM20" s="343">
        <v>0</v>
      </c>
      <c r="BN20" s="343">
        <v>0</v>
      </c>
      <c r="BO20" s="343">
        <v>0</v>
      </c>
      <c r="BP20" s="343">
        <v>0</v>
      </c>
    </row>
    <row r="21" spans="1:68" s="343" customFormat="1" x14ac:dyDescent="0.2">
      <c r="A21"/>
      <c r="B21" s="144">
        <f ca="1"/>
        <v>1</v>
      </c>
      <c r="C21"/>
      <c r="D21" s="341" t="s">
        <v>5</v>
      </c>
      <c r="E21" s="342">
        <v>43563</v>
      </c>
      <c r="F21" s="343">
        <v>7843202.9270000001</v>
      </c>
      <c r="G21" s="343">
        <v>1288.649044</v>
      </c>
      <c r="H21" s="343">
        <v>5529.5766489999996</v>
      </c>
      <c r="I21" s="343">
        <v>0</v>
      </c>
      <c r="J21" s="343">
        <v>0</v>
      </c>
      <c r="K21" s="343">
        <v>4085.0576129999999</v>
      </c>
      <c r="L21" s="343">
        <v>255101.63089999999</v>
      </c>
      <c r="M21" s="343">
        <v>3868.2320180000002</v>
      </c>
      <c r="N21" s="343">
        <v>811.63876470000002</v>
      </c>
      <c r="O21" s="343">
        <v>1130443.689</v>
      </c>
      <c r="P21" s="343">
        <v>4946.5055700000003</v>
      </c>
      <c r="Q21" s="343">
        <v>5231.3927759999997</v>
      </c>
      <c r="R21" s="343">
        <v>163785.44380000001</v>
      </c>
      <c r="S21" s="343">
        <v>12310.252420000001</v>
      </c>
      <c r="T21" s="343">
        <v>2180.8112660000002</v>
      </c>
      <c r="U21" s="343">
        <v>649690.1875</v>
      </c>
      <c r="V21" s="343">
        <v>6727.3134419999997</v>
      </c>
      <c r="W21" s="343">
        <v>38562</v>
      </c>
      <c r="X21" s="343">
        <v>14.420709909999999</v>
      </c>
      <c r="Y21" s="343">
        <v>1.2694737330000001</v>
      </c>
      <c r="Z21" s="343">
        <v>4.5010104149999997</v>
      </c>
      <c r="AA21" s="343">
        <v>294014825.39999998</v>
      </c>
      <c r="AB21" s="343">
        <v>0</v>
      </c>
      <c r="AC21" s="343">
        <v>20573.329659999999</v>
      </c>
      <c r="AD21" s="343">
        <v>0</v>
      </c>
      <c r="AE21" s="343">
        <v>0</v>
      </c>
      <c r="AF21" s="343">
        <v>0</v>
      </c>
      <c r="AG21" s="343">
        <v>102470.6654</v>
      </c>
      <c r="AH21" s="343">
        <v>499.37147629999998</v>
      </c>
      <c r="AI21" s="343">
        <v>15819.243780000001</v>
      </c>
      <c r="AJ21" s="343">
        <v>102980.9279</v>
      </c>
      <c r="AK21" s="343">
        <v>283944</v>
      </c>
      <c r="AL21" s="343">
        <v>0</v>
      </c>
      <c r="AM21" s="343">
        <v>0</v>
      </c>
      <c r="AN21" s="343">
        <v>0</v>
      </c>
      <c r="AO21" s="343">
        <v>0</v>
      </c>
      <c r="AP21" s="343">
        <v>0</v>
      </c>
      <c r="AQ21" s="343">
        <v>0</v>
      </c>
      <c r="AR21" s="343">
        <v>59168.890679999997</v>
      </c>
      <c r="AS21" s="343">
        <v>0</v>
      </c>
      <c r="AT21" s="343">
        <v>0</v>
      </c>
      <c r="AU21" s="343">
        <v>0</v>
      </c>
      <c r="AV21" s="343">
        <v>0</v>
      </c>
      <c r="AW21" s="343">
        <v>9887.2157530000004</v>
      </c>
      <c r="AX21" s="343">
        <v>0</v>
      </c>
      <c r="AY21" s="343">
        <v>0</v>
      </c>
      <c r="AZ21" s="343">
        <v>731250.75970000005</v>
      </c>
      <c r="BA21" s="343">
        <v>0</v>
      </c>
      <c r="BB21" s="343">
        <v>0</v>
      </c>
      <c r="BC21" s="343">
        <v>0</v>
      </c>
      <c r="BD21" s="343">
        <v>0</v>
      </c>
      <c r="BE21" s="343">
        <v>0</v>
      </c>
      <c r="BF21" s="343">
        <v>0</v>
      </c>
      <c r="BG21" s="343">
        <v>102980.9279</v>
      </c>
      <c r="BH21" s="343">
        <v>20.191194058000001</v>
      </c>
      <c r="BI21" s="343">
        <v>0</v>
      </c>
      <c r="BJ21" s="343">
        <v>0</v>
      </c>
      <c r="BK21" s="343">
        <v>0</v>
      </c>
      <c r="BL21" s="343">
        <v>0</v>
      </c>
      <c r="BM21" s="343">
        <v>0</v>
      </c>
      <c r="BN21" s="343">
        <v>0</v>
      </c>
      <c r="BO21" s="343">
        <v>0</v>
      </c>
      <c r="BP21" s="343">
        <v>0</v>
      </c>
    </row>
    <row r="22" spans="1:68" s="343" customFormat="1" x14ac:dyDescent="0.2">
      <c r="A22"/>
      <c r="B22" s="144">
        <f ca="1"/>
        <v>1</v>
      </c>
      <c r="C22"/>
      <c r="D22" s="341" t="s">
        <v>5</v>
      </c>
      <c r="E22" s="342">
        <v>43570</v>
      </c>
      <c r="F22" s="343">
        <v>10981537.49</v>
      </c>
      <c r="G22" s="343">
        <v>1214.3644380000001</v>
      </c>
      <c r="H22" s="343">
        <v>3819.1456920000001</v>
      </c>
      <c r="I22" s="343">
        <v>0</v>
      </c>
      <c r="J22" s="343">
        <v>0</v>
      </c>
      <c r="K22" s="343">
        <v>2733.0603219999998</v>
      </c>
      <c r="L22" s="343">
        <v>119671.13740000001</v>
      </c>
      <c r="M22" s="343">
        <v>2671.6948849999999</v>
      </c>
      <c r="N22" s="343">
        <v>2595.6586430000002</v>
      </c>
      <c r="O22" s="343">
        <v>3121028.9360000002</v>
      </c>
      <c r="P22" s="343">
        <v>9579.7837500000005</v>
      </c>
      <c r="Q22" s="343">
        <v>5296.1301050000002</v>
      </c>
      <c r="R22" s="343">
        <v>159996.32829999999</v>
      </c>
      <c r="S22" s="343">
        <v>12546.926810000001</v>
      </c>
      <c r="T22" s="343">
        <v>2204.592326</v>
      </c>
      <c r="U22" s="343">
        <v>607289.87899999996</v>
      </c>
      <c r="V22" s="343">
        <v>6208.477699</v>
      </c>
      <c r="W22" s="343">
        <v>0</v>
      </c>
      <c r="X22" s="343">
        <v>19.118385140000001</v>
      </c>
      <c r="Y22" s="343">
        <v>1.0793263689999999</v>
      </c>
      <c r="Z22" s="343">
        <v>6.8011427769999999</v>
      </c>
      <c r="AA22" s="343">
        <v>308814771.69999999</v>
      </c>
      <c r="AB22" s="343">
        <v>0</v>
      </c>
      <c r="AC22" s="343">
        <v>20573.329659999999</v>
      </c>
      <c r="AD22" s="343">
        <v>0</v>
      </c>
      <c r="AE22" s="343">
        <v>0</v>
      </c>
      <c r="AF22" s="343">
        <v>0</v>
      </c>
      <c r="AG22" s="343">
        <v>123.2528835</v>
      </c>
      <c r="AH22" s="343">
        <v>0</v>
      </c>
      <c r="AI22" s="343">
        <v>15819.84762</v>
      </c>
      <c r="AJ22" s="343">
        <v>94093.623430000007</v>
      </c>
      <c r="AK22" s="343">
        <v>230330</v>
      </c>
      <c r="AL22" s="343">
        <v>0</v>
      </c>
      <c r="AM22" s="343">
        <v>0</v>
      </c>
      <c r="AN22" s="343">
        <v>0</v>
      </c>
      <c r="AO22" s="343">
        <v>0</v>
      </c>
      <c r="AP22" s="343">
        <v>0</v>
      </c>
      <c r="AQ22" s="343">
        <v>0</v>
      </c>
      <c r="AR22" s="343">
        <v>59168.890679999997</v>
      </c>
      <c r="AS22" s="343">
        <v>0</v>
      </c>
      <c r="AT22" s="343">
        <v>0</v>
      </c>
      <c r="AU22" s="343">
        <v>0</v>
      </c>
      <c r="AV22" s="343">
        <v>0</v>
      </c>
      <c r="AW22" s="343">
        <v>12696.93727</v>
      </c>
      <c r="AX22" s="343">
        <v>0</v>
      </c>
      <c r="AY22" s="343">
        <v>0</v>
      </c>
      <c r="AZ22" s="343">
        <v>4236796.1229999997</v>
      </c>
      <c r="BA22" s="343">
        <v>0</v>
      </c>
      <c r="BB22" s="343">
        <v>0</v>
      </c>
      <c r="BC22" s="343">
        <v>0</v>
      </c>
      <c r="BD22" s="343">
        <v>0</v>
      </c>
      <c r="BE22" s="343">
        <v>0</v>
      </c>
      <c r="BF22" s="343">
        <v>0</v>
      </c>
      <c r="BG22" s="343">
        <v>94093.623430000007</v>
      </c>
      <c r="BH22" s="343">
        <v>26.998854286</v>
      </c>
      <c r="BI22" s="343">
        <v>0</v>
      </c>
      <c r="BJ22" s="343">
        <v>0</v>
      </c>
      <c r="BK22" s="343">
        <v>0</v>
      </c>
      <c r="BL22" s="343">
        <v>0</v>
      </c>
      <c r="BM22" s="343">
        <v>0</v>
      </c>
      <c r="BN22" s="343">
        <v>0</v>
      </c>
      <c r="BO22" s="343">
        <v>1</v>
      </c>
      <c r="BP22" s="343">
        <v>0</v>
      </c>
    </row>
    <row r="23" spans="1:68" s="343" customFormat="1" x14ac:dyDescent="0.2">
      <c r="A23"/>
      <c r="B23" s="144">
        <f ca="1"/>
        <v>1</v>
      </c>
      <c r="C23"/>
      <c r="D23" s="341" t="s">
        <v>5</v>
      </c>
      <c r="E23" s="342">
        <v>43577</v>
      </c>
      <c r="F23" s="343">
        <v>8798635.0580000002</v>
      </c>
      <c r="G23" s="343">
        <v>1359.1564659999999</v>
      </c>
      <c r="H23" s="343">
        <v>3882.7178250000002</v>
      </c>
      <c r="I23" s="343">
        <v>0</v>
      </c>
      <c r="J23" s="343">
        <v>0</v>
      </c>
      <c r="K23" s="343">
        <v>2749.3547520000002</v>
      </c>
      <c r="L23" s="343">
        <v>47785.837809999997</v>
      </c>
      <c r="M23" s="343">
        <v>2716.1669619999998</v>
      </c>
      <c r="N23" s="343">
        <v>2163.6360559999998</v>
      </c>
      <c r="O23" s="343">
        <v>3705754.9929999998</v>
      </c>
      <c r="P23" s="343">
        <v>11299.58231</v>
      </c>
      <c r="Q23" s="343">
        <v>5337.9671550000003</v>
      </c>
      <c r="R23" s="343">
        <v>160167.64000000001</v>
      </c>
      <c r="S23" s="343">
        <v>12553.78808</v>
      </c>
      <c r="T23" s="343">
        <v>1901.604008</v>
      </c>
      <c r="U23" s="343">
        <v>505155.51160000003</v>
      </c>
      <c r="V23" s="343">
        <v>5192.8786090000003</v>
      </c>
      <c r="W23" s="343">
        <v>0</v>
      </c>
      <c r="X23" s="343">
        <v>25.217738109999999</v>
      </c>
      <c r="Y23" s="343">
        <v>2.2455850339999999</v>
      </c>
      <c r="Z23" s="343">
        <v>9.2757257670000008</v>
      </c>
      <c r="AA23" s="343">
        <v>313920748.10000002</v>
      </c>
      <c r="AB23" s="343">
        <v>0</v>
      </c>
      <c r="AC23" s="343">
        <v>20573.329659999999</v>
      </c>
      <c r="AD23" s="343">
        <v>0</v>
      </c>
      <c r="AE23" s="343">
        <v>0</v>
      </c>
      <c r="AF23" s="343">
        <v>0</v>
      </c>
      <c r="AG23" s="343">
        <v>117.3129855</v>
      </c>
      <c r="AH23" s="343">
        <v>0</v>
      </c>
      <c r="AI23" s="343">
        <v>7034.5947619999997</v>
      </c>
      <c r="AJ23" s="343">
        <v>257917.8309</v>
      </c>
      <c r="AK23" s="343">
        <v>228922</v>
      </c>
      <c r="AL23" s="343">
        <v>0</v>
      </c>
      <c r="AM23" s="343">
        <v>0</v>
      </c>
      <c r="AN23" s="343">
        <v>0</v>
      </c>
      <c r="AO23" s="343">
        <v>0</v>
      </c>
      <c r="AP23" s="343">
        <v>0</v>
      </c>
      <c r="AQ23" s="343">
        <v>0</v>
      </c>
      <c r="AR23" s="343">
        <v>59168.890679999997</v>
      </c>
      <c r="AS23" s="343">
        <v>0</v>
      </c>
      <c r="AT23" s="343">
        <v>0</v>
      </c>
      <c r="AU23" s="343">
        <v>0</v>
      </c>
      <c r="AV23" s="343">
        <v>0</v>
      </c>
      <c r="AW23" s="343">
        <v>16603.824799999999</v>
      </c>
      <c r="AX23" s="343">
        <v>0</v>
      </c>
      <c r="AY23" s="343">
        <v>0</v>
      </c>
      <c r="AZ23" s="343">
        <v>8522927.2770000007</v>
      </c>
      <c r="BA23" s="343">
        <v>0</v>
      </c>
      <c r="BB23" s="343">
        <v>0</v>
      </c>
      <c r="BC23" s="343">
        <v>0</v>
      </c>
      <c r="BD23" s="343">
        <v>0</v>
      </c>
      <c r="BE23" s="343">
        <v>0</v>
      </c>
      <c r="BF23" s="343">
        <v>0</v>
      </c>
      <c r="BG23" s="343">
        <v>257917.8309</v>
      </c>
      <c r="BH23" s="343">
        <v>36.739048910999998</v>
      </c>
      <c r="BI23" s="343">
        <v>0</v>
      </c>
      <c r="BJ23" s="343">
        <v>0</v>
      </c>
      <c r="BK23" s="343">
        <v>0</v>
      </c>
      <c r="BL23" s="343">
        <v>0</v>
      </c>
      <c r="BM23" s="343">
        <v>0</v>
      </c>
      <c r="BN23" s="343">
        <v>0</v>
      </c>
      <c r="BO23" s="343">
        <v>0</v>
      </c>
      <c r="BP23" s="343">
        <v>0</v>
      </c>
    </row>
    <row r="24" spans="1:68" s="343" customFormat="1" x14ac:dyDescent="0.2">
      <c r="A24"/>
      <c r="B24" s="144">
        <f ca="1"/>
        <v>1</v>
      </c>
      <c r="C24"/>
      <c r="D24" s="341" t="s">
        <v>5</v>
      </c>
      <c r="E24" s="342">
        <v>43584</v>
      </c>
      <c r="F24" s="343">
        <v>9088033.0690000001</v>
      </c>
      <c r="G24" s="343">
        <v>1983.6507750000001</v>
      </c>
      <c r="H24" s="343">
        <v>5240.4830279999996</v>
      </c>
      <c r="I24" s="343">
        <v>0</v>
      </c>
      <c r="J24" s="343">
        <v>0</v>
      </c>
      <c r="K24" s="343">
        <v>2590.8143530000002</v>
      </c>
      <c r="L24" s="343">
        <v>53501.219190000003</v>
      </c>
      <c r="M24" s="343">
        <v>3665.9957039999999</v>
      </c>
      <c r="N24" s="343">
        <v>2761.6856720000001</v>
      </c>
      <c r="O24" s="343">
        <v>4374402.2089999998</v>
      </c>
      <c r="P24" s="343">
        <v>14127.510979999999</v>
      </c>
      <c r="Q24" s="343">
        <v>5570.0526829999999</v>
      </c>
      <c r="R24" s="343">
        <v>158679.12179999999</v>
      </c>
      <c r="S24" s="343">
        <v>11516.735699999999</v>
      </c>
      <c r="T24" s="343">
        <v>415.28776729999998</v>
      </c>
      <c r="U24" s="343">
        <v>152555.49890000001</v>
      </c>
      <c r="V24" s="343">
        <v>2023.091678</v>
      </c>
      <c r="W24" s="343">
        <v>0</v>
      </c>
      <c r="X24" s="343">
        <v>26.931973240000001</v>
      </c>
      <c r="Y24" s="343">
        <v>2.295639489</v>
      </c>
      <c r="Z24" s="343">
        <v>12.30344105</v>
      </c>
      <c r="AA24" s="343">
        <v>400513086.39999998</v>
      </c>
      <c r="AB24" s="343">
        <v>0</v>
      </c>
      <c r="AC24" s="343">
        <v>0</v>
      </c>
      <c r="AD24" s="343">
        <v>0</v>
      </c>
      <c r="AE24" s="343">
        <v>0</v>
      </c>
      <c r="AF24" s="343">
        <v>0</v>
      </c>
      <c r="AG24" s="343">
        <v>109.39312150000001</v>
      </c>
      <c r="AH24" s="343">
        <v>0</v>
      </c>
      <c r="AI24" s="343">
        <v>27329.32676</v>
      </c>
      <c r="AJ24" s="343">
        <v>0</v>
      </c>
      <c r="AK24" s="343">
        <v>230829</v>
      </c>
      <c r="AL24" s="343">
        <v>0</v>
      </c>
      <c r="AM24" s="343">
        <v>0</v>
      </c>
      <c r="AN24" s="343">
        <v>0</v>
      </c>
      <c r="AO24" s="343">
        <v>0</v>
      </c>
      <c r="AP24" s="343">
        <v>0</v>
      </c>
      <c r="AQ24" s="343">
        <v>0</v>
      </c>
      <c r="AR24" s="343">
        <v>0</v>
      </c>
      <c r="AS24" s="343">
        <v>0</v>
      </c>
      <c r="AT24" s="343">
        <v>0</v>
      </c>
      <c r="AU24" s="343">
        <v>0</v>
      </c>
      <c r="AV24" s="343">
        <v>0</v>
      </c>
      <c r="AW24" s="343">
        <v>4981.6473740000001</v>
      </c>
      <c r="AX24" s="343">
        <v>6283.4346800000003</v>
      </c>
      <c r="AY24" s="343">
        <v>526737.66599999997</v>
      </c>
      <c r="AZ24" s="343">
        <v>4777250.9859999996</v>
      </c>
      <c r="BA24" s="343">
        <v>0</v>
      </c>
      <c r="BB24" s="343">
        <v>0</v>
      </c>
      <c r="BC24" s="343">
        <v>0</v>
      </c>
      <c r="BD24" s="343">
        <v>0</v>
      </c>
      <c r="BE24" s="343">
        <v>0</v>
      </c>
      <c r="BF24" s="343">
        <v>0</v>
      </c>
      <c r="BG24" s="343">
        <v>0</v>
      </c>
      <c r="BH24" s="343">
        <v>41.531053778999997</v>
      </c>
      <c r="BI24" s="343">
        <v>0</v>
      </c>
      <c r="BJ24" s="343">
        <v>0</v>
      </c>
      <c r="BK24" s="343">
        <v>0</v>
      </c>
      <c r="BL24" s="343">
        <v>0</v>
      </c>
      <c r="BM24" s="343">
        <v>0</v>
      </c>
      <c r="BN24" s="343">
        <v>0</v>
      </c>
      <c r="BO24" s="343">
        <v>0</v>
      </c>
      <c r="BP24" s="343">
        <v>0</v>
      </c>
    </row>
    <row r="25" spans="1:68" s="343" customFormat="1" x14ac:dyDescent="0.2">
      <c r="A25"/>
      <c r="B25" s="144">
        <f ca="1"/>
        <v>1</v>
      </c>
      <c r="C25"/>
      <c r="D25" s="341" t="s">
        <v>5</v>
      </c>
      <c r="E25" s="342">
        <v>43591</v>
      </c>
      <c r="F25" s="343">
        <v>25955030.73</v>
      </c>
      <c r="G25" s="343">
        <v>1957.2104919999999</v>
      </c>
      <c r="H25" s="343">
        <v>6197.1617239999996</v>
      </c>
      <c r="I25" s="343">
        <v>0</v>
      </c>
      <c r="J25" s="343">
        <v>0</v>
      </c>
      <c r="K25" s="343">
        <v>2721.6101819999999</v>
      </c>
      <c r="L25" s="343">
        <v>56760.545559999999</v>
      </c>
      <c r="M25" s="343">
        <v>4335.2431710000001</v>
      </c>
      <c r="N25" s="343">
        <v>650.01563569999996</v>
      </c>
      <c r="O25" s="343">
        <v>732882.94070000004</v>
      </c>
      <c r="P25" s="343">
        <v>4486.3234469999998</v>
      </c>
      <c r="Q25" s="343">
        <v>5760.7415520000004</v>
      </c>
      <c r="R25" s="343">
        <v>157798.78219999999</v>
      </c>
      <c r="S25" s="343">
        <v>11232.485979999999</v>
      </c>
      <c r="T25" s="343">
        <v>59.452649610000002</v>
      </c>
      <c r="U25" s="343">
        <v>202986.31899999999</v>
      </c>
      <c r="V25" s="343">
        <v>3653.7537419999999</v>
      </c>
      <c r="W25" s="343">
        <v>0</v>
      </c>
      <c r="X25" s="343">
        <v>28.26141514</v>
      </c>
      <c r="Y25" s="343">
        <v>2.0426040250000002</v>
      </c>
      <c r="Z25" s="343">
        <v>8.2889991470000002</v>
      </c>
      <c r="AA25" s="343">
        <v>462255719.5</v>
      </c>
      <c r="AB25" s="343">
        <v>1</v>
      </c>
      <c r="AC25" s="343">
        <v>0</v>
      </c>
      <c r="AD25" s="343">
        <v>19750.39662</v>
      </c>
      <c r="AE25" s="343">
        <v>0</v>
      </c>
      <c r="AF25" s="343">
        <v>0</v>
      </c>
      <c r="AG25" s="343">
        <v>102</v>
      </c>
      <c r="AH25" s="343">
        <v>0</v>
      </c>
      <c r="AI25" s="343">
        <v>36851.13955</v>
      </c>
      <c r="AJ25" s="343">
        <v>10961.215990000001</v>
      </c>
      <c r="AK25" s="343">
        <v>808806</v>
      </c>
      <c r="AL25" s="343">
        <v>0</v>
      </c>
      <c r="AM25" s="343">
        <v>0</v>
      </c>
      <c r="AN25" s="343">
        <v>0</v>
      </c>
      <c r="AO25" s="343">
        <v>0</v>
      </c>
      <c r="AP25" s="343">
        <v>0</v>
      </c>
      <c r="AQ25" s="343">
        <v>0</v>
      </c>
      <c r="AR25" s="343">
        <v>146896.63260000001</v>
      </c>
      <c r="AS25" s="343">
        <v>0</v>
      </c>
      <c r="AT25" s="343">
        <v>0</v>
      </c>
      <c r="AU25" s="343">
        <v>0</v>
      </c>
      <c r="AV25" s="343">
        <v>0</v>
      </c>
      <c r="AW25" s="343">
        <v>0</v>
      </c>
      <c r="AX25" s="343">
        <v>18912.862929999999</v>
      </c>
      <c r="AY25" s="343">
        <v>1816886.2305999999</v>
      </c>
      <c r="AZ25" s="343">
        <v>0</v>
      </c>
      <c r="BA25" s="343">
        <v>0</v>
      </c>
      <c r="BB25" s="343">
        <v>0</v>
      </c>
      <c r="BC25" s="343">
        <v>0</v>
      </c>
      <c r="BD25" s="343">
        <v>0</v>
      </c>
      <c r="BE25" s="343">
        <v>0</v>
      </c>
      <c r="BF25" s="343">
        <v>0</v>
      </c>
      <c r="BG25" s="343">
        <v>10961.215990000001</v>
      </c>
      <c r="BH25" s="343">
        <v>38.593018311999998</v>
      </c>
      <c r="BI25" s="343">
        <v>0</v>
      </c>
      <c r="BJ25" s="343">
        <v>0</v>
      </c>
      <c r="BK25" s="343">
        <v>0</v>
      </c>
      <c r="BL25" s="343">
        <v>1</v>
      </c>
      <c r="BM25" s="343">
        <v>0</v>
      </c>
      <c r="BN25" s="343">
        <v>0</v>
      </c>
      <c r="BO25" s="343">
        <v>0</v>
      </c>
      <c r="BP25" s="343">
        <v>0</v>
      </c>
    </row>
    <row r="26" spans="1:68" s="343" customFormat="1" x14ac:dyDescent="0.2">
      <c r="A26"/>
      <c r="B26" s="144">
        <f ca="1"/>
        <v>1</v>
      </c>
      <c r="C26"/>
      <c r="D26" s="341" t="s">
        <v>5</v>
      </c>
      <c r="E26" s="342">
        <v>43598</v>
      </c>
      <c r="F26" s="343">
        <v>9793229.7449999992</v>
      </c>
      <c r="G26" s="343">
        <v>2359.4805160000001</v>
      </c>
      <c r="H26" s="343">
        <v>4489.8874530000003</v>
      </c>
      <c r="I26" s="343">
        <v>0</v>
      </c>
      <c r="J26" s="343">
        <v>0</v>
      </c>
      <c r="K26" s="343">
        <v>2168.920736</v>
      </c>
      <c r="L26" s="343">
        <v>44992.444049999998</v>
      </c>
      <c r="M26" s="343">
        <v>3140.9143060000001</v>
      </c>
      <c r="N26" s="343">
        <v>239.57215840000001</v>
      </c>
      <c r="O26" s="343">
        <v>158110.1379</v>
      </c>
      <c r="P26" s="343">
        <v>2845.9824829999998</v>
      </c>
      <c r="Q26" s="343">
        <v>5848.3791620000002</v>
      </c>
      <c r="R26" s="343">
        <v>154577.32939999999</v>
      </c>
      <c r="S26" s="343">
        <v>11706.72875</v>
      </c>
      <c r="T26" s="343">
        <v>50.204459669999999</v>
      </c>
      <c r="U26" s="343">
        <v>168016.27050000001</v>
      </c>
      <c r="V26" s="343">
        <v>3024.2928689999999</v>
      </c>
      <c r="W26" s="343">
        <v>0</v>
      </c>
      <c r="X26" s="343">
        <v>22.632371110000001</v>
      </c>
      <c r="Y26" s="343">
        <v>2.6324538569999998</v>
      </c>
      <c r="Z26" s="343">
        <v>7.6927031279999998</v>
      </c>
      <c r="AA26" s="343">
        <v>295458578.89999998</v>
      </c>
      <c r="AB26" s="343">
        <v>0</v>
      </c>
      <c r="AC26" s="343">
        <v>0</v>
      </c>
      <c r="AD26" s="343">
        <v>19750.39662</v>
      </c>
      <c r="AE26" s="343">
        <v>0</v>
      </c>
      <c r="AF26" s="343">
        <v>0</v>
      </c>
      <c r="AG26" s="343">
        <v>110.3831045</v>
      </c>
      <c r="AH26" s="343">
        <v>0</v>
      </c>
      <c r="AI26" s="343">
        <v>36851.142910000002</v>
      </c>
      <c r="AJ26" s="343">
        <v>136054.03950000001</v>
      </c>
      <c r="AK26" s="343">
        <v>478114</v>
      </c>
      <c r="AL26" s="343">
        <v>0</v>
      </c>
      <c r="AM26" s="343">
        <v>0</v>
      </c>
      <c r="AN26" s="343">
        <v>0</v>
      </c>
      <c r="AO26" s="343">
        <v>0</v>
      </c>
      <c r="AP26" s="343">
        <v>0</v>
      </c>
      <c r="AQ26" s="343">
        <v>0</v>
      </c>
      <c r="AR26" s="343">
        <v>146896.63260000001</v>
      </c>
      <c r="AS26" s="343">
        <v>0</v>
      </c>
      <c r="AT26" s="343">
        <v>0</v>
      </c>
      <c r="AU26" s="343">
        <v>0</v>
      </c>
      <c r="AV26" s="343">
        <v>0</v>
      </c>
      <c r="AW26" s="343">
        <v>0</v>
      </c>
      <c r="AX26" s="343">
        <v>8320.4342340000003</v>
      </c>
      <c r="AY26" s="343">
        <v>1715298.4646600001</v>
      </c>
      <c r="AZ26" s="343">
        <v>0</v>
      </c>
      <c r="BA26" s="343">
        <v>0</v>
      </c>
      <c r="BB26" s="343">
        <v>0</v>
      </c>
      <c r="BC26" s="343">
        <v>0</v>
      </c>
      <c r="BD26" s="343">
        <v>0</v>
      </c>
      <c r="BE26" s="343">
        <v>0</v>
      </c>
      <c r="BF26" s="343">
        <v>0</v>
      </c>
      <c r="BG26" s="343">
        <v>136054.03950000001</v>
      </c>
      <c r="BH26" s="343">
        <v>32.957528095000001</v>
      </c>
      <c r="BI26" s="343">
        <v>0</v>
      </c>
      <c r="BJ26" s="343">
        <v>0</v>
      </c>
      <c r="BK26" s="343">
        <v>0</v>
      </c>
      <c r="BL26" s="343">
        <v>0</v>
      </c>
      <c r="BM26" s="343">
        <v>0</v>
      </c>
      <c r="BN26" s="343">
        <v>0</v>
      </c>
      <c r="BO26" s="343">
        <v>0</v>
      </c>
      <c r="BP26" s="343">
        <v>0</v>
      </c>
    </row>
    <row r="27" spans="1:68" s="343" customFormat="1" x14ac:dyDescent="0.2">
      <c r="A27"/>
      <c r="B27" s="144">
        <f ca="1"/>
        <v>1</v>
      </c>
      <c r="C27"/>
      <c r="D27" s="341" t="s">
        <v>5</v>
      </c>
      <c r="E27" s="342">
        <v>43605</v>
      </c>
      <c r="F27" s="343">
        <v>9953995.2880000006</v>
      </c>
      <c r="G27" s="343">
        <v>2214.6884879999998</v>
      </c>
      <c r="H27" s="343">
        <v>5480.5230279999996</v>
      </c>
      <c r="I27" s="343">
        <v>0</v>
      </c>
      <c r="J27" s="343">
        <v>0</v>
      </c>
      <c r="K27" s="343">
        <v>2417.7410839999998</v>
      </c>
      <c r="L27" s="343">
        <v>43253.784350000002</v>
      </c>
      <c r="M27" s="343">
        <v>3833.9164099999998</v>
      </c>
      <c r="N27" s="343">
        <v>221.9565585</v>
      </c>
      <c r="O27" s="343">
        <v>145836.02830000001</v>
      </c>
      <c r="P27" s="343">
        <v>2625.0485090000002</v>
      </c>
      <c r="Q27" s="343">
        <v>6169.863859</v>
      </c>
      <c r="R27" s="343">
        <v>158784.375</v>
      </c>
      <c r="S27" s="343">
        <v>12024.19269</v>
      </c>
      <c r="T27" s="343">
        <v>47.562119690000003</v>
      </c>
      <c r="U27" s="343">
        <v>178148.32320000001</v>
      </c>
      <c r="V27" s="343">
        <v>3206.669817</v>
      </c>
      <c r="W27" s="343">
        <v>3198</v>
      </c>
      <c r="X27" s="343">
        <v>20.942121019999998</v>
      </c>
      <c r="Y27" s="343">
        <v>2.852857524</v>
      </c>
      <c r="Z27" s="343">
        <v>7.5920984699999998</v>
      </c>
      <c r="AA27" s="343">
        <v>289030005.39999998</v>
      </c>
      <c r="AB27" s="343">
        <v>0</v>
      </c>
      <c r="AC27" s="343">
        <v>0</v>
      </c>
      <c r="AD27" s="343">
        <v>19750.39662</v>
      </c>
      <c r="AE27" s="343">
        <v>0</v>
      </c>
      <c r="AF27" s="343">
        <v>0</v>
      </c>
      <c r="AG27" s="343">
        <v>77.713665489999997</v>
      </c>
      <c r="AH27" s="343">
        <v>0</v>
      </c>
      <c r="AI27" s="343">
        <v>21490.030699999999</v>
      </c>
      <c r="AJ27" s="343">
        <v>69175.357029999999</v>
      </c>
      <c r="AK27" s="343">
        <v>382228</v>
      </c>
      <c r="AL27" s="343">
        <v>0</v>
      </c>
      <c r="AM27" s="343">
        <v>0</v>
      </c>
      <c r="AN27" s="343">
        <v>0</v>
      </c>
      <c r="AO27" s="343">
        <v>0</v>
      </c>
      <c r="AP27" s="343">
        <v>0</v>
      </c>
      <c r="AQ27" s="343">
        <v>0</v>
      </c>
      <c r="AR27" s="343">
        <v>146896.63260000001</v>
      </c>
      <c r="AS27" s="343">
        <v>0</v>
      </c>
      <c r="AT27" s="343">
        <v>0</v>
      </c>
      <c r="AU27" s="343">
        <v>0</v>
      </c>
      <c r="AV27" s="343">
        <v>0</v>
      </c>
      <c r="AW27" s="343">
        <v>0</v>
      </c>
      <c r="AX27" s="343">
        <v>4241.9904120000001</v>
      </c>
      <c r="AY27" s="343">
        <v>1359130.1177959901</v>
      </c>
      <c r="AZ27" s="343">
        <v>0</v>
      </c>
      <c r="BA27" s="343">
        <v>0</v>
      </c>
      <c r="BB27" s="343">
        <v>0</v>
      </c>
      <c r="BC27" s="343">
        <v>0</v>
      </c>
      <c r="BD27" s="343">
        <v>0</v>
      </c>
      <c r="BE27" s="343">
        <v>0</v>
      </c>
      <c r="BF27" s="343">
        <v>0</v>
      </c>
      <c r="BG27" s="343">
        <v>69175.357029999999</v>
      </c>
      <c r="BH27" s="343">
        <v>31.387077013999999</v>
      </c>
      <c r="BI27" s="343">
        <v>0</v>
      </c>
      <c r="BJ27" s="343">
        <v>0</v>
      </c>
      <c r="BK27" s="343">
        <v>0</v>
      </c>
      <c r="BL27" s="343">
        <v>0</v>
      </c>
      <c r="BM27" s="343">
        <v>0</v>
      </c>
      <c r="BN27" s="343">
        <v>0</v>
      </c>
      <c r="BO27" s="343">
        <v>0</v>
      </c>
      <c r="BP27" s="343">
        <v>0</v>
      </c>
    </row>
    <row r="28" spans="1:68" s="343" customFormat="1" x14ac:dyDescent="0.2">
      <c r="A28"/>
      <c r="B28" s="144">
        <f ca="1"/>
        <v>1</v>
      </c>
      <c r="C28"/>
      <c r="D28" s="341" t="s">
        <v>5</v>
      </c>
      <c r="E28" s="342">
        <v>43612</v>
      </c>
      <c r="F28" s="343">
        <v>7779670.7589999996</v>
      </c>
      <c r="G28" s="343">
        <v>1723.6546559999999</v>
      </c>
      <c r="H28" s="343">
        <v>11291.22854</v>
      </c>
      <c r="I28" s="343">
        <v>0</v>
      </c>
      <c r="J28" s="343">
        <v>0</v>
      </c>
      <c r="K28" s="343">
        <v>4467.3161309999996</v>
      </c>
      <c r="L28" s="343">
        <v>70965.324909999996</v>
      </c>
      <c r="M28" s="343">
        <v>7898.8129689999996</v>
      </c>
      <c r="N28" s="343">
        <v>2469.7071040000001</v>
      </c>
      <c r="O28" s="343">
        <v>4204518.6849999996</v>
      </c>
      <c r="P28" s="343">
        <v>19855.88162</v>
      </c>
      <c r="Q28" s="343">
        <v>5153.8841359999997</v>
      </c>
      <c r="R28" s="343">
        <v>128043.39169999999</v>
      </c>
      <c r="S28" s="343">
        <v>9694.0760040000005</v>
      </c>
      <c r="T28" s="343">
        <v>62.094989589999997</v>
      </c>
      <c r="U28" s="343">
        <v>204948.69690000001</v>
      </c>
      <c r="V28" s="343">
        <v>3689.0765430000001</v>
      </c>
      <c r="W28" s="343">
        <v>38430</v>
      </c>
      <c r="X28" s="343">
        <v>20.154423009999999</v>
      </c>
      <c r="Y28" s="343">
        <v>3.6499201970000001</v>
      </c>
      <c r="Z28" s="343">
        <v>8.8003613279999993</v>
      </c>
      <c r="AA28" s="343">
        <v>267042304.5</v>
      </c>
      <c r="AB28" s="343">
        <v>0</v>
      </c>
      <c r="AC28" s="343">
        <v>0</v>
      </c>
      <c r="AD28" s="343">
        <v>0</v>
      </c>
      <c r="AE28" s="343">
        <v>0</v>
      </c>
      <c r="AF28" s="343">
        <v>0</v>
      </c>
      <c r="AG28" s="343">
        <v>14.354753499999999</v>
      </c>
      <c r="AH28" s="343">
        <v>0</v>
      </c>
      <c r="AI28" s="343">
        <v>16416.428629999999</v>
      </c>
      <c r="AJ28" s="343">
        <v>0</v>
      </c>
      <c r="AK28" s="343">
        <v>552615</v>
      </c>
      <c r="AL28" s="343">
        <v>0</v>
      </c>
      <c r="AM28" s="343">
        <v>0</v>
      </c>
      <c r="AN28" s="343">
        <v>0</v>
      </c>
      <c r="AO28" s="343">
        <v>0</v>
      </c>
      <c r="AP28" s="343">
        <v>0</v>
      </c>
      <c r="AQ28" s="343">
        <v>0</v>
      </c>
      <c r="AR28" s="343">
        <v>0</v>
      </c>
      <c r="AS28" s="343">
        <v>0</v>
      </c>
      <c r="AT28" s="343">
        <v>0</v>
      </c>
      <c r="AU28" s="343">
        <v>0</v>
      </c>
      <c r="AV28" s="343">
        <v>0</v>
      </c>
      <c r="AW28" s="343">
        <v>0</v>
      </c>
      <c r="AX28" s="343">
        <v>0</v>
      </c>
      <c r="AY28" s="343">
        <v>747212.86916399898</v>
      </c>
      <c r="AZ28" s="343">
        <v>0</v>
      </c>
      <c r="BA28" s="343">
        <v>0</v>
      </c>
      <c r="BB28" s="343">
        <v>0</v>
      </c>
      <c r="BC28" s="343">
        <v>0</v>
      </c>
      <c r="BD28" s="343">
        <v>0</v>
      </c>
      <c r="BE28" s="343">
        <v>0</v>
      </c>
      <c r="BF28" s="343">
        <v>0</v>
      </c>
      <c r="BG28" s="343">
        <v>0</v>
      </c>
      <c r="BH28" s="343">
        <v>32.604704534999897</v>
      </c>
      <c r="BI28" s="343">
        <v>0</v>
      </c>
      <c r="BJ28" s="343">
        <v>0</v>
      </c>
      <c r="BK28" s="343">
        <v>0</v>
      </c>
      <c r="BL28" s="343">
        <v>0</v>
      </c>
      <c r="BM28" s="343">
        <v>0</v>
      </c>
      <c r="BN28" s="343">
        <v>0</v>
      </c>
      <c r="BO28" s="343">
        <v>0</v>
      </c>
      <c r="BP28" s="343">
        <v>0</v>
      </c>
    </row>
    <row r="29" spans="1:68" s="343" customFormat="1" x14ac:dyDescent="0.2">
      <c r="A29"/>
      <c r="B29" s="144">
        <f ca="1"/>
        <v>1</v>
      </c>
      <c r="C29"/>
      <c r="D29" s="341" t="s">
        <v>5</v>
      </c>
      <c r="E29" s="342">
        <v>43619</v>
      </c>
      <c r="F29" s="343">
        <v>9289882.693</v>
      </c>
      <c r="G29" s="343">
        <v>1821.8614230000001</v>
      </c>
      <c r="H29" s="343">
        <v>6868.3042480000004</v>
      </c>
      <c r="I29" s="343">
        <v>0</v>
      </c>
      <c r="J29" s="343">
        <v>0</v>
      </c>
      <c r="K29" s="343">
        <v>2742.7489019999998</v>
      </c>
      <c r="L29" s="343">
        <v>48760.420870000002</v>
      </c>
      <c r="M29" s="343">
        <v>4804.7429460000003</v>
      </c>
      <c r="N29" s="343">
        <v>1750.5502389999999</v>
      </c>
      <c r="O29" s="343">
        <v>2885322.9619999998</v>
      </c>
      <c r="P29" s="343">
        <v>13883.499260000001</v>
      </c>
      <c r="Q29" s="343">
        <v>2430.5123939999999</v>
      </c>
      <c r="R29" s="343">
        <v>55961.678099999997</v>
      </c>
      <c r="S29" s="343">
        <v>4639.0065750000003</v>
      </c>
      <c r="T29" s="343">
        <v>36.111979759999997</v>
      </c>
      <c r="U29" s="343">
        <v>144750.02660000001</v>
      </c>
      <c r="V29" s="343">
        <v>2605.5004789999998</v>
      </c>
      <c r="W29" s="343">
        <v>0</v>
      </c>
      <c r="X29" s="343">
        <v>20.906967009999999</v>
      </c>
      <c r="Y29" s="343">
        <v>5.6769863259999997</v>
      </c>
      <c r="Z29" s="343">
        <v>7.4157467779999999</v>
      </c>
      <c r="AA29" s="343">
        <v>305597951.39999998</v>
      </c>
      <c r="AB29" s="343">
        <v>0</v>
      </c>
      <c r="AC29" s="343">
        <v>0</v>
      </c>
      <c r="AD29" s="343">
        <v>0</v>
      </c>
      <c r="AE29" s="343">
        <v>0</v>
      </c>
      <c r="AF29" s="343">
        <v>0</v>
      </c>
      <c r="AG29" s="343">
        <v>20.789643000000002</v>
      </c>
      <c r="AH29" s="343">
        <v>0</v>
      </c>
      <c r="AI29" s="343">
        <v>26620.5785</v>
      </c>
      <c r="AJ29" s="343">
        <v>0</v>
      </c>
      <c r="AK29" s="343">
        <v>208810</v>
      </c>
      <c r="AL29" s="343">
        <v>0</v>
      </c>
      <c r="AM29" s="343">
        <v>0</v>
      </c>
      <c r="AN29" s="343">
        <v>0</v>
      </c>
      <c r="AO29" s="343">
        <v>0</v>
      </c>
      <c r="AP29" s="343">
        <v>0</v>
      </c>
      <c r="AQ29" s="343">
        <v>0</v>
      </c>
      <c r="AR29" s="343">
        <v>0</v>
      </c>
      <c r="AS29" s="343">
        <v>0</v>
      </c>
      <c r="AT29" s="343">
        <v>0</v>
      </c>
      <c r="AU29" s="343">
        <v>0</v>
      </c>
      <c r="AV29" s="343">
        <v>0</v>
      </c>
      <c r="AW29" s="343">
        <v>0</v>
      </c>
      <c r="AX29" s="343">
        <v>13444.237150000001</v>
      </c>
      <c r="AY29" s="343">
        <v>2402321.5124511598</v>
      </c>
      <c r="AZ29" s="343">
        <v>0</v>
      </c>
      <c r="BA29" s="343">
        <v>0</v>
      </c>
      <c r="BB29" s="343">
        <v>0</v>
      </c>
      <c r="BC29" s="343">
        <v>0</v>
      </c>
      <c r="BD29" s="343">
        <v>0</v>
      </c>
      <c r="BE29" s="343">
        <v>0</v>
      </c>
      <c r="BF29" s="343">
        <v>0</v>
      </c>
      <c r="BG29" s="343">
        <v>0</v>
      </c>
      <c r="BH29" s="343">
        <v>33.999700113999999</v>
      </c>
      <c r="BI29" s="343">
        <v>0</v>
      </c>
      <c r="BJ29" s="343">
        <v>0</v>
      </c>
      <c r="BK29" s="343">
        <v>0</v>
      </c>
      <c r="BL29" s="343">
        <v>0</v>
      </c>
      <c r="BM29" s="343">
        <v>0</v>
      </c>
      <c r="BN29" s="343">
        <v>0</v>
      </c>
      <c r="BO29" s="343">
        <v>0</v>
      </c>
      <c r="BP29" s="343">
        <v>0</v>
      </c>
    </row>
    <row r="30" spans="1:68" s="343" customFormat="1" x14ac:dyDescent="0.2">
      <c r="A30"/>
      <c r="B30" s="144">
        <f ca="1"/>
        <v>1</v>
      </c>
      <c r="C30"/>
      <c r="D30" s="341" t="s">
        <v>5</v>
      </c>
      <c r="E30" s="342">
        <v>43626</v>
      </c>
      <c r="F30" s="343">
        <v>7877616.6009999998</v>
      </c>
      <c r="G30" s="343">
        <v>1889.8507219999999</v>
      </c>
      <c r="H30" s="343">
        <v>5410.6199550000001</v>
      </c>
      <c r="I30" s="343">
        <v>0</v>
      </c>
      <c r="J30" s="343">
        <v>0</v>
      </c>
      <c r="K30" s="343">
        <v>2537.086773</v>
      </c>
      <c r="L30" s="343">
        <v>41879.767549999997</v>
      </c>
      <c r="M30" s="343">
        <v>3785.015504</v>
      </c>
      <c r="N30" s="343">
        <v>906.76300400000002</v>
      </c>
      <c r="O30" s="343">
        <v>1386706.1880000001</v>
      </c>
      <c r="P30" s="343">
        <v>7514.2969590000002</v>
      </c>
      <c r="Q30" s="343">
        <v>1586.28477</v>
      </c>
      <c r="R30" s="343">
        <v>42219.748630000002</v>
      </c>
      <c r="S30" s="343">
        <v>3146.049254</v>
      </c>
      <c r="T30" s="343">
        <v>25.54261983</v>
      </c>
      <c r="U30" s="343">
        <v>97141.225560000006</v>
      </c>
      <c r="V30" s="343">
        <v>1748.54206</v>
      </c>
      <c r="W30" s="343">
        <v>0</v>
      </c>
      <c r="X30" s="343">
        <v>24.117739759999999</v>
      </c>
      <c r="Y30" s="343">
        <v>9.2095854179999996</v>
      </c>
      <c r="Z30" s="343">
        <v>7.2438223329999998</v>
      </c>
      <c r="AA30" s="343">
        <v>330777164.89999998</v>
      </c>
      <c r="AB30" s="343">
        <v>0</v>
      </c>
      <c r="AC30" s="343">
        <v>0</v>
      </c>
      <c r="AD30" s="343">
        <v>0</v>
      </c>
      <c r="AE30" s="343">
        <v>0</v>
      </c>
      <c r="AF30" s="343">
        <v>0</v>
      </c>
      <c r="AG30" s="343">
        <v>53.9540735</v>
      </c>
      <c r="AH30" s="343">
        <v>0</v>
      </c>
      <c r="AI30" s="343">
        <v>26620.544870000002</v>
      </c>
      <c r="AJ30" s="343">
        <v>0</v>
      </c>
      <c r="AK30" s="343">
        <v>567189</v>
      </c>
      <c r="AL30" s="343">
        <v>0</v>
      </c>
      <c r="AM30" s="343">
        <v>0</v>
      </c>
      <c r="AN30" s="343">
        <v>0</v>
      </c>
      <c r="AO30" s="343">
        <v>0</v>
      </c>
      <c r="AP30" s="343">
        <v>0</v>
      </c>
      <c r="AQ30" s="343">
        <v>0</v>
      </c>
      <c r="AR30" s="343">
        <v>0</v>
      </c>
      <c r="AS30" s="343">
        <v>0</v>
      </c>
      <c r="AT30" s="343">
        <v>0</v>
      </c>
      <c r="AU30" s="343">
        <v>0</v>
      </c>
      <c r="AV30" s="343">
        <v>0</v>
      </c>
      <c r="AW30" s="343">
        <v>0</v>
      </c>
      <c r="AX30" s="343">
        <v>17661.09506</v>
      </c>
      <c r="AY30" s="343">
        <v>4182764.0850925399</v>
      </c>
      <c r="AZ30" s="343">
        <v>0</v>
      </c>
      <c r="BA30" s="343">
        <v>0</v>
      </c>
      <c r="BB30" s="343">
        <v>0</v>
      </c>
      <c r="BC30" s="343">
        <v>0</v>
      </c>
      <c r="BD30" s="343">
        <v>0</v>
      </c>
      <c r="BE30" s="343">
        <v>0</v>
      </c>
      <c r="BF30" s="343">
        <v>0</v>
      </c>
      <c r="BG30" s="343">
        <v>0</v>
      </c>
      <c r="BH30" s="343">
        <v>40.5711475109999</v>
      </c>
      <c r="BI30" s="343">
        <v>0</v>
      </c>
      <c r="BJ30" s="343">
        <v>0</v>
      </c>
      <c r="BK30" s="343">
        <v>0</v>
      </c>
      <c r="BL30" s="343">
        <v>0</v>
      </c>
      <c r="BM30" s="343">
        <v>0</v>
      </c>
      <c r="BN30" s="343">
        <v>0</v>
      </c>
      <c r="BO30" s="343">
        <v>0</v>
      </c>
      <c r="BP30" s="343">
        <v>0</v>
      </c>
    </row>
    <row r="31" spans="1:68" s="343" customFormat="1" x14ac:dyDescent="0.2">
      <c r="A31"/>
      <c r="B31" s="144">
        <f ca="1"/>
        <v>1</v>
      </c>
      <c r="C31"/>
      <c r="D31" s="341" t="s">
        <v>5</v>
      </c>
      <c r="E31" s="342">
        <v>43633</v>
      </c>
      <c r="F31" s="343">
        <v>6779537.8909999998</v>
      </c>
      <c r="G31" s="343">
        <v>2083.1166020000001</v>
      </c>
      <c r="H31" s="343">
        <v>3525.0752219999999</v>
      </c>
      <c r="I31" s="343">
        <v>0</v>
      </c>
      <c r="J31" s="343">
        <v>0</v>
      </c>
      <c r="K31" s="343">
        <v>2142.0569460000002</v>
      </c>
      <c r="L31" s="343">
        <v>42621.824699999997</v>
      </c>
      <c r="M31" s="343">
        <v>2465.9770010000002</v>
      </c>
      <c r="N31" s="343">
        <v>101.7300893</v>
      </c>
      <c r="O31" s="343">
        <v>61842.205730000001</v>
      </c>
      <c r="P31" s="343">
        <v>1113.159703</v>
      </c>
      <c r="Q31" s="343">
        <v>1648.8201489999999</v>
      </c>
      <c r="R31" s="343">
        <v>42427.172319999998</v>
      </c>
      <c r="S31" s="343">
        <v>3237.2496179999998</v>
      </c>
      <c r="T31" s="343">
        <v>24.661839839999999</v>
      </c>
      <c r="U31" s="343">
        <v>100385.13830000001</v>
      </c>
      <c r="V31" s="343">
        <v>1806.932489</v>
      </c>
      <c r="W31" s="343">
        <v>0</v>
      </c>
      <c r="X31" s="343">
        <v>17.449087509999998</v>
      </c>
      <c r="Y31" s="343">
        <v>8.8265496550000009</v>
      </c>
      <c r="Z31" s="343">
        <v>8.5340934470000001</v>
      </c>
      <c r="AA31" s="343">
        <v>279751001.39999998</v>
      </c>
      <c r="AB31" s="343">
        <v>0</v>
      </c>
      <c r="AC31" s="343">
        <v>0</v>
      </c>
      <c r="AD31" s="343">
        <v>0</v>
      </c>
      <c r="AE31" s="343">
        <v>322613.1851</v>
      </c>
      <c r="AF31" s="343">
        <v>1947.12049</v>
      </c>
      <c r="AG31" s="343">
        <v>112.36307050000001</v>
      </c>
      <c r="AH31" s="343">
        <v>0</v>
      </c>
      <c r="AI31" s="343">
        <v>19098.04119</v>
      </c>
      <c r="AJ31" s="343">
        <v>0</v>
      </c>
      <c r="AK31" s="343">
        <v>508934</v>
      </c>
      <c r="AL31" s="343">
        <v>0</v>
      </c>
      <c r="AM31" s="343">
        <v>0</v>
      </c>
      <c r="AN31" s="343">
        <v>0</v>
      </c>
      <c r="AO31" s="343">
        <v>0</v>
      </c>
      <c r="AP31" s="343">
        <v>0</v>
      </c>
      <c r="AQ31" s="343">
        <v>0</v>
      </c>
      <c r="AR31" s="343">
        <v>0</v>
      </c>
      <c r="AS31" s="343">
        <v>0</v>
      </c>
      <c r="AT31" s="343">
        <v>0</v>
      </c>
      <c r="AU31" s="343">
        <v>0</v>
      </c>
      <c r="AV31" s="343">
        <v>0</v>
      </c>
      <c r="AW31" s="343">
        <v>0</v>
      </c>
      <c r="AX31" s="343">
        <v>5969.1952350000001</v>
      </c>
      <c r="AY31" s="343">
        <v>3420824.8234218601</v>
      </c>
      <c r="AZ31" s="343">
        <v>0</v>
      </c>
      <c r="BA31" s="343">
        <v>0</v>
      </c>
      <c r="BB31" s="343">
        <v>0</v>
      </c>
      <c r="BC31" s="343">
        <v>0</v>
      </c>
      <c r="BD31" s="343">
        <v>0</v>
      </c>
      <c r="BE31" s="343">
        <v>0</v>
      </c>
      <c r="BF31" s="343">
        <v>0</v>
      </c>
      <c r="BG31" s="343">
        <v>0</v>
      </c>
      <c r="BH31" s="343">
        <v>34.809730611999903</v>
      </c>
      <c r="BI31" s="343">
        <v>0</v>
      </c>
      <c r="BJ31" s="343">
        <v>0</v>
      </c>
      <c r="BK31" s="343">
        <v>0</v>
      </c>
      <c r="BL31" s="343">
        <v>0</v>
      </c>
      <c r="BM31" s="343">
        <v>0</v>
      </c>
      <c r="BN31" s="343">
        <v>0</v>
      </c>
      <c r="BO31" s="343">
        <v>0</v>
      </c>
      <c r="BP31" s="343">
        <v>0</v>
      </c>
    </row>
    <row r="32" spans="1:68" s="343" customFormat="1" x14ac:dyDescent="0.2">
      <c r="A32"/>
      <c r="B32" s="144">
        <f ca="1"/>
        <v>1</v>
      </c>
      <c r="C32"/>
      <c r="D32" s="341" t="s">
        <v>5</v>
      </c>
      <c r="E32" s="342">
        <v>43640</v>
      </c>
      <c r="F32" s="343">
        <v>8152210.6619999995</v>
      </c>
      <c r="G32" s="343">
        <v>2071.7850520000002</v>
      </c>
      <c r="H32" s="343">
        <v>3794.9675609999999</v>
      </c>
      <c r="I32" s="343">
        <v>0</v>
      </c>
      <c r="J32" s="343">
        <v>0</v>
      </c>
      <c r="K32" s="343">
        <v>1614.9101189999999</v>
      </c>
      <c r="L32" s="343">
        <v>39450.576330000004</v>
      </c>
      <c r="M32" s="343">
        <v>2654.7809999999999</v>
      </c>
      <c r="N32" s="343">
        <v>288.89583809999999</v>
      </c>
      <c r="O32" s="343">
        <v>135038.54639999999</v>
      </c>
      <c r="P32" s="343">
        <v>2430.6938340000002</v>
      </c>
      <c r="Q32" s="343">
        <v>1736.4577589999999</v>
      </c>
      <c r="R32" s="343">
        <v>45270.770530000002</v>
      </c>
      <c r="S32" s="343">
        <v>3392.619209</v>
      </c>
      <c r="T32" s="343">
        <v>26.423399830000001</v>
      </c>
      <c r="U32" s="343">
        <v>115328.0113</v>
      </c>
      <c r="V32" s="343">
        <v>2075.9042030000001</v>
      </c>
      <c r="W32" s="343">
        <v>0</v>
      </c>
      <c r="X32" s="343">
        <v>0</v>
      </c>
      <c r="Y32" s="343">
        <v>8.0116423529999992</v>
      </c>
      <c r="Z32" s="343">
        <v>7.6970894110000003</v>
      </c>
      <c r="AA32" s="343">
        <v>277170297</v>
      </c>
      <c r="AB32" s="343">
        <v>0</v>
      </c>
      <c r="AC32" s="343">
        <v>0</v>
      </c>
      <c r="AD32" s="343">
        <v>0</v>
      </c>
      <c r="AE32" s="343">
        <v>349689.22009999998</v>
      </c>
      <c r="AF32" s="343">
        <v>2161.3702990000002</v>
      </c>
      <c r="AG32" s="343">
        <v>72.763750490000007</v>
      </c>
      <c r="AH32" s="343">
        <v>0</v>
      </c>
      <c r="AI32" s="343">
        <v>291.69793010000001</v>
      </c>
      <c r="AJ32" s="343">
        <v>0</v>
      </c>
      <c r="AK32" s="343">
        <v>476393</v>
      </c>
      <c r="AL32" s="343">
        <v>0</v>
      </c>
      <c r="AM32" s="343">
        <v>0</v>
      </c>
      <c r="AN32" s="343">
        <v>0</v>
      </c>
      <c r="AO32" s="343">
        <v>0</v>
      </c>
      <c r="AP32" s="343">
        <v>0</v>
      </c>
      <c r="AQ32" s="343">
        <v>0</v>
      </c>
      <c r="AR32" s="343">
        <v>0</v>
      </c>
      <c r="AS32" s="343">
        <v>0</v>
      </c>
      <c r="AT32" s="343">
        <v>0</v>
      </c>
      <c r="AU32" s="343">
        <v>0</v>
      </c>
      <c r="AV32" s="343">
        <v>0</v>
      </c>
      <c r="AW32" s="343">
        <v>0</v>
      </c>
      <c r="AX32" s="343">
        <v>6456.3397599999998</v>
      </c>
      <c r="AY32" s="343">
        <v>3084272.7479454</v>
      </c>
      <c r="AZ32" s="343">
        <v>0</v>
      </c>
      <c r="BA32" s="343">
        <v>0</v>
      </c>
      <c r="BB32" s="343">
        <v>0</v>
      </c>
      <c r="BC32" s="343">
        <v>0</v>
      </c>
      <c r="BD32" s="343">
        <v>0</v>
      </c>
      <c r="BE32" s="343">
        <v>0</v>
      </c>
      <c r="BF32" s="343">
        <v>0</v>
      </c>
      <c r="BG32" s="343">
        <v>0</v>
      </c>
      <c r="BH32" s="343">
        <v>15.708731763999999</v>
      </c>
      <c r="BI32" s="343">
        <v>0</v>
      </c>
      <c r="BJ32" s="343">
        <v>0</v>
      </c>
      <c r="BK32" s="343">
        <v>0</v>
      </c>
      <c r="BL32" s="343">
        <v>0</v>
      </c>
      <c r="BM32" s="343">
        <v>0</v>
      </c>
      <c r="BN32" s="343">
        <v>0</v>
      </c>
      <c r="BO32" s="343">
        <v>0</v>
      </c>
      <c r="BP32" s="343">
        <v>0</v>
      </c>
    </row>
    <row r="33" spans="1:68" s="343" customFormat="1" x14ac:dyDescent="0.2">
      <c r="A33"/>
      <c r="B33" s="144">
        <f ca="1"/>
        <v>1</v>
      </c>
      <c r="C33"/>
      <c r="D33" s="341" t="s">
        <v>5</v>
      </c>
      <c r="E33" s="342">
        <v>43647</v>
      </c>
      <c r="F33" s="343">
        <v>6559549.4809999997</v>
      </c>
      <c r="G33" s="343">
        <v>1700.9915559999999</v>
      </c>
      <c r="H33" s="343">
        <v>4502.6417419999998</v>
      </c>
      <c r="I33" s="343">
        <v>0</v>
      </c>
      <c r="J33" s="343">
        <v>0</v>
      </c>
      <c r="K33" s="343">
        <v>1100.0942130000001</v>
      </c>
      <c r="L33" s="343">
        <v>33220.819430000003</v>
      </c>
      <c r="M33" s="343">
        <v>3149.8366080000001</v>
      </c>
      <c r="N33" s="343">
        <v>0.44038999699999998</v>
      </c>
      <c r="O33" s="343">
        <v>41.396659730000003</v>
      </c>
      <c r="P33" s="343">
        <v>0.74513987500000001</v>
      </c>
      <c r="Q33" s="343">
        <v>5287.7626950000003</v>
      </c>
      <c r="R33" s="343">
        <v>116205.2681</v>
      </c>
      <c r="S33" s="343">
        <v>9420.1402139999991</v>
      </c>
      <c r="T33" s="343">
        <v>0</v>
      </c>
      <c r="U33" s="343">
        <v>573.38777619999996</v>
      </c>
      <c r="V33" s="343">
        <v>10.32097997</v>
      </c>
      <c r="W33" s="343">
        <v>0</v>
      </c>
      <c r="X33" s="343">
        <v>0</v>
      </c>
      <c r="Y33" s="343">
        <v>7.4340940519999998</v>
      </c>
      <c r="Z33" s="343">
        <v>8.2970446019999997</v>
      </c>
      <c r="AA33" s="343">
        <v>250162302.5</v>
      </c>
      <c r="AB33" s="343">
        <v>0</v>
      </c>
      <c r="AC33" s="343">
        <v>32341.274460000001</v>
      </c>
      <c r="AD33" s="343">
        <v>0</v>
      </c>
      <c r="AE33" s="343">
        <v>0</v>
      </c>
      <c r="AF33" s="343">
        <v>0</v>
      </c>
      <c r="AG33" s="343">
        <v>0</v>
      </c>
      <c r="AH33" s="343">
        <v>0</v>
      </c>
      <c r="AI33" s="343">
        <v>291.69829820000001</v>
      </c>
      <c r="AJ33" s="343">
        <v>86858.472070000003</v>
      </c>
      <c r="AK33" s="343">
        <v>273099</v>
      </c>
      <c r="AL33" s="343">
        <v>0</v>
      </c>
      <c r="AM33" s="343">
        <v>0</v>
      </c>
      <c r="AN33" s="343">
        <v>0</v>
      </c>
      <c r="AO33" s="343">
        <v>0</v>
      </c>
      <c r="AP33" s="343">
        <v>0</v>
      </c>
      <c r="AQ33" s="343">
        <v>0</v>
      </c>
      <c r="AR33" s="343">
        <v>0</v>
      </c>
      <c r="AS33" s="343">
        <v>0</v>
      </c>
      <c r="AT33" s="343">
        <v>0</v>
      </c>
      <c r="AU33" s="343">
        <v>0</v>
      </c>
      <c r="AV33" s="343">
        <v>0</v>
      </c>
      <c r="AW33" s="343">
        <v>0</v>
      </c>
      <c r="AX33" s="343">
        <v>6404.138003</v>
      </c>
      <c r="AY33" s="343">
        <v>3160890.2166984999</v>
      </c>
      <c r="AZ33" s="343">
        <v>0</v>
      </c>
      <c r="BA33" s="343">
        <v>0</v>
      </c>
      <c r="BB33" s="343">
        <v>0</v>
      </c>
      <c r="BC33" s="343">
        <v>0</v>
      </c>
      <c r="BD33" s="343">
        <v>0</v>
      </c>
      <c r="BE33" s="343">
        <v>0</v>
      </c>
      <c r="BF33" s="343">
        <v>0</v>
      </c>
      <c r="BG33" s="343">
        <v>86858.472070000003</v>
      </c>
      <c r="BH33" s="343">
        <v>15.731138653999899</v>
      </c>
      <c r="BI33" s="343">
        <v>0</v>
      </c>
      <c r="BJ33" s="343">
        <v>0</v>
      </c>
      <c r="BK33" s="343">
        <v>0</v>
      </c>
      <c r="BL33" s="343">
        <v>0</v>
      </c>
      <c r="BM33" s="343">
        <v>0</v>
      </c>
      <c r="BN33" s="343">
        <v>0</v>
      </c>
      <c r="BO33" s="343">
        <v>0</v>
      </c>
      <c r="BP33" s="343">
        <v>0</v>
      </c>
    </row>
    <row r="34" spans="1:68" s="343" customFormat="1" x14ac:dyDescent="0.2">
      <c r="A34"/>
      <c r="B34" s="144">
        <f ca="1"/>
        <v>1</v>
      </c>
      <c r="C34"/>
      <c r="D34" s="341" t="s">
        <v>5</v>
      </c>
      <c r="E34" s="342">
        <v>43654</v>
      </c>
      <c r="F34" s="343">
        <v>9809436.0380000006</v>
      </c>
      <c r="G34" s="343">
        <v>1620.4116449999999</v>
      </c>
      <c r="H34" s="343">
        <v>4829.4310530000002</v>
      </c>
      <c r="I34" s="343">
        <v>0</v>
      </c>
      <c r="J34" s="343">
        <v>0</v>
      </c>
      <c r="K34" s="343">
        <v>1299.5908810000001</v>
      </c>
      <c r="L34" s="343">
        <v>41215.659440000003</v>
      </c>
      <c r="M34" s="343">
        <v>3378.4430550000002</v>
      </c>
      <c r="N34" s="343">
        <v>0</v>
      </c>
      <c r="O34" s="343">
        <v>0</v>
      </c>
      <c r="P34" s="343">
        <v>0</v>
      </c>
      <c r="Q34" s="343">
        <v>5671.7827729999999</v>
      </c>
      <c r="R34" s="343">
        <v>126888.6891</v>
      </c>
      <c r="S34" s="343">
        <v>10174.40497</v>
      </c>
      <c r="T34" s="343">
        <v>0</v>
      </c>
      <c r="U34" s="343">
        <v>0</v>
      </c>
      <c r="V34" s="343">
        <v>0</v>
      </c>
      <c r="W34" s="343">
        <v>0</v>
      </c>
      <c r="X34" s="343">
        <v>0</v>
      </c>
      <c r="Y34" s="343">
        <v>7.7314316639999996</v>
      </c>
      <c r="Z34" s="343">
        <v>5.5842532350000003</v>
      </c>
      <c r="AA34" s="343">
        <v>286625083.89999998</v>
      </c>
      <c r="AB34" s="343">
        <v>0</v>
      </c>
      <c r="AC34" s="343">
        <v>32341.274460000001</v>
      </c>
      <c r="AD34" s="343">
        <v>0</v>
      </c>
      <c r="AE34" s="343">
        <v>0</v>
      </c>
      <c r="AF34" s="343">
        <v>0</v>
      </c>
      <c r="AG34" s="343">
        <v>0</v>
      </c>
      <c r="AH34" s="343">
        <v>0</v>
      </c>
      <c r="AI34" s="343">
        <v>291.69866580000001</v>
      </c>
      <c r="AJ34" s="343">
        <v>49266.731379999997</v>
      </c>
      <c r="AK34" s="343">
        <v>512532</v>
      </c>
      <c r="AL34" s="343">
        <v>0</v>
      </c>
      <c r="AM34" s="343">
        <v>0</v>
      </c>
      <c r="AN34" s="343">
        <v>0</v>
      </c>
      <c r="AO34" s="343">
        <v>0</v>
      </c>
      <c r="AP34" s="343">
        <v>0</v>
      </c>
      <c r="AQ34" s="343">
        <v>0</v>
      </c>
      <c r="AR34" s="343">
        <v>0</v>
      </c>
      <c r="AS34" s="343">
        <v>0</v>
      </c>
      <c r="AT34" s="343">
        <v>0</v>
      </c>
      <c r="AU34" s="343">
        <v>0</v>
      </c>
      <c r="AV34" s="343">
        <v>0</v>
      </c>
      <c r="AW34" s="343">
        <v>0</v>
      </c>
      <c r="AX34" s="343">
        <v>7229.5536949999996</v>
      </c>
      <c r="AY34" s="343">
        <v>3418729.9370376999</v>
      </c>
      <c r="AZ34" s="343">
        <v>0</v>
      </c>
      <c r="BA34" s="343">
        <v>0</v>
      </c>
      <c r="BB34" s="343">
        <v>0</v>
      </c>
      <c r="BC34" s="343">
        <v>0</v>
      </c>
      <c r="BD34" s="343">
        <v>0</v>
      </c>
      <c r="BE34" s="343">
        <v>0</v>
      </c>
      <c r="BF34" s="343">
        <v>0</v>
      </c>
      <c r="BG34" s="343">
        <v>49266.731379999997</v>
      </c>
      <c r="BH34" s="343">
        <v>13.315684899000001</v>
      </c>
      <c r="BI34" s="343">
        <v>0</v>
      </c>
      <c r="BJ34" s="343">
        <v>0</v>
      </c>
      <c r="BK34" s="343">
        <v>1</v>
      </c>
      <c r="BL34" s="343">
        <v>0</v>
      </c>
      <c r="BM34" s="343">
        <v>0</v>
      </c>
      <c r="BN34" s="343">
        <v>0</v>
      </c>
      <c r="BO34" s="343">
        <v>0</v>
      </c>
      <c r="BP34" s="343">
        <v>0</v>
      </c>
    </row>
    <row r="35" spans="1:68" s="343" customFormat="1" x14ac:dyDescent="0.2">
      <c r="A35"/>
      <c r="B35" s="144">
        <f ca="1"/>
        <v>1</v>
      </c>
      <c r="C35"/>
      <c r="D35" s="341" t="s">
        <v>5</v>
      </c>
      <c r="E35" s="342">
        <v>43661</v>
      </c>
      <c r="F35" s="343">
        <v>8647284.5350000001</v>
      </c>
      <c r="G35" s="343">
        <v>1457.992763</v>
      </c>
      <c r="H35" s="343">
        <v>5723.5470029999997</v>
      </c>
      <c r="I35" s="343">
        <v>0</v>
      </c>
      <c r="J35" s="343">
        <v>0</v>
      </c>
      <c r="K35" s="343">
        <v>1496.8856000000001</v>
      </c>
      <c r="L35" s="343">
        <v>42978.5406</v>
      </c>
      <c r="M35" s="343">
        <v>4003.9245639999999</v>
      </c>
      <c r="N35" s="343">
        <v>0</v>
      </c>
      <c r="O35" s="343">
        <v>0</v>
      </c>
      <c r="P35" s="343">
        <v>0</v>
      </c>
      <c r="Q35" s="343">
        <v>5503.9941840000001</v>
      </c>
      <c r="R35" s="343">
        <v>125268.9347</v>
      </c>
      <c r="S35" s="343">
        <v>10088.436439999999</v>
      </c>
      <c r="T35" s="343">
        <v>0</v>
      </c>
      <c r="U35" s="343">
        <v>0</v>
      </c>
      <c r="V35" s="343">
        <v>0</v>
      </c>
      <c r="W35" s="343">
        <v>0</v>
      </c>
      <c r="X35" s="343">
        <v>0</v>
      </c>
      <c r="Y35" s="343">
        <v>8.0324217600000001</v>
      </c>
      <c r="Z35" s="343">
        <v>6.636966589</v>
      </c>
      <c r="AA35" s="343">
        <v>289366211.60000002</v>
      </c>
      <c r="AB35" s="343">
        <v>0</v>
      </c>
      <c r="AC35" s="343">
        <v>32341.274460000001</v>
      </c>
      <c r="AD35" s="343">
        <v>0</v>
      </c>
      <c r="AE35" s="343">
        <v>0</v>
      </c>
      <c r="AF35" s="343">
        <v>0</v>
      </c>
      <c r="AG35" s="343">
        <v>0</v>
      </c>
      <c r="AH35" s="343">
        <v>0</v>
      </c>
      <c r="AI35" s="343">
        <v>291.69866580000001</v>
      </c>
      <c r="AJ35" s="343">
        <v>0</v>
      </c>
      <c r="AK35" s="343">
        <v>291780</v>
      </c>
      <c r="AL35" s="343">
        <v>0</v>
      </c>
      <c r="AM35" s="343">
        <v>0</v>
      </c>
      <c r="AN35" s="343">
        <v>0</v>
      </c>
      <c r="AO35" s="343">
        <v>0</v>
      </c>
      <c r="AP35" s="343">
        <v>0</v>
      </c>
      <c r="AQ35" s="343">
        <v>0</v>
      </c>
      <c r="AR35" s="343">
        <v>0</v>
      </c>
      <c r="AS35" s="343">
        <v>0</v>
      </c>
      <c r="AT35" s="343">
        <v>0</v>
      </c>
      <c r="AU35" s="343">
        <v>0</v>
      </c>
      <c r="AV35" s="343">
        <v>0</v>
      </c>
      <c r="AW35" s="343">
        <v>0</v>
      </c>
      <c r="AX35" s="343">
        <v>29253.107960000001</v>
      </c>
      <c r="AY35" s="343">
        <v>8324731.8089207299</v>
      </c>
      <c r="AZ35" s="343">
        <v>0</v>
      </c>
      <c r="BA35" s="343">
        <v>0</v>
      </c>
      <c r="BB35" s="343">
        <v>0</v>
      </c>
      <c r="BC35" s="343">
        <v>0</v>
      </c>
      <c r="BD35" s="343">
        <v>0</v>
      </c>
      <c r="BE35" s="343">
        <v>0</v>
      </c>
      <c r="BF35" s="343">
        <v>0</v>
      </c>
      <c r="BG35" s="343">
        <v>0</v>
      </c>
      <c r="BH35" s="343">
        <v>14.669388349</v>
      </c>
      <c r="BI35" s="343">
        <v>0</v>
      </c>
      <c r="BJ35" s="343">
        <v>0</v>
      </c>
      <c r="BK35" s="343">
        <v>0</v>
      </c>
      <c r="BL35" s="343">
        <v>0</v>
      </c>
      <c r="BM35" s="343">
        <v>0</v>
      </c>
      <c r="BN35" s="343">
        <v>0</v>
      </c>
      <c r="BO35" s="343">
        <v>0</v>
      </c>
      <c r="BP35" s="343">
        <v>0</v>
      </c>
    </row>
    <row r="36" spans="1:68" s="343" customFormat="1" x14ac:dyDescent="0.2">
      <c r="A36"/>
      <c r="B36" s="144">
        <f ca="1"/>
        <v>1</v>
      </c>
      <c r="C36"/>
      <c r="D36" s="341" t="s">
        <v>5</v>
      </c>
      <c r="E36" s="342">
        <v>43668</v>
      </c>
      <c r="F36" s="343">
        <v>7670843.8949999996</v>
      </c>
      <c r="G36" s="343">
        <v>1340.2705490000001</v>
      </c>
      <c r="H36" s="343">
        <v>4548.7359690000003</v>
      </c>
      <c r="I36" s="343">
        <v>0</v>
      </c>
      <c r="J36" s="343">
        <v>0</v>
      </c>
      <c r="K36" s="343">
        <v>1653.2240489999999</v>
      </c>
      <c r="L36" s="343">
        <v>47067.121330000002</v>
      </c>
      <c r="M36" s="343">
        <v>3182.0819630000001</v>
      </c>
      <c r="N36" s="343">
        <v>153.255719</v>
      </c>
      <c r="O36" s="343">
        <v>234603.67850000001</v>
      </c>
      <c r="P36" s="343">
        <v>1054.224287</v>
      </c>
      <c r="Q36" s="343">
        <v>5654.1671729999998</v>
      </c>
      <c r="R36" s="343">
        <v>131440.5601</v>
      </c>
      <c r="S36" s="343">
        <v>10722.192880000001</v>
      </c>
      <c r="T36" s="343">
        <v>0</v>
      </c>
      <c r="U36" s="343">
        <v>0</v>
      </c>
      <c r="V36" s="343">
        <v>0</v>
      </c>
      <c r="W36" s="343">
        <v>2457</v>
      </c>
      <c r="X36" s="343">
        <v>0</v>
      </c>
      <c r="Y36" s="343">
        <v>8.2399633580000007</v>
      </c>
      <c r="Z36" s="343">
        <v>6.2542399370000004</v>
      </c>
      <c r="AA36" s="343">
        <v>280741900.80000001</v>
      </c>
      <c r="AB36" s="343">
        <v>0</v>
      </c>
      <c r="AC36" s="343">
        <v>32341.274460000001</v>
      </c>
      <c r="AD36" s="343">
        <v>0</v>
      </c>
      <c r="AE36" s="343">
        <v>0</v>
      </c>
      <c r="AF36" s="343">
        <v>0</v>
      </c>
      <c r="AG36" s="343">
        <v>0</v>
      </c>
      <c r="AH36" s="343">
        <v>0</v>
      </c>
      <c r="AI36" s="343">
        <v>291.69866580000001</v>
      </c>
      <c r="AJ36" s="343">
        <v>21165.404310000002</v>
      </c>
      <c r="AK36" s="343">
        <v>264364</v>
      </c>
      <c r="AL36" s="343">
        <v>0</v>
      </c>
      <c r="AM36" s="343">
        <v>0</v>
      </c>
      <c r="AN36" s="343">
        <v>0</v>
      </c>
      <c r="AO36" s="343">
        <v>0</v>
      </c>
      <c r="AP36" s="343">
        <v>0</v>
      </c>
      <c r="AQ36" s="343">
        <v>0</v>
      </c>
      <c r="AR36" s="343">
        <v>0</v>
      </c>
      <c r="AS36" s="343">
        <v>0</v>
      </c>
      <c r="AT36" s="343">
        <v>0</v>
      </c>
      <c r="AU36" s="343">
        <v>0</v>
      </c>
      <c r="AV36" s="343">
        <v>0</v>
      </c>
      <c r="AW36" s="343">
        <v>6611.4389019999999</v>
      </c>
      <c r="AX36" s="343">
        <v>15597.018690000001</v>
      </c>
      <c r="AY36" s="343">
        <v>6792616.69548799</v>
      </c>
      <c r="AZ36" s="343">
        <v>620485.76020000002</v>
      </c>
      <c r="BA36" s="343">
        <v>0</v>
      </c>
      <c r="BB36" s="343">
        <v>0</v>
      </c>
      <c r="BC36" s="343">
        <v>0</v>
      </c>
      <c r="BD36" s="343">
        <v>0</v>
      </c>
      <c r="BE36" s="343">
        <v>0</v>
      </c>
      <c r="BF36" s="343">
        <v>0</v>
      </c>
      <c r="BG36" s="343">
        <v>21165.404310000002</v>
      </c>
      <c r="BH36" s="343">
        <v>14.494203295</v>
      </c>
      <c r="BI36" s="343">
        <v>0</v>
      </c>
      <c r="BJ36" s="343">
        <v>0</v>
      </c>
      <c r="BK36" s="343">
        <v>0</v>
      </c>
      <c r="BL36" s="343">
        <v>0</v>
      </c>
      <c r="BM36" s="343">
        <v>0</v>
      </c>
      <c r="BN36" s="343">
        <v>0</v>
      </c>
      <c r="BO36" s="343">
        <v>0</v>
      </c>
      <c r="BP36" s="343">
        <v>0</v>
      </c>
    </row>
    <row r="37" spans="1:68" s="343" customFormat="1" x14ac:dyDescent="0.2">
      <c r="A37"/>
      <c r="B37" s="144">
        <f ca="1"/>
        <v>1</v>
      </c>
      <c r="C37"/>
      <c r="D37" s="341" t="s">
        <v>5</v>
      </c>
      <c r="E37" s="342">
        <v>43675</v>
      </c>
      <c r="F37" s="343">
        <v>7169139.9129999997</v>
      </c>
      <c r="G37" s="343">
        <v>1740.022451</v>
      </c>
      <c r="H37" s="343">
        <v>4278.83104</v>
      </c>
      <c r="I37" s="343">
        <v>0</v>
      </c>
      <c r="J37" s="343">
        <v>0</v>
      </c>
      <c r="K37" s="343">
        <v>1666.435749</v>
      </c>
      <c r="L37" s="343">
        <v>44111.223669999999</v>
      </c>
      <c r="M37" s="343">
        <v>2993.2691559999998</v>
      </c>
      <c r="N37" s="343">
        <v>1083.359393</v>
      </c>
      <c r="O37" s="343">
        <v>743134.7794</v>
      </c>
      <c r="P37" s="343">
        <v>4005.6424630000001</v>
      </c>
      <c r="Q37" s="343">
        <v>5481.0939040000003</v>
      </c>
      <c r="R37" s="343">
        <v>129395.389</v>
      </c>
      <c r="S37" s="343">
        <v>10652.84907</v>
      </c>
      <c r="T37" s="343">
        <v>66.058499569999995</v>
      </c>
      <c r="U37" s="343">
        <v>18722.74034</v>
      </c>
      <c r="V37" s="343">
        <v>523.02508</v>
      </c>
      <c r="W37" s="343">
        <v>5481</v>
      </c>
      <c r="X37" s="343">
        <v>0</v>
      </c>
      <c r="Y37" s="343">
        <v>8.5712049500000003</v>
      </c>
      <c r="Z37" s="343">
        <v>6.5639952839999998</v>
      </c>
      <c r="AA37" s="343">
        <v>290751832.5</v>
      </c>
      <c r="AB37" s="343">
        <v>0</v>
      </c>
      <c r="AC37" s="343">
        <v>0</v>
      </c>
      <c r="AD37" s="343">
        <v>0</v>
      </c>
      <c r="AE37" s="343">
        <v>0</v>
      </c>
      <c r="AF37" s="343">
        <v>0</v>
      </c>
      <c r="AG37" s="343">
        <v>0</v>
      </c>
      <c r="AH37" s="343">
        <v>0</v>
      </c>
      <c r="AI37" s="343">
        <v>12580.588369999999</v>
      </c>
      <c r="AJ37" s="343">
        <v>17348.691470000002</v>
      </c>
      <c r="AK37" s="343">
        <v>244009</v>
      </c>
      <c r="AL37" s="343">
        <v>0</v>
      </c>
      <c r="AM37" s="343">
        <v>0</v>
      </c>
      <c r="AN37" s="343">
        <v>0</v>
      </c>
      <c r="AO37" s="343">
        <v>0</v>
      </c>
      <c r="AP37" s="343">
        <v>0</v>
      </c>
      <c r="AQ37" s="343">
        <v>0</v>
      </c>
      <c r="AR37" s="343">
        <v>0</v>
      </c>
      <c r="AS37" s="343">
        <v>0</v>
      </c>
      <c r="AT37" s="343">
        <v>0</v>
      </c>
      <c r="AU37" s="343">
        <v>0</v>
      </c>
      <c r="AV37" s="343">
        <v>0</v>
      </c>
      <c r="AW37" s="343">
        <v>8900.6549479999994</v>
      </c>
      <c r="AX37" s="343">
        <v>33752.82374</v>
      </c>
      <c r="AY37" s="343">
        <v>12995156.709832</v>
      </c>
      <c r="AZ37" s="343">
        <v>1020849.273</v>
      </c>
      <c r="BA37" s="343">
        <v>0</v>
      </c>
      <c r="BB37" s="343">
        <v>0</v>
      </c>
      <c r="BC37" s="343">
        <v>0</v>
      </c>
      <c r="BD37" s="343">
        <v>0</v>
      </c>
      <c r="BE37" s="343">
        <v>0</v>
      </c>
      <c r="BF37" s="343">
        <v>0</v>
      </c>
      <c r="BG37" s="343">
        <v>17348.691470000002</v>
      </c>
      <c r="BH37" s="343">
        <v>15.135200233999999</v>
      </c>
      <c r="BI37" s="343">
        <v>0</v>
      </c>
      <c r="BJ37" s="343">
        <v>0</v>
      </c>
      <c r="BK37" s="343">
        <v>0</v>
      </c>
      <c r="BL37" s="343">
        <v>0</v>
      </c>
      <c r="BM37" s="343">
        <v>0</v>
      </c>
      <c r="BN37" s="343">
        <v>0</v>
      </c>
      <c r="BO37" s="343">
        <v>0</v>
      </c>
      <c r="BP37" s="343">
        <v>0</v>
      </c>
    </row>
    <row r="38" spans="1:68" s="343" customFormat="1" x14ac:dyDescent="0.2">
      <c r="A38"/>
      <c r="B38" s="144">
        <f ca="1"/>
        <v>1</v>
      </c>
      <c r="C38"/>
      <c r="D38" s="341" t="s">
        <v>5</v>
      </c>
      <c r="E38" s="342">
        <v>43682</v>
      </c>
      <c r="F38" s="343">
        <v>16286039.140000001</v>
      </c>
      <c r="G38" s="343">
        <v>1710.4345149999999</v>
      </c>
      <c r="H38" s="343">
        <v>6115.7697189999999</v>
      </c>
      <c r="I38" s="343">
        <v>0</v>
      </c>
      <c r="J38" s="343">
        <v>0</v>
      </c>
      <c r="K38" s="343">
        <v>2613.714633</v>
      </c>
      <c r="L38" s="343">
        <v>56889.139439999999</v>
      </c>
      <c r="M38" s="343">
        <v>4278.3051480000004</v>
      </c>
      <c r="N38" s="343">
        <v>1211.953272</v>
      </c>
      <c r="O38" s="343">
        <v>1212994.3540000001</v>
      </c>
      <c r="P38" s="343">
        <v>6005.0112849999996</v>
      </c>
      <c r="Q38" s="343">
        <v>5827.680832</v>
      </c>
      <c r="R38" s="343">
        <v>131048.613</v>
      </c>
      <c r="S38" s="343">
        <v>11488.114750000001</v>
      </c>
      <c r="T38" s="343">
        <v>77.508639489999993</v>
      </c>
      <c r="U38" s="343">
        <v>18936.76988</v>
      </c>
      <c r="V38" s="343">
        <v>522.97971989999996</v>
      </c>
      <c r="W38" s="343">
        <v>0</v>
      </c>
      <c r="X38" s="343">
        <v>0</v>
      </c>
      <c r="Y38" s="343">
        <v>8.341672999</v>
      </c>
      <c r="Z38" s="343">
        <v>6.3279099289999996</v>
      </c>
      <c r="AA38" s="343">
        <v>297056853.39999998</v>
      </c>
      <c r="AB38" s="343">
        <v>0</v>
      </c>
      <c r="AC38" s="343">
        <v>0</v>
      </c>
      <c r="AD38" s="343">
        <v>5760.5323490000001</v>
      </c>
      <c r="AE38" s="343">
        <v>0</v>
      </c>
      <c r="AF38" s="343">
        <v>0</v>
      </c>
      <c r="AG38" s="343">
        <v>0</v>
      </c>
      <c r="AH38" s="343">
        <v>0</v>
      </c>
      <c r="AI38" s="343">
        <v>21797.254809999999</v>
      </c>
      <c r="AJ38" s="343">
        <v>206293.87040000001</v>
      </c>
      <c r="AK38" s="343">
        <v>349192</v>
      </c>
      <c r="AL38" s="343">
        <v>0</v>
      </c>
      <c r="AM38" s="343">
        <v>0</v>
      </c>
      <c r="AN38" s="343">
        <v>0</v>
      </c>
      <c r="AO38" s="343">
        <v>0</v>
      </c>
      <c r="AP38" s="343">
        <v>0</v>
      </c>
      <c r="AQ38" s="343">
        <v>0</v>
      </c>
      <c r="AR38" s="343">
        <v>145949.93040000001</v>
      </c>
      <c r="AS38" s="343">
        <v>0</v>
      </c>
      <c r="AT38" s="343">
        <v>0</v>
      </c>
      <c r="AU38" s="343">
        <v>0</v>
      </c>
      <c r="AV38" s="343">
        <v>0</v>
      </c>
      <c r="AW38" s="343">
        <v>7658.683943</v>
      </c>
      <c r="AX38" s="343">
        <v>28119.24798</v>
      </c>
      <c r="AY38" s="343">
        <v>16747631.257503999</v>
      </c>
      <c r="AZ38" s="343">
        <v>923289.98939999996</v>
      </c>
      <c r="BA38" s="343">
        <v>0</v>
      </c>
      <c r="BB38" s="343">
        <v>0</v>
      </c>
      <c r="BC38" s="343">
        <v>0</v>
      </c>
      <c r="BD38" s="343">
        <v>0</v>
      </c>
      <c r="BE38" s="343">
        <v>0</v>
      </c>
      <c r="BF38" s="343">
        <v>0</v>
      </c>
      <c r="BG38" s="343">
        <v>206293.87040000001</v>
      </c>
      <c r="BH38" s="343">
        <v>14.669582928000001</v>
      </c>
      <c r="BI38" s="343">
        <v>0</v>
      </c>
      <c r="BJ38" s="343">
        <v>0</v>
      </c>
      <c r="BK38" s="343">
        <v>0</v>
      </c>
      <c r="BL38" s="343">
        <v>0</v>
      </c>
      <c r="BM38" s="343">
        <v>0</v>
      </c>
      <c r="BN38" s="343">
        <v>1.5</v>
      </c>
      <c r="BO38" s="343">
        <v>0</v>
      </c>
      <c r="BP38" s="343">
        <v>0</v>
      </c>
    </row>
    <row r="39" spans="1:68" s="343" customFormat="1" x14ac:dyDescent="0.2">
      <c r="A39"/>
      <c r="B39" s="144">
        <f ca="1"/>
        <v>1</v>
      </c>
      <c r="C39"/>
      <c r="D39" s="341" t="s">
        <v>5</v>
      </c>
      <c r="E39" s="342">
        <v>43689</v>
      </c>
      <c r="F39" s="343">
        <v>9260269.5020000003</v>
      </c>
      <c r="G39" s="343">
        <v>1841.3768700000001</v>
      </c>
      <c r="H39" s="343">
        <v>5839.78982</v>
      </c>
      <c r="I39" s="343">
        <v>0</v>
      </c>
      <c r="J39" s="343">
        <v>0</v>
      </c>
      <c r="K39" s="343">
        <v>3433.7208070000001</v>
      </c>
      <c r="L39" s="343">
        <v>72267.117750000005</v>
      </c>
      <c r="M39" s="343">
        <v>4085.242577</v>
      </c>
      <c r="N39" s="343">
        <v>1195.658842</v>
      </c>
      <c r="O39" s="343">
        <v>1136390.716</v>
      </c>
      <c r="P39" s="343">
        <v>5738.9828779999998</v>
      </c>
      <c r="Q39" s="343">
        <v>5801.2574320000003</v>
      </c>
      <c r="R39" s="343">
        <v>132384.31589999999</v>
      </c>
      <c r="S39" s="343">
        <v>11724.080120000001</v>
      </c>
      <c r="T39" s="343">
        <v>147.090259</v>
      </c>
      <c r="U39" s="343">
        <v>43957.087169999999</v>
      </c>
      <c r="V39" s="343">
        <v>798.41596159999995</v>
      </c>
      <c r="W39" s="343">
        <v>0</v>
      </c>
      <c r="X39" s="343">
        <v>0</v>
      </c>
      <c r="Y39" s="343">
        <v>7.9233789359999998</v>
      </c>
      <c r="Z39" s="343">
        <v>7.2773384090000004</v>
      </c>
      <c r="AA39" s="343">
        <v>271317513.30000001</v>
      </c>
      <c r="AB39" s="343">
        <v>0</v>
      </c>
      <c r="AC39" s="343">
        <v>0</v>
      </c>
      <c r="AD39" s="343">
        <v>5760.5323490000001</v>
      </c>
      <c r="AE39" s="343">
        <v>0</v>
      </c>
      <c r="AF39" s="343">
        <v>0</v>
      </c>
      <c r="AG39" s="343">
        <v>0</v>
      </c>
      <c r="AH39" s="343">
        <v>0</v>
      </c>
      <c r="AI39" s="343">
        <v>21797.25518</v>
      </c>
      <c r="AJ39" s="343">
        <v>0</v>
      </c>
      <c r="AK39" s="343">
        <v>541877</v>
      </c>
      <c r="AL39" s="343">
        <v>0</v>
      </c>
      <c r="AM39" s="343">
        <v>0</v>
      </c>
      <c r="AN39" s="343">
        <v>0</v>
      </c>
      <c r="AO39" s="343">
        <v>0</v>
      </c>
      <c r="AP39" s="343">
        <v>0</v>
      </c>
      <c r="AQ39" s="343">
        <v>0</v>
      </c>
      <c r="AR39" s="343">
        <v>145949.93040000001</v>
      </c>
      <c r="AS39" s="343">
        <v>0</v>
      </c>
      <c r="AT39" s="343">
        <v>0</v>
      </c>
      <c r="AU39" s="343">
        <v>0</v>
      </c>
      <c r="AV39" s="343">
        <v>0</v>
      </c>
      <c r="AW39" s="343">
        <v>7613.4141399999999</v>
      </c>
      <c r="AX39" s="343">
        <v>31541.163919999999</v>
      </c>
      <c r="AY39" s="343">
        <v>19334638.0942</v>
      </c>
      <c r="AZ39" s="343">
        <v>830348.43700000003</v>
      </c>
      <c r="BA39" s="343">
        <v>0</v>
      </c>
      <c r="BB39" s="343">
        <v>0</v>
      </c>
      <c r="BC39" s="343">
        <v>0</v>
      </c>
      <c r="BD39" s="343">
        <v>0</v>
      </c>
      <c r="BE39" s="343">
        <v>0</v>
      </c>
      <c r="BF39" s="343">
        <v>0</v>
      </c>
      <c r="BG39" s="343">
        <v>0</v>
      </c>
      <c r="BH39" s="343">
        <v>15.200717344999999</v>
      </c>
      <c r="BI39" s="343">
        <v>0</v>
      </c>
      <c r="BJ39" s="343">
        <v>0</v>
      </c>
      <c r="BK39" s="343">
        <v>0</v>
      </c>
      <c r="BL39" s="343">
        <v>0</v>
      </c>
      <c r="BM39" s="343">
        <v>0</v>
      </c>
      <c r="BN39" s="343">
        <v>0</v>
      </c>
      <c r="BO39" s="343">
        <v>0</v>
      </c>
      <c r="BP39" s="343">
        <v>0</v>
      </c>
    </row>
    <row r="40" spans="1:68" s="343" customFormat="1" x14ac:dyDescent="0.2">
      <c r="A40"/>
      <c r="B40" s="144">
        <f ca="1"/>
        <v>1</v>
      </c>
      <c r="C40"/>
      <c r="D40" s="341" t="s">
        <v>5</v>
      </c>
      <c r="E40" s="342">
        <v>43696</v>
      </c>
      <c r="F40" s="343">
        <v>8989828.5419999994</v>
      </c>
      <c r="G40" s="343">
        <v>2448.2443239999998</v>
      </c>
      <c r="H40" s="343">
        <v>6606.6335779999999</v>
      </c>
      <c r="I40" s="343">
        <v>0</v>
      </c>
      <c r="J40" s="343">
        <v>0</v>
      </c>
      <c r="K40" s="343">
        <v>3897.451474</v>
      </c>
      <c r="L40" s="343">
        <v>76505.431079999995</v>
      </c>
      <c r="M40" s="343">
        <v>4621.6904400000003</v>
      </c>
      <c r="N40" s="343">
        <v>1140.610093</v>
      </c>
      <c r="O40" s="343">
        <v>1292011.3289999999</v>
      </c>
      <c r="P40" s="343">
        <v>6518.2922339999996</v>
      </c>
      <c r="Q40" s="343">
        <v>5604.4031029999996</v>
      </c>
      <c r="R40" s="343">
        <v>132522.59830000001</v>
      </c>
      <c r="S40" s="343">
        <v>11559.18489</v>
      </c>
      <c r="T40" s="343">
        <v>219.75460860000001</v>
      </c>
      <c r="U40" s="343">
        <v>123713.9176</v>
      </c>
      <c r="V40" s="343">
        <v>1528.2677639999999</v>
      </c>
      <c r="W40" s="343">
        <v>0</v>
      </c>
      <c r="X40" s="343">
        <v>0</v>
      </c>
      <c r="Y40" s="343">
        <v>9.0637560859999997</v>
      </c>
      <c r="Z40" s="343">
        <v>6.4200264699999998</v>
      </c>
      <c r="AA40" s="343">
        <v>352047455</v>
      </c>
      <c r="AB40" s="343">
        <v>0</v>
      </c>
      <c r="AC40" s="343">
        <v>0</v>
      </c>
      <c r="AD40" s="343">
        <v>5760.5323490000001</v>
      </c>
      <c r="AE40" s="343">
        <v>0</v>
      </c>
      <c r="AF40" s="343">
        <v>0</v>
      </c>
      <c r="AG40" s="343">
        <v>0</v>
      </c>
      <c r="AH40" s="343">
        <v>0</v>
      </c>
      <c r="AI40" s="343">
        <v>9508.3651119999995</v>
      </c>
      <c r="AJ40" s="343">
        <v>269579.6434</v>
      </c>
      <c r="AK40" s="343">
        <v>359922</v>
      </c>
      <c r="AL40" s="343">
        <v>0</v>
      </c>
      <c r="AM40" s="343">
        <v>0</v>
      </c>
      <c r="AN40" s="343">
        <v>0</v>
      </c>
      <c r="AO40" s="343">
        <v>0</v>
      </c>
      <c r="AP40" s="343">
        <v>0</v>
      </c>
      <c r="AQ40" s="343">
        <v>0</v>
      </c>
      <c r="AR40" s="343">
        <v>145949.93040000001</v>
      </c>
      <c r="AS40" s="343">
        <v>0</v>
      </c>
      <c r="AT40" s="343">
        <v>0</v>
      </c>
      <c r="AU40" s="343">
        <v>0</v>
      </c>
      <c r="AV40" s="343">
        <v>0</v>
      </c>
      <c r="AW40" s="343">
        <v>7578.0155240000004</v>
      </c>
      <c r="AX40" s="343">
        <v>32550.927469999999</v>
      </c>
      <c r="AY40" s="343">
        <v>21431040.092328001</v>
      </c>
      <c r="AZ40" s="343">
        <v>753574.67810000002</v>
      </c>
      <c r="BA40" s="343">
        <v>0</v>
      </c>
      <c r="BB40" s="343">
        <v>0</v>
      </c>
      <c r="BC40" s="343">
        <v>0</v>
      </c>
      <c r="BD40" s="343">
        <v>0</v>
      </c>
      <c r="BE40" s="343">
        <v>0</v>
      </c>
      <c r="BF40" s="343">
        <v>0</v>
      </c>
      <c r="BG40" s="343">
        <v>269579.6434</v>
      </c>
      <c r="BH40" s="343">
        <v>15.483782556</v>
      </c>
      <c r="BI40" s="343">
        <v>0</v>
      </c>
      <c r="BJ40" s="343">
        <v>0</v>
      </c>
      <c r="BK40" s="343">
        <v>0</v>
      </c>
      <c r="BL40" s="343">
        <v>0</v>
      </c>
      <c r="BM40" s="343">
        <v>0</v>
      </c>
      <c r="BN40" s="343">
        <v>0</v>
      </c>
      <c r="BO40" s="343">
        <v>0</v>
      </c>
      <c r="BP40" s="343">
        <v>0</v>
      </c>
    </row>
    <row r="41" spans="1:68" s="343" customFormat="1" x14ac:dyDescent="0.2">
      <c r="A41"/>
      <c r="B41" s="144">
        <f ca="1"/>
        <v>1</v>
      </c>
      <c r="C41"/>
      <c r="D41" s="341" t="s">
        <v>5</v>
      </c>
      <c r="E41" s="342">
        <v>43703</v>
      </c>
      <c r="F41" s="343">
        <v>11458412.84</v>
      </c>
      <c r="G41" s="343">
        <v>2003.1662220000001</v>
      </c>
      <c r="H41" s="343">
        <v>7313.2123760000004</v>
      </c>
      <c r="I41" s="343">
        <v>0</v>
      </c>
      <c r="J41" s="343">
        <v>0</v>
      </c>
      <c r="K41" s="343">
        <v>3380.433618</v>
      </c>
      <c r="L41" s="343">
        <v>68991.056559999997</v>
      </c>
      <c r="M41" s="343">
        <v>5115.9797689999996</v>
      </c>
      <c r="N41" s="343">
        <v>1936.8352070000001</v>
      </c>
      <c r="O41" s="343">
        <v>1676861.101</v>
      </c>
      <c r="P41" s="343">
        <v>8668.4696540000004</v>
      </c>
      <c r="Q41" s="343">
        <v>5866.4351509999997</v>
      </c>
      <c r="R41" s="343">
        <v>132371.98490000001</v>
      </c>
      <c r="S41" s="343">
        <v>12022.589669999999</v>
      </c>
      <c r="T41" s="343">
        <v>200.3774487</v>
      </c>
      <c r="U41" s="343">
        <v>217347.87719999999</v>
      </c>
      <c r="V41" s="343">
        <v>2257.6657770000002</v>
      </c>
      <c r="W41" s="343">
        <v>5604</v>
      </c>
      <c r="X41" s="343">
        <v>0</v>
      </c>
      <c r="Y41" s="343">
        <v>9.5630767320000007</v>
      </c>
      <c r="Z41" s="343">
        <v>4.6217639269999999</v>
      </c>
      <c r="AA41" s="343">
        <v>359328829.60000002</v>
      </c>
      <c r="AB41" s="343">
        <v>0</v>
      </c>
      <c r="AC41" s="343">
        <v>0</v>
      </c>
      <c r="AD41" s="343">
        <v>0</v>
      </c>
      <c r="AE41" s="343">
        <v>0</v>
      </c>
      <c r="AF41" s="343">
        <v>0</v>
      </c>
      <c r="AG41" s="343">
        <v>0</v>
      </c>
      <c r="AH41" s="343">
        <v>0</v>
      </c>
      <c r="AI41" s="343">
        <v>11872.30063</v>
      </c>
      <c r="AJ41" s="343">
        <v>49267.282950000001</v>
      </c>
      <c r="AK41" s="343">
        <v>780186</v>
      </c>
      <c r="AL41" s="343">
        <v>0</v>
      </c>
      <c r="AM41" s="343">
        <v>0</v>
      </c>
      <c r="AN41" s="343">
        <v>0</v>
      </c>
      <c r="AO41" s="343">
        <v>0</v>
      </c>
      <c r="AP41" s="343">
        <v>0</v>
      </c>
      <c r="AQ41" s="343">
        <v>0</v>
      </c>
      <c r="AR41" s="343">
        <v>9867.6804960000009</v>
      </c>
      <c r="AS41" s="343">
        <v>0</v>
      </c>
      <c r="AT41" s="343">
        <v>0</v>
      </c>
      <c r="AU41" s="343">
        <v>0</v>
      </c>
      <c r="AV41" s="343">
        <v>0</v>
      </c>
      <c r="AW41" s="343">
        <v>18806.79982</v>
      </c>
      <c r="AX41" s="343">
        <v>52784.426760000002</v>
      </c>
      <c r="AY41" s="343">
        <v>21608945.4267039</v>
      </c>
      <c r="AZ41" s="343">
        <v>1911183.602</v>
      </c>
      <c r="BA41" s="343">
        <v>0</v>
      </c>
      <c r="BB41" s="343">
        <v>0</v>
      </c>
      <c r="BC41" s="343">
        <v>0</v>
      </c>
      <c r="BD41" s="343">
        <v>0</v>
      </c>
      <c r="BE41" s="343">
        <v>0</v>
      </c>
      <c r="BF41" s="343">
        <v>0</v>
      </c>
      <c r="BG41" s="343">
        <v>49267.282950000001</v>
      </c>
      <c r="BH41" s="343">
        <v>14.184840659000001</v>
      </c>
      <c r="BI41" s="343">
        <v>1</v>
      </c>
      <c r="BJ41" s="343">
        <v>0</v>
      </c>
      <c r="BK41" s="343">
        <v>0</v>
      </c>
      <c r="BL41" s="343">
        <v>0</v>
      </c>
      <c r="BM41" s="343">
        <v>0</v>
      </c>
      <c r="BN41" s="343">
        <v>0</v>
      </c>
      <c r="BO41" s="343">
        <v>0</v>
      </c>
      <c r="BP41" s="343">
        <v>0</v>
      </c>
    </row>
    <row r="42" spans="1:68" s="343" customFormat="1" x14ac:dyDescent="0.2">
      <c r="A42"/>
      <c r="B42" s="144">
        <f ca="1"/>
        <v>1</v>
      </c>
      <c r="C42"/>
      <c r="D42" s="341" t="s">
        <v>5</v>
      </c>
      <c r="E42" s="342">
        <v>43710</v>
      </c>
      <c r="F42" s="343">
        <v>8988057.9379999992</v>
      </c>
      <c r="G42" s="343">
        <v>1876.6305809999999</v>
      </c>
      <c r="H42" s="343">
        <v>7181.6719670000002</v>
      </c>
      <c r="I42" s="343">
        <v>0</v>
      </c>
      <c r="J42" s="343">
        <v>0</v>
      </c>
      <c r="K42" s="343">
        <v>3095.5012900000002</v>
      </c>
      <c r="L42" s="343">
        <v>55923.804559999997</v>
      </c>
      <c r="M42" s="343">
        <v>5023.9602789999999</v>
      </c>
      <c r="N42" s="343">
        <v>2248.6313249999998</v>
      </c>
      <c r="O42" s="343">
        <v>1948714.727</v>
      </c>
      <c r="P42" s="343">
        <v>10114.47414</v>
      </c>
      <c r="Q42" s="343">
        <v>5158.2880359999999</v>
      </c>
      <c r="R42" s="343">
        <v>127456.7922</v>
      </c>
      <c r="S42" s="343">
        <v>10624.22372</v>
      </c>
      <c r="T42" s="343">
        <v>676.87942559999999</v>
      </c>
      <c r="U42" s="343">
        <v>700924.27899999998</v>
      </c>
      <c r="V42" s="343">
        <v>6105.5428389999997</v>
      </c>
      <c r="W42" s="343">
        <v>0</v>
      </c>
      <c r="X42" s="343">
        <v>0</v>
      </c>
      <c r="Y42" s="343">
        <v>9.509611606</v>
      </c>
      <c r="Z42" s="343">
        <v>4.7931631550000002</v>
      </c>
      <c r="AA42" s="343">
        <v>276574065.60000002</v>
      </c>
      <c r="AB42" s="343">
        <v>0</v>
      </c>
      <c r="AC42" s="343">
        <v>0</v>
      </c>
      <c r="AD42" s="343">
        <v>5760.5323490000001</v>
      </c>
      <c r="AE42" s="343">
        <v>0</v>
      </c>
      <c r="AF42" s="343">
        <v>0</v>
      </c>
      <c r="AG42" s="343">
        <v>0</v>
      </c>
      <c r="AH42" s="343">
        <v>0</v>
      </c>
      <c r="AI42" s="343">
        <v>15877.169760000001</v>
      </c>
      <c r="AJ42" s="343">
        <v>0</v>
      </c>
      <c r="AK42" s="343">
        <v>269382</v>
      </c>
      <c r="AL42" s="343">
        <v>0</v>
      </c>
      <c r="AM42" s="343">
        <v>0</v>
      </c>
      <c r="AN42" s="343">
        <v>0</v>
      </c>
      <c r="AO42" s="343">
        <v>0</v>
      </c>
      <c r="AP42" s="343">
        <v>0</v>
      </c>
      <c r="AQ42" s="343">
        <v>0</v>
      </c>
      <c r="AR42" s="343">
        <v>138147.527</v>
      </c>
      <c r="AS42" s="343">
        <v>0</v>
      </c>
      <c r="AT42" s="343">
        <v>0</v>
      </c>
      <c r="AU42" s="343">
        <v>0</v>
      </c>
      <c r="AV42" s="343">
        <v>0</v>
      </c>
      <c r="AW42" s="343">
        <v>42044.42121</v>
      </c>
      <c r="AX42" s="343">
        <v>40161.973870000002</v>
      </c>
      <c r="AY42" s="343">
        <v>22128469.741719998</v>
      </c>
      <c r="AZ42" s="343">
        <v>4101108.3769999999</v>
      </c>
      <c r="BA42" s="343">
        <v>0</v>
      </c>
      <c r="BB42" s="343">
        <v>0</v>
      </c>
      <c r="BC42" s="343">
        <v>0</v>
      </c>
      <c r="BD42" s="343">
        <v>0</v>
      </c>
      <c r="BE42" s="343">
        <v>0</v>
      </c>
      <c r="BF42" s="343">
        <v>0</v>
      </c>
      <c r="BG42" s="343">
        <v>0</v>
      </c>
      <c r="BH42" s="343">
        <v>14.302774761</v>
      </c>
      <c r="BI42" s="343">
        <v>0</v>
      </c>
      <c r="BJ42" s="343">
        <v>0</v>
      </c>
      <c r="BK42" s="343">
        <v>0</v>
      </c>
      <c r="BL42" s="343">
        <v>0</v>
      </c>
      <c r="BM42" s="343">
        <v>0</v>
      </c>
      <c r="BN42" s="343">
        <v>0</v>
      </c>
      <c r="BO42" s="343">
        <v>0</v>
      </c>
      <c r="BP42" s="343">
        <v>0</v>
      </c>
    </row>
    <row r="43" spans="1:68" s="343" customFormat="1" x14ac:dyDescent="0.2">
      <c r="A43"/>
      <c r="B43" s="144">
        <f ca="1"/>
        <v>1</v>
      </c>
      <c r="C43"/>
      <c r="D43" s="341" t="s">
        <v>5</v>
      </c>
      <c r="E43" s="342">
        <v>43717</v>
      </c>
      <c r="F43" s="343">
        <v>9665573.1909999996</v>
      </c>
      <c r="G43" s="343">
        <v>1702.880148</v>
      </c>
      <c r="H43" s="343">
        <v>4397.4094150000001</v>
      </c>
      <c r="I43" s="343">
        <v>0</v>
      </c>
      <c r="J43" s="343">
        <v>0</v>
      </c>
      <c r="K43" s="343">
        <v>2178.609316</v>
      </c>
      <c r="L43" s="343">
        <v>45656.992559999999</v>
      </c>
      <c r="M43" s="343">
        <v>3076.221016</v>
      </c>
      <c r="N43" s="343">
        <v>3243.031939</v>
      </c>
      <c r="O43" s="343">
        <v>3909142.9479999999</v>
      </c>
      <c r="P43" s="343">
        <v>20399.658490000002</v>
      </c>
      <c r="Q43" s="343">
        <v>5082.5409570000002</v>
      </c>
      <c r="R43" s="343">
        <v>122372.9301</v>
      </c>
      <c r="S43" s="343">
        <v>10622.73079</v>
      </c>
      <c r="T43" s="343">
        <v>2334.5073750000001</v>
      </c>
      <c r="U43" s="343">
        <v>2183822.2119999998</v>
      </c>
      <c r="V43" s="343">
        <v>18822.797470000001</v>
      </c>
      <c r="W43" s="343">
        <v>0</v>
      </c>
      <c r="X43" s="343">
        <v>0</v>
      </c>
      <c r="Y43" s="343">
        <v>10.25781928</v>
      </c>
      <c r="Z43" s="343">
        <v>4.1013936370000001</v>
      </c>
      <c r="AA43" s="343">
        <v>300539916.19999999</v>
      </c>
      <c r="AB43" s="343">
        <v>0</v>
      </c>
      <c r="AC43" s="343">
        <v>0</v>
      </c>
      <c r="AD43" s="343">
        <v>13989.86427</v>
      </c>
      <c r="AE43" s="343">
        <v>0</v>
      </c>
      <c r="AF43" s="343">
        <v>0</v>
      </c>
      <c r="AG43" s="343">
        <v>0</v>
      </c>
      <c r="AH43" s="343">
        <v>0</v>
      </c>
      <c r="AI43" s="343">
        <v>15972.86443</v>
      </c>
      <c r="AJ43" s="343">
        <v>91388.932409999994</v>
      </c>
      <c r="AK43" s="343">
        <v>246753</v>
      </c>
      <c r="AL43" s="343">
        <v>0</v>
      </c>
      <c r="AM43" s="343">
        <v>0</v>
      </c>
      <c r="AN43" s="343">
        <v>0</v>
      </c>
      <c r="AO43" s="343">
        <v>0</v>
      </c>
      <c r="AP43" s="343">
        <v>0</v>
      </c>
      <c r="AQ43" s="343">
        <v>0</v>
      </c>
      <c r="AR43" s="343">
        <v>138147.527</v>
      </c>
      <c r="AS43" s="343">
        <v>0</v>
      </c>
      <c r="AT43" s="343">
        <v>0</v>
      </c>
      <c r="AU43" s="343">
        <v>0</v>
      </c>
      <c r="AV43" s="343">
        <v>0</v>
      </c>
      <c r="AW43" s="343">
        <v>82304.089000000007</v>
      </c>
      <c r="AX43" s="343">
        <v>39481.06626</v>
      </c>
      <c r="AY43" s="343">
        <v>21100555.36352</v>
      </c>
      <c r="AZ43" s="343">
        <v>7846668.0449999999</v>
      </c>
      <c r="BA43" s="343">
        <v>0</v>
      </c>
      <c r="BB43" s="343">
        <v>0</v>
      </c>
      <c r="BC43" s="343">
        <v>0</v>
      </c>
      <c r="BD43" s="343">
        <v>0</v>
      </c>
      <c r="BE43" s="343">
        <v>0</v>
      </c>
      <c r="BF43" s="343">
        <v>0</v>
      </c>
      <c r="BG43" s="343">
        <v>91388.932409999994</v>
      </c>
      <c r="BH43" s="343">
        <v>14.359212917000001</v>
      </c>
      <c r="BI43" s="343">
        <v>0</v>
      </c>
      <c r="BJ43" s="343">
        <v>0</v>
      </c>
      <c r="BK43" s="343">
        <v>0</v>
      </c>
      <c r="BL43" s="343">
        <v>0</v>
      </c>
      <c r="BM43" s="343">
        <v>0</v>
      </c>
      <c r="BN43" s="343">
        <v>0</v>
      </c>
      <c r="BO43" s="343">
        <v>0</v>
      </c>
      <c r="BP43" s="343">
        <v>0</v>
      </c>
    </row>
    <row r="44" spans="1:68" s="343" customFormat="1" x14ac:dyDescent="0.2">
      <c r="A44"/>
      <c r="B44" s="144">
        <f ca="1"/>
        <v>1</v>
      </c>
      <c r="C44"/>
      <c r="D44" s="341" t="s">
        <v>5</v>
      </c>
      <c r="E44" s="342">
        <v>43724</v>
      </c>
      <c r="F44" s="343">
        <v>9216226.3289999999</v>
      </c>
      <c r="G44" s="343">
        <v>1452.326988</v>
      </c>
      <c r="H44" s="343">
        <v>5103.0376219999998</v>
      </c>
      <c r="I44" s="343">
        <v>0</v>
      </c>
      <c r="J44" s="343">
        <v>0</v>
      </c>
      <c r="K44" s="343">
        <v>2511.5441540000002</v>
      </c>
      <c r="L44" s="343">
        <v>51996.406569999999</v>
      </c>
      <c r="M44" s="343">
        <v>3569.8453559999998</v>
      </c>
      <c r="N44" s="343">
        <v>3047.0583900000001</v>
      </c>
      <c r="O44" s="343">
        <v>4176320.9530000002</v>
      </c>
      <c r="P44" s="343">
        <v>21515.33095</v>
      </c>
      <c r="Q44" s="343">
        <v>5144.1955559999997</v>
      </c>
      <c r="R44" s="343">
        <v>125969.5952</v>
      </c>
      <c r="S44" s="343">
        <v>10668.615030000001</v>
      </c>
      <c r="T44" s="343">
        <v>2571.877583</v>
      </c>
      <c r="U44" s="343">
        <v>1962573.801</v>
      </c>
      <c r="V44" s="343">
        <v>16895.458610000001</v>
      </c>
      <c r="W44" s="343">
        <v>0</v>
      </c>
      <c r="X44" s="343">
        <v>0</v>
      </c>
      <c r="Y44" s="343">
        <v>10.24263689</v>
      </c>
      <c r="Z44" s="343">
        <v>4.5988284760000004</v>
      </c>
      <c r="AA44" s="343">
        <v>315704625.80000001</v>
      </c>
      <c r="AB44" s="343">
        <v>0</v>
      </c>
      <c r="AC44" s="343">
        <v>0</v>
      </c>
      <c r="AD44" s="343">
        <v>13989.86427</v>
      </c>
      <c r="AE44" s="343">
        <v>0</v>
      </c>
      <c r="AF44" s="343">
        <v>0</v>
      </c>
      <c r="AG44" s="343">
        <v>0</v>
      </c>
      <c r="AH44" s="343">
        <v>0</v>
      </c>
      <c r="AI44" s="343">
        <v>4452.0623269999996</v>
      </c>
      <c r="AJ44" s="343">
        <v>0</v>
      </c>
      <c r="AK44" s="343">
        <v>411483</v>
      </c>
      <c r="AL44" s="343">
        <v>0</v>
      </c>
      <c r="AM44" s="343">
        <v>0</v>
      </c>
      <c r="AN44" s="343">
        <v>0</v>
      </c>
      <c r="AO44" s="343">
        <v>0</v>
      </c>
      <c r="AP44" s="343">
        <v>0</v>
      </c>
      <c r="AQ44" s="343">
        <v>0</v>
      </c>
      <c r="AR44" s="343">
        <v>138147.527</v>
      </c>
      <c r="AS44" s="343">
        <v>0</v>
      </c>
      <c r="AT44" s="343">
        <v>0</v>
      </c>
      <c r="AU44" s="343">
        <v>0</v>
      </c>
      <c r="AV44" s="343">
        <v>0</v>
      </c>
      <c r="AW44" s="343">
        <v>90350.779349999997</v>
      </c>
      <c r="AX44" s="343">
        <v>47394.175479999998</v>
      </c>
      <c r="AY44" s="343">
        <v>20264699.78816</v>
      </c>
      <c r="AZ44" s="343">
        <v>7851876.5350000001</v>
      </c>
      <c r="BA44" s="343">
        <v>0</v>
      </c>
      <c r="BB44" s="343">
        <v>0</v>
      </c>
      <c r="BC44" s="343">
        <v>0</v>
      </c>
      <c r="BD44" s="343">
        <v>0</v>
      </c>
      <c r="BE44" s="343">
        <v>0</v>
      </c>
      <c r="BF44" s="343">
        <v>0</v>
      </c>
      <c r="BG44" s="343">
        <v>0</v>
      </c>
      <c r="BH44" s="343">
        <v>14.841465366</v>
      </c>
      <c r="BI44" s="343">
        <v>0</v>
      </c>
      <c r="BJ44" s="343">
        <v>0</v>
      </c>
      <c r="BK44" s="343">
        <v>0</v>
      </c>
      <c r="BL44" s="343">
        <v>0</v>
      </c>
      <c r="BM44" s="343">
        <v>0</v>
      </c>
      <c r="BN44" s="343">
        <v>0</v>
      </c>
      <c r="BO44" s="343">
        <v>0</v>
      </c>
      <c r="BP44" s="343">
        <v>0</v>
      </c>
    </row>
    <row r="45" spans="1:68" s="343" customFormat="1" x14ac:dyDescent="0.2">
      <c r="A45"/>
      <c r="B45" s="144">
        <f ca="1"/>
        <v>1</v>
      </c>
      <c r="C45"/>
      <c r="D45" s="341" t="s">
        <v>5</v>
      </c>
      <c r="E45" s="342">
        <v>43731</v>
      </c>
      <c r="F45" s="343">
        <v>7296708.9639999997</v>
      </c>
      <c r="G45" s="343">
        <v>1834.4520339999999</v>
      </c>
      <c r="H45" s="343">
        <v>5452.3452399999996</v>
      </c>
      <c r="I45" s="343">
        <v>0</v>
      </c>
      <c r="J45" s="343">
        <v>0</v>
      </c>
      <c r="K45" s="343">
        <v>2511.5441540000002</v>
      </c>
      <c r="L45" s="343">
        <v>48450.826699999998</v>
      </c>
      <c r="M45" s="343">
        <v>3814.204553</v>
      </c>
      <c r="N45" s="343">
        <v>3789.5559250000001</v>
      </c>
      <c r="O45" s="343">
        <v>5972474.8969999999</v>
      </c>
      <c r="P45" s="343">
        <v>28637.48244</v>
      </c>
      <c r="Q45" s="343">
        <v>5110.7259160000003</v>
      </c>
      <c r="R45" s="343">
        <v>122520.0203</v>
      </c>
      <c r="S45" s="343">
        <v>10761.783939999999</v>
      </c>
      <c r="T45" s="343">
        <v>2078.2003960000002</v>
      </c>
      <c r="U45" s="343">
        <v>1785880.5260000001</v>
      </c>
      <c r="V45" s="343">
        <v>16548.11535</v>
      </c>
      <c r="W45" s="343">
        <v>0</v>
      </c>
      <c r="X45" s="343">
        <v>0</v>
      </c>
      <c r="Y45" s="343">
        <v>9.9851210909999999</v>
      </c>
      <c r="Z45" s="343">
        <v>5.1489992400000002</v>
      </c>
      <c r="AA45" s="343">
        <v>317326399.10000002</v>
      </c>
      <c r="AB45" s="343">
        <v>0</v>
      </c>
      <c r="AC45" s="343">
        <v>0</v>
      </c>
      <c r="AD45" s="343">
        <v>8229.3319260000007</v>
      </c>
      <c r="AE45" s="343">
        <v>0</v>
      </c>
      <c r="AF45" s="343">
        <v>0</v>
      </c>
      <c r="AG45" s="343">
        <v>0</v>
      </c>
      <c r="AH45" s="343">
        <v>0</v>
      </c>
      <c r="AI45" s="343">
        <v>590.38398440000003</v>
      </c>
      <c r="AJ45" s="343">
        <v>0</v>
      </c>
      <c r="AK45" s="343">
        <v>355519</v>
      </c>
      <c r="AL45" s="343">
        <v>0</v>
      </c>
      <c r="AM45" s="343">
        <v>0</v>
      </c>
      <c r="AN45" s="343">
        <v>0</v>
      </c>
      <c r="AO45" s="343">
        <v>0</v>
      </c>
      <c r="AP45" s="343">
        <v>0</v>
      </c>
      <c r="AQ45" s="343">
        <v>0</v>
      </c>
      <c r="AR45" s="343">
        <v>128279.84639999999</v>
      </c>
      <c r="AS45" s="343">
        <v>0</v>
      </c>
      <c r="AT45" s="343">
        <v>0</v>
      </c>
      <c r="AU45" s="343">
        <v>0</v>
      </c>
      <c r="AV45" s="343">
        <v>0</v>
      </c>
      <c r="AW45" s="343">
        <v>100171.7729</v>
      </c>
      <c r="AX45" s="343">
        <v>45551.63882</v>
      </c>
      <c r="AY45" s="343">
        <v>17794492.1578799</v>
      </c>
      <c r="AZ45" s="343">
        <v>7746669.892</v>
      </c>
      <c r="BA45" s="343">
        <v>0</v>
      </c>
      <c r="BB45" s="343">
        <v>0</v>
      </c>
      <c r="BC45" s="343">
        <v>0</v>
      </c>
      <c r="BD45" s="343">
        <v>0</v>
      </c>
      <c r="BE45" s="343">
        <v>0</v>
      </c>
      <c r="BF45" s="343">
        <v>0</v>
      </c>
      <c r="BG45" s="343">
        <v>0</v>
      </c>
      <c r="BH45" s="343">
        <v>15.134120331</v>
      </c>
      <c r="BI45" s="343">
        <v>0</v>
      </c>
      <c r="BJ45" s="343">
        <v>0</v>
      </c>
      <c r="BK45" s="343">
        <v>0</v>
      </c>
      <c r="BL45" s="343">
        <v>0</v>
      </c>
      <c r="BM45" s="343">
        <v>0</v>
      </c>
      <c r="BN45" s="343">
        <v>0</v>
      </c>
      <c r="BO45" s="343">
        <v>0</v>
      </c>
      <c r="BP45" s="343">
        <v>0</v>
      </c>
    </row>
    <row r="46" spans="1:68" s="343" customFormat="1" x14ac:dyDescent="0.2">
      <c r="A46"/>
      <c r="B46" s="144">
        <f ca="1"/>
        <v>1</v>
      </c>
      <c r="C46"/>
      <c r="D46" s="341" t="s">
        <v>5</v>
      </c>
      <c r="E46" s="342">
        <v>43738</v>
      </c>
      <c r="F46" s="343">
        <v>10761945.16</v>
      </c>
      <c r="G46" s="343">
        <v>2092.559561</v>
      </c>
      <c r="H46" s="343">
        <v>7459.9307669999998</v>
      </c>
      <c r="I46" s="343">
        <v>0</v>
      </c>
      <c r="J46" s="343">
        <v>0</v>
      </c>
      <c r="K46" s="343">
        <v>3430.1976869999999</v>
      </c>
      <c r="L46" s="343">
        <v>58163.628089999998</v>
      </c>
      <c r="M46" s="343">
        <v>5218.6170620000003</v>
      </c>
      <c r="N46" s="343">
        <v>7339.0993019999996</v>
      </c>
      <c r="O46" s="343">
        <v>5325495.3099999996</v>
      </c>
      <c r="P46" s="343">
        <v>26884.970809999999</v>
      </c>
      <c r="Q46" s="343">
        <v>5035.4192270000003</v>
      </c>
      <c r="R46" s="343">
        <v>121941.7882</v>
      </c>
      <c r="S46" s="343">
        <v>10561.336020000001</v>
      </c>
      <c r="T46" s="343">
        <v>1201.383912</v>
      </c>
      <c r="U46" s="343">
        <v>657629.098</v>
      </c>
      <c r="V46" s="343">
        <v>6857.2276279999996</v>
      </c>
      <c r="W46" s="343">
        <v>0</v>
      </c>
      <c r="X46" s="343">
        <v>0</v>
      </c>
      <c r="Y46" s="343">
        <v>10.215414640000001</v>
      </c>
      <c r="Z46" s="343">
        <v>4.3914841740000004</v>
      </c>
      <c r="AA46" s="343">
        <v>287738198.5</v>
      </c>
      <c r="AB46" s="343">
        <v>0</v>
      </c>
      <c r="AC46" s="343">
        <v>27773.99524</v>
      </c>
      <c r="AD46" s="343">
        <v>0</v>
      </c>
      <c r="AE46" s="343">
        <v>0</v>
      </c>
      <c r="AF46" s="343">
        <v>0</v>
      </c>
      <c r="AG46" s="343">
        <v>0</v>
      </c>
      <c r="AH46" s="343">
        <v>0</v>
      </c>
      <c r="AI46" s="343">
        <v>37200.521860000001</v>
      </c>
      <c r="AJ46" s="343">
        <v>14255.861199999999</v>
      </c>
      <c r="AK46" s="343">
        <v>629710</v>
      </c>
      <c r="AL46" s="343">
        <v>0</v>
      </c>
      <c r="AM46" s="343">
        <v>0</v>
      </c>
      <c r="AN46" s="343">
        <v>0</v>
      </c>
      <c r="AO46" s="343">
        <v>0</v>
      </c>
      <c r="AP46" s="343">
        <v>0</v>
      </c>
      <c r="AQ46" s="343">
        <v>0</v>
      </c>
      <c r="AR46" s="343">
        <v>0</v>
      </c>
      <c r="AS46" s="343">
        <v>0</v>
      </c>
      <c r="AT46" s="343">
        <v>0</v>
      </c>
      <c r="AU46" s="343">
        <v>0</v>
      </c>
      <c r="AV46" s="343">
        <v>0</v>
      </c>
      <c r="AW46" s="343">
        <v>43809.324430000001</v>
      </c>
      <c r="AX46" s="343">
        <v>39598.599649999996</v>
      </c>
      <c r="AY46" s="343">
        <v>15592171.094184</v>
      </c>
      <c r="AZ46" s="343">
        <v>4541012.5640000002</v>
      </c>
      <c r="BA46" s="343">
        <v>0</v>
      </c>
      <c r="BB46" s="343">
        <v>0</v>
      </c>
      <c r="BC46" s="343">
        <v>0</v>
      </c>
      <c r="BD46" s="343">
        <v>0</v>
      </c>
      <c r="BE46" s="343">
        <v>0</v>
      </c>
      <c r="BF46" s="343">
        <v>0</v>
      </c>
      <c r="BG46" s="343">
        <v>14255.861199999999</v>
      </c>
      <c r="BH46" s="343">
        <v>14.606898813999999</v>
      </c>
      <c r="BI46" s="343">
        <v>0</v>
      </c>
      <c r="BJ46" s="343">
        <v>0</v>
      </c>
      <c r="BK46" s="343">
        <v>0</v>
      </c>
      <c r="BL46" s="343">
        <v>0</v>
      </c>
      <c r="BM46" s="343">
        <v>0</v>
      </c>
      <c r="BN46" s="343">
        <v>0</v>
      </c>
      <c r="BO46" s="343">
        <v>0</v>
      </c>
      <c r="BP46" s="343">
        <v>0</v>
      </c>
    </row>
    <row r="47" spans="1:68" s="343" customFormat="1" x14ac:dyDescent="0.2">
      <c r="A47"/>
      <c r="B47" s="144">
        <f ca="1"/>
        <v>1</v>
      </c>
      <c r="C47"/>
      <c r="D47" s="341" t="s">
        <v>5</v>
      </c>
      <c r="E47" s="342">
        <v>43745</v>
      </c>
      <c r="F47" s="343">
        <v>10128820.43</v>
      </c>
      <c r="G47" s="343">
        <v>2095.7072130000001</v>
      </c>
      <c r="H47" s="343">
        <v>8053.439582</v>
      </c>
      <c r="I47" s="343">
        <v>0</v>
      </c>
      <c r="J47" s="343">
        <v>0</v>
      </c>
      <c r="K47" s="343">
        <v>3903.1765439999999</v>
      </c>
      <c r="L47" s="343">
        <v>64240.129269999998</v>
      </c>
      <c r="M47" s="343">
        <v>5633.8079429999998</v>
      </c>
      <c r="N47" s="343">
        <v>10408.17719</v>
      </c>
      <c r="O47" s="343">
        <v>5542195.8140000002</v>
      </c>
      <c r="P47" s="343">
        <v>29697.509549999999</v>
      </c>
      <c r="Q47" s="343">
        <v>5136.2685359999996</v>
      </c>
      <c r="R47" s="343">
        <v>126259.8122</v>
      </c>
      <c r="S47" s="343">
        <v>10709.18375</v>
      </c>
      <c r="T47" s="343">
        <v>857.87971440000001</v>
      </c>
      <c r="U47" s="343">
        <v>439252.0294</v>
      </c>
      <c r="V47" s="343">
        <v>4585.2007599999997</v>
      </c>
      <c r="W47" s="343">
        <v>0</v>
      </c>
      <c r="X47" s="343">
        <v>0</v>
      </c>
      <c r="Y47" s="343">
        <v>9.0006447739999995</v>
      </c>
      <c r="Z47" s="343">
        <v>4.4797365139999998</v>
      </c>
      <c r="AA47" s="343">
        <v>288933437.30000001</v>
      </c>
      <c r="AB47" s="343">
        <v>0</v>
      </c>
      <c r="AC47" s="343">
        <v>27773.99524</v>
      </c>
      <c r="AD47" s="343">
        <v>41146.659630000002</v>
      </c>
      <c r="AE47" s="343">
        <v>0</v>
      </c>
      <c r="AF47" s="343">
        <v>0</v>
      </c>
      <c r="AG47" s="343">
        <v>0</v>
      </c>
      <c r="AH47" s="343">
        <v>0</v>
      </c>
      <c r="AI47" s="343">
        <v>43502.902130000002</v>
      </c>
      <c r="AJ47" s="343">
        <v>184237.3499</v>
      </c>
      <c r="AK47" s="343">
        <v>908493</v>
      </c>
      <c r="AL47" s="343">
        <v>0</v>
      </c>
      <c r="AM47" s="343">
        <v>0</v>
      </c>
      <c r="AN47" s="343">
        <v>0</v>
      </c>
      <c r="AO47" s="343">
        <v>0</v>
      </c>
      <c r="AP47" s="343">
        <v>0</v>
      </c>
      <c r="AQ47" s="343">
        <v>0</v>
      </c>
      <c r="AR47" s="343">
        <v>74947.261530000003</v>
      </c>
      <c r="AS47" s="343">
        <v>0</v>
      </c>
      <c r="AT47" s="343">
        <v>0</v>
      </c>
      <c r="AU47" s="343">
        <v>0</v>
      </c>
      <c r="AV47" s="343">
        <v>0</v>
      </c>
      <c r="AW47" s="343">
        <v>30692.413209999999</v>
      </c>
      <c r="AX47" s="343">
        <v>39583.249309999999</v>
      </c>
      <c r="AY47" s="343">
        <v>14084750.419903999</v>
      </c>
      <c r="AZ47" s="343">
        <v>3370293.517</v>
      </c>
      <c r="BA47" s="343">
        <v>0</v>
      </c>
      <c r="BB47" s="343">
        <v>0</v>
      </c>
      <c r="BC47" s="343">
        <v>0</v>
      </c>
      <c r="BD47" s="343">
        <v>0</v>
      </c>
      <c r="BE47" s="343">
        <v>0</v>
      </c>
      <c r="BF47" s="343">
        <v>0</v>
      </c>
      <c r="BG47" s="343">
        <v>184237.3499</v>
      </c>
      <c r="BH47" s="343">
        <v>13.480381288</v>
      </c>
      <c r="BI47" s="343">
        <v>0</v>
      </c>
      <c r="BJ47" s="343">
        <v>0</v>
      </c>
      <c r="BK47" s="343">
        <v>0</v>
      </c>
      <c r="BL47" s="343">
        <v>0</v>
      </c>
      <c r="BM47" s="343">
        <v>0</v>
      </c>
      <c r="BN47" s="343">
        <v>0</v>
      </c>
      <c r="BO47" s="343">
        <v>0</v>
      </c>
      <c r="BP47" s="343">
        <v>0</v>
      </c>
    </row>
    <row r="48" spans="1:68" s="343" customFormat="1" x14ac:dyDescent="0.2">
      <c r="A48"/>
      <c r="B48" s="144">
        <f ca="1"/>
        <v>1</v>
      </c>
      <c r="C48"/>
      <c r="D48" s="341" t="s">
        <v>5</v>
      </c>
      <c r="E48" s="342">
        <v>43752</v>
      </c>
      <c r="F48" s="343">
        <v>10579812.07</v>
      </c>
      <c r="G48" s="343">
        <v>2010.091058</v>
      </c>
      <c r="H48" s="343">
        <v>7247.7852659999999</v>
      </c>
      <c r="I48" s="343">
        <v>0</v>
      </c>
      <c r="J48" s="343">
        <v>0</v>
      </c>
      <c r="K48" s="343">
        <v>3946.3347640000002</v>
      </c>
      <c r="L48" s="343">
        <v>68344.564039999997</v>
      </c>
      <c r="M48" s="343">
        <v>5070.2100369999998</v>
      </c>
      <c r="N48" s="343">
        <v>3935.325014</v>
      </c>
      <c r="O48" s="343">
        <v>4241440.5420000004</v>
      </c>
      <c r="P48" s="343">
        <v>21728.37934</v>
      </c>
      <c r="Q48" s="343">
        <v>3853.4124750000001</v>
      </c>
      <c r="R48" s="343">
        <v>98522.72898</v>
      </c>
      <c r="S48" s="343">
        <v>8031.2294330000004</v>
      </c>
      <c r="T48" s="343">
        <v>715.19335530000001</v>
      </c>
      <c r="U48" s="343">
        <v>381065.06060000003</v>
      </c>
      <c r="V48" s="343">
        <v>3689.9455309999998</v>
      </c>
      <c r="W48" s="343">
        <v>576</v>
      </c>
      <c r="X48" s="343">
        <v>0</v>
      </c>
      <c r="Y48" s="343">
        <v>8.6150832459999993</v>
      </c>
      <c r="Z48" s="343">
        <v>4.7574751510000004</v>
      </c>
      <c r="AA48" s="343">
        <v>302209412.60000002</v>
      </c>
      <c r="AB48" s="343">
        <v>0</v>
      </c>
      <c r="AC48" s="343">
        <v>27773.99524</v>
      </c>
      <c r="AD48" s="343">
        <v>41146.659630000002</v>
      </c>
      <c r="AE48" s="343">
        <v>0</v>
      </c>
      <c r="AF48" s="343">
        <v>0</v>
      </c>
      <c r="AG48" s="343">
        <v>0</v>
      </c>
      <c r="AH48" s="343">
        <v>0</v>
      </c>
      <c r="AI48" s="343">
        <v>31620.342769999999</v>
      </c>
      <c r="AJ48" s="343">
        <v>34503.704270000002</v>
      </c>
      <c r="AK48" s="343">
        <v>515410</v>
      </c>
      <c r="AL48" s="343">
        <v>0</v>
      </c>
      <c r="AM48" s="343">
        <v>0</v>
      </c>
      <c r="AN48" s="343">
        <v>0</v>
      </c>
      <c r="AO48" s="343">
        <v>0</v>
      </c>
      <c r="AP48" s="343">
        <v>0</v>
      </c>
      <c r="AQ48" s="343">
        <v>0</v>
      </c>
      <c r="AR48" s="343">
        <v>74947.261530000003</v>
      </c>
      <c r="AS48" s="343">
        <v>0</v>
      </c>
      <c r="AT48" s="343">
        <v>0</v>
      </c>
      <c r="AU48" s="343">
        <v>0</v>
      </c>
      <c r="AV48" s="343">
        <v>0</v>
      </c>
      <c r="AW48" s="343">
        <v>29727.620169999998</v>
      </c>
      <c r="AX48" s="343">
        <v>38817.12801</v>
      </c>
      <c r="AY48" s="343">
        <v>13487317.739672</v>
      </c>
      <c r="AZ48" s="343">
        <v>3368458.7880000002</v>
      </c>
      <c r="BA48" s="343">
        <v>0</v>
      </c>
      <c r="BB48" s="343">
        <v>0</v>
      </c>
      <c r="BC48" s="343">
        <v>0</v>
      </c>
      <c r="BD48" s="343">
        <v>0</v>
      </c>
      <c r="BE48" s="343">
        <v>0</v>
      </c>
      <c r="BF48" s="343">
        <v>0</v>
      </c>
      <c r="BG48" s="343">
        <v>34503.704270000002</v>
      </c>
      <c r="BH48" s="343">
        <v>13.372558396999899</v>
      </c>
      <c r="BI48" s="343">
        <v>0</v>
      </c>
      <c r="BJ48" s="343">
        <v>0</v>
      </c>
      <c r="BK48" s="343">
        <v>0</v>
      </c>
      <c r="BL48" s="343">
        <v>0</v>
      </c>
      <c r="BM48" s="343">
        <v>0</v>
      </c>
      <c r="BN48" s="343">
        <v>0</v>
      </c>
      <c r="BO48" s="343">
        <v>0</v>
      </c>
      <c r="BP48" s="343">
        <v>0</v>
      </c>
    </row>
    <row r="49" spans="1:68" s="343" customFormat="1" x14ac:dyDescent="0.2">
      <c r="A49"/>
      <c r="B49" s="144">
        <f ca="1"/>
        <v>1</v>
      </c>
      <c r="C49"/>
      <c r="D49" s="341" t="s">
        <v>5</v>
      </c>
      <c r="E49" s="342">
        <v>43759</v>
      </c>
      <c r="F49" s="343">
        <v>9540770.0470000003</v>
      </c>
      <c r="G49" s="343">
        <v>1855.2265420000001</v>
      </c>
      <c r="H49" s="343">
        <v>5778.0517579999996</v>
      </c>
      <c r="I49" s="343">
        <v>0</v>
      </c>
      <c r="J49" s="343">
        <v>0</v>
      </c>
      <c r="K49" s="343">
        <v>3378.6720580000001</v>
      </c>
      <c r="L49" s="343">
        <v>61553.750290000004</v>
      </c>
      <c r="M49" s="343">
        <v>4042.0535300000001</v>
      </c>
      <c r="N49" s="343">
        <v>6508.5237669999997</v>
      </c>
      <c r="O49" s="343">
        <v>7760973.9819999998</v>
      </c>
      <c r="P49" s="343">
        <v>43894.975550000003</v>
      </c>
      <c r="Q49" s="343">
        <v>5459.074404</v>
      </c>
      <c r="R49" s="343">
        <v>131764.24669999999</v>
      </c>
      <c r="S49" s="343">
        <v>11567.067870000001</v>
      </c>
      <c r="T49" s="343">
        <v>625.35379590000002</v>
      </c>
      <c r="U49" s="343">
        <v>363346.40950000001</v>
      </c>
      <c r="V49" s="343">
        <v>3834.3287359999999</v>
      </c>
      <c r="W49" s="343">
        <v>0</v>
      </c>
      <c r="X49" s="343">
        <v>0</v>
      </c>
      <c r="Y49" s="343">
        <v>8.0891389260000004</v>
      </c>
      <c r="Z49" s="343">
        <v>4.1886452849999998</v>
      </c>
      <c r="AA49" s="343">
        <v>316543699.60000002</v>
      </c>
      <c r="AB49" s="343">
        <v>0</v>
      </c>
      <c r="AC49" s="343">
        <v>27773.99524</v>
      </c>
      <c r="AD49" s="343">
        <v>41146.659630000002</v>
      </c>
      <c r="AE49" s="343">
        <v>0</v>
      </c>
      <c r="AF49" s="343">
        <v>0</v>
      </c>
      <c r="AG49" s="343">
        <v>0</v>
      </c>
      <c r="AH49" s="343">
        <v>0</v>
      </c>
      <c r="AI49" s="343">
        <v>1914.62734</v>
      </c>
      <c r="AJ49" s="343">
        <v>32527.115020000001</v>
      </c>
      <c r="AK49" s="343">
        <v>249037</v>
      </c>
      <c r="AL49" s="343">
        <v>0</v>
      </c>
      <c r="AM49" s="343">
        <v>0</v>
      </c>
      <c r="AN49" s="343">
        <v>0</v>
      </c>
      <c r="AO49" s="343">
        <v>0</v>
      </c>
      <c r="AP49" s="343">
        <v>0</v>
      </c>
      <c r="AQ49" s="343">
        <v>0</v>
      </c>
      <c r="AR49" s="343">
        <v>74947.261530000003</v>
      </c>
      <c r="AS49" s="343">
        <v>0</v>
      </c>
      <c r="AT49" s="343">
        <v>0</v>
      </c>
      <c r="AU49" s="343">
        <v>0</v>
      </c>
      <c r="AV49" s="343">
        <v>0</v>
      </c>
      <c r="AW49" s="343">
        <v>30583.839250000001</v>
      </c>
      <c r="AX49" s="343">
        <v>45228.910920000002</v>
      </c>
      <c r="AY49" s="343">
        <v>16747814.971904</v>
      </c>
      <c r="AZ49" s="343">
        <v>3517644.7609999999</v>
      </c>
      <c r="BA49" s="343">
        <v>0</v>
      </c>
      <c r="BB49" s="343">
        <v>0</v>
      </c>
      <c r="BC49" s="343">
        <v>0</v>
      </c>
      <c r="BD49" s="343">
        <v>0</v>
      </c>
      <c r="BE49" s="343">
        <v>0</v>
      </c>
      <c r="BF49" s="343">
        <v>0</v>
      </c>
      <c r="BG49" s="343">
        <v>32527.115020000001</v>
      </c>
      <c r="BH49" s="343">
        <v>12.277784211</v>
      </c>
      <c r="BI49" s="343">
        <v>0</v>
      </c>
      <c r="BJ49" s="343">
        <v>0</v>
      </c>
      <c r="BK49" s="343">
        <v>0</v>
      </c>
      <c r="BL49" s="343">
        <v>0</v>
      </c>
      <c r="BM49" s="343">
        <v>0</v>
      </c>
      <c r="BN49" s="343">
        <v>0</v>
      </c>
      <c r="BO49" s="343">
        <v>0</v>
      </c>
      <c r="BP49" s="343">
        <v>0</v>
      </c>
    </row>
    <row r="50" spans="1:68" s="343" customFormat="1" x14ac:dyDescent="0.2">
      <c r="A50"/>
      <c r="B50" s="144">
        <f ca="1"/>
        <v>1</v>
      </c>
      <c r="C50"/>
      <c r="D50" s="341" t="s">
        <v>5</v>
      </c>
      <c r="E50" s="342">
        <v>43766</v>
      </c>
      <c r="F50" s="343">
        <v>7647281.8370000003</v>
      </c>
      <c r="G50" s="343">
        <v>2547.0806210000001</v>
      </c>
      <c r="H50" s="343">
        <v>4423.2390530000002</v>
      </c>
      <c r="I50" s="343">
        <v>0</v>
      </c>
      <c r="J50" s="343">
        <v>0</v>
      </c>
      <c r="K50" s="343">
        <v>2537.967553</v>
      </c>
      <c r="L50" s="343">
        <v>50843.90595</v>
      </c>
      <c r="M50" s="343">
        <v>3094.2902170000002</v>
      </c>
      <c r="N50" s="343">
        <v>5828.1212219999998</v>
      </c>
      <c r="O50" s="343">
        <v>6258083.2240000004</v>
      </c>
      <c r="P50" s="343">
        <v>35549.892780000002</v>
      </c>
      <c r="Q50" s="343">
        <v>5627.3033830000004</v>
      </c>
      <c r="R50" s="343">
        <v>144410.4859</v>
      </c>
      <c r="S50" s="343">
        <v>12966.93115</v>
      </c>
      <c r="T50" s="343">
        <v>821.32734459999995</v>
      </c>
      <c r="U50" s="343">
        <v>369731.18359999999</v>
      </c>
      <c r="V50" s="343">
        <v>3651.9185520000001</v>
      </c>
      <c r="W50" s="343">
        <v>0</v>
      </c>
      <c r="X50" s="343">
        <v>0</v>
      </c>
      <c r="Y50" s="343">
        <v>9.0862670580000007</v>
      </c>
      <c r="Z50" s="343">
        <v>4.8228254799999997</v>
      </c>
      <c r="AA50" s="343">
        <v>313502154.80000001</v>
      </c>
      <c r="AB50" s="343">
        <v>0</v>
      </c>
      <c r="AC50" s="343">
        <v>0</v>
      </c>
      <c r="AD50" s="343">
        <v>0</v>
      </c>
      <c r="AE50" s="343">
        <v>0</v>
      </c>
      <c r="AF50" s="343">
        <v>0</v>
      </c>
      <c r="AG50" s="343">
        <v>0</v>
      </c>
      <c r="AH50" s="343">
        <v>0</v>
      </c>
      <c r="AI50" s="343">
        <v>2772.6948269999998</v>
      </c>
      <c r="AJ50" s="343">
        <v>24818.093110000002</v>
      </c>
      <c r="AK50" s="343">
        <v>109995</v>
      </c>
      <c r="AL50" s="343">
        <v>0</v>
      </c>
      <c r="AM50" s="343">
        <v>0</v>
      </c>
      <c r="AN50" s="343">
        <v>0</v>
      </c>
      <c r="AO50" s="343">
        <v>0</v>
      </c>
      <c r="AP50" s="343">
        <v>0</v>
      </c>
      <c r="AQ50" s="343">
        <v>0</v>
      </c>
      <c r="AR50" s="343">
        <v>0</v>
      </c>
      <c r="AS50" s="343">
        <v>0</v>
      </c>
      <c r="AT50" s="343">
        <v>0</v>
      </c>
      <c r="AU50" s="343">
        <v>0</v>
      </c>
      <c r="AV50" s="343">
        <v>0</v>
      </c>
      <c r="AW50" s="343">
        <v>22279.665690000002</v>
      </c>
      <c r="AX50" s="343">
        <v>36823.482389999997</v>
      </c>
      <c r="AY50" s="343">
        <v>17663073.8364239</v>
      </c>
      <c r="AZ50" s="343">
        <v>2459006.696</v>
      </c>
      <c r="BA50" s="343">
        <v>0</v>
      </c>
      <c r="BB50" s="343">
        <v>0</v>
      </c>
      <c r="BC50" s="343">
        <v>0</v>
      </c>
      <c r="BD50" s="343">
        <v>0</v>
      </c>
      <c r="BE50" s="343">
        <v>0</v>
      </c>
      <c r="BF50" s="343">
        <v>0</v>
      </c>
      <c r="BG50" s="343">
        <v>24818.093110000002</v>
      </c>
      <c r="BH50" s="343">
        <v>13.909092537999999</v>
      </c>
      <c r="BI50" s="343">
        <v>0</v>
      </c>
      <c r="BJ50" s="343">
        <v>0</v>
      </c>
      <c r="BK50" s="343">
        <v>0</v>
      </c>
      <c r="BL50" s="343">
        <v>0</v>
      </c>
      <c r="BM50" s="343">
        <v>0</v>
      </c>
      <c r="BN50" s="343">
        <v>0</v>
      </c>
      <c r="BO50" s="343">
        <v>0</v>
      </c>
      <c r="BP50" s="343">
        <v>0</v>
      </c>
    </row>
    <row r="51" spans="1:68" s="343" customFormat="1" x14ac:dyDescent="0.2">
      <c r="A51"/>
      <c r="B51" s="144">
        <f ca="1"/>
        <v>1</v>
      </c>
      <c r="C51"/>
      <c r="D51" s="341" t="s">
        <v>5</v>
      </c>
      <c r="E51" s="342">
        <v>43773</v>
      </c>
      <c r="F51" s="343">
        <v>14800451.35</v>
      </c>
      <c r="G51" s="343">
        <v>2689.9840559999998</v>
      </c>
      <c r="H51" s="343">
        <v>4829.3240320000004</v>
      </c>
      <c r="I51" s="343">
        <v>0</v>
      </c>
      <c r="J51" s="343">
        <v>0</v>
      </c>
      <c r="K51" s="343">
        <v>2644.541933</v>
      </c>
      <c r="L51" s="343">
        <v>52683.855349999998</v>
      </c>
      <c r="M51" s="343">
        <v>3378.3681889999998</v>
      </c>
      <c r="N51" s="343">
        <v>3995.6584440000001</v>
      </c>
      <c r="O51" s="343">
        <v>4094194.3840000001</v>
      </c>
      <c r="P51" s="343">
        <v>22095.719659999999</v>
      </c>
      <c r="Q51" s="343">
        <v>5411.9526740000001</v>
      </c>
      <c r="R51" s="343">
        <v>144356.31789999999</v>
      </c>
      <c r="S51" s="343">
        <v>12156.375749999999</v>
      </c>
      <c r="T51" s="343">
        <v>1179.8048020000001</v>
      </c>
      <c r="U51" s="343">
        <v>640938.75749999995</v>
      </c>
      <c r="V51" s="343">
        <v>5107.4859630000001</v>
      </c>
      <c r="W51" s="343">
        <v>2592</v>
      </c>
      <c r="X51" s="343">
        <v>0</v>
      </c>
      <c r="Y51" s="343">
        <v>8.6364591389999994</v>
      </c>
      <c r="Z51" s="343">
        <v>3.2901030800000002</v>
      </c>
      <c r="AA51" s="343">
        <v>431940806.89999998</v>
      </c>
      <c r="AB51" s="343">
        <v>0</v>
      </c>
      <c r="AC51" s="343">
        <v>11784.403319999999</v>
      </c>
      <c r="AD51" s="343">
        <v>0</v>
      </c>
      <c r="AE51" s="343">
        <v>0</v>
      </c>
      <c r="AF51" s="343">
        <v>0</v>
      </c>
      <c r="AG51" s="343">
        <v>0</v>
      </c>
      <c r="AH51" s="343">
        <v>0</v>
      </c>
      <c r="AI51" s="343">
        <v>12694.23137</v>
      </c>
      <c r="AJ51" s="343">
        <v>64274.348709999998</v>
      </c>
      <c r="AK51" s="343">
        <v>114789</v>
      </c>
      <c r="AL51" s="343">
        <v>0</v>
      </c>
      <c r="AM51" s="343">
        <v>0</v>
      </c>
      <c r="AN51" s="343">
        <v>0</v>
      </c>
      <c r="AO51" s="343">
        <v>0</v>
      </c>
      <c r="AP51" s="343">
        <v>0</v>
      </c>
      <c r="AQ51" s="343">
        <v>0</v>
      </c>
      <c r="AR51" s="343">
        <v>403689.61820000003</v>
      </c>
      <c r="AS51" s="343">
        <v>0</v>
      </c>
      <c r="AT51" s="343">
        <v>0</v>
      </c>
      <c r="AU51" s="343">
        <v>0</v>
      </c>
      <c r="AV51" s="343">
        <v>0</v>
      </c>
      <c r="AW51" s="343">
        <v>25324.920679999999</v>
      </c>
      <c r="AX51" s="343">
        <v>49799.405469999998</v>
      </c>
      <c r="AY51" s="343">
        <v>18195078.86812</v>
      </c>
      <c r="AZ51" s="343">
        <v>2877396.3110000002</v>
      </c>
      <c r="BA51" s="343">
        <v>0</v>
      </c>
      <c r="BB51" s="343">
        <v>0</v>
      </c>
      <c r="BC51" s="343">
        <v>0</v>
      </c>
      <c r="BD51" s="343">
        <v>0</v>
      </c>
      <c r="BE51" s="343">
        <v>0</v>
      </c>
      <c r="BF51" s="343">
        <v>0</v>
      </c>
      <c r="BG51" s="343">
        <v>64274.348709999998</v>
      </c>
      <c r="BH51" s="343">
        <v>11.926562218999999</v>
      </c>
      <c r="BI51" s="343">
        <v>0</v>
      </c>
      <c r="BJ51" s="343">
        <v>0</v>
      </c>
      <c r="BK51" s="343">
        <v>0</v>
      </c>
      <c r="BL51" s="343">
        <v>0</v>
      </c>
      <c r="BM51" s="343">
        <v>0</v>
      </c>
      <c r="BN51" s="343">
        <v>0</v>
      </c>
      <c r="BO51" s="343">
        <v>0</v>
      </c>
      <c r="BP51" s="343">
        <v>0</v>
      </c>
    </row>
    <row r="52" spans="1:68" s="343" customFormat="1" x14ac:dyDescent="0.2">
      <c r="A52"/>
      <c r="B52" s="144">
        <f ca="1"/>
        <v>1</v>
      </c>
      <c r="C52"/>
      <c r="D52" s="341" t="s">
        <v>5</v>
      </c>
      <c r="E52" s="342">
        <v>43780</v>
      </c>
      <c r="F52" s="343">
        <v>11785160.34</v>
      </c>
      <c r="G52" s="343">
        <v>2837.9237360000002</v>
      </c>
      <c r="H52" s="343">
        <v>4696.6693539999997</v>
      </c>
      <c r="I52" s="343">
        <v>0</v>
      </c>
      <c r="J52" s="343">
        <v>0</v>
      </c>
      <c r="K52" s="343">
        <v>2607.5491729999999</v>
      </c>
      <c r="L52" s="343">
        <v>48920.722829999999</v>
      </c>
      <c r="M52" s="343">
        <v>3285.5692089999998</v>
      </c>
      <c r="N52" s="343">
        <v>3767.5364249999998</v>
      </c>
      <c r="O52" s="343">
        <v>4703977.7520000003</v>
      </c>
      <c r="P52" s="343">
        <v>23687.872640000001</v>
      </c>
      <c r="Q52" s="343">
        <v>2582.8873330000001</v>
      </c>
      <c r="R52" s="343">
        <v>67055.102129999999</v>
      </c>
      <c r="S52" s="343">
        <v>5934.5987150000001</v>
      </c>
      <c r="T52" s="343">
        <v>1161.748812</v>
      </c>
      <c r="U52" s="343">
        <v>739157.17700000003</v>
      </c>
      <c r="V52" s="343">
        <v>5924.1669380000003</v>
      </c>
      <c r="W52" s="343">
        <v>10</v>
      </c>
      <c r="X52" s="343">
        <v>0</v>
      </c>
      <c r="Y52" s="343">
        <v>8.7961698330000004</v>
      </c>
      <c r="Z52" s="343">
        <v>3.7728109430000001</v>
      </c>
      <c r="AA52" s="343">
        <v>406806943.10000002</v>
      </c>
      <c r="AB52" s="343">
        <v>0</v>
      </c>
      <c r="AC52" s="343">
        <v>11784.403319999999</v>
      </c>
      <c r="AD52" s="343">
        <v>0</v>
      </c>
      <c r="AE52" s="343">
        <v>0</v>
      </c>
      <c r="AF52" s="343">
        <v>0</v>
      </c>
      <c r="AG52" s="343">
        <v>0</v>
      </c>
      <c r="AH52" s="343">
        <v>0</v>
      </c>
      <c r="AI52" s="343">
        <v>16205.233329999999</v>
      </c>
      <c r="AJ52" s="343">
        <v>76117.794559999995</v>
      </c>
      <c r="AK52" s="343">
        <v>162857</v>
      </c>
      <c r="AL52" s="343">
        <v>0</v>
      </c>
      <c r="AM52" s="343">
        <v>0</v>
      </c>
      <c r="AN52" s="343">
        <v>0</v>
      </c>
      <c r="AO52" s="343">
        <v>0</v>
      </c>
      <c r="AP52" s="343">
        <v>0</v>
      </c>
      <c r="AQ52" s="343">
        <v>0</v>
      </c>
      <c r="AR52" s="343">
        <v>403689.61820000003</v>
      </c>
      <c r="AS52" s="343">
        <v>0</v>
      </c>
      <c r="AT52" s="343">
        <v>0</v>
      </c>
      <c r="AU52" s="343">
        <v>0</v>
      </c>
      <c r="AV52" s="343">
        <v>0</v>
      </c>
      <c r="AW52" s="343">
        <v>20092.250199999999</v>
      </c>
      <c r="AX52" s="343">
        <v>90195.700930000006</v>
      </c>
      <c r="AY52" s="343">
        <v>21476988.760288</v>
      </c>
      <c r="AZ52" s="343">
        <v>2411816.7489999998</v>
      </c>
      <c r="BA52" s="343">
        <v>0</v>
      </c>
      <c r="BB52" s="343">
        <v>0</v>
      </c>
      <c r="BC52" s="343">
        <v>0</v>
      </c>
      <c r="BD52" s="343">
        <v>0</v>
      </c>
      <c r="BE52" s="343">
        <v>0</v>
      </c>
      <c r="BF52" s="343">
        <v>0</v>
      </c>
      <c r="BG52" s="343">
        <v>76117.794559999995</v>
      </c>
      <c r="BH52" s="343">
        <v>12.568980776</v>
      </c>
      <c r="BI52" s="343">
        <v>0</v>
      </c>
      <c r="BJ52" s="343">
        <v>0</v>
      </c>
      <c r="BK52" s="343">
        <v>0</v>
      </c>
      <c r="BL52" s="343">
        <v>0</v>
      </c>
      <c r="BM52" s="343">
        <v>0</v>
      </c>
      <c r="BN52" s="343">
        <v>0</v>
      </c>
      <c r="BO52" s="343">
        <v>0</v>
      </c>
      <c r="BP52" s="343">
        <v>0</v>
      </c>
    </row>
    <row r="53" spans="1:68" s="343" customFormat="1" x14ac:dyDescent="0.2">
      <c r="A53"/>
      <c r="B53" s="144">
        <f ca="1"/>
        <v>1</v>
      </c>
      <c r="C53"/>
      <c r="D53" s="341" t="s">
        <v>5</v>
      </c>
      <c r="E53" s="342">
        <v>43787</v>
      </c>
      <c r="F53" s="343">
        <v>10627951.74</v>
      </c>
      <c r="G53" s="343">
        <v>4689.3730949999999</v>
      </c>
      <c r="H53" s="343">
        <v>6259.1075309999997</v>
      </c>
      <c r="I53" s="343">
        <v>0</v>
      </c>
      <c r="J53" s="343">
        <v>0</v>
      </c>
      <c r="K53" s="343">
        <v>3216.6085389999998</v>
      </c>
      <c r="L53" s="343">
        <v>62212.57372</v>
      </c>
      <c r="M53" s="343">
        <v>4378.5775460000004</v>
      </c>
      <c r="N53" s="343">
        <v>2217.3636350000002</v>
      </c>
      <c r="O53" s="343">
        <v>2543841.915</v>
      </c>
      <c r="P53" s="343">
        <v>13771.375550000001</v>
      </c>
      <c r="Q53" s="343">
        <v>0</v>
      </c>
      <c r="R53" s="343">
        <v>0</v>
      </c>
      <c r="S53" s="343">
        <v>0</v>
      </c>
      <c r="T53" s="343">
        <v>1182.447142</v>
      </c>
      <c r="U53" s="343">
        <v>773755.09589999996</v>
      </c>
      <c r="V53" s="343">
        <v>5863.2481109999999</v>
      </c>
      <c r="W53" s="343">
        <v>204</v>
      </c>
      <c r="X53" s="343">
        <v>76.861373510000007</v>
      </c>
      <c r="Y53" s="343">
        <v>7.7578701639999998</v>
      </c>
      <c r="Z53" s="343">
        <v>3.608480304</v>
      </c>
      <c r="AA53" s="343">
        <v>321605844.80000001</v>
      </c>
      <c r="AB53" s="343">
        <v>0</v>
      </c>
      <c r="AC53" s="343">
        <v>11784.403319999999</v>
      </c>
      <c r="AD53" s="343">
        <v>0</v>
      </c>
      <c r="AE53" s="343">
        <v>0</v>
      </c>
      <c r="AF53" s="343">
        <v>0</v>
      </c>
      <c r="AG53" s="343">
        <v>0</v>
      </c>
      <c r="AH53" s="343">
        <v>0</v>
      </c>
      <c r="AI53" s="343">
        <v>16205.1697</v>
      </c>
      <c r="AJ53" s="343">
        <v>175491.30660000001</v>
      </c>
      <c r="AK53" s="343">
        <v>767267</v>
      </c>
      <c r="AL53" s="343">
        <v>0</v>
      </c>
      <c r="AM53" s="343">
        <v>0</v>
      </c>
      <c r="AN53" s="343">
        <v>0</v>
      </c>
      <c r="AO53" s="343">
        <v>0</v>
      </c>
      <c r="AP53" s="343">
        <v>0</v>
      </c>
      <c r="AQ53" s="343">
        <v>0</v>
      </c>
      <c r="AR53" s="343">
        <v>403689.61820000003</v>
      </c>
      <c r="AS53" s="343">
        <v>0</v>
      </c>
      <c r="AT53" s="343">
        <v>0</v>
      </c>
      <c r="AU53" s="343">
        <v>0</v>
      </c>
      <c r="AV53" s="343">
        <v>0</v>
      </c>
      <c r="AW53" s="343">
        <v>18422.10096</v>
      </c>
      <c r="AX53" s="343">
        <v>111706.4902</v>
      </c>
      <c r="AY53" s="343">
        <v>24211636.313368</v>
      </c>
      <c r="AZ53" s="343">
        <v>2148885.855</v>
      </c>
      <c r="BA53" s="343">
        <v>0</v>
      </c>
      <c r="BB53" s="343">
        <v>0</v>
      </c>
      <c r="BC53" s="343">
        <v>0</v>
      </c>
      <c r="BD53" s="343">
        <v>0</v>
      </c>
      <c r="BE53" s="343">
        <v>0</v>
      </c>
      <c r="BF53" s="343">
        <v>0</v>
      </c>
      <c r="BG53" s="343">
        <v>175491.30660000001</v>
      </c>
      <c r="BH53" s="343">
        <v>88.227723978</v>
      </c>
      <c r="BI53" s="343">
        <v>0</v>
      </c>
      <c r="BJ53" s="343">
        <v>0</v>
      </c>
      <c r="BK53" s="343">
        <v>0</v>
      </c>
      <c r="BL53" s="343">
        <v>0</v>
      </c>
      <c r="BM53" s="343">
        <v>0</v>
      </c>
      <c r="BN53" s="343">
        <v>0</v>
      </c>
      <c r="BO53" s="343">
        <v>0</v>
      </c>
      <c r="BP53" s="343">
        <v>0</v>
      </c>
    </row>
    <row r="54" spans="1:68" s="343" customFormat="1" x14ac:dyDescent="0.2">
      <c r="A54"/>
      <c r="B54" s="144">
        <f ca="1"/>
        <v>1</v>
      </c>
      <c r="C54"/>
      <c r="D54" s="341" t="s">
        <v>5</v>
      </c>
      <c r="E54" s="342">
        <v>43794</v>
      </c>
      <c r="F54" s="343">
        <v>17191909.940000001</v>
      </c>
      <c r="G54" s="343">
        <v>4570.3918199999998</v>
      </c>
      <c r="H54" s="343">
        <v>8660.8169560000006</v>
      </c>
      <c r="I54" s="343">
        <v>1</v>
      </c>
      <c r="J54" s="343">
        <v>0</v>
      </c>
      <c r="K54" s="343">
        <v>3923.4344839999999</v>
      </c>
      <c r="L54" s="343">
        <v>72317.322199999995</v>
      </c>
      <c r="M54" s="343">
        <v>6058.7006160000001</v>
      </c>
      <c r="N54" s="343">
        <v>2173.3246359999998</v>
      </c>
      <c r="O54" s="343">
        <v>2527838.5830000001</v>
      </c>
      <c r="P54" s="343">
        <v>14042.765429999999</v>
      </c>
      <c r="Q54" s="343">
        <v>4626.2969199999998</v>
      </c>
      <c r="R54" s="343">
        <v>118057.9889</v>
      </c>
      <c r="S54" s="343">
        <v>10375.54429</v>
      </c>
      <c r="T54" s="343">
        <v>1174.0797319999999</v>
      </c>
      <c r="U54" s="343">
        <v>766641.47629999998</v>
      </c>
      <c r="V54" s="343">
        <v>5780.4099859999997</v>
      </c>
      <c r="W54" s="343">
        <v>204</v>
      </c>
      <c r="X54" s="343">
        <v>0.45733589000000002</v>
      </c>
      <c r="Y54" s="343">
        <v>6.8186272990000001</v>
      </c>
      <c r="Z54" s="343">
        <v>2.9189769729999999</v>
      </c>
      <c r="AA54" s="343">
        <v>514423076.89999998</v>
      </c>
      <c r="AB54" s="343">
        <v>0</v>
      </c>
      <c r="AC54" s="343">
        <v>0</v>
      </c>
      <c r="AD54" s="343">
        <v>0</v>
      </c>
      <c r="AE54" s="343">
        <v>0</v>
      </c>
      <c r="AF54" s="343">
        <v>0</v>
      </c>
      <c r="AG54" s="343">
        <v>0</v>
      </c>
      <c r="AH54" s="343">
        <v>0</v>
      </c>
      <c r="AI54" s="343">
        <v>6855.6674929999999</v>
      </c>
      <c r="AJ54" s="343">
        <v>105515.06050000001</v>
      </c>
      <c r="AK54" s="343">
        <v>204402</v>
      </c>
      <c r="AL54" s="343">
        <v>0</v>
      </c>
      <c r="AM54" s="343">
        <v>0</v>
      </c>
      <c r="AN54" s="343">
        <v>0</v>
      </c>
      <c r="AO54" s="343">
        <v>0</v>
      </c>
      <c r="AP54" s="343">
        <v>0</v>
      </c>
      <c r="AQ54" s="343">
        <v>0</v>
      </c>
      <c r="AR54" s="343">
        <v>0</v>
      </c>
      <c r="AS54" s="343">
        <v>0</v>
      </c>
      <c r="AT54" s="343">
        <v>0</v>
      </c>
      <c r="AU54" s="343">
        <v>0</v>
      </c>
      <c r="AV54" s="343">
        <v>0</v>
      </c>
      <c r="AW54" s="343">
        <v>19490.99382</v>
      </c>
      <c r="AX54" s="343">
        <v>92894.270749999996</v>
      </c>
      <c r="AY54" s="343">
        <v>23161803.155007999</v>
      </c>
      <c r="AZ54" s="343">
        <v>2321208.2790000001</v>
      </c>
      <c r="BA54" s="343">
        <v>0</v>
      </c>
      <c r="BB54" s="343">
        <v>0</v>
      </c>
      <c r="BC54" s="343">
        <v>0</v>
      </c>
      <c r="BD54" s="343">
        <v>0</v>
      </c>
      <c r="BE54" s="343">
        <v>0</v>
      </c>
      <c r="BF54" s="343">
        <v>0</v>
      </c>
      <c r="BG54" s="343">
        <v>105515.06050000001</v>
      </c>
      <c r="BH54" s="343">
        <v>10.194940162</v>
      </c>
      <c r="BI54" s="343">
        <v>0</v>
      </c>
      <c r="BJ54" s="343">
        <v>0</v>
      </c>
      <c r="BK54" s="343">
        <v>0</v>
      </c>
      <c r="BL54" s="343">
        <v>0</v>
      </c>
      <c r="BM54" s="343">
        <v>1</v>
      </c>
      <c r="BN54" s="343">
        <v>0</v>
      </c>
      <c r="BO54" s="343">
        <v>0</v>
      </c>
      <c r="BP54" s="343">
        <v>0</v>
      </c>
    </row>
    <row r="55" spans="1:68" s="343" customFormat="1" x14ac:dyDescent="0.2">
      <c r="A55"/>
      <c r="B55" s="144">
        <f ca="1"/>
        <v>1</v>
      </c>
      <c r="C55"/>
      <c r="D55" s="341" t="s">
        <v>5</v>
      </c>
      <c r="E55" s="342">
        <v>43801</v>
      </c>
      <c r="F55" s="343">
        <v>17642889.190000001</v>
      </c>
      <c r="G55" s="343">
        <v>3056.3708390000002</v>
      </c>
      <c r="H55" s="343">
        <v>7245.5315460000002</v>
      </c>
      <c r="I55" s="343">
        <v>0</v>
      </c>
      <c r="J55" s="343">
        <v>0</v>
      </c>
      <c r="K55" s="343">
        <v>3632.3366959999998</v>
      </c>
      <c r="L55" s="343">
        <v>72800.870420000007</v>
      </c>
      <c r="M55" s="343">
        <v>5068.6334409999999</v>
      </c>
      <c r="N55" s="343">
        <v>1584.0828200000001</v>
      </c>
      <c r="O55" s="343">
        <v>2039005.6869999999</v>
      </c>
      <c r="P55" s="343">
        <v>11952.72746</v>
      </c>
      <c r="Q55" s="343">
        <v>6253.0975689999996</v>
      </c>
      <c r="R55" s="343">
        <v>161160.27910000001</v>
      </c>
      <c r="S55" s="343">
        <v>13902.980089999999</v>
      </c>
      <c r="T55" s="343">
        <v>1359.043531</v>
      </c>
      <c r="U55" s="343">
        <v>1167744.7220000001</v>
      </c>
      <c r="V55" s="343">
        <v>9738.5896119999998</v>
      </c>
      <c r="W55" s="343">
        <v>0</v>
      </c>
      <c r="X55" s="343">
        <v>0</v>
      </c>
      <c r="Y55" s="343">
        <v>8.4547850530000002</v>
      </c>
      <c r="Z55" s="343">
        <v>3.0338981309999999</v>
      </c>
      <c r="AA55" s="343">
        <v>548076923.10000002</v>
      </c>
      <c r="AB55" s="343">
        <v>0</v>
      </c>
      <c r="AC55" s="343">
        <v>0</v>
      </c>
      <c r="AD55" s="343">
        <v>0</v>
      </c>
      <c r="AE55" s="343">
        <v>0</v>
      </c>
      <c r="AF55" s="343">
        <v>0</v>
      </c>
      <c r="AG55" s="343">
        <v>0</v>
      </c>
      <c r="AH55" s="343">
        <v>0</v>
      </c>
      <c r="AI55" s="343">
        <v>7521.3104059999996</v>
      </c>
      <c r="AJ55" s="343">
        <v>12288.895350000001</v>
      </c>
      <c r="AK55" s="343">
        <v>129262</v>
      </c>
      <c r="AL55" s="343">
        <v>0</v>
      </c>
      <c r="AM55" s="343">
        <v>0</v>
      </c>
      <c r="AN55" s="343">
        <v>0</v>
      </c>
      <c r="AO55" s="343">
        <v>0</v>
      </c>
      <c r="AP55" s="343">
        <v>0</v>
      </c>
      <c r="AQ55" s="343">
        <v>0</v>
      </c>
      <c r="AR55" s="343">
        <v>138060.74530000001</v>
      </c>
      <c r="AS55" s="343">
        <v>0</v>
      </c>
      <c r="AT55" s="343">
        <v>0</v>
      </c>
      <c r="AU55" s="343">
        <v>0</v>
      </c>
      <c r="AV55" s="343">
        <v>0</v>
      </c>
      <c r="AW55" s="343">
        <v>29703.08828</v>
      </c>
      <c r="AX55" s="343">
        <v>84187.22954</v>
      </c>
      <c r="AY55" s="343">
        <v>19348115.750560001</v>
      </c>
      <c r="AZ55" s="343">
        <v>3170355.8390000002</v>
      </c>
      <c r="BA55" s="343">
        <v>0</v>
      </c>
      <c r="BB55" s="343">
        <v>0</v>
      </c>
      <c r="BC55" s="343">
        <v>0</v>
      </c>
      <c r="BD55" s="343">
        <v>0</v>
      </c>
      <c r="BE55" s="343">
        <v>0</v>
      </c>
      <c r="BF55" s="343">
        <v>0</v>
      </c>
      <c r="BG55" s="343">
        <v>12288.895350000001</v>
      </c>
      <c r="BH55" s="343">
        <v>11.488683183999999</v>
      </c>
      <c r="BI55" s="343">
        <v>0</v>
      </c>
      <c r="BJ55" s="343">
        <v>0</v>
      </c>
      <c r="BK55" s="343">
        <v>0</v>
      </c>
      <c r="BL55" s="343">
        <v>0</v>
      </c>
      <c r="BM55" s="343">
        <v>0</v>
      </c>
      <c r="BN55" s="343">
        <v>0</v>
      </c>
      <c r="BO55" s="343">
        <v>0</v>
      </c>
      <c r="BP55" s="343">
        <v>0</v>
      </c>
    </row>
    <row r="56" spans="1:68" s="343" customFormat="1" x14ac:dyDescent="0.2">
      <c r="A56"/>
      <c r="B56" s="144">
        <f ca="1"/>
        <v>1</v>
      </c>
      <c r="C56"/>
      <c r="D56" s="341" t="s">
        <v>5</v>
      </c>
      <c r="E56" s="342">
        <v>43808</v>
      </c>
      <c r="F56" s="343">
        <v>17787325.870000001</v>
      </c>
      <c r="G56" s="343">
        <v>2525.047051</v>
      </c>
      <c r="H56" s="343">
        <v>7306.5141709999998</v>
      </c>
      <c r="I56" s="343">
        <v>0</v>
      </c>
      <c r="J56" s="343">
        <v>0</v>
      </c>
      <c r="K56" s="343">
        <v>3424.4726179999998</v>
      </c>
      <c r="L56" s="343">
        <v>73623.959329999998</v>
      </c>
      <c r="M56" s="343">
        <v>5111.2940200000003</v>
      </c>
      <c r="N56" s="343">
        <v>3270.3361190000001</v>
      </c>
      <c r="O56" s="343">
        <v>5636991.9630000005</v>
      </c>
      <c r="P56" s="343">
        <v>28290.230820000001</v>
      </c>
      <c r="Q56" s="343">
        <v>5728.5930820000003</v>
      </c>
      <c r="R56" s="343">
        <v>143994.3174</v>
      </c>
      <c r="S56" s="343">
        <v>12500.27189</v>
      </c>
      <c r="T56" s="343">
        <v>7806.3530890000002</v>
      </c>
      <c r="U56" s="343">
        <v>1918100.1359999999</v>
      </c>
      <c r="V56" s="343">
        <v>15568.491110000001</v>
      </c>
      <c r="W56" s="343">
        <v>0</v>
      </c>
      <c r="X56" s="343">
        <v>0</v>
      </c>
      <c r="Y56" s="343">
        <v>8.0574319540000001</v>
      </c>
      <c r="Z56" s="343">
        <v>3.2377600750000002</v>
      </c>
      <c r="AA56" s="343">
        <v>615384615.39999998</v>
      </c>
      <c r="AB56" s="343">
        <v>0</v>
      </c>
      <c r="AC56" s="343">
        <v>0</v>
      </c>
      <c r="AD56" s="343">
        <v>0</v>
      </c>
      <c r="AE56" s="343">
        <v>0</v>
      </c>
      <c r="AF56" s="343">
        <v>0</v>
      </c>
      <c r="AG56" s="343">
        <v>0</v>
      </c>
      <c r="AH56" s="343">
        <v>0</v>
      </c>
      <c r="AI56" s="343">
        <v>37736.571539999997</v>
      </c>
      <c r="AJ56" s="343">
        <v>0</v>
      </c>
      <c r="AK56" s="343">
        <v>265476</v>
      </c>
      <c r="AL56" s="343">
        <v>0</v>
      </c>
      <c r="AM56" s="343">
        <v>0</v>
      </c>
      <c r="AN56" s="343">
        <v>0</v>
      </c>
      <c r="AO56" s="343">
        <v>0</v>
      </c>
      <c r="AP56" s="343">
        <v>0</v>
      </c>
      <c r="AQ56" s="343">
        <v>0</v>
      </c>
      <c r="AR56" s="343">
        <v>138060.74530000001</v>
      </c>
      <c r="AS56" s="343">
        <v>0</v>
      </c>
      <c r="AT56" s="343">
        <v>0</v>
      </c>
      <c r="AU56" s="343">
        <v>0</v>
      </c>
      <c r="AV56" s="343">
        <v>0</v>
      </c>
      <c r="AW56" s="343">
        <v>66865.909239999994</v>
      </c>
      <c r="AX56" s="343">
        <v>96622.542910000004</v>
      </c>
      <c r="AY56" s="343">
        <v>16174432.436039999</v>
      </c>
      <c r="AZ56" s="343">
        <v>6767753.0049999999</v>
      </c>
      <c r="BA56" s="343">
        <v>0</v>
      </c>
      <c r="BB56" s="343">
        <v>0</v>
      </c>
      <c r="BC56" s="343">
        <v>0</v>
      </c>
      <c r="BD56" s="343">
        <v>0</v>
      </c>
      <c r="BE56" s="343">
        <v>0</v>
      </c>
      <c r="BF56" s="343">
        <v>0</v>
      </c>
      <c r="BG56" s="343">
        <v>0</v>
      </c>
      <c r="BH56" s="343">
        <v>11.295192029000001</v>
      </c>
      <c r="BI56" s="343">
        <v>0</v>
      </c>
      <c r="BJ56" s="343">
        <v>0</v>
      </c>
      <c r="BK56" s="343">
        <v>0</v>
      </c>
      <c r="BL56" s="343">
        <v>0</v>
      </c>
      <c r="BM56" s="343">
        <v>0</v>
      </c>
      <c r="BN56" s="343">
        <v>0</v>
      </c>
      <c r="BO56" s="343">
        <v>0</v>
      </c>
      <c r="BP56" s="343">
        <v>0</v>
      </c>
    </row>
    <row r="57" spans="1:68" s="343" customFormat="1" x14ac:dyDescent="0.2">
      <c r="A57"/>
      <c r="B57" s="144">
        <f ca="1"/>
        <v>1</v>
      </c>
      <c r="C57"/>
      <c r="D57" s="341" t="s">
        <v>5</v>
      </c>
      <c r="E57" s="342">
        <v>43815</v>
      </c>
      <c r="F57" s="343">
        <v>20681419.510000002</v>
      </c>
      <c r="G57" s="343">
        <v>1961.6172059999999</v>
      </c>
      <c r="H57" s="343">
        <v>5340.3202780000001</v>
      </c>
      <c r="I57" s="343">
        <v>0</v>
      </c>
      <c r="J57" s="343">
        <v>0</v>
      </c>
      <c r="K57" s="343">
        <v>3059.38931</v>
      </c>
      <c r="L57" s="343">
        <v>55964.320440000003</v>
      </c>
      <c r="M57" s="343">
        <v>3735.8371529999999</v>
      </c>
      <c r="N57" s="343">
        <v>4945.1392779999996</v>
      </c>
      <c r="O57" s="343">
        <v>8719721.943</v>
      </c>
      <c r="P57" s="343">
        <v>47413.739350000003</v>
      </c>
      <c r="Q57" s="343">
        <v>5524.6925140000003</v>
      </c>
      <c r="R57" s="343">
        <v>134319.38949999999</v>
      </c>
      <c r="S57" s="343">
        <v>12264.02908</v>
      </c>
      <c r="T57" s="343">
        <v>9026.233381</v>
      </c>
      <c r="U57" s="343">
        <v>2200619.1269999999</v>
      </c>
      <c r="V57" s="343">
        <v>17813.734090000002</v>
      </c>
      <c r="W57" s="343">
        <v>0</v>
      </c>
      <c r="X57" s="343">
        <v>0</v>
      </c>
      <c r="Y57" s="343">
        <v>8.6326858529999999</v>
      </c>
      <c r="Z57" s="343">
        <v>3.6436794570000002</v>
      </c>
      <c r="AA57" s="343">
        <v>817307692.29999995</v>
      </c>
      <c r="AB57" s="343">
        <v>0</v>
      </c>
      <c r="AC57" s="343">
        <v>0</v>
      </c>
      <c r="AD57" s="343">
        <v>0</v>
      </c>
      <c r="AE57" s="343">
        <v>0</v>
      </c>
      <c r="AF57" s="343">
        <v>0</v>
      </c>
      <c r="AG57" s="343">
        <v>0</v>
      </c>
      <c r="AH57" s="343">
        <v>0</v>
      </c>
      <c r="AI57" s="343">
        <v>17178.587100000001</v>
      </c>
      <c r="AJ57" s="343">
        <v>0</v>
      </c>
      <c r="AK57" s="343">
        <v>557463</v>
      </c>
      <c r="AL57" s="343">
        <v>0</v>
      </c>
      <c r="AM57" s="343">
        <v>0</v>
      </c>
      <c r="AN57" s="343">
        <v>0</v>
      </c>
      <c r="AO57" s="343">
        <v>0</v>
      </c>
      <c r="AP57" s="343">
        <v>0</v>
      </c>
      <c r="AQ57" s="343">
        <v>0</v>
      </c>
      <c r="AR57" s="343">
        <v>138060.74530000001</v>
      </c>
      <c r="AS57" s="343">
        <v>0</v>
      </c>
      <c r="AT57" s="343">
        <v>0</v>
      </c>
      <c r="AU57" s="343">
        <v>0</v>
      </c>
      <c r="AV57" s="343">
        <v>0</v>
      </c>
      <c r="AW57" s="343">
        <v>39894.946349999998</v>
      </c>
      <c r="AX57" s="343">
        <v>121188.667</v>
      </c>
      <c r="AY57" s="343">
        <v>15991883.535383999</v>
      </c>
      <c r="AZ57" s="343">
        <v>4030850.8059999999</v>
      </c>
      <c r="BA57" s="343">
        <v>0</v>
      </c>
      <c r="BB57" s="343">
        <v>0</v>
      </c>
      <c r="BC57" s="343">
        <v>0</v>
      </c>
      <c r="BD57" s="343">
        <v>0</v>
      </c>
      <c r="BE57" s="343">
        <v>0</v>
      </c>
      <c r="BF57" s="343">
        <v>0</v>
      </c>
      <c r="BG57" s="343">
        <v>0</v>
      </c>
      <c r="BH57" s="343">
        <v>12.276365309999999</v>
      </c>
      <c r="BI57" s="343">
        <v>0</v>
      </c>
      <c r="BJ57" s="343">
        <v>0</v>
      </c>
      <c r="BK57" s="343">
        <v>0</v>
      </c>
      <c r="BL57" s="343">
        <v>0</v>
      </c>
      <c r="BM57" s="343">
        <v>0</v>
      </c>
      <c r="BN57" s="343">
        <v>0</v>
      </c>
      <c r="BO57" s="343">
        <v>0</v>
      </c>
      <c r="BP57" s="343">
        <v>0</v>
      </c>
    </row>
    <row r="58" spans="1:68" s="343" customFormat="1" x14ac:dyDescent="0.2">
      <c r="A58"/>
      <c r="B58" s="144">
        <f ca="1"/>
        <v>1</v>
      </c>
      <c r="C58"/>
      <c r="D58" s="341" t="s">
        <v>5</v>
      </c>
      <c r="E58" s="342">
        <v>43822</v>
      </c>
      <c r="F58" s="343">
        <v>14988373.890000001</v>
      </c>
      <c r="G58" s="343">
        <v>2642.7692649999999</v>
      </c>
      <c r="H58" s="343">
        <v>4758.8166099999999</v>
      </c>
      <c r="I58" s="343">
        <v>0</v>
      </c>
      <c r="J58" s="343">
        <v>0</v>
      </c>
      <c r="K58" s="343">
        <v>3811.1350349999998</v>
      </c>
      <c r="L58" s="343">
        <v>56548.277580000002</v>
      </c>
      <c r="M58" s="343">
        <v>3329.0445089999998</v>
      </c>
      <c r="N58" s="343">
        <v>6787.2906350000003</v>
      </c>
      <c r="O58" s="343">
        <v>9072033.9399999995</v>
      </c>
      <c r="P58" s="343">
        <v>45282.768340000002</v>
      </c>
      <c r="Q58" s="343">
        <v>6246.4917189999996</v>
      </c>
      <c r="R58" s="343">
        <v>138182.93100000001</v>
      </c>
      <c r="S58" s="343">
        <v>13520.725979999999</v>
      </c>
      <c r="T58" s="343">
        <v>3645.1080059999999</v>
      </c>
      <c r="U58" s="343">
        <v>2520166.1090000002</v>
      </c>
      <c r="V58" s="343">
        <v>21919.011170000002</v>
      </c>
      <c r="W58" s="343">
        <v>0</v>
      </c>
      <c r="X58" s="343">
        <v>0</v>
      </c>
      <c r="Y58" s="343">
        <v>9.6579397419999999</v>
      </c>
      <c r="Z58" s="343">
        <v>3.7340485490000002</v>
      </c>
      <c r="AA58" s="343">
        <v>663461538.5</v>
      </c>
      <c r="AB58" s="343">
        <v>0</v>
      </c>
      <c r="AC58" s="343">
        <v>0</v>
      </c>
      <c r="AD58" s="343">
        <v>0</v>
      </c>
      <c r="AE58" s="343">
        <v>106883.0196</v>
      </c>
      <c r="AF58" s="343">
        <v>1533.0863440000001</v>
      </c>
      <c r="AG58" s="343">
        <v>1150</v>
      </c>
      <c r="AH58" s="343">
        <v>1.1600126000000001E-2</v>
      </c>
      <c r="AI58" s="343">
        <v>17178.568149999999</v>
      </c>
      <c r="AJ58" s="343">
        <v>0</v>
      </c>
      <c r="AK58" s="343">
        <v>231396</v>
      </c>
      <c r="AL58" s="343">
        <v>0</v>
      </c>
      <c r="AM58" s="343">
        <v>0</v>
      </c>
      <c r="AN58" s="343">
        <v>0</v>
      </c>
      <c r="AO58" s="343">
        <v>0</v>
      </c>
      <c r="AP58" s="343">
        <v>0</v>
      </c>
      <c r="AQ58" s="343">
        <v>0</v>
      </c>
      <c r="AR58" s="343">
        <v>0</v>
      </c>
      <c r="AS58" s="343">
        <v>0</v>
      </c>
      <c r="AT58" s="343">
        <v>0</v>
      </c>
      <c r="AU58" s="343">
        <v>0</v>
      </c>
      <c r="AV58" s="343">
        <v>1</v>
      </c>
      <c r="AW58" s="343">
        <v>10057.22328</v>
      </c>
      <c r="AX58" s="343">
        <v>113183.728</v>
      </c>
      <c r="AY58" s="343">
        <v>18372696.811175998</v>
      </c>
      <c r="AZ58" s="343">
        <v>910323.25329999998</v>
      </c>
      <c r="BA58" s="343">
        <v>0</v>
      </c>
      <c r="BB58" s="343">
        <v>0</v>
      </c>
      <c r="BC58" s="343">
        <v>0</v>
      </c>
      <c r="BD58" s="343">
        <v>0</v>
      </c>
      <c r="BE58" s="343">
        <v>0</v>
      </c>
      <c r="BF58" s="343">
        <v>0</v>
      </c>
      <c r="BG58" s="343">
        <v>0</v>
      </c>
      <c r="BH58" s="343">
        <v>13.391988291000001</v>
      </c>
      <c r="BI58" s="343">
        <v>0</v>
      </c>
      <c r="BJ58" s="343">
        <v>0</v>
      </c>
      <c r="BK58" s="343">
        <v>0</v>
      </c>
      <c r="BL58" s="343">
        <v>0</v>
      </c>
      <c r="BM58" s="343">
        <v>0</v>
      </c>
      <c r="BN58" s="343">
        <v>0</v>
      </c>
      <c r="BO58" s="343">
        <v>0</v>
      </c>
      <c r="BP58" s="343">
        <v>0</v>
      </c>
    </row>
    <row r="59" spans="1:68" s="343" customFormat="1" x14ac:dyDescent="0.2">
      <c r="A59"/>
      <c r="B59" s="144">
        <f ca="1"/>
        <v>1</v>
      </c>
      <c r="C59"/>
      <c r="D59" s="341" t="s">
        <v>5</v>
      </c>
      <c r="E59" s="342">
        <v>43829</v>
      </c>
      <c r="F59" s="343">
        <v>7394759.4119999995</v>
      </c>
      <c r="G59" s="343">
        <v>2592.4068200000002</v>
      </c>
      <c r="H59" s="343">
        <v>4247.1278810000003</v>
      </c>
      <c r="I59" s="343">
        <v>0</v>
      </c>
      <c r="J59" s="343">
        <v>0</v>
      </c>
      <c r="K59" s="343">
        <v>3451.776797</v>
      </c>
      <c r="L59" s="343">
        <v>62170.296280000002</v>
      </c>
      <c r="M59" s="343">
        <v>2971.0911150000002</v>
      </c>
      <c r="N59" s="343">
        <v>1778.7351980000001</v>
      </c>
      <c r="O59" s="343">
        <v>2262165.3909999998</v>
      </c>
      <c r="P59" s="343">
        <v>10290.298989999999</v>
      </c>
      <c r="Q59" s="343">
        <v>7006.6048540000002</v>
      </c>
      <c r="R59" s="343">
        <v>145975.63200000001</v>
      </c>
      <c r="S59" s="343">
        <v>14724.082839999999</v>
      </c>
      <c r="T59" s="343">
        <v>1169.2354419999999</v>
      </c>
      <c r="U59" s="343">
        <v>743160.76249999995</v>
      </c>
      <c r="V59" s="343">
        <v>5676.9288310000002</v>
      </c>
      <c r="W59" s="343">
        <v>0</v>
      </c>
      <c r="X59" s="343">
        <v>0</v>
      </c>
      <c r="Y59" s="343">
        <v>7.7292091579999997</v>
      </c>
      <c r="Z59" s="343">
        <v>4.3767620049999998</v>
      </c>
      <c r="AA59" s="343">
        <v>311200541.60000002</v>
      </c>
      <c r="AB59" s="343">
        <v>0</v>
      </c>
      <c r="AC59" s="343">
        <v>0</v>
      </c>
      <c r="AD59" s="343">
        <v>0</v>
      </c>
      <c r="AE59" s="343">
        <v>0</v>
      </c>
      <c r="AF59" s="343">
        <v>0</v>
      </c>
      <c r="AG59" s="343">
        <v>0</v>
      </c>
      <c r="AH59" s="343">
        <v>0</v>
      </c>
      <c r="AI59" s="343">
        <v>6939.0536769999999</v>
      </c>
      <c r="AJ59" s="343">
        <v>0</v>
      </c>
      <c r="AK59" s="343">
        <v>55628</v>
      </c>
      <c r="AL59" s="343">
        <v>0</v>
      </c>
      <c r="AM59" s="343">
        <v>0</v>
      </c>
      <c r="AN59" s="343">
        <v>0</v>
      </c>
      <c r="AO59" s="343">
        <v>0</v>
      </c>
      <c r="AP59" s="343">
        <v>0</v>
      </c>
      <c r="AQ59" s="343">
        <v>0</v>
      </c>
      <c r="AR59" s="343">
        <v>0</v>
      </c>
      <c r="AS59" s="343">
        <v>0</v>
      </c>
      <c r="AT59" s="343">
        <v>0</v>
      </c>
      <c r="AU59" s="343">
        <v>0</v>
      </c>
      <c r="AV59" s="343">
        <v>0</v>
      </c>
      <c r="AW59" s="343">
        <v>0</v>
      </c>
      <c r="AX59" s="343">
        <v>47057.867559999999</v>
      </c>
      <c r="AY59" s="343">
        <v>15371952.690168001</v>
      </c>
      <c r="AZ59" s="343">
        <v>0</v>
      </c>
      <c r="BA59" s="343">
        <v>0</v>
      </c>
      <c r="BB59" s="343">
        <v>0</v>
      </c>
      <c r="BC59" s="343">
        <v>0</v>
      </c>
      <c r="BD59" s="343">
        <v>0</v>
      </c>
      <c r="BE59" s="343">
        <v>0</v>
      </c>
      <c r="BF59" s="343">
        <v>0</v>
      </c>
      <c r="BG59" s="343">
        <v>0</v>
      </c>
      <c r="BH59" s="343">
        <v>12.105971163</v>
      </c>
      <c r="BI59" s="343">
        <v>0</v>
      </c>
      <c r="BJ59" s="343">
        <v>0</v>
      </c>
      <c r="BK59" s="343">
        <v>0</v>
      </c>
      <c r="BL59" s="343">
        <v>0</v>
      </c>
      <c r="BM59" s="343">
        <v>0</v>
      </c>
      <c r="BN59" s="343">
        <v>0</v>
      </c>
      <c r="BO59" s="343">
        <v>0</v>
      </c>
      <c r="BP59" s="343">
        <v>0</v>
      </c>
    </row>
    <row r="60" spans="1:68" s="343" customFormat="1" x14ac:dyDescent="0.2">
      <c r="A60"/>
      <c r="B60" s="144">
        <f ca="1"/>
        <v>1</v>
      </c>
      <c r="C60"/>
      <c r="D60" s="341" t="s">
        <v>5</v>
      </c>
      <c r="E60" s="342">
        <v>43836</v>
      </c>
      <c r="F60" s="343">
        <v>6128183.483</v>
      </c>
      <c r="G60" s="343">
        <v>1723.6546559999999</v>
      </c>
      <c r="H60" s="343">
        <v>3360.2200560000001</v>
      </c>
      <c r="I60" s="343">
        <v>0</v>
      </c>
      <c r="J60" s="343">
        <v>0</v>
      </c>
      <c r="K60" s="343">
        <v>2671.8461120000002</v>
      </c>
      <c r="L60" s="343">
        <v>52967.466509999998</v>
      </c>
      <c r="M60" s="343">
        <v>2350.6520719999999</v>
      </c>
      <c r="N60" s="343">
        <v>0</v>
      </c>
      <c r="O60" s="343">
        <v>0</v>
      </c>
      <c r="P60" s="343">
        <v>0</v>
      </c>
      <c r="Q60" s="343">
        <v>5890.6566009999997</v>
      </c>
      <c r="R60" s="343">
        <v>132526.5618</v>
      </c>
      <c r="S60" s="343">
        <v>12795.007299999999</v>
      </c>
      <c r="T60" s="343">
        <v>0</v>
      </c>
      <c r="U60" s="343">
        <v>0</v>
      </c>
      <c r="V60" s="343">
        <v>0</v>
      </c>
      <c r="W60" s="343">
        <v>0</v>
      </c>
      <c r="X60" s="343">
        <v>0</v>
      </c>
      <c r="Y60" s="343">
        <v>7.6007757319999998</v>
      </c>
      <c r="Z60" s="343">
        <v>4.812122381</v>
      </c>
      <c r="AA60" s="343">
        <v>245756358.5</v>
      </c>
      <c r="AB60" s="343">
        <v>0</v>
      </c>
      <c r="AC60" s="343">
        <v>0</v>
      </c>
      <c r="AD60" s="343">
        <v>0</v>
      </c>
      <c r="AE60" s="343">
        <v>0</v>
      </c>
      <c r="AF60" s="343">
        <v>0</v>
      </c>
      <c r="AG60" s="343">
        <v>0</v>
      </c>
      <c r="AH60" s="343">
        <v>0</v>
      </c>
      <c r="AI60" s="343">
        <v>1033.951251</v>
      </c>
      <c r="AJ60" s="343">
        <v>0</v>
      </c>
      <c r="AK60" s="343">
        <v>181213</v>
      </c>
      <c r="AL60" s="343">
        <v>0</v>
      </c>
      <c r="AM60" s="343">
        <v>0</v>
      </c>
      <c r="AN60" s="343">
        <v>0</v>
      </c>
      <c r="AO60" s="343">
        <v>0</v>
      </c>
      <c r="AP60" s="343">
        <v>0</v>
      </c>
      <c r="AQ60" s="343">
        <v>0</v>
      </c>
      <c r="AR60" s="343">
        <v>0</v>
      </c>
      <c r="AS60" s="343">
        <v>0</v>
      </c>
      <c r="AT60" s="343">
        <v>0</v>
      </c>
      <c r="AU60" s="343">
        <v>0</v>
      </c>
      <c r="AV60" s="343">
        <v>0</v>
      </c>
      <c r="AW60" s="343">
        <v>0</v>
      </c>
      <c r="AX60" s="343">
        <v>37469.959540000003</v>
      </c>
      <c r="AY60" s="343">
        <v>14646841.935351999</v>
      </c>
      <c r="AZ60" s="343">
        <v>0</v>
      </c>
      <c r="BA60" s="343">
        <v>0</v>
      </c>
      <c r="BB60" s="343">
        <v>0</v>
      </c>
      <c r="BC60" s="343">
        <v>0</v>
      </c>
      <c r="BD60" s="343">
        <v>0</v>
      </c>
      <c r="BE60" s="343">
        <v>0</v>
      </c>
      <c r="BF60" s="343">
        <v>0</v>
      </c>
      <c r="BG60" s="343">
        <v>0</v>
      </c>
      <c r="BH60" s="343">
        <v>12.412898113000001</v>
      </c>
      <c r="BI60" s="343">
        <v>0</v>
      </c>
      <c r="BJ60" s="343">
        <v>0</v>
      </c>
      <c r="BK60" s="343">
        <v>0</v>
      </c>
      <c r="BL60" s="343">
        <v>0</v>
      </c>
      <c r="BM60" s="343">
        <v>0</v>
      </c>
      <c r="BN60" s="343">
        <v>0</v>
      </c>
      <c r="BO60" s="343">
        <v>0</v>
      </c>
      <c r="BP60" s="343">
        <v>1</v>
      </c>
    </row>
    <row r="61" spans="1:68" s="343" customFormat="1" x14ac:dyDescent="0.2">
      <c r="A61"/>
      <c r="B61" s="144">
        <f ca="1"/>
        <v>1</v>
      </c>
      <c r="C61"/>
      <c r="D61" s="341" t="s">
        <v>5</v>
      </c>
      <c r="E61" s="342">
        <v>43843</v>
      </c>
      <c r="F61" s="343">
        <v>6077461.2920000004</v>
      </c>
      <c r="G61" s="343">
        <v>1353.490691</v>
      </c>
      <c r="H61" s="343">
        <v>3982.1144039999999</v>
      </c>
      <c r="I61" s="343">
        <v>0</v>
      </c>
      <c r="J61" s="343">
        <v>0</v>
      </c>
      <c r="K61" s="343">
        <v>3066.4355500000001</v>
      </c>
      <c r="L61" s="343">
        <v>59451.328439999997</v>
      </c>
      <c r="M61" s="343">
        <v>2785.7001380000002</v>
      </c>
      <c r="N61" s="343">
        <v>0</v>
      </c>
      <c r="O61" s="343">
        <v>0</v>
      </c>
      <c r="P61" s="343">
        <v>0</v>
      </c>
      <c r="Q61" s="343">
        <v>7446.9948510000004</v>
      </c>
      <c r="R61" s="343">
        <v>170532.65900000001</v>
      </c>
      <c r="S61" s="343">
        <v>16597.118750000001</v>
      </c>
      <c r="T61" s="343">
        <v>0</v>
      </c>
      <c r="U61" s="343">
        <v>0</v>
      </c>
      <c r="V61" s="343">
        <v>0</v>
      </c>
      <c r="W61" s="343">
        <v>0</v>
      </c>
      <c r="X61" s="343">
        <v>0</v>
      </c>
      <c r="Y61" s="343">
        <v>7.4100527820000002</v>
      </c>
      <c r="Z61" s="343">
        <v>4.9373160980000002</v>
      </c>
      <c r="AA61" s="343">
        <v>251136338.5</v>
      </c>
      <c r="AB61" s="343">
        <v>0</v>
      </c>
      <c r="AC61" s="343">
        <v>0</v>
      </c>
      <c r="AD61" s="343">
        <v>0</v>
      </c>
      <c r="AE61" s="343">
        <v>0</v>
      </c>
      <c r="AF61" s="343">
        <v>0</v>
      </c>
      <c r="AG61" s="343">
        <v>0</v>
      </c>
      <c r="AH61" s="343">
        <v>0</v>
      </c>
      <c r="AI61" s="343">
        <v>1033.9507140000001</v>
      </c>
      <c r="AJ61" s="343">
        <v>114707.674</v>
      </c>
      <c r="AK61" s="343">
        <v>173029</v>
      </c>
      <c r="AL61" s="343">
        <v>0</v>
      </c>
      <c r="AM61" s="343">
        <v>0</v>
      </c>
      <c r="AN61" s="343">
        <v>0</v>
      </c>
      <c r="AO61" s="343">
        <v>0</v>
      </c>
      <c r="AP61" s="343">
        <v>0</v>
      </c>
      <c r="AQ61" s="343">
        <v>0</v>
      </c>
      <c r="AR61" s="343">
        <v>0</v>
      </c>
      <c r="AS61" s="343">
        <v>0</v>
      </c>
      <c r="AT61" s="343">
        <v>0</v>
      </c>
      <c r="AU61" s="343">
        <v>0</v>
      </c>
      <c r="AV61" s="343">
        <v>0</v>
      </c>
      <c r="AW61" s="343">
        <v>0</v>
      </c>
      <c r="AX61" s="343">
        <v>47759.553740000003</v>
      </c>
      <c r="AY61" s="343">
        <v>14572293.81404</v>
      </c>
      <c r="AZ61" s="343">
        <v>0</v>
      </c>
      <c r="BA61" s="343">
        <v>0</v>
      </c>
      <c r="BB61" s="343">
        <v>0</v>
      </c>
      <c r="BC61" s="343">
        <v>0</v>
      </c>
      <c r="BD61" s="343">
        <v>0</v>
      </c>
      <c r="BE61" s="343">
        <v>0</v>
      </c>
      <c r="BF61" s="343">
        <v>0</v>
      </c>
      <c r="BG61" s="343">
        <v>114707.674</v>
      </c>
      <c r="BH61" s="343">
        <v>12.347368879999999</v>
      </c>
      <c r="BI61" s="343">
        <v>0</v>
      </c>
      <c r="BJ61" s="343">
        <v>0</v>
      </c>
      <c r="BK61" s="343">
        <v>0</v>
      </c>
      <c r="BL61" s="343">
        <v>0</v>
      </c>
      <c r="BM61" s="343">
        <v>0</v>
      </c>
      <c r="BN61" s="343">
        <v>0</v>
      </c>
      <c r="BO61" s="343">
        <v>0</v>
      </c>
      <c r="BP61" s="343">
        <v>0</v>
      </c>
    </row>
    <row r="62" spans="1:68" s="343" customFormat="1" x14ac:dyDescent="0.2">
      <c r="A62"/>
      <c r="B62" s="144">
        <f ca="1"/>
        <v>1</v>
      </c>
      <c r="C62"/>
      <c r="D62" s="341" t="s">
        <v>5</v>
      </c>
      <c r="E62" s="342">
        <v>43850</v>
      </c>
      <c r="F62" s="343">
        <v>7084933.6600000001</v>
      </c>
      <c r="G62" s="343">
        <v>3160.87291</v>
      </c>
      <c r="H62" s="343">
        <v>3879.5198089999999</v>
      </c>
      <c r="I62" s="343">
        <v>0</v>
      </c>
      <c r="J62" s="343">
        <v>0</v>
      </c>
      <c r="K62" s="343">
        <v>3106.5110399999999</v>
      </c>
      <c r="L62" s="343">
        <v>57197.412429999997</v>
      </c>
      <c r="M62" s="343">
        <v>2713.9297809999998</v>
      </c>
      <c r="N62" s="343">
        <v>0</v>
      </c>
      <c r="O62" s="343">
        <v>0</v>
      </c>
      <c r="P62" s="343">
        <v>0</v>
      </c>
      <c r="Q62" s="343">
        <v>8148.5361160000002</v>
      </c>
      <c r="R62" s="343">
        <v>184707.0514</v>
      </c>
      <c r="S62" s="343">
        <v>16767.84474</v>
      </c>
      <c r="T62" s="343">
        <v>0</v>
      </c>
      <c r="U62" s="343">
        <v>0</v>
      </c>
      <c r="V62" s="343">
        <v>0</v>
      </c>
      <c r="W62" s="343">
        <v>0</v>
      </c>
      <c r="X62" s="343">
        <v>0</v>
      </c>
      <c r="Y62" s="343">
        <v>9.0156332090000006</v>
      </c>
      <c r="Z62" s="343">
        <v>4.7232514009999997</v>
      </c>
      <c r="AA62" s="343">
        <v>269361562.69999999</v>
      </c>
      <c r="AB62" s="343">
        <v>0</v>
      </c>
      <c r="AC62" s="343">
        <v>0</v>
      </c>
      <c r="AD62" s="343">
        <v>0</v>
      </c>
      <c r="AE62" s="343">
        <v>0</v>
      </c>
      <c r="AF62" s="343">
        <v>0</v>
      </c>
      <c r="AG62" s="343">
        <v>0</v>
      </c>
      <c r="AH62" s="343">
        <v>0</v>
      </c>
      <c r="AI62" s="343">
        <v>924.92650370000001</v>
      </c>
      <c r="AJ62" s="343">
        <v>47622.358180000003</v>
      </c>
      <c r="AK62" s="343">
        <v>80370</v>
      </c>
      <c r="AL62" s="343">
        <v>0</v>
      </c>
      <c r="AM62" s="343">
        <v>0</v>
      </c>
      <c r="AN62" s="343">
        <v>0</v>
      </c>
      <c r="AO62" s="343">
        <v>0</v>
      </c>
      <c r="AP62" s="343">
        <v>0</v>
      </c>
      <c r="AQ62" s="343">
        <v>0</v>
      </c>
      <c r="AR62" s="343">
        <v>0</v>
      </c>
      <c r="AS62" s="343">
        <v>0</v>
      </c>
      <c r="AT62" s="343">
        <v>0</v>
      </c>
      <c r="AU62" s="343">
        <v>0</v>
      </c>
      <c r="AV62" s="343">
        <v>0</v>
      </c>
      <c r="AW62" s="343">
        <v>0</v>
      </c>
      <c r="AX62" s="343">
        <v>43278.573850000001</v>
      </c>
      <c r="AY62" s="343">
        <v>12055253.5049599</v>
      </c>
      <c r="AZ62" s="343">
        <v>0</v>
      </c>
      <c r="BA62" s="343">
        <v>0</v>
      </c>
      <c r="BB62" s="343">
        <v>0</v>
      </c>
      <c r="BC62" s="343">
        <v>0</v>
      </c>
      <c r="BD62" s="343">
        <v>0</v>
      </c>
      <c r="BE62" s="343">
        <v>0</v>
      </c>
      <c r="BF62" s="343">
        <v>0</v>
      </c>
      <c r="BG62" s="343">
        <v>47622.358180000003</v>
      </c>
      <c r="BH62" s="343">
        <v>13.738884609999999</v>
      </c>
      <c r="BI62" s="343">
        <v>0</v>
      </c>
      <c r="BJ62" s="343">
        <v>0</v>
      </c>
      <c r="BK62" s="343">
        <v>0</v>
      </c>
      <c r="BL62" s="343">
        <v>0</v>
      </c>
      <c r="BM62" s="343">
        <v>0</v>
      </c>
      <c r="BN62" s="343">
        <v>0</v>
      </c>
      <c r="BO62" s="343">
        <v>0</v>
      </c>
      <c r="BP62" s="343">
        <v>0</v>
      </c>
    </row>
    <row r="63" spans="1:68" s="343" customFormat="1" x14ac:dyDescent="0.2">
      <c r="A63"/>
      <c r="B63" s="144">
        <f ca="1"/>
        <v>1</v>
      </c>
      <c r="C63"/>
      <c r="D63" s="341" t="s">
        <v>5</v>
      </c>
      <c r="E63" s="342">
        <v>43857</v>
      </c>
      <c r="F63" s="343">
        <v>6811065.7240000004</v>
      </c>
      <c r="G63" s="343">
        <v>4187.6372439999996</v>
      </c>
      <c r="H63" s="343">
        <v>3401.171018</v>
      </c>
      <c r="I63" s="343">
        <v>0</v>
      </c>
      <c r="J63" s="343">
        <v>0</v>
      </c>
      <c r="K63" s="343">
        <v>2754.1990420000002</v>
      </c>
      <c r="L63" s="343">
        <v>51385.585639999998</v>
      </c>
      <c r="M63" s="343">
        <v>2379.2994410000001</v>
      </c>
      <c r="N63" s="343">
        <v>0</v>
      </c>
      <c r="O63" s="343">
        <v>0</v>
      </c>
      <c r="P63" s="343">
        <v>0</v>
      </c>
      <c r="Q63" s="343">
        <v>8926.2648509999999</v>
      </c>
      <c r="R63" s="343">
        <v>202998.2096</v>
      </c>
      <c r="S63" s="343">
        <v>17285.893110000001</v>
      </c>
      <c r="T63" s="343">
        <v>0</v>
      </c>
      <c r="U63" s="343">
        <v>0</v>
      </c>
      <c r="V63" s="343">
        <v>0</v>
      </c>
      <c r="W63" s="343">
        <v>0</v>
      </c>
      <c r="X63" s="343">
        <v>0</v>
      </c>
      <c r="Y63" s="343">
        <v>8.3561109279999997</v>
      </c>
      <c r="Z63" s="343">
        <v>4.238480708</v>
      </c>
      <c r="AA63" s="343">
        <v>263082597</v>
      </c>
      <c r="AB63" s="343">
        <v>0</v>
      </c>
      <c r="AC63" s="343">
        <v>0</v>
      </c>
      <c r="AD63" s="343">
        <v>0</v>
      </c>
      <c r="AE63" s="343">
        <v>0</v>
      </c>
      <c r="AF63" s="343">
        <v>0</v>
      </c>
      <c r="AG63" s="343">
        <v>0</v>
      </c>
      <c r="AH63" s="343">
        <v>0</v>
      </c>
      <c r="AI63" s="343">
        <v>6895.1169980000004</v>
      </c>
      <c r="AJ63" s="343">
        <v>194419.6152</v>
      </c>
      <c r="AK63" s="343">
        <v>102959</v>
      </c>
      <c r="AL63" s="343">
        <v>0</v>
      </c>
      <c r="AM63" s="343">
        <v>0</v>
      </c>
      <c r="AN63" s="343">
        <v>0</v>
      </c>
      <c r="AO63" s="343">
        <v>0</v>
      </c>
      <c r="AP63" s="343">
        <v>0</v>
      </c>
      <c r="AQ63" s="343">
        <v>0</v>
      </c>
      <c r="AR63" s="343">
        <v>0</v>
      </c>
      <c r="AS63" s="343">
        <v>0</v>
      </c>
      <c r="AT63" s="343">
        <v>0</v>
      </c>
      <c r="AU63" s="343">
        <v>0</v>
      </c>
      <c r="AV63" s="343">
        <v>0</v>
      </c>
      <c r="AW63" s="343">
        <v>0</v>
      </c>
      <c r="AX63" s="343">
        <v>41096.423150000002</v>
      </c>
      <c r="AY63" s="343">
        <v>10237101.6984159</v>
      </c>
      <c r="AZ63" s="343">
        <v>0</v>
      </c>
      <c r="BA63" s="343">
        <v>0</v>
      </c>
      <c r="BB63" s="343">
        <v>0</v>
      </c>
      <c r="BC63" s="343">
        <v>0</v>
      </c>
      <c r="BD63" s="343">
        <v>0</v>
      </c>
      <c r="BE63" s="343">
        <v>0</v>
      </c>
      <c r="BF63" s="343">
        <v>0</v>
      </c>
      <c r="BG63" s="343">
        <v>194419.6152</v>
      </c>
      <c r="BH63" s="343">
        <v>12.594591636000001</v>
      </c>
      <c r="BI63" s="343">
        <v>0</v>
      </c>
      <c r="BJ63" s="343">
        <v>0</v>
      </c>
      <c r="BK63" s="343">
        <v>0</v>
      </c>
      <c r="BL63" s="343">
        <v>0</v>
      </c>
      <c r="BM63" s="343">
        <v>0</v>
      </c>
      <c r="BN63" s="343">
        <v>0</v>
      </c>
      <c r="BO63" s="343">
        <v>0</v>
      </c>
      <c r="BP63" s="343">
        <v>0</v>
      </c>
    </row>
    <row r="64" spans="1:68" s="343" customFormat="1" x14ac:dyDescent="0.2">
      <c r="A64"/>
      <c r="B64" s="144">
        <f ca="1"/>
        <v>1</v>
      </c>
      <c r="C64"/>
      <c r="D64" s="341" t="s">
        <v>5</v>
      </c>
      <c r="E64" s="342">
        <v>43864</v>
      </c>
      <c r="F64" s="343">
        <v>18472805.66</v>
      </c>
      <c r="G64" s="343">
        <v>4239.8882800000001</v>
      </c>
      <c r="H64" s="343">
        <v>3692.045611</v>
      </c>
      <c r="I64" s="343">
        <v>0</v>
      </c>
      <c r="J64" s="343">
        <v>0</v>
      </c>
      <c r="K64" s="343">
        <v>2659.5151930000002</v>
      </c>
      <c r="L64" s="343">
        <v>52753.436970000002</v>
      </c>
      <c r="M64" s="343">
        <v>2582.7816389999998</v>
      </c>
      <c r="N64" s="343">
        <v>648.69446570000002</v>
      </c>
      <c r="O64" s="343">
        <v>651444.70129999996</v>
      </c>
      <c r="P64" s="343">
        <v>3280.8946510000001</v>
      </c>
      <c r="Q64" s="343">
        <v>7291.9775719999998</v>
      </c>
      <c r="R64" s="343">
        <v>155617.53049999999</v>
      </c>
      <c r="S64" s="343">
        <v>12631.613810000001</v>
      </c>
      <c r="T64" s="343">
        <v>502.92537670000002</v>
      </c>
      <c r="U64" s="343">
        <v>203119.3168</v>
      </c>
      <c r="V64" s="343">
        <v>1699.016946</v>
      </c>
      <c r="W64" s="343">
        <v>0</v>
      </c>
      <c r="X64" s="343">
        <v>0</v>
      </c>
      <c r="Y64" s="343">
        <v>7.7439555709999999</v>
      </c>
      <c r="Z64" s="343">
        <v>4.6251131519999999</v>
      </c>
      <c r="AA64" s="343">
        <v>299832372.89999998</v>
      </c>
      <c r="AB64" s="343">
        <v>0</v>
      </c>
      <c r="AC64" s="343">
        <v>0</v>
      </c>
      <c r="AD64" s="343">
        <v>0</v>
      </c>
      <c r="AE64" s="343">
        <v>0</v>
      </c>
      <c r="AF64" s="343">
        <v>0</v>
      </c>
      <c r="AG64" s="343">
        <v>0</v>
      </c>
      <c r="AH64" s="343">
        <v>0</v>
      </c>
      <c r="AI64" s="343">
        <v>25323.001789999998</v>
      </c>
      <c r="AJ64" s="343">
        <v>0</v>
      </c>
      <c r="AK64" s="343">
        <v>37167</v>
      </c>
      <c r="AL64" s="343">
        <v>0</v>
      </c>
      <c r="AM64" s="343">
        <v>0</v>
      </c>
      <c r="AN64" s="343">
        <v>0</v>
      </c>
      <c r="AO64" s="343">
        <v>0</v>
      </c>
      <c r="AP64" s="343">
        <v>0</v>
      </c>
      <c r="AQ64" s="343">
        <v>0</v>
      </c>
      <c r="AR64" s="343">
        <v>173956.5399</v>
      </c>
      <c r="AS64" s="343">
        <v>0</v>
      </c>
      <c r="AT64" s="343">
        <v>0</v>
      </c>
      <c r="AU64" s="343">
        <v>0</v>
      </c>
      <c r="AV64" s="343">
        <v>0</v>
      </c>
      <c r="AW64" s="343">
        <v>56409.83541</v>
      </c>
      <c r="AX64" s="343">
        <v>42225.592539999998</v>
      </c>
      <c r="AY64" s="343">
        <v>8800444.9508720003</v>
      </c>
      <c r="AZ64" s="343">
        <v>4438657.7489999998</v>
      </c>
      <c r="BA64" s="343">
        <v>0</v>
      </c>
      <c r="BB64" s="343">
        <v>0</v>
      </c>
      <c r="BC64" s="343">
        <v>0</v>
      </c>
      <c r="BD64" s="343">
        <v>0</v>
      </c>
      <c r="BE64" s="343">
        <v>0</v>
      </c>
      <c r="BF64" s="343">
        <v>0</v>
      </c>
      <c r="BG64" s="343">
        <v>0</v>
      </c>
      <c r="BH64" s="343">
        <v>12.369068723</v>
      </c>
      <c r="BI64" s="343">
        <v>0</v>
      </c>
      <c r="BJ64" s="343">
        <v>1</v>
      </c>
      <c r="BK64" s="343">
        <v>0</v>
      </c>
      <c r="BL64" s="343">
        <v>0</v>
      </c>
      <c r="BM64" s="343">
        <v>0</v>
      </c>
      <c r="BN64" s="343">
        <v>0</v>
      </c>
      <c r="BO64" s="343">
        <v>0</v>
      </c>
      <c r="BP64" s="343">
        <v>0</v>
      </c>
    </row>
    <row r="65" spans="1:68" s="343" customFormat="1" x14ac:dyDescent="0.2">
      <c r="A65"/>
      <c r="B65" s="144">
        <f ca="1"/>
        <v>1</v>
      </c>
      <c r="C65"/>
      <c r="D65" s="341" t="s">
        <v>5</v>
      </c>
      <c r="E65" s="342">
        <v>43871</v>
      </c>
      <c r="F65" s="343">
        <v>12271156.390000001</v>
      </c>
      <c r="G65" s="343">
        <v>3984.298875</v>
      </c>
      <c r="H65" s="343">
        <v>2873.8195689999998</v>
      </c>
      <c r="I65" s="343">
        <v>0</v>
      </c>
      <c r="J65" s="343">
        <v>0.34680349599999999</v>
      </c>
      <c r="K65" s="343">
        <v>2078.6407859999999</v>
      </c>
      <c r="L65" s="343">
        <v>42005.278700000003</v>
      </c>
      <c r="M65" s="343">
        <v>2010.3891450000001</v>
      </c>
      <c r="N65" s="343">
        <v>769.80171489999998</v>
      </c>
      <c r="O65" s="343">
        <v>896853.78870000003</v>
      </c>
      <c r="P65" s="343">
        <v>5042.7712959999999</v>
      </c>
      <c r="Q65" s="343">
        <v>7480.024101</v>
      </c>
      <c r="R65" s="343">
        <v>145714.92110000001</v>
      </c>
      <c r="S65" s="343">
        <v>11518.642589999999</v>
      </c>
      <c r="T65" s="343">
        <v>1388.109271</v>
      </c>
      <c r="U65" s="343">
        <v>796466.44850000006</v>
      </c>
      <c r="V65" s="343">
        <v>7138.0944650000001</v>
      </c>
      <c r="W65" s="343">
        <v>0</v>
      </c>
      <c r="X65" s="343">
        <v>4.8944247000000003E-2</v>
      </c>
      <c r="Y65" s="343">
        <v>9.070389746</v>
      </c>
      <c r="Z65" s="343">
        <v>6.0810299329999999</v>
      </c>
      <c r="AA65" s="343">
        <v>361464876.5</v>
      </c>
      <c r="AB65" s="343">
        <v>0</v>
      </c>
      <c r="AC65" s="343">
        <v>0</v>
      </c>
      <c r="AD65" s="343">
        <v>0</v>
      </c>
      <c r="AE65" s="343">
        <v>0</v>
      </c>
      <c r="AF65" s="343">
        <v>0</v>
      </c>
      <c r="AG65" s="343">
        <v>0</v>
      </c>
      <c r="AH65" s="343">
        <v>0</v>
      </c>
      <c r="AI65" s="343">
        <v>41813.275199999996</v>
      </c>
      <c r="AJ65" s="343">
        <v>74459.018920000002</v>
      </c>
      <c r="AK65" s="343">
        <v>187679</v>
      </c>
      <c r="AL65" s="343">
        <v>0</v>
      </c>
      <c r="AM65" s="343">
        <v>0</v>
      </c>
      <c r="AN65" s="343">
        <v>0</v>
      </c>
      <c r="AO65" s="343">
        <v>0</v>
      </c>
      <c r="AP65" s="343">
        <v>0</v>
      </c>
      <c r="AQ65" s="343">
        <v>0</v>
      </c>
      <c r="AR65" s="343">
        <v>173956.5399</v>
      </c>
      <c r="AS65" s="343">
        <v>0</v>
      </c>
      <c r="AT65" s="343">
        <v>0</v>
      </c>
      <c r="AU65" s="343">
        <v>1</v>
      </c>
      <c r="AV65" s="343">
        <v>0</v>
      </c>
      <c r="AW65" s="343">
        <v>70190.103640000001</v>
      </c>
      <c r="AX65" s="343">
        <v>43195.054819999998</v>
      </c>
      <c r="AY65" s="343">
        <v>9160877.8785119895</v>
      </c>
      <c r="AZ65" s="343">
        <v>5253388.3650000002</v>
      </c>
      <c r="BA65" s="343">
        <v>0</v>
      </c>
      <c r="BB65" s="343">
        <v>0</v>
      </c>
      <c r="BC65" s="343">
        <v>0</v>
      </c>
      <c r="BD65" s="343">
        <v>0</v>
      </c>
      <c r="BE65" s="343">
        <v>0</v>
      </c>
      <c r="BF65" s="343">
        <v>0</v>
      </c>
      <c r="BG65" s="343">
        <v>74459.018920000002</v>
      </c>
      <c r="BH65" s="343">
        <v>15.200363926</v>
      </c>
      <c r="BI65" s="343">
        <v>0</v>
      </c>
      <c r="BJ65" s="343">
        <v>0.3</v>
      </c>
      <c r="BK65" s="343">
        <v>0</v>
      </c>
      <c r="BL65" s="343">
        <v>0</v>
      </c>
      <c r="BM65" s="343">
        <v>0</v>
      </c>
      <c r="BN65" s="343">
        <v>0</v>
      </c>
      <c r="BO65" s="343">
        <v>0</v>
      </c>
      <c r="BP65" s="343">
        <v>0</v>
      </c>
    </row>
    <row r="66" spans="1:68" s="343" customFormat="1" x14ac:dyDescent="0.2">
      <c r="A66"/>
      <c r="B66" s="144">
        <f ca="1"/>
        <v>1</v>
      </c>
      <c r="C66"/>
      <c r="D66" s="341" t="s">
        <v>5</v>
      </c>
      <c r="E66" s="342">
        <v>43878</v>
      </c>
      <c r="F66" s="343">
        <v>10431474.85</v>
      </c>
      <c r="G66" s="343">
        <v>4256.2560739999999</v>
      </c>
      <c r="H66" s="343">
        <v>3321.5881460000001</v>
      </c>
      <c r="I66" s="343">
        <v>0</v>
      </c>
      <c r="J66" s="343">
        <v>-1.901109057</v>
      </c>
      <c r="K66" s="343">
        <v>2045.171147</v>
      </c>
      <c r="L66" s="343">
        <v>46091.217100000002</v>
      </c>
      <c r="M66" s="343">
        <v>2323.6270030000001</v>
      </c>
      <c r="N66" s="343">
        <v>2674.0480619999998</v>
      </c>
      <c r="O66" s="343">
        <v>1416785.706</v>
      </c>
      <c r="P66" s="343">
        <v>13874.94767</v>
      </c>
      <c r="Q66" s="343">
        <v>7586.1580899999999</v>
      </c>
      <c r="R66" s="343">
        <v>146195.82689999999</v>
      </c>
      <c r="S66" s="343">
        <v>12049.915870000001</v>
      </c>
      <c r="T66" s="343">
        <v>1463.85635</v>
      </c>
      <c r="U66" s="343">
        <v>1138983.2919999999</v>
      </c>
      <c r="V66" s="343">
        <v>10352.660379999999</v>
      </c>
      <c r="W66" s="343">
        <v>0</v>
      </c>
      <c r="X66" s="343">
        <v>0</v>
      </c>
      <c r="Y66" s="343">
        <v>7.5275028400000004</v>
      </c>
      <c r="Z66" s="343">
        <v>5.774697797</v>
      </c>
      <c r="AA66" s="343">
        <v>301164115.30000001</v>
      </c>
      <c r="AB66" s="343">
        <v>0</v>
      </c>
      <c r="AC66" s="343">
        <v>0</v>
      </c>
      <c r="AD66" s="343">
        <v>0</v>
      </c>
      <c r="AE66" s="343">
        <v>0</v>
      </c>
      <c r="AF66" s="343">
        <v>0</v>
      </c>
      <c r="AG66" s="343">
        <v>0</v>
      </c>
      <c r="AH66" s="343">
        <v>0</v>
      </c>
      <c r="AI66" s="343">
        <v>22024.539079999999</v>
      </c>
      <c r="AJ66" s="343">
        <v>82977.567479999998</v>
      </c>
      <c r="AK66" s="343">
        <v>208046</v>
      </c>
      <c r="AL66" s="343">
        <v>0</v>
      </c>
      <c r="AM66" s="343">
        <v>0</v>
      </c>
      <c r="AN66" s="343">
        <v>0</v>
      </c>
      <c r="AO66" s="343">
        <v>0</v>
      </c>
      <c r="AP66" s="343">
        <v>0</v>
      </c>
      <c r="AQ66" s="343">
        <v>0</v>
      </c>
      <c r="AR66" s="343">
        <v>0</v>
      </c>
      <c r="AS66" s="343">
        <v>0</v>
      </c>
      <c r="AT66" s="343">
        <v>0</v>
      </c>
      <c r="AU66" s="343">
        <v>0</v>
      </c>
      <c r="AV66" s="343">
        <v>0</v>
      </c>
      <c r="AW66" s="343">
        <v>80445.444090000005</v>
      </c>
      <c r="AX66" s="343">
        <v>35687.742380000003</v>
      </c>
      <c r="AY66" s="343">
        <v>9719215.7224400006</v>
      </c>
      <c r="AZ66" s="343">
        <v>6052733.767</v>
      </c>
      <c r="BA66" s="343">
        <v>0</v>
      </c>
      <c r="BB66" s="343">
        <v>0</v>
      </c>
      <c r="BC66" s="343">
        <v>0</v>
      </c>
      <c r="BD66" s="343">
        <v>0</v>
      </c>
      <c r="BE66" s="343">
        <v>0</v>
      </c>
      <c r="BF66" s="343">
        <v>0</v>
      </c>
      <c r="BG66" s="343">
        <v>82977.567479999998</v>
      </c>
      <c r="BH66" s="343">
        <v>13.302200637</v>
      </c>
      <c r="BI66" s="343">
        <v>0</v>
      </c>
      <c r="BJ66" s="343">
        <v>0.09</v>
      </c>
      <c r="BK66" s="343">
        <v>0</v>
      </c>
      <c r="BL66" s="343">
        <v>0</v>
      </c>
      <c r="BM66" s="343">
        <v>0</v>
      </c>
      <c r="BN66" s="343">
        <v>0</v>
      </c>
      <c r="BO66" s="343">
        <v>0</v>
      </c>
      <c r="BP66" s="343">
        <v>0</v>
      </c>
    </row>
    <row r="67" spans="1:68" s="343" customFormat="1" x14ac:dyDescent="0.2">
      <c r="A67"/>
      <c r="B67" s="144">
        <f ca="1"/>
        <v>1</v>
      </c>
      <c r="C67"/>
      <c r="D67" s="341" t="s">
        <v>5</v>
      </c>
      <c r="E67" s="342">
        <v>43885</v>
      </c>
      <c r="F67" s="343">
        <v>8808837.7780000009</v>
      </c>
      <c r="G67" s="343">
        <v>4533.2495179999996</v>
      </c>
      <c r="H67" s="343">
        <v>3159.387072</v>
      </c>
      <c r="I67" s="343">
        <v>0</v>
      </c>
      <c r="J67" s="343">
        <v>1.919655272</v>
      </c>
      <c r="K67" s="343">
        <v>2039.0056870000001</v>
      </c>
      <c r="L67" s="343">
        <v>41416.036890000003</v>
      </c>
      <c r="M67" s="343">
        <v>2210.1587519999998</v>
      </c>
      <c r="N67" s="343">
        <v>468.13456689999998</v>
      </c>
      <c r="O67" s="343">
        <v>484101.34669999999</v>
      </c>
      <c r="P67" s="343">
        <v>2816.2624930000002</v>
      </c>
      <c r="Q67" s="343">
        <v>7284.0505519999997</v>
      </c>
      <c r="R67" s="343">
        <v>147734.99</v>
      </c>
      <c r="S67" s="343">
        <v>12759.62637</v>
      </c>
      <c r="T67" s="343">
        <v>1218.1187319999999</v>
      </c>
      <c r="U67" s="343">
        <v>1159740.6340000001</v>
      </c>
      <c r="V67" s="343">
        <v>10729.30791</v>
      </c>
      <c r="W67" s="343">
        <v>0</v>
      </c>
      <c r="X67" s="343">
        <v>0.519526975</v>
      </c>
      <c r="Y67" s="343">
        <v>7.3365021290000003</v>
      </c>
      <c r="Z67" s="343">
        <v>5.6120590129999997</v>
      </c>
      <c r="AA67" s="343">
        <v>295278446.60000002</v>
      </c>
      <c r="AB67" s="343">
        <v>0</v>
      </c>
      <c r="AC67" s="343">
        <v>0</v>
      </c>
      <c r="AD67" s="343">
        <v>0</v>
      </c>
      <c r="AE67" s="343">
        <v>0</v>
      </c>
      <c r="AF67" s="343">
        <v>0</v>
      </c>
      <c r="AG67" s="343">
        <v>0</v>
      </c>
      <c r="AH67" s="343">
        <v>0</v>
      </c>
      <c r="AI67" s="343">
        <v>22047.154289999999</v>
      </c>
      <c r="AJ67" s="343">
        <v>0</v>
      </c>
      <c r="AK67" s="343">
        <v>70326</v>
      </c>
      <c r="AL67" s="343">
        <v>0</v>
      </c>
      <c r="AM67" s="343">
        <v>0</v>
      </c>
      <c r="AN67" s="343">
        <v>0</v>
      </c>
      <c r="AO67" s="343">
        <v>0</v>
      </c>
      <c r="AP67" s="343">
        <v>0</v>
      </c>
      <c r="AQ67" s="343">
        <v>0</v>
      </c>
      <c r="AR67" s="343">
        <v>0</v>
      </c>
      <c r="AS67" s="343">
        <v>0</v>
      </c>
      <c r="AT67" s="343">
        <v>0</v>
      </c>
      <c r="AU67" s="343">
        <v>0</v>
      </c>
      <c r="AV67" s="343">
        <v>0</v>
      </c>
      <c r="AW67" s="343">
        <v>10512.470880000001</v>
      </c>
      <c r="AX67" s="343">
        <v>31754.109260000001</v>
      </c>
      <c r="AY67" s="343">
        <v>9481558.1432319991</v>
      </c>
      <c r="AZ67" s="343">
        <v>819438.8406</v>
      </c>
      <c r="BA67" s="343">
        <v>0</v>
      </c>
      <c r="BB67" s="343">
        <v>0</v>
      </c>
      <c r="BC67" s="343">
        <v>0</v>
      </c>
      <c r="BD67" s="343">
        <v>0</v>
      </c>
      <c r="BE67" s="343">
        <v>0</v>
      </c>
      <c r="BF67" s="343">
        <v>0</v>
      </c>
      <c r="BG67" s="343">
        <v>0</v>
      </c>
      <c r="BH67" s="343">
        <v>13.468088117000001</v>
      </c>
      <c r="BI67" s="343">
        <v>0</v>
      </c>
      <c r="BJ67" s="343">
        <v>2.6999999999999899E-2</v>
      </c>
      <c r="BK67" s="343">
        <v>0</v>
      </c>
      <c r="BL67" s="343">
        <v>0</v>
      </c>
      <c r="BM67" s="343">
        <v>0</v>
      </c>
      <c r="BN67" s="343">
        <v>0</v>
      </c>
      <c r="BO67" s="343">
        <v>0</v>
      </c>
      <c r="BP67" s="343">
        <v>0</v>
      </c>
    </row>
    <row r="68" spans="1:68" s="343" customFormat="1" x14ac:dyDescent="0.2">
      <c r="A68"/>
      <c r="B68" s="144">
        <f ca="1"/>
        <v>1</v>
      </c>
      <c r="C68"/>
      <c r="D68" s="341" t="s">
        <v>5</v>
      </c>
      <c r="E68" s="342">
        <v>43892</v>
      </c>
      <c r="F68" s="343">
        <v>10497654.6</v>
      </c>
      <c r="G68" s="343">
        <v>3177.8702349999999</v>
      </c>
      <c r="H68" s="343">
        <v>3441.1021409999998</v>
      </c>
      <c r="I68" s="343">
        <v>0</v>
      </c>
      <c r="J68" s="343">
        <v>2.1399525869999998</v>
      </c>
      <c r="K68" s="343">
        <v>2168.920736</v>
      </c>
      <c r="L68" s="343">
        <v>39145.386059999997</v>
      </c>
      <c r="M68" s="343">
        <v>2407.2333789999998</v>
      </c>
      <c r="N68" s="343">
        <v>775.08639489999996</v>
      </c>
      <c r="O68" s="343">
        <v>894010.19050000003</v>
      </c>
      <c r="P68" s="343">
        <v>5329.514032</v>
      </c>
      <c r="Q68" s="343">
        <v>5833.8462920000002</v>
      </c>
      <c r="R68" s="343">
        <v>121430.4955</v>
      </c>
      <c r="S68" s="343">
        <v>10157.767040000001</v>
      </c>
      <c r="T68" s="343">
        <v>2034.6017870000001</v>
      </c>
      <c r="U68" s="343">
        <v>1489992.176</v>
      </c>
      <c r="V68" s="343">
        <v>14190.038769999999</v>
      </c>
      <c r="W68" s="343">
        <v>0</v>
      </c>
      <c r="X68" s="343">
        <v>5.5027250519999997</v>
      </c>
      <c r="Y68" s="343">
        <v>7.5241594669999996</v>
      </c>
      <c r="Z68" s="343">
        <v>4.7665626799999998</v>
      </c>
      <c r="AA68" s="343">
        <v>294573983.89999998</v>
      </c>
      <c r="AB68" s="343">
        <v>0</v>
      </c>
      <c r="AC68" s="343">
        <v>0</v>
      </c>
      <c r="AD68" s="343">
        <v>0</v>
      </c>
      <c r="AE68" s="343">
        <v>0</v>
      </c>
      <c r="AF68" s="343">
        <v>0</v>
      </c>
      <c r="AG68" s="343">
        <v>0</v>
      </c>
      <c r="AH68" s="343">
        <v>0</v>
      </c>
      <c r="AI68" s="343">
        <v>1002.936031</v>
      </c>
      <c r="AJ68" s="343">
        <v>0</v>
      </c>
      <c r="AK68" s="343">
        <v>993971</v>
      </c>
      <c r="AL68" s="343">
        <v>0</v>
      </c>
      <c r="AM68" s="343">
        <v>0</v>
      </c>
      <c r="AN68" s="343">
        <v>0</v>
      </c>
      <c r="AO68" s="343">
        <v>0</v>
      </c>
      <c r="AP68" s="343">
        <v>0</v>
      </c>
      <c r="AQ68" s="343">
        <v>0</v>
      </c>
      <c r="AR68" s="343">
        <v>0</v>
      </c>
      <c r="AS68" s="343">
        <v>0</v>
      </c>
      <c r="AT68" s="343">
        <v>0</v>
      </c>
      <c r="AU68" s="343">
        <v>0</v>
      </c>
      <c r="AV68" s="343">
        <v>0</v>
      </c>
      <c r="AW68" s="343">
        <v>30111.17697</v>
      </c>
      <c r="AX68" s="343">
        <v>26234.53759</v>
      </c>
      <c r="AY68" s="343">
        <v>9433640.2984239999</v>
      </c>
      <c r="AZ68" s="343">
        <v>2001719.422</v>
      </c>
      <c r="BA68" s="343">
        <v>0</v>
      </c>
      <c r="BB68" s="343">
        <v>0</v>
      </c>
      <c r="BC68" s="343">
        <v>0</v>
      </c>
      <c r="BD68" s="343">
        <v>0</v>
      </c>
      <c r="BE68" s="343">
        <v>0</v>
      </c>
      <c r="BF68" s="343">
        <v>0</v>
      </c>
      <c r="BG68" s="343">
        <v>0</v>
      </c>
      <c r="BH68" s="343">
        <v>17.793447198999999</v>
      </c>
      <c r="BI68" s="343">
        <v>0</v>
      </c>
      <c r="BJ68" s="343">
        <v>0</v>
      </c>
      <c r="BK68" s="343">
        <v>0</v>
      </c>
      <c r="BL68" s="343">
        <v>0</v>
      </c>
      <c r="BM68" s="343">
        <v>0</v>
      </c>
      <c r="BN68" s="343">
        <v>0</v>
      </c>
      <c r="BO68" s="343">
        <v>0</v>
      </c>
      <c r="BP68" s="343">
        <v>0</v>
      </c>
    </row>
    <row r="69" spans="1:68" s="343" customFormat="1" x14ac:dyDescent="0.2">
      <c r="A69"/>
      <c r="B69" s="144">
        <f ca="1"/>
        <v>1</v>
      </c>
      <c r="C69"/>
      <c r="D69" s="341" t="s">
        <v>5</v>
      </c>
      <c r="E69" s="342">
        <v>43899</v>
      </c>
      <c r="F69" s="343">
        <v>6525614.6840000004</v>
      </c>
      <c r="G69" s="343">
        <v>3508.3737759999999</v>
      </c>
      <c r="H69" s="343">
        <v>2876.83502</v>
      </c>
      <c r="I69" s="343">
        <v>0</v>
      </c>
      <c r="J69" s="343">
        <v>-1.7139053179999999</v>
      </c>
      <c r="K69" s="343">
        <v>1676.124329</v>
      </c>
      <c r="L69" s="343">
        <v>36173.634359999996</v>
      </c>
      <c r="M69" s="343">
        <v>2012.498613</v>
      </c>
      <c r="N69" s="343">
        <v>608.178586</v>
      </c>
      <c r="O69" s="343">
        <v>904475.17799999996</v>
      </c>
      <c r="P69" s="343">
        <v>6256.9761230000004</v>
      </c>
      <c r="Q69" s="343">
        <v>5624.2206530000003</v>
      </c>
      <c r="R69" s="343">
        <v>118679.8195</v>
      </c>
      <c r="S69" s="343">
        <v>10244.88939</v>
      </c>
      <c r="T69" s="343">
        <v>1366.5301609999999</v>
      </c>
      <c r="U69" s="343">
        <v>868534.95030000003</v>
      </c>
      <c r="V69" s="343">
        <v>9009.7412199999999</v>
      </c>
      <c r="W69" s="343">
        <v>0</v>
      </c>
      <c r="X69" s="343">
        <v>11.551176269999999</v>
      </c>
      <c r="Y69" s="343">
        <v>6.606795558</v>
      </c>
      <c r="Z69" s="343">
        <v>6.8387009130000003</v>
      </c>
      <c r="AA69" s="343">
        <v>275922109.5</v>
      </c>
      <c r="AB69" s="343">
        <v>0</v>
      </c>
      <c r="AC69" s="343">
        <v>0</v>
      </c>
      <c r="AD69" s="343">
        <v>0</v>
      </c>
      <c r="AE69" s="343">
        <v>0</v>
      </c>
      <c r="AF69" s="343">
        <v>0</v>
      </c>
      <c r="AG69" s="343">
        <v>0</v>
      </c>
      <c r="AH69" s="343">
        <v>0</v>
      </c>
      <c r="AI69" s="343">
        <v>1002.933392</v>
      </c>
      <c r="AJ69" s="343">
        <v>0</v>
      </c>
      <c r="AK69" s="343">
        <v>670247</v>
      </c>
      <c r="AL69" s="343">
        <v>0</v>
      </c>
      <c r="AM69" s="343">
        <v>0</v>
      </c>
      <c r="AN69" s="343">
        <v>0</v>
      </c>
      <c r="AO69" s="343">
        <v>0</v>
      </c>
      <c r="AP69" s="343">
        <v>0</v>
      </c>
      <c r="AQ69" s="343">
        <v>0</v>
      </c>
      <c r="AR69" s="343">
        <v>0</v>
      </c>
      <c r="AS69" s="343">
        <v>0</v>
      </c>
      <c r="AT69" s="343">
        <v>0</v>
      </c>
      <c r="AU69" s="343">
        <v>0</v>
      </c>
      <c r="AV69" s="343">
        <v>0</v>
      </c>
      <c r="AW69" s="343">
        <v>32698.946650000002</v>
      </c>
      <c r="AX69" s="343">
        <v>36036.608990000001</v>
      </c>
      <c r="AY69" s="343">
        <v>11898078.564247999</v>
      </c>
      <c r="AZ69" s="343">
        <v>2343335.2779999999</v>
      </c>
      <c r="BA69" s="343">
        <v>0</v>
      </c>
      <c r="BB69" s="343">
        <v>0</v>
      </c>
      <c r="BC69" s="343">
        <v>0</v>
      </c>
      <c r="BD69" s="343">
        <v>0</v>
      </c>
      <c r="BE69" s="343">
        <v>0</v>
      </c>
      <c r="BF69" s="343">
        <v>0</v>
      </c>
      <c r="BG69" s="343">
        <v>0</v>
      </c>
      <c r="BH69" s="343">
        <v>24.996672741000001</v>
      </c>
      <c r="BI69" s="343">
        <v>0</v>
      </c>
      <c r="BJ69" s="343">
        <v>0</v>
      </c>
      <c r="BK69" s="343">
        <v>0</v>
      </c>
      <c r="BL69" s="343">
        <v>0</v>
      </c>
      <c r="BM69" s="343">
        <v>0</v>
      </c>
      <c r="BN69" s="343">
        <v>0</v>
      </c>
      <c r="BO69" s="343">
        <v>0</v>
      </c>
      <c r="BP69" s="343">
        <v>0</v>
      </c>
    </row>
    <row r="70" spans="1:68" s="343" customFormat="1" x14ac:dyDescent="0.2">
      <c r="A70"/>
      <c r="B70" s="144">
        <f ca="1"/>
        <v>1</v>
      </c>
      <c r="C70"/>
      <c r="D70" s="341" t="s">
        <v>5</v>
      </c>
      <c r="E70" s="342">
        <v>43906</v>
      </c>
      <c r="F70" s="343">
        <v>4232459.3459999999</v>
      </c>
      <c r="G70" s="343">
        <v>2276.382482</v>
      </c>
      <c r="H70" s="343">
        <v>3886.4005780000002</v>
      </c>
      <c r="I70" s="343">
        <v>0</v>
      </c>
      <c r="J70" s="343">
        <v>-21.507407629999999</v>
      </c>
      <c r="K70" s="343">
        <v>1656.747169</v>
      </c>
      <c r="L70" s="343">
        <v>33115.566220000001</v>
      </c>
      <c r="M70" s="343">
        <v>2718.7432429999999</v>
      </c>
      <c r="N70" s="343">
        <v>609.94014600000003</v>
      </c>
      <c r="O70" s="343">
        <v>792897.08759999997</v>
      </c>
      <c r="P70" s="343">
        <v>5432.9176600000001</v>
      </c>
      <c r="Q70" s="343">
        <v>5670.021213</v>
      </c>
      <c r="R70" s="343">
        <v>121504.92140000001</v>
      </c>
      <c r="S70" s="343">
        <v>10441.40021</v>
      </c>
      <c r="T70" s="343">
        <v>2022.7112569999999</v>
      </c>
      <c r="U70" s="343">
        <v>771656.63760000002</v>
      </c>
      <c r="V70" s="343">
        <v>9015.1282910000009</v>
      </c>
      <c r="W70" s="343">
        <v>0</v>
      </c>
      <c r="X70" s="343">
        <v>11.978099950000001</v>
      </c>
      <c r="Y70" s="343">
        <v>4.8661894270000001</v>
      </c>
      <c r="Z70" s="343">
        <v>4.3993062079999996</v>
      </c>
      <c r="AA70" s="343">
        <v>170718563.90000001</v>
      </c>
      <c r="AB70" s="343">
        <v>0</v>
      </c>
      <c r="AC70" s="343">
        <v>0</v>
      </c>
      <c r="AD70" s="343">
        <v>0</v>
      </c>
      <c r="AE70" s="343">
        <v>0</v>
      </c>
      <c r="AF70" s="343">
        <v>0</v>
      </c>
      <c r="AG70" s="343">
        <v>0</v>
      </c>
      <c r="AH70" s="343">
        <v>0</v>
      </c>
      <c r="AI70" s="343">
        <v>1002.93035</v>
      </c>
      <c r="AJ70" s="343">
        <v>0</v>
      </c>
      <c r="AK70" s="343">
        <v>317435</v>
      </c>
      <c r="AL70" s="343">
        <v>0</v>
      </c>
      <c r="AM70" s="343">
        <v>0</v>
      </c>
      <c r="AN70" s="343">
        <v>0</v>
      </c>
      <c r="AO70" s="343">
        <v>0</v>
      </c>
      <c r="AP70" s="343">
        <v>0</v>
      </c>
      <c r="AQ70" s="343">
        <v>0</v>
      </c>
      <c r="AR70" s="343">
        <v>0</v>
      </c>
      <c r="AS70" s="343">
        <v>0</v>
      </c>
      <c r="AT70" s="343">
        <v>0</v>
      </c>
      <c r="AU70" s="343">
        <v>0</v>
      </c>
      <c r="AV70" s="343">
        <v>0</v>
      </c>
      <c r="AW70" s="343">
        <v>32972.720159999997</v>
      </c>
      <c r="AX70" s="343">
        <v>30266.593720000001</v>
      </c>
      <c r="AY70" s="343">
        <v>13685449.3647919</v>
      </c>
      <c r="AZ70" s="343">
        <v>2709215.57</v>
      </c>
      <c r="BA70" s="343">
        <v>0</v>
      </c>
      <c r="BB70" s="343">
        <v>0</v>
      </c>
      <c r="BC70" s="343">
        <v>0</v>
      </c>
      <c r="BD70" s="343">
        <v>0</v>
      </c>
      <c r="BE70" s="343">
        <v>0</v>
      </c>
      <c r="BF70" s="343">
        <v>0</v>
      </c>
      <c r="BG70" s="343">
        <v>0</v>
      </c>
      <c r="BH70" s="343">
        <v>21.243595585000001</v>
      </c>
      <c r="BI70" s="343">
        <v>0</v>
      </c>
      <c r="BJ70" s="343">
        <v>0</v>
      </c>
      <c r="BK70" s="343">
        <v>0</v>
      </c>
      <c r="BL70" s="343">
        <v>0</v>
      </c>
      <c r="BM70" s="343">
        <v>0</v>
      </c>
      <c r="BN70" s="343">
        <v>0</v>
      </c>
      <c r="BO70" s="343">
        <v>0</v>
      </c>
      <c r="BP70" s="343">
        <v>0</v>
      </c>
    </row>
    <row r="71" spans="1:68" s="343" customFormat="1" x14ac:dyDescent="0.2">
      <c r="A71"/>
      <c r="B71" s="144">
        <f ca="1"/>
        <v>1</v>
      </c>
      <c r="C71"/>
      <c r="D71" s="341" t="s">
        <v>5</v>
      </c>
      <c r="E71" s="342">
        <v>43913</v>
      </c>
      <c r="F71" s="343">
        <v>1984181.811</v>
      </c>
      <c r="G71" s="343">
        <v>2498.6067680000001</v>
      </c>
      <c r="H71" s="343">
        <v>2409.7925970000001</v>
      </c>
      <c r="I71" s="343">
        <v>0</v>
      </c>
      <c r="J71" s="343">
        <v>-33.038863630000002</v>
      </c>
      <c r="K71" s="343">
        <v>1334.822081</v>
      </c>
      <c r="L71" s="343">
        <v>25063.91591</v>
      </c>
      <c r="M71" s="343">
        <v>1685.7776779999999</v>
      </c>
      <c r="N71" s="343">
        <v>62.535379589999998</v>
      </c>
      <c r="O71" s="343">
        <v>83712.413379999998</v>
      </c>
      <c r="P71" s="343">
        <v>555.63081729999999</v>
      </c>
      <c r="Q71" s="343">
        <v>3150.109649</v>
      </c>
      <c r="R71" s="343">
        <v>63283.161800000002</v>
      </c>
      <c r="S71" s="343">
        <v>5212.6541809999999</v>
      </c>
      <c r="T71" s="343">
        <v>291.0977881</v>
      </c>
      <c r="U71" s="343">
        <v>107591.2398</v>
      </c>
      <c r="V71" s="343">
        <v>1122.817751</v>
      </c>
      <c r="W71" s="343">
        <v>0</v>
      </c>
      <c r="X71" s="343">
        <v>7.8075630489999996</v>
      </c>
      <c r="Y71" s="343">
        <v>5.3550790920000004</v>
      </c>
      <c r="Z71" s="343">
        <v>3.725751458</v>
      </c>
      <c r="AA71" s="343">
        <v>133604758.90000001</v>
      </c>
      <c r="AB71" s="343">
        <v>0</v>
      </c>
      <c r="AC71" s="343">
        <v>0</v>
      </c>
      <c r="AD71" s="343">
        <v>0</v>
      </c>
      <c r="AE71" s="343">
        <v>0</v>
      </c>
      <c r="AF71" s="343">
        <v>0</v>
      </c>
      <c r="AG71" s="343">
        <v>0</v>
      </c>
      <c r="AH71" s="343">
        <v>0</v>
      </c>
      <c r="AI71" s="343">
        <v>1002.928798</v>
      </c>
      <c r="AJ71" s="343">
        <v>254695.4319</v>
      </c>
      <c r="AK71" s="343">
        <v>393324</v>
      </c>
      <c r="AL71" s="343">
        <v>0</v>
      </c>
      <c r="AM71" s="343">
        <v>0</v>
      </c>
      <c r="AN71" s="343">
        <v>0</v>
      </c>
      <c r="AO71" s="343">
        <v>0</v>
      </c>
      <c r="AP71" s="343">
        <v>0</v>
      </c>
      <c r="AQ71" s="343">
        <v>0</v>
      </c>
      <c r="AR71" s="343">
        <v>0</v>
      </c>
      <c r="AS71" s="343">
        <v>0</v>
      </c>
      <c r="AT71" s="343">
        <v>0</v>
      </c>
      <c r="AU71" s="343">
        <v>0</v>
      </c>
      <c r="AV71" s="343">
        <v>0</v>
      </c>
      <c r="AW71" s="343">
        <v>9046.1022539999994</v>
      </c>
      <c r="AX71" s="343">
        <v>12167.20817</v>
      </c>
      <c r="AY71" s="343">
        <v>10825008.054296</v>
      </c>
      <c r="AZ71" s="343">
        <v>924553.0784</v>
      </c>
      <c r="BA71" s="343">
        <v>0</v>
      </c>
      <c r="BB71" s="343">
        <v>0</v>
      </c>
      <c r="BC71" s="343">
        <v>0</v>
      </c>
      <c r="BD71" s="343">
        <v>0</v>
      </c>
      <c r="BE71" s="343">
        <v>0</v>
      </c>
      <c r="BF71" s="343">
        <v>0</v>
      </c>
      <c r="BG71" s="343">
        <v>254695.4319</v>
      </c>
      <c r="BH71" s="343">
        <v>16.888393599</v>
      </c>
      <c r="BI71" s="343">
        <v>0</v>
      </c>
      <c r="BJ71" s="343">
        <v>0</v>
      </c>
      <c r="BK71" s="343">
        <v>0</v>
      </c>
      <c r="BL71" s="343">
        <v>0</v>
      </c>
      <c r="BM71" s="343">
        <v>0</v>
      </c>
      <c r="BN71" s="343">
        <v>0</v>
      </c>
      <c r="BO71" s="343">
        <v>0</v>
      </c>
      <c r="BP71" s="343">
        <v>0</v>
      </c>
    </row>
    <row r="72" spans="1:68" s="343" customFormat="1" x14ac:dyDescent="0.2">
      <c r="A72"/>
      <c r="B72" s="144">
        <f ca="1"/>
        <v>1</v>
      </c>
      <c r="C72"/>
      <c r="D72" s="341" t="s">
        <v>5</v>
      </c>
      <c r="E72" s="342">
        <v>43920</v>
      </c>
      <c r="F72" s="343">
        <v>1334901.0049999999</v>
      </c>
      <c r="G72" s="343">
        <v>1243.952374</v>
      </c>
      <c r="H72" s="343">
        <v>4078.2374239999999</v>
      </c>
      <c r="I72" s="343">
        <v>0</v>
      </c>
      <c r="J72" s="343">
        <v>-36.570451660000003</v>
      </c>
      <c r="K72" s="343">
        <v>2091.412096</v>
      </c>
      <c r="L72" s="343">
        <v>33257.371800000001</v>
      </c>
      <c r="M72" s="343">
        <v>2852.9432870000001</v>
      </c>
      <c r="N72" s="343">
        <v>0</v>
      </c>
      <c r="O72" s="343">
        <v>0</v>
      </c>
      <c r="P72" s="343">
        <v>0</v>
      </c>
      <c r="Q72" s="343">
        <v>997.04295349999995</v>
      </c>
      <c r="R72" s="343">
        <v>16846.238560000002</v>
      </c>
      <c r="S72" s="343">
        <v>1316.8233419999999</v>
      </c>
      <c r="T72" s="343">
        <v>0</v>
      </c>
      <c r="U72" s="343">
        <v>0</v>
      </c>
      <c r="V72" s="343">
        <v>0</v>
      </c>
      <c r="W72" s="343">
        <v>0</v>
      </c>
      <c r="X72" s="343">
        <v>11.909513459999999</v>
      </c>
      <c r="Y72" s="343">
        <v>6.6228488480000003</v>
      </c>
      <c r="Z72" s="343">
        <v>9.5146125579999996</v>
      </c>
      <c r="AA72" s="343">
        <v>129361299.7</v>
      </c>
      <c r="AB72" s="343">
        <v>0</v>
      </c>
      <c r="AC72" s="343">
        <v>0</v>
      </c>
      <c r="AD72" s="343">
        <v>0</v>
      </c>
      <c r="AE72" s="343">
        <v>0</v>
      </c>
      <c r="AF72" s="343">
        <v>0</v>
      </c>
      <c r="AG72" s="343">
        <v>0</v>
      </c>
      <c r="AH72" s="343">
        <v>0</v>
      </c>
      <c r="AI72" s="343">
        <v>1002.928971</v>
      </c>
      <c r="AJ72" s="343">
        <v>79137.489180000004</v>
      </c>
      <c r="AK72" s="343">
        <v>16008</v>
      </c>
      <c r="AL72" s="343">
        <v>0</v>
      </c>
      <c r="AM72" s="343">
        <v>0</v>
      </c>
      <c r="AN72" s="343">
        <v>0</v>
      </c>
      <c r="AO72" s="343">
        <v>0</v>
      </c>
      <c r="AP72" s="343">
        <v>0</v>
      </c>
      <c r="AQ72" s="343">
        <v>0</v>
      </c>
      <c r="AR72" s="343">
        <v>0</v>
      </c>
      <c r="AS72" s="343">
        <v>0</v>
      </c>
      <c r="AT72" s="343">
        <v>0</v>
      </c>
      <c r="AU72" s="343">
        <v>0</v>
      </c>
      <c r="AV72" s="343">
        <v>0</v>
      </c>
      <c r="AW72" s="343">
        <v>0</v>
      </c>
      <c r="AX72" s="343">
        <v>8522.2394160000003</v>
      </c>
      <c r="AY72" s="343">
        <v>7859571.1622719998</v>
      </c>
      <c r="AZ72" s="343">
        <v>0</v>
      </c>
      <c r="BA72" s="343">
        <v>0</v>
      </c>
      <c r="BB72" s="343">
        <v>0</v>
      </c>
      <c r="BC72" s="343">
        <v>0</v>
      </c>
      <c r="BD72" s="343">
        <v>0</v>
      </c>
      <c r="BE72" s="343">
        <v>0</v>
      </c>
      <c r="BF72" s="343">
        <v>0</v>
      </c>
      <c r="BG72" s="343">
        <v>79137.489180000004</v>
      </c>
      <c r="BH72" s="343">
        <v>28.046974865999999</v>
      </c>
      <c r="BI72" s="343">
        <v>0</v>
      </c>
      <c r="BJ72" s="343">
        <v>0</v>
      </c>
      <c r="BK72" s="343">
        <v>0</v>
      </c>
      <c r="BL72" s="343">
        <v>0</v>
      </c>
      <c r="BM72" s="343">
        <v>0</v>
      </c>
      <c r="BN72" s="343">
        <v>0</v>
      </c>
      <c r="BO72" s="343">
        <v>0</v>
      </c>
      <c r="BP72" s="343">
        <v>0</v>
      </c>
    </row>
    <row r="73" spans="1:68" s="343" customFormat="1" x14ac:dyDescent="0.2">
      <c r="A73"/>
      <c r="B73" s="144">
        <f ca="1"/>
        <v>1</v>
      </c>
      <c r="C73"/>
      <c r="D73" s="341" t="s">
        <v>5</v>
      </c>
      <c r="E73" s="342">
        <v>43927</v>
      </c>
      <c r="F73" s="343">
        <v>1732695.2050000001</v>
      </c>
      <c r="G73" s="343">
        <v>321.690113</v>
      </c>
      <c r="H73" s="343">
        <v>5037.1887260000003</v>
      </c>
      <c r="I73" s="343">
        <v>0</v>
      </c>
      <c r="J73" s="343">
        <v>-39.676731539999999</v>
      </c>
      <c r="K73" s="343">
        <v>2076.4388359999998</v>
      </c>
      <c r="L73" s="343">
        <v>33616.730040000002</v>
      </c>
      <c r="M73" s="343">
        <v>3523.7805619999999</v>
      </c>
      <c r="N73" s="343">
        <v>0</v>
      </c>
      <c r="O73" s="343">
        <v>0</v>
      </c>
      <c r="P73" s="343">
        <v>0</v>
      </c>
      <c r="Q73" s="343">
        <v>865.36634430000004</v>
      </c>
      <c r="R73" s="343">
        <v>15072.34765</v>
      </c>
      <c r="S73" s="343">
        <v>1279.090727</v>
      </c>
      <c r="T73" s="343">
        <v>0</v>
      </c>
      <c r="U73" s="343">
        <v>0</v>
      </c>
      <c r="V73" s="343">
        <v>0</v>
      </c>
      <c r="W73" s="343">
        <v>0</v>
      </c>
      <c r="X73" s="343">
        <v>12.5343524</v>
      </c>
      <c r="Y73" s="343">
        <v>7.2212137580000002</v>
      </c>
      <c r="Z73" s="343">
        <v>8.5031764949999999</v>
      </c>
      <c r="AA73" s="343">
        <v>119706285.5</v>
      </c>
      <c r="AB73" s="343">
        <v>0</v>
      </c>
      <c r="AC73" s="343">
        <v>0</v>
      </c>
      <c r="AD73" s="343">
        <v>0</v>
      </c>
      <c r="AE73" s="343">
        <v>0</v>
      </c>
      <c r="AF73" s="343">
        <v>0</v>
      </c>
      <c r="AG73" s="343">
        <v>0</v>
      </c>
      <c r="AH73" s="343">
        <v>0</v>
      </c>
      <c r="AI73" s="343">
        <v>1002.928971</v>
      </c>
      <c r="AJ73" s="343">
        <v>0</v>
      </c>
      <c r="AK73" s="343">
        <v>0</v>
      </c>
      <c r="AL73" s="343">
        <v>0</v>
      </c>
      <c r="AM73" s="343">
        <v>0</v>
      </c>
      <c r="AN73" s="343">
        <v>0</v>
      </c>
      <c r="AO73" s="343">
        <v>0</v>
      </c>
      <c r="AP73" s="343">
        <v>0</v>
      </c>
      <c r="AQ73" s="343">
        <v>0</v>
      </c>
      <c r="AR73" s="343">
        <v>0</v>
      </c>
      <c r="AS73" s="343">
        <v>0</v>
      </c>
      <c r="AT73" s="343">
        <v>0</v>
      </c>
      <c r="AU73" s="343">
        <v>0</v>
      </c>
      <c r="AV73" s="343">
        <v>0</v>
      </c>
      <c r="AW73" s="343">
        <v>52852.061840000002</v>
      </c>
      <c r="AX73" s="343">
        <v>17590.40727</v>
      </c>
      <c r="AY73" s="343">
        <v>6827938.6344239898</v>
      </c>
      <c r="AZ73" s="343">
        <v>4278470.4110000003</v>
      </c>
      <c r="BA73" s="343">
        <v>0</v>
      </c>
      <c r="BB73" s="343">
        <v>0</v>
      </c>
      <c r="BC73" s="343">
        <v>0</v>
      </c>
      <c r="BD73" s="343">
        <v>0</v>
      </c>
      <c r="BE73" s="343">
        <v>0</v>
      </c>
      <c r="BF73" s="343">
        <v>0</v>
      </c>
      <c r="BG73" s="343">
        <v>0</v>
      </c>
      <c r="BH73" s="343">
        <v>28.258742652999999</v>
      </c>
      <c r="BI73" s="343">
        <v>0</v>
      </c>
      <c r="BJ73" s="343">
        <v>0</v>
      </c>
      <c r="BK73" s="343">
        <v>0</v>
      </c>
      <c r="BL73" s="343">
        <v>0</v>
      </c>
      <c r="BM73" s="343">
        <v>0</v>
      </c>
      <c r="BN73" s="343">
        <v>0</v>
      </c>
      <c r="BO73" s="343">
        <v>0</v>
      </c>
      <c r="BP73" s="343">
        <v>0</v>
      </c>
    </row>
    <row r="74" spans="1:68" s="343" customFormat="1" x14ac:dyDescent="0.2">
      <c r="A74"/>
      <c r="B74" s="144">
        <f ca="1"/>
        <v>1</v>
      </c>
      <c r="C74"/>
      <c r="D74" s="341" t="s">
        <v>5</v>
      </c>
      <c r="E74" s="342">
        <v>43934</v>
      </c>
      <c r="F74" s="343">
        <v>1222968.2169999999</v>
      </c>
      <c r="G74" s="343">
        <v>141.01484400000001</v>
      </c>
      <c r="H74" s="343">
        <v>6563.2463319999997</v>
      </c>
      <c r="I74" s="343">
        <v>0</v>
      </c>
      <c r="J74" s="343">
        <v>-36.095146870000001</v>
      </c>
      <c r="K74" s="343">
        <v>2731.2987619999999</v>
      </c>
      <c r="L74" s="343">
        <v>46001.377540000001</v>
      </c>
      <c r="M74" s="343">
        <v>4591.3387620000003</v>
      </c>
      <c r="N74" s="343">
        <v>0</v>
      </c>
      <c r="O74" s="343">
        <v>0</v>
      </c>
      <c r="P74" s="343">
        <v>0</v>
      </c>
      <c r="Q74" s="343">
        <v>570.30504629999996</v>
      </c>
      <c r="R74" s="343">
        <v>11019.8789</v>
      </c>
      <c r="S74" s="343">
        <v>1208.205553</v>
      </c>
      <c r="T74" s="343">
        <v>0</v>
      </c>
      <c r="U74" s="343">
        <v>0</v>
      </c>
      <c r="V74" s="343">
        <v>0</v>
      </c>
      <c r="W74" s="343">
        <v>0</v>
      </c>
      <c r="X74" s="343">
        <v>8.0218881599999996</v>
      </c>
      <c r="Y74" s="343">
        <v>5.7259604599999996</v>
      </c>
      <c r="Z74" s="343">
        <v>7.1567420650000004</v>
      </c>
      <c r="AA74" s="343">
        <v>121134685.8</v>
      </c>
      <c r="AB74" s="343">
        <v>0</v>
      </c>
      <c r="AC74" s="343">
        <v>0</v>
      </c>
      <c r="AD74" s="343">
        <v>0</v>
      </c>
      <c r="AE74" s="343">
        <v>0</v>
      </c>
      <c r="AF74" s="343">
        <v>0</v>
      </c>
      <c r="AG74" s="343">
        <v>0</v>
      </c>
      <c r="AH74" s="343">
        <v>0</v>
      </c>
      <c r="AI74" s="343">
        <v>1002.928971</v>
      </c>
      <c r="AJ74" s="343">
        <v>19883.072939999998</v>
      </c>
      <c r="AK74" s="343">
        <v>0</v>
      </c>
      <c r="AL74" s="343">
        <v>0</v>
      </c>
      <c r="AM74" s="343">
        <v>0</v>
      </c>
      <c r="AN74" s="343">
        <v>0</v>
      </c>
      <c r="AO74" s="343">
        <v>0</v>
      </c>
      <c r="AP74" s="343">
        <v>0</v>
      </c>
      <c r="AQ74" s="343">
        <v>0</v>
      </c>
      <c r="AR74" s="343">
        <v>0</v>
      </c>
      <c r="AS74" s="343">
        <v>0</v>
      </c>
      <c r="AT74" s="343">
        <v>0</v>
      </c>
      <c r="AU74" s="343">
        <v>0</v>
      </c>
      <c r="AV74" s="343">
        <v>0</v>
      </c>
      <c r="AW74" s="343">
        <v>59867.689659999996</v>
      </c>
      <c r="AX74" s="343">
        <v>37412.175170000002</v>
      </c>
      <c r="AY74" s="343">
        <v>11191454.806</v>
      </c>
      <c r="AZ74" s="343">
        <v>5679895.0149999997</v>
      </c>
      <c r="BA74" s="343">
        <v>0</v>
      </c>
      <c r="BB74" s="343">
        <v>0</v>
      </c>
      <c r="BC74" s="343">
        <v>0</v>
      </c>
      <c r="BD74" s="343">
        <v>0</v>
      </c>
      <c r="BE74" s="343">
        <v>0</v>
      </c>
      <c r="BF74" s="343">
        <v>0</v>
      </c>
      <c r="BG74" s="343">
        <v>0</v>
      </c>
      <c r="BH74" s="343">
        <v>20.904590684999999</v>
      </c>
      <c r="BI74" s="343">
        <v>0</v>
      </c>
      <c r="BJ74" s="343">
        <v>0</v>
      </c>
      <c r="BK74" s="343">
        <v>0</v>
      </c>
      <c r="BL74" s="343">
        <v>0</v>
      </c>
      <c r="BM74" s="343">
        <v>0</v>
      </c>
      <c r="BN74" s="343">
        <v>0</v>
      </c>
      <c r="BO74" s="343">
        <v>0</v>
      </c>
      <c r="BP74" s="343">
        <v>0</v>
      </c>
    </row>
    <row r="75" spans="1:68" s="343" customFormat="1" x14ac:dyDescent="0.2">
      <c r="A75"/>
      <c r="B75" s="144">
        <f ca="1"/>
        <v>1</v>
      </c>
      <c r="C75"/>
      <c r="D75" s="341" t="s">
        <v>5</v>
      </c>
      <c r="E75" s="342">
        <v>43941</v>
      </c>
      <c r="F75" s="343">
        <v>2260663.6329999999</v>
      </c>
      <c r="G75" s="343">
        <v>22.033569379999999</v>
      </c>
      <c r="H75" s="343">
        <v>4484.7819600000003</v>
      </c>
      <c r="I75" s="343">
        <v>0</v>
      </c>
      <c r="J75" s="343">
        <v>-35.129913809999998</v>
      </c>
      <c r="K75" s="343">
        <v>1994.9666870000001</v>
      </c>
      <c r="L75" s="343">
        <v>30464.858830000001</v>
      </c>
      <c r="M75" s="343">
        <v>3137.3427430000002</v>
      </c>
      <c r="N75" s="343">
        <v>903.68027410000002</v>
      </c>
      <c r="O75" s="343">
        <v>1191002.1580000001</v>
      </c>
      <c r="P75" s="343">
        <v>4716.6356880000003</v>
      </c>
      <c r="Q75" s="343">
        <v>280.08803820000003</v>
      </c>
      <c r="R75" s="343">
        <v>5698.2061729999996</v>
      </c>
      <c r="S75" s="343">
        <v>634.35536739999998</v>
      </c>
      <c r="T75" s="343">
        <v>0</v>
      </c>
      <c r="U75" s="343">
        <v>0</v>
      </c>
      <c r="V75" s="343">
        <v>0</v>
      </c>
      <c r="W75" s="343">
        <v>0</v>
      </c>
      <c r="X75" s="343">
        <v>7.9538339980000003</v>
      </c>
      <c r="Y75" s="343">
        <v>7.6122297679999997</v>
      </c>
      <c r="Z75" s="343">
        <v>6.4745468370000001</v>
      </c>
      <c r="AA75" s="343">
        <v>156485328.59999999</v>
      </c>
      <c r="AB75" s="343">
        <v>0</v>
      </c>
      <c r="AC75" s="343">
        <v>0</v>
      </c>
      <c r="AD75" s="343">
        <v>0</v>
      </c>
      <c r="AE75" s="343">
        <v>0</v>
      </c>
      <c r="AF75" s="343">
        <v>0</v>
      </c>
      <c r="AG75" s="343">
        <v>0</v>
      </c>
      <c r="AH75" s="343">
        <v>0</v>
      </c>
      <c r="AI75" s="343">
        <v>1002.929144</v>
      </c>
      <c r="AJ75" s="343">
        <v>299678.96659999999</v>
      </c>
      <c r="AK75" s="343">
        <v>97150</v>
      </c>
      <c r="AL75" s="343">
        <v>0</v>
      </c>
      <c r="AM75" s="343">
        <v>0</v>
      </c>
      <c r="AN75" s="343">
        <v>0</v>
      </c>
      <c r="AO75" s="343">
        <v>0</v>
      </c>
      <c r="AP75" s="343">
        <v>0</v>
      </c>
      <c r="AQ75" s="343">
        <v>0</v>
      </c>
      <c r="AR75" s="343">
        <v>0</v>
      </c>
      <c r="AS75" s="343">
        <v>0</v>
      </c>
      <c r="AT75" s="343">
        <v>0</v>
      </c>
      <c r="AU75" s="343">
        <v>0</v>
      </c>
      <c r="AV75" s="343">
        <v>0</v>
      </c>
      <c r="AW75" s="343">
        <v>44996.224170000001</v>
      </c>
      <c r="AX75" s="343">
        <v>33268.3243</v>
      </c>
      <c r="AY75" s="343">
        <v>12022405.3004239</v>
      </c>
      <c r="AZ75" s="343">
        <v>4038412.1329999999</v>
      </c>
      <c r="BA75" s="343">
        <v>0</v>
      </c>
      <c r="BB75" s="343">
        <v>0</v>
      </c>
      <c r="BC75" s="343">
        <v>0</v>
      </c>
      <c r="BD75" s="343">
        <v>0</v>
      </c>
      <c r="BE75" s="343">
        <v>0</v>
      </c>
      <c r="BF75" s="343">
        <v>19883.072939999998</v>
      </c>
      <c r="BG75" s="343">
        <v>0</v>
      </c>
      <c r="BH75" s="343">
        <v>22.040610602999902</v>
      </c>
      <c r="BI75" s="343">
        <v>0</v>
      </c>
      <c r="BJ75" s="343">
        <v>0</v>
      </c>
      <c r="BK75" s="343">
        <v>0</v>
      </c>
      <c r="BL75" s="343">
        <v>0</v>
      </c>
      <c r="BM75" s="343">
        <v>0</v>
      </c>
      <c r="BN75" s="343">
        <v>0</v>
      </c>
      <c r="BO75" s="343">
        <v>0</v>
      </c>
      <c r="BP75" s="343">
        <v>0</v>
      </c>
    </row>
    <row r="76" spans="1:68" s="343" customFormat="1" x14ac:dyDescent="0.2">
      <c r="A76"/>
      <c r="B76" s="144">
        <f ca="1"/>
        <v>1</v>
      </c>
      <c r="C76"/>
      <c r="D76" s="341" t="s">
        <v>5</v>
      </c>
      <c r="E76" s="342">
        <v>43948</v>
      </c>
      <c r="F76" s="343">
        <v>3381277.1889999998</v>
      </c>
      <c r="G76" s="343">
        <v>907.15352800000005</v>
      </c>
      <c r="H76" s="343">
        <v>4689.7382230000003</v>
      </c>
      <c r="I76" s="343">
        <v>0</v>
      </c>
      <c r="J76" s="343">
        <v>-32.920204439999999</v>
      </c>
      <c r="K76" s="343">
        <v>2216.042465</v>
      </c>
      <c r="L76" s="343">
        <v>31527.960279999999</v>
      </c>
      <c r="M76" s="343">
        <v>3280.720515</v>
      </c>
      <c r="N76" s="343">
        <v>1688.0148589999999</v>
      </c>
      <c r="O76" s="343">
        <v>4170048.9190000002</v>
      </c>
      <c r="P76" s="343">
        <v>11648.897440000001</v>
      </c>
      <c r="Q76" s="343">
        <v>314.4384579</v>
      </c>
      <c r="R76" s="343">
        <v>9433.5941280000006</v>
      </c>
      <c r="S76" s="343">
        <v>977.76708329999997</v>
      </c>
      <c r="T76" s="343">
        <v>0</v>
      </c>
      <c r="U76" s="343">
        <v>0</v>
      </c>
      <c r="V76" s="343">
        <v>0</v>
      </c>
      <c r="W76" s="343">
        <v>0</v>
      </c>
      <c r="X76" s="343">
        <v>6.7444302089999999</v>
      </c>
      <c r="Y76" s="343">
        <v>6.5301333130000003</v>
      </c>
      <c r="Z76" s="343">
        <v>3.7071853610000001</v>
      </c>
      <c r="AA76" s="343">
        <v>168826952.69999999</v>
      </c>
      <c r="AB76" s="343">
        <v>0</v>
      </c>
      <c r="AC76" s="343">
        <v>0</v>
      </c>
      <c r="AD76" s="343">
        <v>0</v>
      </c>
      <c r="AE76" s="343">
        <v>2.9699490000000002</v>
      </c>
      <c r="AF76" s="343">
        <v>0</v>
      </c>
      <c r="AG76" s="343">
        <v>130978.7108</v>
      </c>
      <c r="AH76" s="343">
        <v>751.3296593</v>
      </c>
      <c r="AI76" s="343">
        <v>400.67252730000001</v>
      </c>
      <c r="AJ76" s="343">
        <v>27096.313979999999</v>
      </c>
      <c r="AK76" s="343">
        <v>142800</v>
      </c>
      <c r="AL76" s="343">
        <v>0</v>
      </c>
      <c r="AM76" s="343">
        <v>0</v>
      </c>
      <c r="AN76" s="343">
        <v>0</v>
      </c>
      <c r="AO76" s="343">
        <v>0</v>
      </c>
      <c r="AP76" s="343">
        <v>0</v>
      </c>
      <c r="AQ76" s="343">
        <v>0</v>
      </c>
      <c r="AR76" s="343">
        <v>0</v>
      </c>
      <c r="AS76" s="343">
        <v>0</v>
      </c>
      <c r="AT76" s="343">
        <v>0</v>
      </c>
      <c r="AU76" s="343">
        <v>0</v>
      </c>
      <c r="AV76" s="343">
        <v>0</v>
      </c>
      <c r="AW76" s="343">
        <v>27014.888009999999</v>
      </c>
      <c r="AX76" s="343">
        <v>21656.996569999999</v>
      </c>
      <c r="AY76" s="343">
        <v>11256248.728536</v>
      </c>
      <c r="AZ76" s="343">
        <v>1778582.84</v>
      </c>
      <c r="BA76" s="343">
        <v>0</v>
      </c>
      <c r="BB76" s="343">
        <v>0</v>
      </c>
      <c r="BC76" s="343">
        <v>0</v>
      </c>
      <c r="BD76" s="343">
        <v>0</v>
      </c>
      <c r="BE76" s="343">
        <v>0</v>
      </c>
      <c r="BF76" s="343">
        <v>299678.96659999999</v>
      </c>
      <c r="BG76" s="343">
        <v>0</v>
      </c>
      <c r="BH76" s="343">
        <v>16.981748883000002</v>
      </c>
      <c r="BI76" s="343">
        <v>0</v>
      </c>
      <c r="BJ76" s="343">
        <v>0</v>
      </c>
      <c r="BK76" s="343">
        <v>0</v>
      </c>
      <c r="BL76" s="343">
        <v>0</v>
      </c>
      <c r="BM76" s="343">
        <v>0</v>
      </c>
      <c r="BN76" s="343">
        <v>0</v>
      </c>
      <c r="BO76" s="343">
        <v>0</v>
      </c>
      <c r="BP76" s="343">
        <v>0</v>
      </c>
    </row>
    <row r="77" spans="1:68" s="343" customFormat="1" x14ac:dyDescent="0.2">
      <c r="A77"/>
      <c r="B77" s="144">
        <f ca="1"/>
        <v>1</v>
      </c>
      <c r="C77"/>
      <c r="D77" s="341" t="s">
        <v>5</v>
      </c>
      <c r="E77" s="342">
        <v>43955</v>
      </c>
      <c r="F77" s="343">
        <v>4270501.9040000001</v>
      </c>
      <c r="G77" s="343">
        <v>1666.3673759999999</v>
      </c>
      <c r="H77" s="343">
        <v>6439.757619</v>
      </c>
      <c r="I77" s="343">
        <v>0</v>
      </c>
      <c r="J77" s="343">
        <v>-30.278552000000001</v>
      </c>
      <c r="K77" s="343">
        <v>3538.974017</v>
      </c>
      <c r="L77" s="343">
        <v>47160.48401</v>
      </c>
      <c r="M77" s="343">
        <v>4504.9518600000001</v>
      </c>
      <c r="N77" s="343">
        <v>2897.766181</v>
      </c>
      <c r="O77" s="343">
        <v>7732604.0590000004</v>
      </c>
      <c r="P77" s="343">
        <v>16882.51008</v>
      </c>
      <c r="Q77" s="343">
        <v>391.94709740000002</v>
      </c>
      <c r="R77" s="343">
        <v>13199.368990000001</v>
      </c>
      <c r="S77" s="343">
        <v>973.82999670000004</v>
      </c>
      <c r="T77" s="343">
        <v>0</v>
      </c>
      <c r="U77" s="343">
        <v>0</v>
      </c>
      <c r="V77" s="343">
        <v>0</v>
      </c>
      <c r="W77" s="343">
        <v>0</v>
      </c>
      <c r="X77" s="343">
        <v>7.572205641</v>
      </c>
      <c r="Y77" s="343">
        <v>5.3480337020000004</v>
      </c>
      <c r="Z77" s="343">
        <v>3.7926389820000002</v>
      </c>
      <c r="AA77" s="343">
        <v>209546304.69999999</v>
      </c>
      <c r="AB77" s="343">
        <v>1</v>
      </c>
      <c r="AC77" s="343">
        <v>0</v>
      </c>
      <c r="AD77" s="343">
        <v>0</v>
      </c>
      <c r="AE77" s="343">
        <v>10.394821500000001</v>
      </c>
      <c r="AF77" s="343">
        <v>0</v>
      </c>
      <c r="AG77" s="343">
        <v>310261.66220000002</v>
      </c>
      <c r="AH77" s="343">
        <v>1395.669897</v>
      </c>
      <c r="AI77" s="343">
        <v>159.76994970000001</v>
      </c>
      <c r="AJ77" s="343">
        <v>0</v>
      </c>
      <c r="AK77" s="343">
        <v>214743</v>
      </c>
      <c r="AL77" s="343">
        <v>0</v>
      </c>
      <c r="AM77" s="343">
        <v>0</v>
      </c>
      <c r="AN77" s="343">
        <v>0</v>
      </c>
      <c r="AO77" s="343">
        <v>0</v>
      </c>
      <c r="AP77" s="343">
        <v>0</v>
      </c>
      <c r="AQ77" s="343">
        <v>0</v>
      </c>
      <c r="AR77" s="343">
        <v>220344.95050000001</v>
      </c>
      <c r="AS77" s="343">
        <v>0</v>
      </c>
      <c r="AT77" s="343">
        <v>0</v>
      </c>
      <c r="AU77" s="343">
        <v>0</v>
      </c>
      <c r="AV77" s="343">
        <v>0</v>
      </c>
      <c r="AW77" s="343">
        <v>15499.499760000001</v>
      </c>
      <c r="AX77" s="343">
        <v>20005.025839999998</v>
      </c>
      <c r="AY77" s="343">
        <v>9608588.627688</v>
      </c>
      <c r="AZ77" s="343">
        <v>1438400.227</v>
      </c>
      <c r="BA77" s="343">
        <v>0</v>
      </c>
      <c r="BB77" s="343">
        <v>0</v>
      </c>
      <c r="BC77" s="343">
        <v>0</v>
      </c>
      <c r="BD77" s="343">
        <v>0</v>
      </c>
      <c r="BE77" s="343">
        <v>220344.95050000001</v>
      </c>
      <c r="BF77" s="343">
        <v>27096.313979999999</v>
      </c>
      <c r="BG77" s="343">
        <v>0</v>
      </c>
      <c r="BH77" s="343">
        <v>16.712878324999998</v>
      </c>
      <c r="BI77" s="343">
        <v>0</v>
      </c>
      <c r="BJ77" s="343">
        <v>0</v>
      </c>
      <c r="BK77" s="343">
        <v>0</v>
      </c>
      <c r="BL77" s="343">
        <v>0</v>
      </c>
      <c r="BM77" s="343">
        <v>0</v>
      </c>
      <c r="BN77" s="343">
        <v>0</v>
      </c>
      <c r="BO77" s="343">
        <v>0</v>
      </c>
      <c r="BP77" s="343">
        <v>0</v>
      </c>
    </row>
    <row r="78" spans="1:68" s="343" customFormat="1" x14ac:dyDescent="0.2">
      <c r="A78"/>
      <c r="B78" s="144">
        <f ca="1"/>
        <v>1</v>
      </c>
      <c r="C78"/>
      <c r="D78" s="341" t="s">
        <v>5</v>
      </c>
      <c r="E78" s="342">
        <v>43962</v>
      </c>
      <c r="F78" s="343">
        <v>3224891.537</v>
      </c>
      <c r="G78" s="343">
        <v>2035.901811</v>
      </c>
      <c r="H78" s="343">
        <v>6969.6586669999997</v>
      </c>
      <c r="I78" s="343">
        <v>0</v>
      </c>
      <c r="J78" s="343">
        <v>-28.457834630000001</v>
      </c>
      <c r="K78" s="343">
        <v>3982.8871340000001</v>
      </c>
      <c r="L78" s="343">
        <v>50059.571360000002</v>
      </c>
      <c r="M78" s="343">
        <v>4875.6457360000004</v>
      </c>
      <c r="N78" s="343">
        <v>1954.8911969999999</v>
      </c>
      <c r="O78" s="343">
        <v>6898398.3890000004</v>
      </c>
      <c r="P78" s="343">
        <v>16385.54249</v>
      </c>
      <c r="Q78" s="343">
        <v>336.01756779999999</v>
      </c>
      <c r="R78" s="343">
        <v>10685.622890000001</v>
      </c>
      <c r="S78" s="343">
        <v>762.84355300000004</v>
      </c>
      <c r="T78" s="343">
        <v>0</v>
      </c>
      <c r="U78" s="343">
        <v>0</v>
      </c>
      <c r="V78" s="343">
        <v>0</v>
      </c>
      <c r="W78" s="343">
        <v>0</v>
      </c>
      <c r="X78" s="343">
        <v>9.2518345590000006</v>
      </c>
      <c r="Y78" s="343">
        <v>5.9462715399999997</v>
      </c>
      <c r="Z78" s="343">
        <v>4.3887947619999998</v>
      </c>
      <c r="AA78" s="343">
        <v>174549819.40000001</v>
      </c>
      <c r="AB78" s="343">
        <v>0</v>
      </c>
      <c r="AC78" s="343">
        <v>0</v>
      </c>
      <c r="AD78" s="343">
        <v>0</v>
      </c>
      <c r="AE78" s="343">
        <v>2.4749574999999999</v>
      </c>
      <c r="AF78" s="343">
        <v>0</v>
      </c>
      <c r="AG78" s="343">
        <v>359378.67869999999</v>
      </c>
      <c r="AH78" s="343">
        <v>1337.0862420000001</v>
      </c>
      <c r="AI78" s="343">
        <v>159.76994970000001</v>
      </c>
      <c r="AJ78" s="343">
        <v>0</v>
      </c>
      <c r="AK78" s="343">
        <v>0</v>
      </c>
      <c r="AL78" s="343">
        <v>0</v>
      </c>
      <c r="AM78" s="343">
        <v>0</v>
      </c>
      <c r="AN78" s="343">
        <v>0</v>
      </c>
      <c r="AO78" s="343">
        <v>0</v>
      </c>
      <c r="AP78" s="343">
        <v>0</v>
      </c>
      <c r="AQ78" s="343">
        <v>0</v>
      </c>
      <c r="AR78" s="343">
        <v>220344.95050000001</v>
      </c>
      <c r="AS78" s="343">
        <v>0</v>
      </c>
      <c r="AT78" s="343">
        <v>0</v>
      </c>
      <c r="AU78" s="343">
        <v>0</v>
      </c>
      <c r="AV78" s="343">
        <v>0</v>
      </c>
      <c r="AW78" s="343">
        <v>10919.510700000001</v>
      </c>
      <c r="AX78" s="343">
        <v>18207.295109999999</v>
      </c>
      <c r="AY78" s="343">
        <v>8928695.6769600008</v>
      </c>
      <c r="AZ78" s="343">
        <v>1028999.447</v>
      </c>
      <c r="BA78" s="343">
        <v>0</v>
      </c>
      <c r="BB78" s="343">
        <v>0</v>
      </c>
      <c r="BC78" s="343">
        <v>0</v>
      </c>
      <c r="BD78" s="343">
        <v>0</v>
      </c>
      <c r="BE78" s="343">
        <v>220344.95050000001</v>
      </c>
      <c r="BF78" s="343">
        <v>0</v>
      </c>
      <c r="BG78" s="343">
        <v>0</v>
      </c>
      <c r="BH78" s="343">
        <v>19.586900861</v>
      </c>
      <c r="BI78" s="343">
        <v>0</v>
      </c>
      <c r="BJ78" s="343">
        <v>0</v>
      </c>
      <c r="BK78" s="343">
        <v>0</v>
      </c>
      <c r="BL78" s="343">
        <v>0</v>
      </c>
      <c r="BM78" s="343">
        <v>0</v>
      </c>
      <c r="BN78" s="343">
        <v>0</v>
      </c>
      <c r="BO78" s="343">
        <v>0</v>
      </c>
      <c r="BP78" s="343">
        <v>0</v>
      </c>
    </row>
    <row r="79" spans="1:68" s="343" customFormat="1" x14ac:dyDescent="0.2">
      <c r="A79"/>
      <c r="B79" s="144">
        <f ca="1"/>
        <v>1</v>
      </c>
      <c r="C79"/>
      <c r="D79" s="341" t="s">
        <v>5</v>
      </c>
      <c r="E79" s="342">
        <v>43969</v>
      </c>
      <c r="F79" s="343">
        <v>4463840.9529999997</v>
      </c>
      <c r="G79" s="343">
        <v>1823.120484</v>
      </c>
      <c r="H79" s="343">
        <v>7018.088452</v>
      </c>
      <c r="I79" s="343">
        <v>0</v>
      </c>
      <c r="J79" s="343">
        <v>-27.156186479999999</v>
      </c>
      <c r="K79" s="343">
        <v>4096.5077529999999</v>
      </c>
      <c r="L79" s="343">
        <v>52007.85671</v>
      </c>
      <c r="M79" s="343">
        <v>4909.5249379999996</v>
      </c>
      <c r="N79" s="343">
        <v>1553.2555199999999</v>
      </c>
      <c r="O79" s="343">
        <v>5673613.4740000004</v>
      </c>
      <c r="P79" s="343">
        <v>14476.82734</v>
      </c>
      <c r="Q79" s="343">
        <v>346.14653770000001</v>
      </c>
      <c r="R79" s="343">
        <v>10131.61227</v>
      </c>
      <c r="S79" s="343">
        <v>752.45034910000004</v>
      </c>
      <c r="T79" s="343">
        <v>0</v>
      </c>
      <c r="U79" s="343">
        <v>0</v>
      </c>
      <c r="V79" s="343">
        <v>0</v>
      </c>
      <c r="W79" s="343">
        <v>0</v>
      </c>
      <c r="X79" s="343">
        <v>10.436498179999999</v>
      </c>
      <c r="Y79" s="343">
        <v>5.4513639290000002</v>
      </c>
      <c r="Z79" s="343">
        <v>6.7087282019999996</v>
      </c>
      <c r="AA79" s="343">
        <v>197129201.5</v>
      </c>
      <c r="AB79" s="343">
        <v>0</v>
      </c>
      <c r="AC79" s="343">
        <v>0</v>
      </c>
      <c r="AD79" s="343">
        <v>0</v>
      </c>
      <c r="AE79" s="343">
        <v>8.4148554989999997</v>
      </c>
      <c r="AF79" s="343">
        <v>0</v>
      </c>
      <c r="AG79" s="343">
        <v>2106797.6719999998</v>
      </c>
      <c r="AH79" s="343">
        <v>6956.752504</v>
      </c>
      <c r="AI79" s="343">
        <v>159.76942869999999</v>
      </c>
      <c r="AJ79" s="343">
        <v>107493.7243</v>
      </c>
      <c r="AK79" s="343">
        <v>2200</v>
      </c>
      <c r="AL79" s="343">
        <v>0</v>
      </c>
      <c r="AM79" s="343">
        <v>0</v>
      </c>
      <c r="AN79" s="343">
        <v>0</v>
      </c>
      <c r="AO79" s="343">
        <v>0</v>
      </c>
      <c r="AP79" s="343">
        <v>0</v>
      </c>
      <c r="AQ79" s="343">
        <v>0</v>
      </c>
      <c r="AR79" s="343">
        <v>0</v>
      </c>
      <c r="AS79" s="343">
        <v>0</v>
      </c>
      <c r="AT79" s="343">
        <v>0</v>
      </c>
      <c r="AU79" s="343">
        <v>0</v>
      </c>
      <c r="AV79" s="343">
        <v>0</v>
      </c>
      <c r="AW79" s="343">
        <v>9381.3353879999995</v>
      </c>
      <c r="AX79" s="343">
        <v>9075.5327739999993</v>
      </c>
      <c r="AY79" s="343">
        <v>6369318.5266639898</v>
      </c>
      <c r="AZ79" s="343">
        <v>857720.25020000001</v>
      </c>
      <c r="BA79" s="343">
        <v>0</v>
      </c>
      <c r="BB79" s="343">
        <v>0</v>
      </c>
      <c r="BC79" s="343">
        <v>0</v>
      </c>
      <c r="BD79" s="343">
        <v>0</v>
      </c>
      <c r="BE79" s="343">
        <v>0</v>
      </c>
      <c r="BF79" s="343">
        <v>0</v>
      </c>
      <c r="BG79" s="343">
        <v>0</v>
      </c>
      <c r="BH79" s="343">
        <v>22.596590311</v>
      </c>
      <c r="BI79" s="343">
        <v>0</v>
      </c>
      <c r="BJ79" s="343">
        <v>0</v>
      </c>
      <c r="BK79" s="343">
        <v>0</v>
      </c>
      <c r="BL79" s="343">
        <v>0</v>
      </c>
      <c r="BM79" s="343">
        <v>0</v>
      </c>
      <c r="BN79" s="343">
        <v>0</v>
      </c>
      <c r="BO79" s="343">
        <v>0</v>
      </c>
      <c r="BP79" s="343">
        <v>0</v>
      </c>
    </row>
    <row r="80" spans="1:68" s="343" customFormat="1" x14ac:dyDescent="0.2">
      <c r="A80"/>
      <c r="B80" s="144">
        <f ca="1"/>
        <v>1</v>
      </c>
      <c r="C80"/>
      <c r="D80" s="341" t="s">
        <v>5</v>
      </c>
      <c r="E80" s="342">
        <v>43976</v>
      </c>
      <c r="F80" s="343">
        <v>4432625.5870000003</v>
      </c>
      <c r="G80" s="343">
        <v>1434.0706009999999</v>
      </c>
      <c r="H80" s="343">
        <v>7864.6622550000002</v>
      </c>
      <c r="I80" s="343">
        <v>0</v>
      </c>
      <c r="J80" s="343">
        <v>-28.226077719999999</v>
      </c>
      <c r="K80" s="343">
        <v>4470.8392510000003</v>
      </c>
      <c r="L80" s="343">
        <v>52770.612179999996</v>
      </c>
      <c r="M80" s="343">
        <v>5501.7481950000001</v>
      </c>
      <c r="N80" s="343">
        <v>1359.924311</v>
      </c>
      <c r="O80" s="343">
        <v>3961000.6320000002</v>
      </c>
      <c r="P80" s="343">
        <v>11982.890460000001</v>
      </c>
      <c r="Q80" s="343">
        <v>646.93290579999996</v>
      </c>
      <c r="R80" s="343">
        <v>21425.854139999999</v>
      </c>
      <c r="S80" s="343">
        <v>2282.8188009999999</v>
      </c>
      <c r="T80" s="343">
        <v>0</v>
      </c>
      <c r="U80" s="343">
        <v>0</v>
      </c>
      <c r="V80" s="343">
        <v>0</v>
      </c>
      <c r="W80" s="343">
        <v>0</v>
      </c>
      <c r="X80" s="343">
        <v>12.72336636</v>
      </c>
      <c r="Y80" s="343">
        <v>6.7431812249999998</v>
      </c>
      <c r="Z80" s="343">
        <v>4.9621386100000002</v>
      </c>
      <c r="AA80" s="343">
        <v>176051668.80000001</v>
      </c>
      <c r="AB80" s="343">
        <v>0</v>
      </c>
      <c r="AC80" s="343">
        <v>0</v>
      </c>
      <c r="AD80" s="343">
        <v>0</v>
      </c>
      <c r="AE80" s="343">
        <v>5.4449065000000001</v>
      </c>
      <c r="AF80" s="343">
        <v>0</v>
      </c>
      <c r="AG80" s="343">
        <v>2017715.0419999999</v>
      </c>
      <c r="AH80" s="343">
        <v>8062.8103419999998</v>
      </c>
      <c r="AI80" s="343">
        <v>159.76925449999999</v>
      </c>
      <c r="AJ80" s="343">
        <v>0</v>
      </c>
      <c r="AK80" s="343">
        <v>109481</v>
      </c>
      <c r="AL80" s="343">
        <v>0</v>
      </c>
      <c r="AM80" s="343">
        <v>0</v>
      </c>
      <c r="AN80" s="343">
        <v>0</v>
      </c>
      <c r="AO80" s="343">
        <v>0</v>
      </c>
      <c r="AP80" s="343">
        <v>0</v>
      </c>
      <c r="AQ80" s="343">
        <v>0</v>
      </c>
      <c r="AR80" s="343">
        <v>0</v>
      </c>
      <c r="AS80" s="343">
        <v>0</v>
      </c>
      <c r="AT80" s="343">
        <v>0</v>
      </c>
      <c r="AU80" s="343">
        <v>0</v>
      </c>
      <c r="AV80" s="343">
        <v>0</v>
      </c>
      <c r="AW80" s="343">
        <v>6876.921045</v>
      </c>
      <c r="AX80" s="343">
        <v>8405.9921219999997</v>
      </c>
      <c r="AY80" s="343">
        <v>4741757.8571359999</v>
      </c>
      <c r="AZ80" s="343">
        <v>431792.88770000002</v>
      </c>
      <c r="BA80" s="343">
        <v>0</v>
      </c>
      <c r="BB80" s="343">
        <v>0</v>
      </c>
      <c r="BC80" s="343">
        <v>0</v>
      </c>
      <c r="BD80" s="343">
        <v>0</v>
      </c>
      <c r="BE80" s="343">
        <v>0</v>
      </c>
      <c r="BF80" s="343">
        <v>107493.7243</v>
      </c>
      <c r="BG80" s="343">
        <v>0</v>
      </c>
      <c r="BH80" s="343">
        <v>24.428686195000001</v>
      </c>
      <c r="BI80" s="343">
        <v>0</v>
      </c>
      <c r="BJ80" s="343">
        <v>0</v>
      </c>
      <c r="BK80" s="343">
        <v>0</v>
      </c>
      <c r="BL80" s="343">
        <v>0</v>
      </c>
      <c r="BM80" s="343">
        <v>0</v>
      </c>
      <c r="BN80" s="343">
        <v>0</v>
      </c>
      <c r="BO80" s="343">
        <v>0</v>
      </c>
      <c r="BP80" s="343">
        <v>0</v>
      </c>
    </row>
    <row r="81" spans="1:68" s="343" customFormat="1" x14ac:dyDescent="0.2">
      <c r="A81"/>
      <c r="B81" s="144">
        <f ca="1"/>
        <v>1</v>
      </c>
      <c r="C81"/>
      <c r="D81" s="341" t="s">
        <v>5</v>
      </c>
      <c r="E81" s="342">
        <v>43983</v>
      </c>
      <c r="F81" s="343">
        <v>4855216.2949999999</v>
      </c>
      <c r="G81" s="343">
        <v>2632.0672450000002</v>
      </c>
      <c r="H81" s="343">
        <v>7256.6175789999998</v>
      </c>
      <c r="I81" s="343">
        <v>0</v>
      </c>
      <c r="J81" s="343">
        <v>-22.673719550000001</v>
      </c>
      <c r="K81" s="343">
        <v>3931.8018940000002</v>
      </c>
      <c r="L81" s="343">
        <v>50590.241309999998</v>
      </c>
      <c r="M81" s="343">
        <v>5076.3887080000004</v>
      </c>
      <c r="N81" s="343">
        <v>1121.673323</v>
      </c>
      <c r="O81" s="343">
        <v>3511984.2749999999</v>
      </c>
      <c r="P81" s="343">
        <v>11384.660250000001</v>
      </c>
      <c r="Q81" s="343">
        <v>986.03320350000001</v>
      </c>
      <c r="R81" s="343">
        <v>30479.3917</v>
      </c>
      <c r="S81" s="343">
        <v>3638.1850749999999</v>
      </c>
      <c r="T81" s="343">
        <v>0</v>
      </c>
      <c r="U81" s="343">
        <v>0</v>
      </c>
      <c r="V81" s="343">
        <v>0</v>
      </c>
      <c r="W81" s="343">
        <v>0</v>
      </c>
      <c r="X81" s="343">
        <v>13.060260359999999</v>
      </c>
      <c r="Y81" s="343">
        <v>7.6897539290000001</v>
      </c>
      <c r="Z81" s="343">
        <v>6.3861197729999999</v>
      </c>
      <c r="AA81" s="343">
        <v>193168200.69999999</v>
      </c>
      <c r="AB81" s="343">
        <v>0</v>
      </c>
      <c r="AC81" s="343">
        <v>0</v>
      </c>
      <c r="AD81" s="343">
        <v>0</v>
      </c>
      <c r="AE81" s="343">
        <v>0</v>
      </c>
      <c r="AF81" s="343">
        <v>0</v>
      </c>
      <c r="AG81" s="343">
        <v>0</v>
      </c>
      <c r="AH81" s="343">
        <v>0</v>
      </c>
      <c r="AI81" s="343">
        <v>159.76890539999999</v>
      </c>
      <c r="AJ81" s="343">
        <v>0</v>
      </c>
      <c r="AK81" s="343">
        <v>186000</v>
      </c>
      <c r="AL81" s="343">
        <v>0</v>
      </c>
      <c r="AM81" s="343">
        <v>0</v>
      </c>
      <c r="AN81" s="343">
        <v>0</v>
      </c>
      <c r="AO81" s="343">
        <v>0</v>
      </c>
      <c r="AP81" s="343">
        <v>0</v>
      </c>
      <c r="AQ81" s="343">
        <v>0</v>
      </c>
      <c r="AR81" s="343">
        <v>0</v>
      </c>
      <c r="AS81" s="343">
        <v>0</v>
      </c>
      <c r="AT81" s="343">
        <v>0</v>
      </c>
      <c r="AU81" s="343">
        <v>0</v>
      </c>
      <c r="AV81" s="343">
        <v>0</v>
      </c>
      <c r="AW81" s="343">
        <v>8075.2811309999997</v>
      </c>
      <c r="AX81" s="343">
        <v>10202.03515</v>
      </c>
      <c r="AY81" s="343">
        <v>4629460.7265360001</v>
      </c>
      <c r="AZ81" s="343">
        <v>838916.6666</v>
      </c>
      <c r="BA81" s="343">
        <v>0</v>
      </c>
      <c r="BB81" s="343">
        <v>0</v>
      </c>
      <c r="BC81" s="343">
        <v>0</v>
      </c>
      <c r="BD81" s="343">
        <v>0</v>
      </c>
      <c r="BE81" s="343">
        <v>0</v>
      </c>
      <c r="BF81" s="343">
        <v>0</v>
      </c>
      <c r="BG81" s="343">
        <v>0</v>
      </c>
      <c r="BH81" s="343">
        <v>27.136134062</v>
      </c>
      <c r="BI81" s="343">
        <v>0</v>
      </c>
      <c r="BJ81" s="343">
        <v>0</v>
      </c>
      <c r="BK81" s="343">
        <v>0</v>
      </c>
      <c r="BL81" s="343">
        <v>0</v>
      </c>
      <c r="BM81" s="343">
        <v>0</v>
      </c>
      <c r="BN81" s="343">
        <v>0</v>
      </c>
      <c r="BO81" s="343">
        <v>0</v>
      </c>
      <c r="BP81" s="343">
        <v>0</v>
      </c>
    </row>
    <row r="82" spans="1:68" s="343" customFormat="1" x14ac:dyDescent="0.2">
      <c r="A82"/>
      <c r="B82" s="144">
        <f ca="1"/>
        <v>1</v>
      </c>
      <c r="C82"/>
      <c r="D82" s="341" t="s">
        <v>5</v>
      </c>
      <c r="E82" s="342">
        <v>43990</v>
      </c>
      <c r="F82" s="343">
        <v>6452035.4610000001</v>
      </c>
      <c r="G82" s="343">
        <v>3648.129559</v>
      </c>
      <c r="H82" s="343">
        <v>8397.9124059999995</v>
      </c>
      <c r="I82" s="343">
        <v>0</v>
      </c>
      <c r="J82" s="343">
        <v>-21.765492680000001</v>
      </c>
      <c r="K82" s="343">
        <v>5071.531207</v>
      </c>
      <c r="L82" s="343">
        <v>165182.80129999999</v>
      </c>
      <c r="M82" s="343">
        <v>5874.7849459999998</v>
      </c>
      <c r="N82" s="343">
        <v>880.77999420000003</v>
      </c>
      <c r="O82" s="343">
        <v>2904304.2110000001</v>
      </c>
      <c r="P82" s="343">
        <v>8555.8186330000008</v>
      </c>
      <c r="Q82" s="343">
        <v>1303.5543909999999</v>
      </c>
      <c r="R82" s="343">
        <v>41742.806270000001</v>
      </c>
      <c r="S82" s="343">
        <v>5265.5230000000001</v>
      </c>
      <c r="T82" s="343">
        <v>0</v>
      </c>
      <c r="U82" s="343">
        <v>0</v>
      </c>
      <c r="V82" s="343">
        <v>0</v>
      </c>
      <c r="W82" s="343">
        <v>0</v>
      </c>
      <c r="X82" s="343">
        <v>11.769430789999999</v>
      </c>
      <c r="Y82" s="343">
        <v>5.5846444829999999</v>
      </c>
      <c r="Z82" s="343">
        <v>4.4751475010000004</v>
      </c>
      <c r="AA82" s="343">
        <v>215701134.59999999</v>
      </c>
      <c r="AB82" s="343">
        <v>0</v>
      </c>
      <c r="AC82" s="343">
        <v>5296.7650549999998</v>
      </c>
      <c r="AD82" s="343">
        <v>23762.544040000001</v>
      </c>
      <c r="AE82" s="343">
        <v>0</v>
      </c>
      <c r="AF82" s="343">
        <v>0</v>
      </c>
      <c r="AG82" s="343">
        <v>0</v>
      </c>
      <c r="AH82" s="343">
        <v>0</v>
      </c>
      <c r="AI82" s="343">
        <v>45.64820872</v>
      </c>
      <c r="AJ82" s="343">
        <v>0</v>
      </c>
      <c r="AK82" s="343">
        <v>51744</v>
      </c>
      <c r="AL82" s="343">
        <v>0</v>
      </c>
      <c r="AM82" s="343">
        <v>0</v>
      </c>
      <c r="AN82" s="343">
        <v>0</v>
      </c>
      <c r="AO82" s="343">
        <v>0</v>
      </c>
      <c r="AP82" s="343">
        <v>0</v>
      </c>
      <c r="AQ82" s="343">
        <v>0</v>
      </c>
      <c r="AR82" s="343">
        <v>0</v>
      </c>
      <c r="AS82" s="343">
        <v>0</v>
      </c>
      <c r="AT82" s="343">
        <v>0</v>
      </c>
      <c r="AU82" s="343">
        <v>0</v>
      </c>
      <c r="AV82" s="343">
        <v>0</v>
      </c>
      <c r="AW82" s="343">
        <v>9350.7109670000009</v>
      </c>
      <c r="AX82" s="343">
        <v>14917.125410000001</v>
      </c>
      <c r="AY82" s="343">
        <v>4419558.3250479996</v>
      </c>
      <c r="AZ82" s="343">
        <v>897652.85230000003</v>
      </c>
      <c r="BA82" s="343">
        <v>0</v>
      </c>
      <c r="BB82" s="343">
        <v>0</v>
      </c>
      <c r="BC82" s="343">
        <v>0</v>
      </c>
      <c r="BD82" s="343">
        <v>0</v>
      </c>
      <c r="BE82" s="343">
        <v>0</v>
      </c>
      <c r="BF82" s="343">
        <v>0</v>
      </c>
      <c r="BG82" s="343">
        <v>0</v>
      </c>
      <c r="BH82" s="343">
        <v>21.829222774000002</v>
      </c>
      <c r="BI82" s="343">
        <v>0</v>
      </c>
      <c r="BJ82" s="343">
        <v>0</v>
      </c>
      <c r="BK82" s="343">
        <v>0</v>
      </c>
      <c r="BL82" s="343">
        <v>0</v>
      </c>
      <c r="BM82" s="343">
        <v>0</v>
      </c>
      <c r="BN82" s="343">
        <v>0</v>
      </c>
      <c r="BO82" s="343">
        <v>1</v>
      </c>
      <c r="BP82" s="343">
        <v>0</v>
      </c>
    </row>
    <row r="83" spans="1:68" s="343" customFormat="1" x14ac:dyDescent="0.2">
      <c r="A83"/>
      <c r="B83" s="144">
        <f ca="1"/>
        <v>1</v>
      </c>
      <c r="C83"/>
      <c r="D83" s="341" t="s">
        <v>5</v>
      </c>
      <c r="E83" s="342">
        <v>43997</v>
      </c>
      <c r="F83" s="343">
        <v>6185776.523</v>
      </c>
      <c r="G83" s="343">
        <v>5379.9681129999999</v>
      </c>
      <c r="H83" s="343">
        <v>14037.022269999999</v>
      </c>
      <c r="I83" s="343">
        <v>0</v>
      </c>
      <c r="J83" s="343">
        <v>-21.81427858</v>
      </c>
      <c r="K83" s="343">
        <v>11751.366679999999</v>
      </c>
      <c r="L83" s="343">
        <v>764905.45900000003</v>
      </c>
      <c r="M83" s="343">
        <v>9819.6412550000005</v>
      </c>
      <c r="N83" s="343">
        <v>613.022876</v>
      </c>
      <c r="O83" s="343">
        <v>1849406.3430000001</v>
      </c>
      <c r="P83" s="343">
        <v>7242.0044010000001</v>
      </c>
      <c r="Q83" s="343">
        <v>1743.503999</v>
      </c>
      <c r="R83" s="343">
        <v>56143.118779999997</v>
      </c>
      <c r="S83" s="343">
        <v>8295.7981280000004</v>
      </c>
      <c r="T83" s="343">
        <v>0</v>
      </c>
      <c r="U83" s="343">
        <v>0</v>
      </c>
      <c r="V83" s="343">
        <v>0</v>
      </c>
      <c r="W83" s="343">
        <v>0</v>
      </c>
      <c r="X83" s="343">
        <v>11.963706950000001</v>
      </c>
      <c r="Y83" s="343">
        <v>5.1829533799999998</v>
      </c>
      <c r="Z83" s="343">
        <v>5.1112881159999999</v>
      </c>
      <c r="AA83" s="343">
        <v>267854037.59999999</v>
      </c>
      <c r="AB83" s="343">
        <v>0</v>
      </c>
      <c r="AC83" s="343">
        <v>5296.7650549999998</v>
      </c>
      <c r="AD83" s="343">
        <v>23762.544040000001</v>
      </c>
      <c r="AE83" s="343">
        <v>0</v>
      </c>
      <c r="AF83" s="343">
        <v>0</v>
      </c>
      <c r="AG83" s="343">
        <v>0</v>
      </c>
      <c r="AH83" s="343">
        <v>0</v>
      </c>
      <c r="AI83" s="343">
        <v>0</v>
      </c>
      <c r="AJ83" s="343">
        <v>0</v>
      </c>
      <c r="AK83" s="343">
        <v>69292</v>
      </c>
      <c r="AL83" s="343">
        <v>0</v>
      </c>
      <c r="AM83" s="343">
        <v>0</v>
      </c>
      <c r="AN83" s="343">
        <v>0</v>
      </c>
      <c r="AO83" s="343">
        <v>0</v>
      </c>
      <c r="AP83" s="343">
        <v>0</v>
      </c>
      <c r="AQ83" s="343">
        <v>0</v>
      </c>
      <c r="AR83" s="343">
        <v>0</v>
      </c>
      <c r="AS83" s="343">
        <v>0</v>
      </c>
      <c r="AT83" s="343">
        <v>0</v>
      </c>
      <c r="AU83" s="343">
        <v>0</v>
      </c>
      <c r="AV83" s="343">
        <v>0</v>
      </c>
      <c r="AW83" s="343">
        <v>55578.896639999999</v>
      </c>
      <c r="AX83" s="343">
        <v>20349.833490000001</v>
      </c>
      <c r="AY83" s="343">
        <v>4560436.8859599996</v>
      </c>
      <c r="AZ83" s="343">
        <v>2714970.2080000001</v>
      </c>
      <c r="BA83" s="343">
        <v>0</v>
      </c>
      <c r="BB83" s="343">
        <v>0</v>
      </c>
      <c r="BC83" s="343">
        <v>0</v>
      </c>
      <c r="BD83" s="343">
        <v>0</v>
      </c>
      <c r="BE83" s="343">
        <v>0</v>
      </c>
      <c r="BF83" s="343">
        <v>0</v>
      </c>
      <c r="BG83" s="343">
        <v>0</v>
      </c>
      <c r="BH83" s="343">
        <v>22.257948446</v>
      </c>
      <c r="BI83" s="343">
        <v>0</v>
      </c>
      <c r="BJ83" s="343">
        <v>0</v>
      </c>
      <c r="BK83" s="343">
        <v>0</v>
      </c>
      <c r="BL83" s="343">
        <v>0</v>
      </c>
      <c r="BM83" s="343">
        <v>0</v>
      </c>
      <c r="BN83" s="343">
        <v>0</v>
      </c>
      <c r="BO83" s="343">
        <v>0</v>
      </c>
      <c r="BP83" s="343">
        <v>0</v>
      </c>
    </row>
    <row r="84" spans="1:68" s="343" customFormat="1" x14ac:dyDescent="0.2">
      <c r="A84"/>
      <c r="B84" s="144">
        <f ca="1"/>
        <v>1</v>
      </c>
      <c r="C84"/>
      <c r="D84" s="341" t="s">
        <v>5</v>
      </c>
      <c r="E84" s="342">
        <v>44004</v>
      </c>
      <c r="F84" s="343">
        <v>4558502.4340000004</v>
      </c>
      <c r="G84" s="343">
        <v>6045.3819080000003</v>
      </c>
      <c r="H84" s="343">
        <v>19674.579010000001</v>
      </c>
      <c r="I84" s="343">
        <v>0</v>
      </c>
      <c r="J84" s="343">
        <v>-22.636216940000001</v>
      </c>
      <c r="K84" s="343">
        <v>27946.26844</v>
      </c>
      <c r="L84" s="343">
        <v>1295686.824</v>
      </c>
      <c r="M84" s="343">
        <v>13763.41107</v>
      </c>
      <c r="N84" s="343">
        <v>1533.43797</v>
      </c>
      <c r="O84" s="343">
        <v>4185471.3769999999</v>
      </c>
      <c r="P84" s="343">
        <v>14390.416859999999</v>
      </c>
      <c r="Q84" s="343">
        <v>493.23679679999998</v>
      </c>
      <c r="R84" s="343">
        <v>15006.72954</v>
      </c>
      <c r="S84" s="343">
        <v>1539.6078339999999</v>
      </c>
      <c r="T84" s="343">
        <v>0</v>
      </c>
      <c r="U84" s="343">
        <v>0</v>
      </c>
      <c r="V84" s="343">
        <v>0</v>
      </c>
      <c r="W84" s="343">
        <v>0</v>
      </c>
      <c r="X84" s="343">
        <v>12.11667259</v>
      </c>
      <c r="Y84" s="343">
        <v>5.189285871</v>
      </c>
      <c r="Z84" s="343">
        <v>5.7932404860000002</v>
      </c>
      <c r="AA84" s="343">
        <v>223622577.69999999</v>
      </c>
      <c r="AB84" s="343">
        <v>0</v>
      </c>
      <c r="AC84" s="343">
        <v>0</v>
      </c>
      <c r="AD84" s="343">
        <v>0</v>
      </c>
      <c r="AE84" s="343">
        <v>0</v>
      </c>
      <c r="AF84" s="343">
        <v>0</v>
      </c>
      <c r="AG84" s="343">
        <v>0</v>
      </c>
      <c r="AH84" s="343">
        <v>0</v>
      </c>
      <c r="AI84" s="343">
        <v>0</v>
      </c>
      <c r="AJ84" s="343">
        <v>0</v>
      </c>
      <c r="AK84" s="343">
        <v>15654</v>
      </c>
      <c r="AL84" s="343">
        <v>0</v>
      </c>
      <c r="AM84" s="343">
        <v>0</v>
      </c>
      <c r="AN84" s="343">
        <v>0</v>
      </c>
      <c r="AO84" s="343">
        <v>0</v>
      </c>
      <c r="AP84" s="343">
        <v>0</v>
      </c>
      <c r="AQ84" s="343">
        <v>0</v>
      </c>
      <c r="AR84" s="343">
        <v>0</v>
      </c>
      <c r="AS84" s="343">
        <v>0</v>
      </c>
      <c r="AT84" s="343">
        <v>0</v>
      </c>
      <c r="AU84" s="343">
        <v>0</v>
      </c>
      <c r="AV84" s="343">
        <v>0</v>
      </c>
      <c r="AW84" s="343">
        <v>58938.778839999999</v>
      </c>
      <c r="AX84" s="343">
        <v>29359.01917</v>
      </c>
      <c r="AY84" s="343">
        <v>5796417.76983999</v>
      </c>
      <c r="AZ84" s="343">
        <v>2490921.0410000002</v>
      </c>
      <c r="BA84" s="343">
        <v>0</v>
      </c>
      <c r="BB84" s="343">
        <v>0</v>
      </c>
      <c r="BC84" s="343">
        <v>0</v>
      </c>
      <c r="BD84" s="343">
        <v>0</v>
      </c>
      <c r="BE84" s="343">
        <v>0</v>
      </c>
      <c r="BF84" s="343">
        <v>0</v>
      </c>
      <c r="BG84" s="343">
        <v>0</v>
      </c>
      <c r="BH84" s="343">
        <v>23.099198946999898</v>
      </c>
      <c r="BI84" s="343">
        <v>0</v>
      </c>
      <c r="BJ84" s="343">
        <v>0</v>
      </c>
      <c r="BK84" s="343">
        <v>0</v>
      </c>
      <c r="BL84" s="343">
        <v>0</v>
      </c>
      <c r="BM84" s="343">
        <v>0</v>
      </c>
      <c r="BN84" s="343">
        <v>0</v>
      </c>
      <c r="BO84" s="343">
        <v>0</v>
      </c>
      <c r="BP84" s="343">
        <v>0</v>
      </c>
    </row>
    <row r="85" spans="1:68" s="343" customFormat="1" x14ac:dyDescent="0.2">
      <c r="A85"/>
      <c r="B85" s="144">
        <f ca="1"/>
        <v>1</v>
      </c>
      <c r="C85"/>
      <c r="D85" s="341" t="s">
        <v>5</v>
      </c>
      <c r="E85" s="342">
        <v>44011</v>
      </c>
      <c r="F85" s="343">
        <v>4176359.0189999999</v>
      </c>
      <c r="G85" s="343">
        <v>1284.24233</v>
      </c>
      <c r="H85" s="343">
        <v>13157.097900000001</v>
      </c>
      <c r="I85" s="343">
        <v>0</v>
      </c>
      <c r="J85" s="343">
        <v>-29.123658330000001</v>
      </c>
      <c r="K85" s="343">
        <v>11366.025439999999</v>
      </c>
      <c r="L85" s="343">
        <v>851610.32239999995</v>
      </c>
      <c r="M85" s="343">
        <v>9204.0875059999998</v>
      </c>
      <c r="N85" s="343">
        <v>824.85046460000001</v>
      </c>
      <c r="O85" s="343">
        <v>2114752.7659999998</v>
      </c>
      <c r="P85" s="343">
        <v>7471.1978840000002</v>
      </c>
      <c r="Q85" s="343">
        <v>1237.4958919999999</v>
      </c>
      <c r="R85" s="343">
        <v>31203.39286</v>
      </c>
      <c r="S85" s="343">
        <v>4176.5838659999999</v>
      </c>
      <c r="T85" s="343">
        <v>0</v>
      </c>
      <c r="U85" s="343">
        <v>0</v>
      </c>
      <c r="V85" s="343">
        <v>0</v>
      </c>
      <c r="W85" s="343">
        <v>0</v>
      </c>
      <c r="X85" s="343">
        <v>12.887170530000001</v>
      </c>
      <c r="Y85" s="343">
        <v>5.9852506669999999</v>
      </c>
      <c r="Z85" s="343">
        <v>6.0425237730000001</v>
      </c>
      <c r="AA85" s="343">
        <v>219743576.80000001</v>
      </c>
      <c r="AB85" s="343">
        <v>0</v>
      </c>
      <c r="AC85" s="343">
        <v>0</v>
      </c>
      <c r="AD85" s="343">
        <v>0</v>
      </c>
      <c r="AE85" s="343">
        <v>0</v>
      </c>
      <c r="AF85" s="343">
        <v>0</v>
      </c>
      <c r="AG85" s="343">
        <v>0</v>
      </c>
      <c r="AH85" s="343">
        <v>0</v>
      </c>
      <c r="AI85" s="343">
        <v>0</v>
      </c>
      <c r="AJ85" s="343">
        <v>0</v>
      </c>
      <c r="AK85" s="343">
        <v>153482</v>
      </c>
      <c r="AL85" s="343">
        <v>0</v>
      </c>
      <c r="AM85" s="343">
        <v>0</v>
      </c>
      <c r="AN85" s="343">
        <v>0</v>
      </c>
      <c r="AO85" s="343">
        <v>0</v>
      </c>
      <c r="AP85" s="343">
        <v>0</v>
      </c>
      <c r="AQ85" s="343">
        <v>0</v>
      </c>
      <c r="AR85" s="343">
        <v>0</v>
      </c>
      <c r="AS85" s="343">
        <v>0</v>
      </c>
      <c r="AT85" s="343">
        <v>0</v>
      </c>
      <c r="AU85" s="343">
        <v>0</v>
      </c>
      <c r="AV85" s="343">
        <v>0</v>
      </c>
      <c r="AW85" s="343">
        <v>28296.635920000001</v>
      </c>
      <c r="AX85" s="343">
        <v>17111.53499</v>
      </c>
      <c r="AY85" s="343">
        <v>6457556.4363599997</v>
      </c>
      <c r="AZ85" s="343">
        <v>1631861.2279999999</v>
      </c>
      <c r="BA85" s="343">
        <v>0</v>
      </c>
      <c r="BB85" s="343">
        <v>0</v>
      </c>
      <c r="BC85" s="343">
        <v>0</v>
      </c>
      <c r="BD85" s="343">
        <v>0</v>
      </c>
      <c r="BE85" s="343">
        <v>0</v>
      </c>
      <c r="BF85" s="343">
        <v>0</v>
      </c>
      <c r="BG85" s="343">
        <v>0</v>
      </c>
      <c r="BH85" s="343">
        <v>24.914944970000001</v>
      </c>
      <c r="BI85" s="343">
        <v>0</v>
      </c>
      <c r="BJ85" s="343">
        <v>0</v>
      </c>
      <c r="BK85" s="343">
        <v>0</v>
      </c>
      <c r="BL85" s="343">
        <v>0</v>
      </c>
      <c r="BM85" s="343">
        <v>0</v>
      </c>
      <c r="BN85" s="343">
        <v>0</v>
      </c>
      <c r="BO85" s="343">
        <v>0</v>
      </c>
      <c r="BP85" s="343">
        <v>0</v>
      </c>
    </row>
    <row r="86" spans="1:68" s="343" customFormat="1" x14ac:dyDescent="0.2">
      <c r="A86"/>
      <c r="B86" s="144">
        <f ca="1"/>
        <v>1</v>
      </c>
      <c r="C86"/>
      <c r="D86" s="341" t="s">
        <v>5</v>
      </c>
      <c r="E86" s="342">
        <v>44018</v>
      </c>
      <c r="F86" s="343">
        <v>6637140.6370000001</v>
      </c>
      <c r="G86" s="343">
        <v>0</v>
      </c>
      <c r="H86" s="343">
        <v>5728.4581269999999</v>
      </c>
      <c r="I86" s="343">
        <v>0</v>
      </c>
      <c r="J86" s="343">
        <v>-24.404308</v>
      </c>
      <c r="K86" s="343">
        <v>4580.0559700000003</v>
      </c>
      <c r="L86" s="343">
        <v>179207.90150000001</v>
      </c>
      <c r="M86" s="343">
        <v>4007.3601560000002</v>
      </c>
      <c r="N86" s="343">
        <v>1110.663573</v>
      </c>
      <c r="O86" s="343">
        <v>2585260.5950000002</v>
      </c>
      <c r="P86" s="343">
        <v>6300.6967249999998</v>
      </c>
      <c r="Q86" s="343">
        <v>4602.9562500000002</v>
      </c>
      <c r="R86" s="343">
        <v>100965.13189999999</v>
      </c>
      <c r="S86" s="343">
        <v>12500.15739</v>
      </c>
      <c r="T86" s="343">
        <v>0</v>
      </c>
      <c r="U86" s="343">
        <v>0</v>
      </c>
      <c r="V86" s="343">
        <v>0</v>
      </c>
      <c r="W86" s="343">
        <v>0</v>
      </c>
      <c r="X86" s="343">
        <v>19.662408169999999</v>
      </c>
      <c r="Y86" s="343">
        <v>5.810050983</v>
      </c>
      <c r="Z86" s="343">
        <v>11.37935382</v>
      </c>
      <c r="AA86" s="343">
        <v>221865401.30000001</v>
      </c>
      <c r="AB86" s="343">
        <v>0</v>
      </c>
      <c r="AC86" s="343">
        <v>0</v>
      </c>
      <c r="AD86" s="343">
        <v>0</v>
      </c>
      <c r="AE86" s="343">
        <v>0</v>
      </c>
      <c r="AF86" s="343">
        <v>0</v>
      </c>
      <c r="AG86" s="343">
        <v>0</v>
      </c>
      <c r="AH86" s="343">
        <v>0</v>
      </c>
      <c r="AI86" s="343">
        <v>0</v>
      </c>
      <c r="AJ86" s="343">
        <v>0</v>
      </c>
      <c r="AK86" s="343">
        <v>301116</v>
      </c>
      <c r="AL86" s="343">
        <v>0</v>
      </c>
      <c r="AM86" s="343">
        <v>0</v>
      </c>
      <c r="AN86" s="343">
        <v>0</v>
      </c>
      <c r="AO86" s="343">
        <v>0</v>
      </c>
      <c r="AP86" s="343">
        <v>0</v>
      </c>
      <c r="AQ86" s="343">
        <v>0</v>
      </c>
      <c r="AR86" s="343">
        <v>0</v>
      </c>
      <c r="AS86" s="343">
        <v>0</v>
      </c>
      <c r="AT86" s="343">
        <v>0</v>
      </c>
      <c r="AU86" s="343">
        <v>0</v>
      </c>
      <c r="AV86" s="343">
        <v>0</v>
      </c>
      <c r="AW86" s="343">
        <v>15535.43785</v>
      </c>
      <c r="AX86" s="343">
        <v>6121.4689289999997</v>
      </c>
      <c r="AY86" s="343">
        <v>5494184.6566239996</v>
      </c>
      <c r="AZ86" s="343">
        <v>1294396.615</v>
      </c>
      <c r="BA86" s="343">
        <v>0</v>
      </c>
      <c r="BB86" s="343">
        <v>0</v>
      </c>
      <c r="BC86" s="343">
        <v>0</v>
      </c>
      <c r="BD86" s="343">
        <v>0</v>
      </c>
      <c r="BE86" s="343">
        <v>0</v>
      </c>
      <c r="BF86" s="343">
        <v>0</v>
      </c>
      <c r="BG86" s="343">
        <v>0</v>
      </c>
      <c r="BH86" s="343">
        <v>36.851812973000001</v>
      </c>
      <c r="BI86" s="343">
        <v>0</v>
      </c>
      <c r="BJ86" s="343">
        <v>0</v>
      </c>
      <c r="BK86" s="343">
        <v>1</v>
      </c>
      <c r="BL86" s="343">
        <v>0</v>
      </c>
      <c r="BM86" s="343">
        <v>0</v>
      </c>
      <c r="BN86" s="343">
        <v>0</v>
      </c>
      <c r="BO86" s="343">
        <v>0</v>
      </c>
      <c r="BP86" s="343">
        <v>0</v>
      </c>
    </row>
    <row r="87" spans="1:68" s="343" customFormat="1" x14ac:dyDescent="0.2">
      <c r="A87"/>
      <c r="B87" s="144">
        <f ca="1"/>
        <v>1</v>
      </c>
      <c r="C87"/>
      <c r="D87" s="341" t="s">
        <v>5</v>
      </c>
      <c r="E87" s="342">
        <v>44025</v>
      </c>
      <c r="F87" s="343">
        <v>5108492.5549999997</v>
      </c>
      <c r="G87" s="343">
        <v>2360.1100459999998</v>
      </c>
      <c r="H87" s="343">
        <v>2406.7943829999999</v>
      </c>
      <c r="I87" s="343">
        <v>0</v>
      </c>
      <c r="J87" s="343">
        <v>-23.928291819999998</v>
      </c>
      <c r="K87" s="343">
        <v>2142.9377260000001</v>
      </c>
      <c r="L87" s="343">
        <v>96985.767890000003</v>
      </c>
      <c r="M87" s="343">
        <v>1683.6802680000001</v>
      </c>
      <c r="N87" s="343">
        <v>1233.0919919999999</v>
      </c>
      <c r="O87" s="343">
        <v>2311667.8689999999</v>
      </c>
      <c r="P87" s="343">
        <v>7787.8385470000003</v>
      </c>
      <c r="Q87" s="343">
        <v>4917.3947079999998</v>
      </c>
      <c r="R87" s="343">
        <v>107404.5144</v>
      </c>
      <c r="S87" s="343">
        <v>13274.68449</v>
      </c>
      <c r="T87" s="343">
        <v>0</v>
      </c>
      <c r="U87" s="343">
        <v>0</v>
      </c>
      <c r="V87" s="343">
        <v>0</v>
      </c>
      <c r="W87" s="343">
        <v>0</v>
      </c>
      <c r="X87" s="343">
        <v>13.096300729999999</v>
      </c>
      <c r="Y87" s="343">
        <v>5.4579029119999998</v>
      </c>
      <c r="Z87" s="343">
        <v>5.2275725810000004</v>
      </c>
      <c r="AA87" s="343">
        <v>221376977.90000001</v>
      </c>
      <c r="AB87" s="343">
        <v>0</v>
      </c>
      <c r="AC87" s="343">
        <v>0</v>
      </c>
      <c r="AD87" s="343">
        <v>0</v>
      </c>
      <c r="AE87" s="343">
        <v>0</v>
      </c>
      <c r="AF87" s="343">
        <v>0</v>
      </c>
      <c r="AG87" s="343">
        <v>0</v>
      </c>
      <c r="AH87" s="343">
        <v>0</v>
      </c>
      <c r="AI87" s="343">
        <v>0</v>
      </c>
      <c r="AJ87" s="343">
        <v>0</v>
      </c>
      <c r="AK87" s="343">
        <v>134007</v>
      </c>
      <c r="AL87" s="343">
        <v>0</v>
      </c>
      <c r="AM87" s="343">
        <v>0</v>
      </c>
      <c r="AN87" s="343">
        <v>0</v>
      </c>
      <c r="AO87" s="343">
        <v>0</v>
      </c>
      <c r="AP87" s="343">
        <v>0</v>
      </c>
      <c r="AQ87" s="343">
        <v>0</v>
      </c>
      <c r="AR87" s="343">
        <v>0</v>
      </c>
      <c r="AS87" s="343">
        <v>0</v>
      </c>
      <c r="AT87" s="343">
        <v>0</v>
      </c>
      <c r="AU87" s="343">
        <v>0</v>
      </c>
      <c r="AV87" s="343">
        <v>0</v>
      </c>
      <c r="AW87" s="343">
        <v>15462.93943</v>
      </c>
      <c r="AX87" s="343">
        <v>1170.9194500000001</v>
      </c>
      <c r="AY87" s="343">
        <v>3447652.0365279899</v>
      </c>
      <c r="AZ87" s="343">
        <v>1197434.463</v>
      </c>
      <c r="BA87" s="343">
        <v>0</v>
      </c>
      <c r="BB87" s="343">
        <v>0</v>
      </c>
      <c r="BC87" s="343">
        <v>0</v>
      </c>
      <c r="BD87" s="343">
        <v>0</v>
      </c>
      <c r="BE87" s="343">
        <v>0</v>
      </c>
      <c r="BF87" s="343">
        <v>0</v>
      </c>
      <c r="BG87" s="343">
        <v>0</v>
      </c>
      <c r="BH87" s="343">
        <v>23.781776222999898</v>
      </c>
      <c r="BI87" s="343">
        <v>0</v>
      </c>
      <c r="BJ87" s="343">
        <v>0</v>
      </c>
      <c r="BK87" s="343">
        <v>0</v>
      </c>
      <c r="BL87" s="343">
        <v>0</v>
      </c>
      <c r="BM87" s="343">
        <v>0</v>
      </c>
      <c r="BN87" s="343">
        <v>0</v>
      </c>
      <c r="BO87" s="343">
        <v>0</v>
      </c>
      <c r="BP87" s="343">
        <v>0</v>
      </c>
    </row>
    <row r="88" spans="1:68" s="343" customFormat="1" x14ac:dyDescent="0.2">
      <c r="A88"/>
      <c r="B88" s="144">
        <f ca="1"/>
        <v>1</v>
      </c>
      <c r="C88"/>
      <c r="D88" s="341" t="s">
        <v>5</v>
      </c>
      <c r="E88" s="342">
        <v>44032</v>
      </c>
      <c r="F88" s="343">
        <v>4614863.0949999997</v>
      </c>
      <c r="G88" s="343">
        <v>2834.146553</v>
      </c>
      <c r="H88" s="343">
        <v>2017.104437</v>
      </c>
      <c r="I88" s="343">
        <v>0</v>
      </c>
      <c r="J88" s="343">
        <v>-23.993266370000001</v>
      </c>
      <c r="K88" s="343">
        <v>1961.0566570000001</v>
      </c>
      <c r="L88" s="343">
        <v>92673.469039999996</v>
      </c>
      <c r="M88" s="343">
        <v>1411.0714909999999</v>
      </c>
      <c r="N88" s="343">
        <v>1692.4187589999999</v>
      </c>
      <c r="O88" s="343">
        <v>3908670.41</v>
      </c>
      <c r="P88" s="343">
        <v>14408.92676</v>
      </c>
      <c r="Q88" s="343">
        <v>4033.5319840000002</v>
      </c>
      <c r="R88" s="343">
        <v>93479.382740000001</v>
      </c>
      <c r="S88" s="343">
        <v>11526.67971</v>
      </c>
      <c r="T88" s="343">
        <v>0</v>
      </c>
      <c r="U88" s="343">
        <v>0</v>
      </c>
      <c r="V88" s="343">
        <v>0</v>
      </c>
      <c r="W88" s="343">
        <v>0</v>
      </c>
      <c r="X88" s="343">
        <v>13.71500322</v>
      </c>
      <c r="Y88" s="343">
        <v>5.7343194149999999</v>
      </c>
      <c r="Z88" s="343">
        <v>3.915790769</v>
      </c>
      <c r="AA88" s="343">
        <v>217640963.80000001</v>
      </c>
      <c r="AB88" s="343">
        <v>0</v>
      </c>
      <c r="AC88" s="343">
        <v>0</v>
      </c>
      <c r="AD88" s="343">
        <v>0</v>
      </c>
      <c r="AE88" s="343">
        <v>0</v>
      </c>
      <c r="AF88" s="343">
        <v>0</v>
      </c>
      <c r="AG88" s="343">
        <v>0</v>
      </c>
      <c r="AH88" s="343">
        <v>0</v>
      </c>
      <c r="AI88" s="343">
        <v>0</v>
      </c>
      <c r="AJ88" s="343">
        <v>49267.284449999999</v>
      </c>
      <c r="AK88" s="343">
        <v>646934</v>
      </c>
      <c r="AL88" s="343">
        <v>0</v>
      </c>
      <c r="AM88" s="343">
        <v>0</v>
      </c>
      <c r="AN88" s="343">
        <v>0</v>
      </c>
      <c r="AO88" s="343">
        <v>1554.5977829999999</v>
      </c>
      <c r="AP88" s="343">
        <v>0</v>
      </c>
      <c r="AQ88" s="343">
        <v>0</v>
      </c>
      <c r="AR88" s="343">
        <v>0</v>
      </c>
      <c r="AS88" s="343">
        <v>0</v>
      </c>
      <c r="AT88" s="343">
        <v>0</v>
      </c>
      <c r="AU88" s="343">
        <v>0</v>
      </c>
      <c r="AV88" s="343">
        <v>0</v>
      </c>
      <c r="AW88" s="343">
        <v>43452.118990000003</v>
      </c>
      <c r="AX88" s="343">
        <v>5976.9146840000003</v>
      </c>
      <c r="AY88" s="343">
        <v>2871062.3074719999</v>
      </c>
      <c r="AZ88" s="343">
        <v>3373968.0729999999</v>
      </c>
      <c r="BA88" s="343">
        <v>0</v>
      </c>
      <c r="BB88" s="343">
        <v>0</v>
      </c>
      <c r="BC88" s="343">
        <v>0</v>
      </c>
      <c r="BD88" s="343">
        <v>0</v>
      </c>
      <c r="BE88" s="343">
        <v>0</v>
      </c>
      <c r="BF88" s="343">
        <v>0</v>
      </c>
      <c r="BG88" s="343">
        <v>0</v>
      </c>
      <c r="BH88" s="343">
        <v>23.365113403999999</v>
      </c>
      <c r="BI88" s="343">
        <v>0</v>
      </c>
      <c r="BJ88" s="343">
        <v>0</v>
      </c>
      <c r="BK88" s="343">
        <v>0</v>
      </c>
      <c r="BL88" s="343">
        <v>0</v>
      </c>
      <c r="BM88" s="343">
        <v>0</v>
      </c>
      <c r="BN88" s="343">
        <v>0</v>
      </c>
      <c r="BO88" s="343">
        <v>0</v>
      </c>
      <c r="BP88" s="343">
        <v>0</v>
      </c>
    </row>
    <row r="89" spans="1:68" s="343" customFormat="1" x14ac:dyDescent="0.2">
      <c r="A89"/>
      <c r="B89" s="144">
        <f ca="1"/>
        <v>1</v>
      </c>
      <c r="C89"/>
      <c r="D89" s="341" t="s">
        <v>5</v>
      </c>
      <c r="E89" s="342">
        <v>44039</v>
      </c>
      <c r="F89" s="343">
        <v>4186855.895</v>
      </c>
      <c r="G89" s="343">
        <v>2584.2229229999998</v>
      </c>
      <c r="H89" s="343">
        <v>3090.8171910000001</v>
      </c>
      <c r="I89" s="343">
        <v>0</v>
      </c>
      <c r="J89" s="343">
        <v>-24.186930400000001</v>
      </c>
      <c r="K89" s="343">
        <v>2863.4157610000002</v>
      </c>
      <c r="L89" s="343">
        <v>150938.38680000001</v>
      </c>
      <c r="M89" s="343">
        <v>2162.190486</v>
      </c>
      <c r="N89" s="343">
        <v>1986.599277</v>
      </c>
      <c r="O89" s="343">
        <v>4708865.6399999997</v>
      </c>
      <c r="P89" s="343">
        <v>13939.36141</v>
      </c>
      <c r="Q89" s="343">
        <v>2422.144984</v>
      </c>
      <c r="R89" s="343">
        <v>55280.835169999998</v>
      </c>
      <c r="S89" s="343">
        <v>5155.544406</v>
      </c>
      <c r="T89" s="343">
        <v>242.6548884</v>
      </c>
      <c r="U89" s="343">
        <v>95028.234360000002</v>
      </c>
      <c r="V89" s="343">
        <v>1710.5082179999999</v>
      </c>
      <c r="W89" s="343">
        <v>0</v>
      </c>
      <c r="X89" s="343">
        <v>14.040533679999999</v>
      </c>
      <c r="Y89" s="343">
        <v>11.30090525</v>
      </c>
      <c r="Z89" s="343">
        <v>5.7326164830000002</v>
      </c>
      <c r="AA89" s="343">
        <v>221901289.90000001</v>
      </c>
      <c r="AB89" s="343">
        <v>0</v>
      </c>
      <c r="AC89" s="343">
        <v>0</v>
      </c>
      <c r="AD89" s="343">
        <v>0</v>
      </c>
      <c r="AE89" s="343">
        <v>0</v>
      </c>
      <c r="AF89" s="343">
        <v>0</v>
      </c>
      <c r="AG89" s="343">
        <v>0</v>
      </c>
      <c r="AH89" s="343">
        <v>0</v>
      </c>
      <c r="AI89" s="343">
        <v>0</v>
      </c>
      <c r="AJ89" s="343">
        <v>0</v>
      </c>
      <c r="AK89" s="343">
        <v>1236082</v>
      </c>
      <c r="AL89" s="343">
        <v>0</v>
      </c>
      <c r="AM89" s="343">
        <v>0</v>
      </c>
      <c r="AN89" s="343">
        <v>0</v>
      </c>
      <c r="AO89" s="343">
        <v>4402.2256960000004</v>
      </c>
      <c r="AP89" s="343">
        <v>0</v>
      </c>
      <c r="AQ89" s="343">
        <v>0</v>
      </c>
      <c r="AR89" s="343">
        <v>0</v>
      </c>
      <c r="AS89" s="343">
        <v>0</v>
      </c>
      <c r="AT89" s="343">
        <v>0</v>
      </c>
      <c r="AU89" s="343">
        <v>0</v>
      </c>
      <c r="AV89" s="343">
        <v>0</v>
      </c>
      <c r="AW89" s="343">
        <v>62524.420619999997</v>
      </c>
      <c r="AX89" s="343">
        <v>15273.50382</v>
      </c>
      <c r="AY89" s="343">
        <v>4860569.3404639997</v>
      </c>
      <c r="AZ89" s="343">
        <v>5092875.3770000003</v>
      </c>
      <c r="BA89" s="343">
        <v>0</v>
      </c>
      <c r="BB89" s="343">
        <v>0</v>
      </c>
      <c r="BC89" s="343">
        <v>0</v>
      </c>
      <c r="BD89" s="343">
        <v>0</v>
      </c>
      <c r="BE89" s="343">
        <v>0</v>
      </c>
      <c r="BF89" s="343">
        <v>49267.284449999999</v>
      </c>
      <c r="BG89" s="343">
        <v>0</v>
      </c>
      <c r="BH89" s="343">
        <v>31.074055413</v>
      </c>
      <c r="BI89" s="343">
        <v>0</v>
      </c>
      <c r="BJ89" s="343">
        <v>0</v>
      </c>
      <c r="BK89" s="343">
        <v>0</v>
      </c>
      <c r="BL89" s="343">
        <v>0</v>
      </c>
      <c r="BM89" s="343">
        <v>0</v>
      </c>
      <c r="BN89" s="343">
        <v>0</v>
      </c>
      <c r="BO89" s="343">
        <v>0</v>
      </c>
      <c r="BP89" s="343">
        <v>0</v>
      </c>
    </row>
    <row r="90" spans="1:68" s="343" customFormat="1" x14ac:dyDescent="0.2">
      <c r="A90"/>
      <c r="B90" s="144">
        <f ca="1"/>
        <v>1</v>
      </c>
      <c r="C90"/>
      <c r="D90" s="341" t="s">
        <v>5</v>
      </c>
      <c r="E90" s="342">
        <v>44046</v>
      </c>
      <c r="F90" s="343">
        <v>11887165.029999999</v>
      </c>
      <c r="G90" s="343">
        <v>2565.9665369999998</v>
      </c>
      <c r="H90" s="343">
        <v>8016.4235760000001</v>
      </c>
      <c r="I90" s="343">
        <v>0</v>
      </c>
      <c r="J90" s="343">
        <v>-23.863274480000001</v>
      </c>
      <c r="K90" s="343">
        <v>6091.0340500000002</v>
      </c>
      <c r="L90" s="343">
        <v>270049.78860000003</v>
      </c>
      <c r="M90" s="343">
        <v>5607.9132849999996</v>
      </c>
      <c r="N90" s="343">
        <v>3964.390754</v>
      </c>
      <c r="O90" s="343">
        <v>6115171.3849999998</v>
      </c>
      <c r="P90" s="343">
        <v>19421.96933</v>
      </c>
      <c r="Q90" s="343">
        <v>3927.8383840000001</v>
      </c>
      <c r="R90" s="343">
        <v>95750.47395</v>
      </c>
      <c r="S90" s="343">
        <v>11166.387839999999</v>
      </c>
      <c r="T90" s="343">
        <v>326.76937789999999</v>
      </c>
      <c r="U90" s="343">
        <v>118403.69500000001</v>
      </c>
      <c r="V90" s="343">
        <v>2131.2665099999999</v>
      </c>
      <c r="W90" s="343">
        <v>0</v>
      </c>
      <c r="X90" s="343">
        <v>23.920140910000001</v>
      </c>
      <c r="Y90" s="343">
        <v>6.3828829899999997</v>
      </c>
      <c r="Z90" s="343">
        <v>5.0687024850000002</v>
      </c>
      <c r="AA90" s="343">
        <v>253187719.90000001</v>
      </c>
      <c r="AB90" s="343">
        <v>0</v>
      </c>
      <c r="AC90" s="343">
        <v>0</v>
      </c>
      <c r="AD90" s="343">
        <v>147090.57269999999</v>
      </c>
      <c r="AE90" s="343">
        <v>0</v>
      </c>
      <c r="AF90" s="343">
        <v>0</v>
      </c>
      <c r="AG90" s="343">
        <v>0</v>
      </c>
      <c r="AH90" s="343">
        <v>0</v>
      </c>
      <c r="AI90" s="343">
        <v>0</v>
      </c>
      <c r="AJ90" s="343">
        <v>0</v>
      </c>
      <c r="AK90" s="343">
        <v>169611</v>
      </c>
      <c r="AL90" s="343">
        <v>0</v>
      </c>
      <c r="AM90" s="343">
        <v>0</v>
      </c>
      <c r="AN90" s="343">
        <v>0</v>
      </c>
      <c r="AO90" s="343">
        <v>7159.1583659999997</v>
      </c>
      <c r="AP90" s="343">
        <v>0</v>
      </c>
      <c r="AQ90" s="343">
        <v>0</v>
      </c>
      <c r="AR90" s="343">
        <v>0</v>
      </c>
      <c r="AS90" s="343">
        <v>0</v>
      </c>
      <c r="AT90" s="343">
        <v>0</v>
      </c>
      <c r="AU90" s="343">
        <v>0</v>
      </c>
      <c r="AV90" s="343">
        <v>0</v>
      </c>
      <c r="AW90" s="343">
        <v>224059.495</v>
      </c>
      <c r="AX90" s="343">
        <v>24709.953300000001</v>
      </c>
      <c r="AY90" s="343">
        <v>7447267.5308751902</v>
      </c>
      <c r="AZ90" s="343">
        <v>20486123.960000001</v>
      </c>
      <c r="BA90" s="343">
        <v>6800000</v>
      </c>
      <c r="BB90" s="343">
        <v>26250</v>
      </c>
      <c r="BC90" s="343">
        <v>0</v>
      </c>
      <c r="BD90" s="343">
        <v>0</v>
      </c>
      <c r="BE90" s="343">
        <v>0</v>
      </c>
      <c r="BF90" s="343">
        <v>0</v>
      </c>
      <c r="BG90" s="343">
        <v>0</v>
      </c>
      <c r="BH90" s="343">
        <v>35.371726385000002</v>
      </c>
      <c r="BI90" s="343">
        <v>0</v>
      </c>
      <c r="BJ90" s="343">
        <v>0</v>
      </c>
      <c r="BK90" s="343">
        <v>0</v>
      </c>
      <c r="BL90" s="343">
        <v>0</v>
      </c>
      <c r="BM90" s="343">
        <v>0</v>
      </c>
      <c r="BN90" s="343">
        <v>1</v>
      </c>
      <c r="BO90" s="343">
        <v>0</v>
      </c>
      <c r="BP90" s="343">
        <v>0</v>
      </c>
    </row>
    <row r="91" spans="1:68" s="343" customFormat="1" x14ac:dyDescent="0.2">
      <c r="A91"/>
      <c r="B91" s="144">
        <f ca="1"/>
        <v>1</v>
      </c>
      <c r="C91"/>
      <c r="D91" s="341" t="s">
        <v>5</v>
      </c>
      <c r="E91" s="342">
        <v>44053</v>
      </c>
      <c r="F91" s="343">
        <v>6924504.2340000002</v>
      </c>
      <c r="G91" s="343">
        <v>2887.0271200000002</v>
      </c>
      <c r="H91" s="343">
        <v>9597.1979819999997</v>
      </c>
      <c r="I91" s="343">
        <v>0</v>
      </c>
      <c r="J91" s="343">
        <v>-23.97775777</v>
      </c>
      <c r="K91" s="343">
        <v>7435.1043209999998</v>
      </c>
      <c r="L91" s="343">
        <v>435152.87929999997</v>
      </c>
      <c r="M91" s="343">
        <v>6713.7487870000004</v>
      </c>
      <c r="N91" s="343">
        <v>3576.8475570000001</v>
      </c>
      <c r="O91" s="343">
        <v>6598652.6629999997</v>
      </c>
      <c r="P91" s="343">
        <v>28691.57518</v>
      </c>
      <c r="Q91" s="343">
        <v>4497.7030400000003</v>
      </c>
      <c r="R91" s="343">
        <v>115070.38310000001</v>
      </c>
      <c r="S91" s="343">
        <v>13657.299720000001</v>
      </c>
      <c r="T91" s="343">
        <v>241.33371840000001</v>
      </c>
      <c r="U91" s="343">
        <v>271437.45740000001</v>
      </c>
      <c r="V91" s="343">
        <v>4885.8742339999999</v>
      </c>
      <c r="W91" s="343">
        <v>0</v>
      </c>
      <c r="X91" s="343">
        <v>17.833518349999999</v>
      </c>
      <c r="Y91" s="343">
        <v>6.2559587529999998</v>
      </c>
      <c r="Z91" s="343">
        <v>5.2030894849999996</v>
      </c>
      <c r="AA91" s="343">
        <v>247021855.30000001</v>
      </c>
      <c r="AB91" s="343">
        <v>0</v>
      </c>
      <c r="AC91" s="343">
        <v>0</v>
      </c>
      <c r="AD91" s="343">
        <v>147090.57269999999</v>
      </c>
      <c r="AE91" s="343">
        <v>0</v>
      </c>
      <c r="AF91" s="343">
        <v>0</v>
      </c>
      <c r="AG91" s="343">
        <v>0</v>
      </c>
      <c r="AH91" s="343">
        <v>0</v>
      </c>
      <c r="AI91" s="343">
        <v>0</v>
      </c>
      <c r="AJ91" s="343">
        <v>0</v>
      </c>
      <c r="AK91" s="343">
        <v>125555</v>
      </c>
      <c r="AL91" s="343">
        <v>0</v>
      </c>
      <c r="AM91" s="343">
        <v>0</v>
      </c>
      <c r="AN91" s="343">
        <v>0</v>
      </c>
      <c r="AO91" s="343">
        <v>0</v>
      </c>
      <c r="AP91" s="343">
        <v>0</v>
      </c>
      <c r="AQ91" s="343">
        <v>0</v>
      </c>
      <c r="AR91" s="343">
        <v>0</v>
      </c>
      <c r="AS91" s="343">
        <v>0</v>
      </c>
      <c r="AT91" s="343">
        <v>0</v>
      </c>
      <c r="AU91" s="343">
        <v>0</v>
      </c>
      <c r="AV91" s="343">
        <v>0</v>
      </c>
      <c r="AW91" s="343">
        <v>293285.13569999998</v>
      </c>
      <c r="AX91" s="343">
        <v>34967.095659999999</v>
      </c>
      <c r="AY91" s="343">
        <v>10663909.15724</v>
      </c>
      <c r="AZ91" s="343">
        <v>7851355.6859999998</v>
      </c>
      <c r="BA91" s="343">
        <v>8160000</v>
      </c>
      <c r="BB91" s="343">
        <v>26250</v>
      </c>
      <c r="BC91" s="343">
        <v>0</v>
      </c>
      <c r="BD91" s="343">
        <v>0</v>
      </c>
      <c r="BE91" s="343">
        <v>0</v>
      </c>
      <c r="BF91" s="343">
        <v>0</v>
      </c>
      <c r="BG91" s="343">
        <v>0</v>
      </c>
      <c r="BH91" s="343">
        <v>29.292566588</v>
      </c>
      <c r="BI91" s="343">
        <v>0</v>
      </c>
      <c r="BJ91" s="343">
        <v>0</v>
      </c>
      <c r="BK91" s="343">
        <v>0</v>
      </c>
      <c r="BL91" s="343">
        <v>0</v>
      </c>
      <c r="BM91" s="343">
        <v>0</v>
      </c>
      <c r="BN91" s="343">
        <v>0</v>
      </c>
      <c r="BO91" s="343">
        <v>0</v>
      </c>
      <c r="BP91" s="343">
        <v>0</v>
      </c>
    </row>
    <row r="92" spans="1:68" s="343" customFormat="1" x14ac:dyDescent="0.2">
      <c r="A92"/>
      <c r="B92" s="144">
        <f ca="1"/>
        <v>1</v>
      </c>
      <c r="C92"/>
      <c r="D92" s="341" t="s">
        <v>5</v>
      </c>
      <c r="E92" s="342">
        <v>44060</v>
      </c>
      <c r="F92" s="343">
        <v>6052938.5219999999</v>
      </c>
      <c r="G92" s="343">
        <v>3718.0074509999999</v>
      </c>
      <c r="H92" s="343">
        <v>12859.980949999999</v>
      </c>
      <c r="I92" s="343">
        <v>0</v>
      </c>
      <c r="J92" s="343">
        <v>-18.03729495</v>
      </c>
      <c r="K92" s="343">
        <v>11240.954680000001</v>
      </c>
      <c r="L92" s="343">
        <v>609513.4081</v>
      </c>
      <c r="M92" s="343">
        <v>8996.2384529999999</v>
      </c>
      <c r="N92" s="343">
        <v>5145.0763360000001</v>
      </c>
      <c r="O92" s="343">
        <v>9995817.1370000001</v>
      </c>
      <c r="P92" s="343">
        <v>33088.296629999997</v>
      </c>
      <c r="Q92" s="343">
        <v>4003.145074</v>
      </c>
      <c r="R92" s="343">
        <v>106799.859</v>
      </c>
      <c r="S92" s="343">
        <v>12773.613160000001</v>
      </c>
      <c r="T92" s="343">
        <v>1117.269423</v>
      </c>
      <c r="U92" s="343">
        <v>261276.33900000001</v>
      </c>
      <c r="V92" s="343">
        <v>4702.9741029999996</v>
      </c>
      <c r="W92" s="343">
        <v>0</v>
      </c>
      <c r="X92" s="343">
        <v>14.5776223</v>
      </c>
      <c r="Y92" s="343">
        <v>6.4333968270000002</v>
      </c>
      <c r="Z92" s="343">
        <v>5.3215247689999998</v>
      </c>
      <c r="AA92" s="343">
        <v>261127529.09999999</v>
      </c>
      <c r="AB92" s="343">
        <v>0</v>
      </c>
      <c r="AC92" s="343">
        <v>0</v>
      </c>
      <c r="AD92" s="343">
        <v>0</v>
      </c>
      <c r="AE92" s="343">
        <v>0</v>
      </c>
      <c r="AF92" s="343">
        <v>0</v>
      </c>
      <c r="AG92" s="343">
        <v>0</v>
      </c>
      <c r="AH92" s="343">
        <v>0</v>
      </c>
      <c r="AI92" s="343">
        <v>0</v>
      </c>
      <c r="AJ92" s="343">
        <v>276406.63829999999</v>
      </c>
      <c r="AK92" s="343">
        <v>418846</v>
      </c>
      <c r="AL92" s="343">
        <v>0</v>
      </c>
      <c r="AM92" s="343">
        <v>0</v>
      </c>
      <c r="AN92" s="343">
        <v>0</v>
      </c>
      <c r="AO92" s="343">
        <v>0</v>
      </c>
      <c r="AP92" s="343">
        <v>0</v>
      </c>
      <c r="AQ92" s="343">
        <v>0</v>
      </c>
      <c r="AR92" s="343">
        <v>0</v>
      </c>
      <c r="AS92" s="343">
        <v>0</v>
      </c>
      <c r="AT92" s="343">
        <v>0</v>
      </c>
      <c r="AU92" s="343">
        <v>0</v>
      </c>
      <c r="AV92" s="343">
        <v>0</v>
      </c>
      <c r="AW92" s="343">
        <v>129347.6369</v>
      </c>
      <c r="AX92" s="343">
        <v>40540.632819999999</v>
      </c>
      <c r="AY92" s="343">
        <v>12741071.9034879</v>
      </c>
      <c r="AZ92" s="343">
        <v>9106172.943</v>
      </c>
      <c r="BA92" s="343">
        <v>8432000</v>
      </c>
      <c r="BB92" s="343">
        <v>26250</v>
      </c>
      <c r="BC92" s="343">
        <v>0</v>
      </c>
      <c r="BD92" s="343">
        <v>0</v>
      </c>
      <c r="BE92" s="343">
        <v>0</v>
      </c>
      <c r="BF92" s="343">
        <v>0</v>
      </c>
      <c r="BG92" s="343">
        <v>0</v>
      </c>
      <c r="BH92" s="343">
        <v>26.332543896000001</v>
      </c>
      <c r="BI92" s="343">
        <v>0</v>
      </c>
      <c r="BJ92" s="343">
        <v>0</v>
      </c>
      <c r="BK92" s="343">
        <v>0</v>
      </c>
      <c r="BL92" s="343">
        <v>0</v>
      </c>
      <c r="BM92" s="343">
        <v>0</v>
      </c>
      <c r="BN92" s="343">
        <v>0</v>
      </c>
      <c r="BO92" s="343">
        <v>0</v>
      </c>
      <c r="BP92" s="343">
        <v>0</v>
      </c>
    </row>
    <row r="93" spans="1:68" s="343" customFormat="1" x14ac:dyDescent="0.2">
      <c r="A93"/>
      <c r="B93" s="144">
        <f ca="1"/>
        <v>1</v>
      </c>
      <c r="C93"/>
      <c r="D93" s="341" t="s">
        <v>5</v>
      </c>
      <c r="E93" s="342">
        <v>44067</v>
      </c>
      <c r="F93" s="343">
        <v>8866605.5690000001</v>
      </c>
      <c r="G93" s="343">
        <v>2213.429427</v>
      </c>
      <c r="H93" s="343">
        <v>26639.805850000001</v>
      </c>
      <c r="I93" s="343">
        <v>0</v>
      </c>
      <c r="J93" s="343">
        <v>-17.580489579999998</v>
      </c>
      <c r="K93" s="343">
        <v>26631.263910000001</v>
      </c>
      <c r="L93" s="343">
        <v>1746466.942</v>
      </c>
      <c r="M93" s="343">
        <v>18635.95651</v>
      </c>
      <c r="N93" s="343">
        <v>4760.6158690000002</v>
      </c>
      <c r="O93" s="343">
        <v>10587865.119999999</v>
      </c>
      <c r="P93" s="343">
        <v>31950.00506</v>
      </c>
      <c r="Q93" s="343">
        <v>2283.4221349999998</v>
      </c>
      <c r="R93" s="343">
        <v>68335.315849999999</v>
      </c>
      <c r="S93" s="343">
        <v>8467.5634379999992</v>
      </c>
      <c r="T93" s="343">
        <v>451.84013700000003</v>
      </c>
      <c r="U93" s="343">
        <v>311774.53879999998</v>
      </c>
      <c r="V93" s="343">
        <v>5611.941699</v>
      </c>
      <c r="W93" s="343">
        <v>1240</v>
      </c>
      <c r="X93" s="343">
        <v>20.362304649999999</v>
      </c>
      <c r="Y93" s="343">
        <v>7.1636384380000004</v>
      </c>
      <c r="Z93" s="343">
        <v>3.295872943</v>
      </c>
      <c r="AA93" s="343">
        <v>255883390</v>
      </c>
      <c r="AB93" s="343">
        <v>0</v>
      </c>
      <c r="AC93" s="343">
        <v>0</v>
      </c>
      <c r="AD93" s="343">
        <v>0</v>
      </c>
      <c r="AE93" s="343">
        <v>0</v>
      </c>
      <c r="AF93" s="343">
        <v>0</v>
      </c>
      <c r="AG93" s="343">
        <v>0</v>
      </c>
      <c r="AH93" s="343">
        <v>0</v>
      </c>
      <c r="AI93" s="343">
        <v>0</v>
      </c>
      <c r="AJ93" s="343">
        <v>0</v>
      </c>
      <c r="AK93" s="343">
        <v>122957</v>
      </c>
      <c r="AL93" s="343">
        <v>0</v>
      </c>
      <c r="AM93" s="343">
        <v>0</v>
      </c>
      <c r="AN93" s="343">
        <v>0</v>
      </c>
      <c r="AO93" s="343">
        <v>0</v>
      </c>
      <c r="AP93" s="343">
        <v>0</v>
      </c>
      <c r="AQ93" s="343">
        <v>0</v>
      </c>
      <c r="AR93" s="343">
        <v>0</v>
      </c>
      <c r="AS93" s="343">
        <v>0</v>
      </c>
      <c r="AT93" s="343">
        <v>0</v>
      </c>
      <c r="AU93" s="343">
        <v>0</v>
      </c>
      <c r="AV93" s="343">
        <v>0</v>
      </c>
      <c r="AW93" s="343">
        <v>135847.83119999999</v>
      </c>
      <c r="AX93" s="343">
        <v>40451.007550000002</v>
      </c>
      <c r="AY93" s="343">
        <v>14651195.062799999</v>
      </c>
      <c r="AZ93" s="343">
        <v>11550366.699999999</v>
      </c>
      <c r="BA93" s="343">
        <v>8486400</v>
      </c>
      <c r="BB93" s="343">
        <v>26250</v>
      </c>
      <c r="BC93" s="343">
        <v>0</v>
      </c>
      <c r="BD93" s="343">
        <v>0</v>
      </c>
      <c r="BE93" s="343">
        <v>0</v>
      </c>
      <c r="BF93" s="343">
        <v>276406.63829999999</v>
      </c>
      <c r="BG93" s="343">
        <v>0</v>
      </c>
      <c r="BH93" s="343">
        <v>30.821816030999901</v>
      </c>
      <c r="BI93" s="343">
        <v>1</v>
      </c>
      <c r="BJ93" s="343">
        <v>0</v>
      </c>
      <c r="BK93" s="343">
        <v>0</v>
      </c>
      <c r="BL93" s="343">
        <v>0</v>
      </c>
      <c r="BM93" s="343">
        <v>0</v>
      </c>
      <c r="BN93" s="343">
        <v>0</v>
      </c>
      <c r="BO93" s="343">
        <v>0</v>
      </c>
      <c r="BP93" s="343">
        <v>0</v>
      </c>
    </row>
    <row r="94" spans="1:68" s="343" customFormat="1" x14ac:dyDescent="0.2">
      <c r="A94"/>
      <c r="B94" s="144">
        <f ca="1"/>
        <v>1</v>
      </c>
      <c r="C94"/>
      <c r="D94" s="341" t="s">
        <v>5</v>
      </c>
      <c r="E94" s="342">
        <v>44074</v>
      </c>
      <c r="F94" s="343">
        <v>7204538.9910000004</v>
      </c>
      <c r="G94" s="343">
        <v>2164.3260439999999</v>
      </c>
      <c r="H94" s="343">
        <v>12188.917170000001</v>
      </c>
      <c r="I94" s="343">
        <v>0</v>
      </c>
      <c r="J94" s="343">
        <v>-17.93709196</v>
      </c>
      <c r="K94" s="343">
        <v>9787.6676860000007</v>
      </c>
      <c r="L94" s="343">
        <v>786266.57579999999</v>
      </c>
      <c r="M94" s="343">
        <v>8526.7937610000008</v>
      </c>
      <c r="N94" s="343">
        <v>4246.6807419999996</v>
      </c>
      <c r="O94" s="343">
        <v>9157538.7410000004</v>
      </c>
      <c r="P94" s="343">
        <v>28279.404839999999</v>
      </c>
      <c r="Q94" s="343">
        <v>3304.6865379999999</v>
      </c>
      <c r="R94" s="343">
        <v>82691.148979999998</v>
      </c>
      <c r="S94" s="343">
        <v>10665.091909999999</v>
      </c>
      <c r="T94" s="343">
        <v>493.23679679999998</v>
      </c>
      <c r="U94" s="343">
        <v>340258.52350000001</v>
      </c>
      <c r="V94" s="343">
        <v>6124.6534220000003</v>
      </c>
      <c r="W94" s="343">
        <v>1573</v>
      </c>
      <c r="X94" s="343">
        <v>18.359370290000001</v>
      </c>
      <c r="Y94" s="343">
        <v>6.2499441510000002</v>
      </c>
      <c r="Z94" s="343">
        <v>2.880600184</v>
      </c>
      <c r="AA94" s="343">
        <v>250963651.5</v>
      </c>
      <c r="AB94" s="343">
        <v>0</v>
      </c>
      <c r="AC94" s="343">
        <v>0</v>
      </c>
      <c r="AD94" s="343">
        <v>0</v>
      </c>
      <c r="AE94" s="343">
        <v>0</v>
      </c>
      <c r="AF94" s="343">
        <v>0</v>
      </c>
      <c r="AG94" s="343">
        <v>0</v>
      </c>
      <c r="AH94" s="343">
        <v>0</v>
      </c>
      <c r="AI94" s="343">
        <v>0</v>
      </c>
      <c r="AJ94" s="343">
        <v>49267.284449999999</v>
      </c>
      <c r="AK94" s="343">
        <v>230805</v>
      </c>
      <c r="AL94" s="343">
        <v>0</v>
      </c>
      <c r="AM94" s="343">
        <v>0</v>
      </c>
      <c r="AN94" s="343">
        <v>0</v>
      </c>
      <c r="AO94" s="343">
        <v>0</v>
      </c>
      <c r="AP94" s="343">
        <v>0</v>
      </c>
      <c r="AQ94" s="343">
        <v>0</v>
      </c>
      <c r="AR94" s="343">
        <v>0</v>
      </c>
      <c r="AS94" s="343">
        <v>0</v>
      </c>
      <c r="AT94" s="343">
        <v>0</v>
      </c>
      <c r="AU94" s="343">
        <v>0</v>
      </c>
      <c r="AV94" s="343">
        <v>0</v>
      </c>
      <c r="AW94" s="343">
        <v>58180.777009999998</v>
      </c>
      <c r="AX94" s="343">
        <v>40243.332690000003</v>
      </c>
      <c r="AY94" s="343">
        <v>16381950.295383999</v>
      </c>
      <c r="AZ94" s="343">
        <v>3541117.6949999998</v>
      </c>
      <c r="BA94" s="343">
        <v>1686400</v>
      </c>
      <c r="BB94" s="343">
        <v>0</v>
      </c>
      <c r="BC94" s="343">
        <v>0</v>
      </c>
      <c r="BD94" s="343">
        <v>0</v>
      </c>
      <c r="BE94" s="343">
        <v>0</v>
      </c>
      <c r="BF94" s="343">
        <v>0</v>
      </c>
      <c r="BG94" s="343">
        <v>0</v>
      </c>
      <c r="BH94" s="343">
        <v>27.489914625000001</v>
      </c>
      <c r="BI94" s="343">
        <v>0</v>
      </c>
      <c r="BJ94" s="343">
        <v>0</v>
      </c>
      <c r="BK94" s="343">
        <v>0</v>
      </c>
      <c r="BL94" s="343">
        <v>0</v>
      </c>
      <c r="BM94" s="343">
        <v>0</v>
      </c>
      <c r="BN94" s="343">
        <v>0</v>
      </c>
      <c r="BO94" s="343">
        <v>0</v>
      </c>
      <c r="BP94" s="343">
        <v>0</v>
      </c>
    </row>
    <row r="95" spans="1:68" s="343" customFormat="1" x14ac:dyDescent="0.2">
      <c r="A95"/>
      <c r="B95" s="144">
        <f ca="1"/>
        <v>1</v>
      </c>
      <c r="C95"/>
      <c r="D95" s="341" t="s">
        <v>5</v>
      </c>
      <c r="E95" s="342">
        <v>44081</v>
      </c>
      <c r="F95" s="343">
        <v>4865201.1169999996</v>
      </c>
      <c r="G95" s="343">
        <v>2180.6938380000001</v>
      </c>
      <c r="H95" s="343">
        <v>6295.2311719999998</v>
      </c>
      <c r="I95" s="343">
        <v>0</v>
      </c>
      <c r="J95" s="343">
        <v>-23.288090749999999</v>
      </c>
      <c r="K95" s="343">
        <v>6665.3026060000002</v>
      </c>
      <c r="L95" s="343">
        <v>352921.93780000001</v>
      </c>
      <c r="M95" s="343">
        <v>4403.8479479999996</v>
      </c>
      <c r="N95" s="343">
        <v>6224.0318289999996</v>
      </c>
      <c r="O95" s="343">
        <v>11432058.83</v>
      </c>
      <c r="P95" s="343">
        <v>34102.463080000001</v>
      </c>
      <c r="Q95" s="343">
        <v>3508.5871069999998</v>
      </c>
      <c r="R95" s="343">
        <v>86361.799599999998</v>
      </c>
      <c r="S95" s="343">
        <v>10899.98712</v>
      </c>
      <c r="T95" s="343">
        <v>214.91031860000001</v>
      </c>
      <c r="U95" s="343">
        <v>511789.5466</v>
      </c>
      <c r="V95" s="343">
        <v>9212.2118379999993</v>
      </c>
      <c r="W95" s="343">
        <v>7788</v>
      </c>
      <c r="X95" s="343">
        <v>15.59128651</v>
      </c>
      <c r="Y95" s="343">
        <v>5.4756771080000002</v>
      </c>
      <c r="Z95" s="343">
        <v>2.4634271970000001</v>
      </c>
      <c r="AA95" s="343">
        <v>255562058.90000001</v>
      </c>
      <c r="AB95" s="343">
        <v>0</v>
      </c>
      <c r="AC95" s="343">
        <v>0</v>
      </c>
      <c r="AD95" s="343">
        <v>50206.24884</v>
      </c>
      <c r="AE95" s="343">
        <v>0</v>
      </c>
      <c r="AF95" s="343">
        <v>0</v>
      </c>
      <c r="AG95" s="343">
        <v>0</v>
      </c>
      <c r="AH95" s="343">
        <v>0</v>
      </c>
      <c r="AI95" s="343">
        <v>0</v>
      </c>
      <c r="AJ95" s="343">
        <v>0</v>
      </c>
      <c r="AK95" s="343">
        <v>167945</v>
      </c>
      <c r="AL95" s="343">
        <v>0</v>
      </c>
      <c r="AM95" s="343">
        <v>0</v>
      </c>
      <c r="AN95" s="343">
        <v>0</v>
      </c>
      <c r="AO95" s="343">
        <v>0</v>
      </c>
      <c r="AP95" s="343">
        <v>0</v>
      </c>
      <c r="AQ95" s="343">
        <v>0</v>
      </c>
      <c r="AR95" s="343">
        <v>0</v>
      </c>
      <c r="AS95" s="343">
        <v>0</v>
      </c>
      <c r="AT95" s="343">
        <v>0</v>
      </c>
      <c r="AU95" s="343">
        <v>0</v>
      </c>
      <c r="AV95" s="343">
        <v>0</v>
      </c>
      <c r="AW95" s="343">
        <v>126576.3256</v>
      </c>
      <c r="AX95" s="343">
        <v>35125.495970000004</v>
      </c>
      <c r="AY95" s="343">
        <v>17201400.499943901</v>
      </c>
      <c r="AZ95" s="343">
        <v>8996187.3369999994</v>
      </c>
      <c r="BA95" s="343">
        <v>326400</v>
      </c>
      <c r="BB95" s="343">
        <v>0</v>
      </c>
      <c r="BC95" s="343">
        <v>0</v>
      </c>
      <c r="BD95" s="343">
        <v>0</v>
      </c>
      <c r="BE95" s="343">
        <v>0</v>
      </c>
      <c r="BF95" s="343">
        <v>49267.284449999999</v>
      </c>
      <c r="BG95" s="343">
        <v>0</v>
      </c>
      <c r="BH95" s="343">
        <v>23.530390815000001</v>
      </c>
      <c r="BI95" s="343">
        <v>0</v>
      </c>
      <c r="BJ95" s="343">
        <v>0</v>
      </c>
      <c r="BK95" s="343">
        <v>0</v>
      </c>
      <c r="BL95" s="343">
        <v>0</v>
      </c>
      <c r="BM95" s="343">
        <v>0</v>
      </c>
      <c r="BN95" s="343">
        <v>0</v>
      </c>
      <c r="BO95" s="343">
        <v>0</v>
      </c>
      <c r="BP95" s="343">
        <v>0</v>
      </c>
    </row>
    <row r="96" spans="1:68" s="343" customFormat="1" x14ac:dyDescent="0.2">
      <c r="A96"/>
      <c r="B96" s="144">
        <f ca="1"/>
        <v>1</v>
      </c>
      <c r="C96"/>
      <c r="D96" s="341" t="s">
        <v>5</v>
      </c>
      <c r="E96" s="342">
        <v>44088</v>
      </c>
      <c r="F96" s="343">
        <v>5956462.568</v>
      </c>
      <c r="G96" s="343">
        <v>2185.1005519999999</v>
      </c>
      <c r="H96" s="343">
        <v>7766.6524810000001</v>
      </c>
      <c r="I96" s="343">
        <v>0</v>
      </c>
      <c r="J96" s="343">
        <v>-19.96826875</v>
      </c>
      <c r="K96" s="343">
        <v>7075.7460840000003</v>
      </c>
      <c r="L96" s="343">
        <v>377519.04029999999</v>
      </c>
      <c r="M96" s="343">
        <v>5433.1851619999998</v>
      </c>
      <c r="N96" s="343">
        <v>4210.1283720000001</v>
      </c>
      <c r="O96" s="343">
        <v>8729593.7249999996</v>
      </c>
      <c r="P96" s="343">
        <v>26867.788629999999</v>
      </c>
      <c r="Q96" s="343">
        <v>5048.1905370000004</v>
      </c>
      <c r="R96" s="343">
        <v>103197.0284</v>
      </c>
      <c r="S96" s="343">
        <v>9390.1276350000007</v>
      </c>
      <c r="T96" s="343">
        <v>218.8738286</v>
      </c>
      <c r="U96" s="343">
        <v>469895.24609999999</v>
      </c>
      <c r="V96" s="343">
        <v>8458.1144299999996</v>
      </c>
      <c r="W96" s="343">
        <v>0</v>
      </c>
      <c r="X96" s="343">
        <v>14.339717390000001</v>
      </c>
      <c r="Y96" s="343">
        <v>6.1543931130000002</v>
      </c>
      <c r="Z96" s="343">
        <v>3.2836874069999999</v>
      </c>
      <c r="AA96" s="343">
        <v>259468710.30000001</v>
      </c>
      <c r="AB96" s="343">
        <v>0</v>
      </c>
      <c r="AC96" s="343">
        <v>0</v>
      </c>
      <c r="AD96" s="343">
        <v>50206.24884</v>
      </c>
      <c r="AE96" s="343">
        <v>0</v>
      </c>
      <c r="AF96" s="343">
        <v>0</v>
      </c>
      <c r="AG96" s="343">
        <v>0</v>
      </c>
      <c r="AH96" s="343">
        <v>0</v>
      </c>
      <c r="AI96" s="343">
        <v>0</v>
      </c>
      <c r="AJ96" s="343">
        <v>0</v>
      </c>
      <c r="AK96" s="343">
        <v>402661</v>
      </c>
      <c r="AL96" s="343">
        <v>0</v>
      </c>
      <c r="AM96" s="343">
        <v>0</v>
      </c>
      <c r="AN96" s="343">
        <v>0</v>
      </c>
      <c r="AO96" s="343">
        <v>0</v>
      </c>
      <c r="AP96" s="343">
        <v>0</v>
      </c>
      <c r="AQ96" s="343">
        <v>0</v>
      </c>
      <c r="AR96" s="343">
        <v>0</v>
      </c>
      <c r="AS96" s="343">
        <v>0</v>
      </c>
      <c r="AT96" s="343">
        <v>0</v>
      </c>
      <c r="AU96" s="343">
        <v>0</v>
      </c>
      <c r="AV96" s="343">
        <v>0</v>
      </c>
      <c r="AW96" s="343">
        <v>73193.8177</v>
      </c>
      <c r="AX96" s="343">
        <v>33363.241179999997</v>
      </c>
      <c r="AY96" s="343">
        <v>14616083.98532</v>
      </c>
      <c r="AZ96" s="343">
        <v>3827204.7960000001</v>
      </c>
      <c r="BA96" s="343">
        <v>54400</v>
      </c>
      <c r="BB96" s="343">
        <v>0</v>
      </c>
      <c r="BC96" s="343">
        <v>0</v>
      </c>
      <c r="BD96" s="343">
        <v>0</v>
      </c>
      <c r="BE96" s="343">
        <v>0</v>
      </c>
      <c r="BF96" s="343">
        <v>0</v>
      </c>
      <c r="BG96" s="343">
        <v>0</v>
      </c>
      <c r="BH96" s="343">
        <v>23.77779791</v>
      </c>
      <c r="BI96" s="343">
        <v>0</v>
      </c>
      <c r="BJ96" s="343">
        <v>0</v>
      </c>
      <c r="BK96" s="343">
        <v>0</v>
      </c>
      <c r="BL96" s="343">
        <v>0</v>
      </c>
      <c r="BM96" s="343">
        <v>0</v>
      </c>
      <c r="BN96" s="343">
        <v>0</v>
      </c>
      <c r="BO96" s="343">
        <v>0</v>
      </c>
      <c r="BP96" s="343">
        <v>0</v>
      </c>
    </row>
    <row r="97" spans="1:68" s="343" customFormat="1" x14ac:dyDescent="0.2">
      <c r="A97"/>
      <c r="B97" s="144">
        <f ca="1"/>
        <v>1</v>
      </c>
      <c r="C97"/>
      <c r="D97" s="341" t="s">
        <v>5</v>
      </c>
      <c r="E97" s="342">
        <v>44095</v>
      </c>
      <c r="F97" s="343">
        <v>6710774.4939999999</v>
      </c>
      <c r="G97" s="343">
        <v>1993.0937329999999</v>
      </c>
      <c r="H97" s="343">
        <v>9289.42893</v>
      </c>
      <c r="I97" s="343">
        <v>0</v>
      </c>
      <c r="J97" s="343">
        <v>-19.118053979999999</v>
      </c>
      <c r="K97" s="343">
        <v>8255.1104959999993</v>
      </c>
      <c r="L97" s="343">
        <v>623034.70220000006</v>
      </c>
      <c r="M97" s="343">
        <v>6498.448018</v>
      </c>
      <c r="N97" s="343">
        <v>4986.9763270000003</v>
      </c>
      <c r="O97" s="343">
        <v>12160226.960000001</v>
      </c>
      <c r="P97" s="343">
        <v>52566.582670000003</v>
      </c>
      <c r="Q97" s="343">
        <v>6602.7672270000003</v>
      </c>
      <c r="R97" s="343">
        <v>133296.36350000001</v>
      </c>
      <c r="S97" s="343">
        <v>13260.64926</v>
      </c>
      <c r="T97" s="343">
        <v>429.82063720000002</v>
      </c>
      <c r="U97" s="343">
        <v>999179.28529999999</v>
      </c>
      <c r="V97" s="343">
        <v>17985.227139999999</v>
      </c>
      <c r="W97" s="343">
        <v>1992</v>
      </c>
      <c r="X97" s="343">
        <v>15.47296764</v>
      </c>
      <c r="Y97" s="343">
        <v>7.5702224400000002</v>
      </c>
      <c r="Z97" s="343">
        <v>3.1042163899999999</v>
      </c>
      <c r="AA97" s="343">
        <v>266869915.80000001</v>
      </c>
      <c r="AB97" s="343">
        <v>0</v>
      </c>
      <c r="AC97" s="343">
        <v>0</v>
      </c>
      <c r="AD97" s="343">
        <v>0</v>
      </c>
      <c r="AE97" s="343">
        <v>0</v>
      </c>
      <c r="AF97" s="343">
        <v>0</v>
      </c>
      <c r="AG97" s="343">
        <v>0</v>
      </c>
      <c r="AH97" s="343">
        <v>0</v>
      </c>
      <c r="AI97" s="343">
        <v>0</v>
      </c>
      <c r="AJ97" s="343">
        <v>0</v>
      </c>
      <c r="AK97" s="343">
        <v>418922</v>
      </c>
      <c r="AL97" s="343">
        <v>0</v>
      </c>
      <c r="AM97" s="343">
        <v>0</v>
      </c>
      <c r="AN97" s="343">
        <v>0</v>
      </c>
      <c r="AO97" s="343">
        <v>0</v>
      </c>
      <c r="AP97" s="343">
        <v>0</v>
      </c>
      <c r="AQ97" s="343">
        <v>0</v>
      </c>
      <c r="AR97" s="343">
        <v>0</v>
      </c>
      <c r="AS97" s="343">
        <v>0</v>
      </c>
      <c r="AT97" s="343">
        <v>0</v>
      </c>
      <c r="AU97" s="343">
        <v>0</v>
      </c>
      <c r="AV97" s="343">
        <v>0</v>
      </c>
      <c r="AW97" s="343">
        <v>32995.739930000003</v>
      </c>
      <c r="AX97" s="343">
        <v>51769.62442</v>
      </c>
      <c r="AY97" s="343">
        <v>15272877.59904</v>
      </c>
      <c r="AZ97" s="343">
        <v>1630085.129</v>
      </c>
      <c r="BA97" s="343">
        <v>0</v>
      </c>
      <c r="BB97" s="343">
        <v>0</v>
      </c>
      <c r="BC97" s="343">
        <v>0</v>
      </c>
      <c r="BD97" s="343">
        <v>0</v>
      </c>
      <c r="BE97" s="343">
        <v>0</v>
      </c>
      <c r="BF97" s="343">
        <v>0</v>
      </c>
      <c r="BG97" s="343">
        <v>0</v>
      </c>
      <c r="BH97" s="343">
        <v>26.14740647</v>
      </c>
      <c r="BI97" s="343">
        <v>0</v>
      </c>
      <c r="BJ97" s="343">
        <v>0</v>
      </c>
      <c r="BK97" s="343">
        <v>0</v>
      </c>
      <c r="BL97" s="343">
        <v>0</v>
      </c>
      <c r="BM97" s="343">
        <v>0</v>
      </c>
      <c r="BN97" s="343">
        <v>0</v>
      </c>
      <c r="BO97" s="343">
        <v>0</v>
      </c>
      <c r="BP97" s="343">
        <v>0</v>
      </c>
    </row>
    <row r="98" spans="1:68" s="343" customFormat="1" x14ac:dyDescent="0.2">
      <c r="A98"/>
      <c r="B98" s="144">
        <f ca="1"/>
        <v>1</v>
      </c>
      <c r="C98"/>
      <c r="D98" s="341" t="s">
        <v>5</v>
      </c>
      <c r="E98" s="342">
        <v>44102</v>
      </c>
      <c r="F98" s="343">
        <v>7833490.9129999997</v>
      </c>
      <c r="G98" s="343">
        <v>2197.0616329999998</v>
      </c>
      <c r="H98" s="343">
        <v>7605.0004049999998</v>
      </c>
      <c r="I98" s="343">
        <v>0</v>
      </c>
      <c r="J98" s="343">
        <v>-18.814761239999999</v>
      </c>
      <c r="K98" s="343">
        <v>7668.9514099999997</v>
      </c>
      <c r="L98" s="343">
        <v>475299.71220000001</v>
      </c>
      <c r="M98" s="343">
        <v>5320.1009640000002</v>
      </c>
      <c r="N98" s="343">
        <v>6597.4825469999996</v>
      </c>
      <c r="O98" s="343">
        <v>10720461.26</v>
      </c>
      <c r="P98" s="343">
        <v>63893.020920000003</v>
      </c>
      <c r="Q98" s="343">
        <v>5603.5223230000001</v>
      </c>
      <c r="R98" s="343">
        <v>116289.823</v>
      </c>
      <c r="S98" s="343">
        <v>10203.41346</v>
      </c>
      <c r="T98" s="343">
        <v>160.30195889999999</v>
      </c>
      <c r="U98" s="343">
        <v>328798.69500000001</v>
      </c>
      <c r="V98" s="343">
        <v>5918.3765089999997</v>
      </c>
      <c r="W98" s="343">
        <v>0</v>
      </c>
      <c r="X98" s="343">
        <v>12.14368668</v>
      </c>
      <c r="Y98" s="343">
        <v>6.5861737370000002</v>
      </c>
      <c r="Z98" s="343">
        <v>3.055951184</v>
      </c>
      <c r="AA98" s="343">
        <v>265571974.5</v>
      </c>
      <c r="AB98" s="343">
        <v>0</v>
      </c>
      <c r="AC98" s="343">
        <v>0</v>
      </c>
      <c r="AD98" s="343">
        <v>0</v>
      </c>
      <c r="AE98" s="343">
        <v>0</v>
      </c>
      <c r="AF98" s="343">
        <v>0</v>
      </c>
      <c r="AG98" s="343">
        <v>0</v>
      </c>
      <c r="AH98" s="343">
        <v>0</v>
      </c>
      <c r="AI98" s="343">
        <v>0</v>
      </c>
      <c r="AJ98" s="343">
        <v>0</v>
      </c>
      <c r="AK98" s="343">
        <v>216841</v>
      </c>
      <c r="AL98" s="343">
        <v>0</v>
      </c>
      <c r="AM98" s="343">
        <v>0</v>
      </c>
      <c r="AN98" s="343">
        <v>0</v>
      </c>
      <c r="AO98" s="343">
        <v>0</v>
      </c>
      <c r="AP98" s="343">
        <v>0</v>
      </c>
      <c r="AQ98" s="343">
        <v>0</v>
      </c>
      <c r="AR98" s="343">
        <v>0</v>
      </c>
      <c r="AS98" s="343">
        <v>0</v>
      </c>
      <c r="AT98" s="343">
        <v>0</v>
      </c>
      <c r="AU98" s="343">
        <v>0</v>
      </c>
      <c r="AV98" s="343">
        <v>0</v>
      </c>
      <c r="AW98" s="343">
        <v>36727.691500000001</v>
      </c>
      <c r="AX98" s="343">
        <v>30047.12081</v>
      </c>
      <c r="AY98" s="343">
        <v>11943546.533887999</v>
      </c>
      <c r="AZ98" s="343">
        <v>2621811.98</v>
      </c>
      <c r="BA98" s="343">
        <v>0</v>
      </c>
      <c r="BB98" s="343">
        <v>0</v>
      </c>
      <c r="BC98" s="343">
        <v>0</v>
      </c>
      <c r="BD98" s="343">
        <v>0</v>
      </c>
      <c r="BE98" s="343">
        <v>0</v>
      </c>
      <c r="BF98" s="343">
        <v>0</v>
      </c>
      <c r="BG98" s="343">
        <v>0</v>
      </c>
      <c r="BH98" s="343">
        <v>21.785811600999999</v>
      </c>
      <c r="BI98" s="343">
        <v>0</v>
      </c>
      <c r="BJ98" s="343">
        <v>0</v>
      </c>
      <c r="BK98" s="343">
        <v>0</v>
      </c>
      <c r="BL98" s="343">
        <v>0</v>
      </c>
      <c r="BM98" s="343">
        <v>0</v>
      </c>
      <c r="BN98" s="343">
        <v>0</v>
      </c>
      <c r="BO98" s="343">
        <v>0</v>
      </c>
      <c r="BP98" s="343">
        <v>0</v>
      </c>
    </row>
    <row r="99" spans="1:68" s="343" customFormat="1" x14ac:dyDescent="0.2">
      <c r="A99"/>
      <c r="B99" s="144">
        <f ca="1"/>
        <v>1</v>
      </c>
      <c r="C99"/>
      <c r="D99" s="341" t="s">
        <v>5</v>
      </c>
      <c r="E99" s="342">
        <v>44109</v>
      </c>
      <c r="F99" s="343">
        <v>6215606.9249999998</v>
      </c>
      <c r="G99" s="343">
        <v>3023.0057190000002</v>
      </c>
      <c r="H99" s="343">
        <v>9861.3656979999996</v>
      </c>
      <c r="I99" s="343">
        <v>0</v>
      </c>
      <c r="J99" s="343">
        <v>-19.103420589999999</v>
      </c>
      <c r="K99" s="343">
        <v>9283.421139</v>
      </c>
      <c r="L99" s="343">
        <v>510299.7072</v>
      </c>
      <c r="M99" s="343">
        <v>6898.5481090000003</v>
      </c>
      <c r="N99" s="343">
        <v>13478.13586</v>
      </c>
      <c r="O99" s="343">
        <v>12600225.01</v>
      </c>
      <c r="P99" s="343">
        <v>52769.270320000003</v>
      </c>
      <c r="Q99" s="343">
        <v>6392.260808</v>
      </c>
      <c r="R99" s="343">
        <v>127206.21030000001</v>
      </c>
      <c r="S99" s="343">
        <v>12389.41252</v>
      </c>
      <c r="T99" s="343">
        <v>92.041509399999995</v>
      </c>
      <c r="U99" s="343">
        <v>233434.88339999999</v>
      </c>
      <c r="V99" s="343">
        <v>4201.827902</v>
      </c>
      <c r="W99" s="343">
        <v>0</v>
      </c>
      <c r="X99" s="343">
        <v>10.9829059</v>
      </c>
      <c r="Y99" s="343">
        <v>6.6440876370000002</v>
      </c>
      <c r="Z99" s="343">
        <v>3.6024673740000002</v>
      </c>
      <c r="AA99" s="343">
        <v>272241863.89999998</v>
      </c>
      <c r="AB99" s="343">
        <v>0</v>
      </c>
      <c r="AC99" s="343">
        <v>0</v>
      </c>
      <c r="AD99" s="343">
        <v>95915.803910000002</v>
      </c>
      <c r="AE99" s="343">
        <v>0</v>
      </c>
      <c r="AF99" s="343">
        <v>0</v>
      </c>
      <c r="AG99" s="343">
        <v>0</v>
      </c>
      <c r="AH99" s="343">
        <v>0</v>
      </c>
      <c r="AI99" s="343">
        <v>0</v>
      </c>
      <c r="AJ99" s="343">
        <v>104609.6249</v>
      </c>
      <c r="AK99" s="343">
        <v>436983</v>
      </c>
      <c r="AL99" s="343">
        <v>0</v>
      </c>
      <c r="AM99" s="343">
        <v>0</v>
      </c>
      <c r="AN99" s="343">
        <v>0</v>
      </c>
      <c r="AO99" s="343">
        <v>0</v>
      </c>
      <c r="AP99" s="343">
        <v>0</v>
      </c>
      <c r="AQ99" s="343">
        <v>0</v>
      </c>
      <c r="AR99" s="343">
        <v>0</v>
      </c>
      <c r="AS99" s="343">
        <v>0</v>
      </c>
      <c r="AT99" s="343">
        <v>0</v>
      </c>
      <c r="AU99" s="343">
        <v>0</v>
      </c>
      <c r="AV99" s="343">
        <v>0</v>
      </c>
      <c r="AW99" s="343">
        <v>44887.249040000002</v>
      </c>
      <c r="AX99" s="343">
        <v>23067.863539999998</v>
      </c>
      <c r="AY99" s="343">
        <v>8866170.4522799999</v>
      </c>
      <c r="AZ99" s="343">
        <v>3749939.057</v>
      </c>
      <c r="BA99" s="343">
        <v>0</v>
      </c>
      <c r="BB99" s="343">
        <v>0</v>
      </c>
      <c r="BC99" s="343">
        <v>0</v>
      </c>
      <c r="BD99" s="343">
        <v>0</v>
      </c>
      <c r="BE99" s="343">
        <v>0</v>
      </c>
      <c r="BF99" s="343">
        <v>0</v>
      </c>
      <c r="BG99" s="343">
        <v>0</v>
      </c>
      <c r="BH99" s="343">
        <v>21.229460911</v>
      </c>
      <c r="BI99" s="343">
        <v>0</v>
      </c>
      <c r="BJ99" s="343">
        <v>0</v>
      </c>
      <c r="BK99" s="343">
        <v>0</v>
      </c>
      <c r="BL99" s="343">
        <v>0</v>
      </c>
      <c r="BM99" s="343">
        <v>0</v>
      </c>
      <c r="BN99" s="343">
        <v>0</v>
      </c>
      <c r="BO99" s="343">
        <v>0</v>
      </c>
      <c r="BP99" s="343">
        <v>0</v>
      </c>
    </row>
    <row r="100" spans="1:68" s="343" customFormat="1" x14ac:dyDescent="0.2">
      <c r="A100"/>
      <c r="B100" s="144">
        <f ca="1"/>
        <v>1</v>
      </c>
      <c r="C100"/>
      <c r="D100" s="341" t="s">
        <v>5</v>
      </c>
      <c r="E100" s="342">
        <v>44116</v>
      </c>
      <c r="F100" s="343">
        <v>6647592.642</v>
      </c>
      <c r="G100" s="343">
        <v>2528.8242340000002</v>
      </c>
      <c r="H100" s="343">
        <v>14136.511039999999</v>
      </c>
      <c r="I100" s="343">
        <v>0</v>
      </c>
      <c r="J100" s="343">
        <v>-19.768911379999999</v>
      </c>
      <c r="K100" s="343">
        <v>11543.94299</v>
      </c>
      <c r="L100" s="343">
        <v>700235.06869999995</v>
      </c>
      <c r="M100" s="343">
        <v>9889.2389220000005</v>
      </c>
      <c r="N100" s="343">
        <v>17378.22968</v>
      </c>
      <c r="O100" s="343">
        <v>12816757.279999999</v>
      </c>
      <c r="P100" s="343">
        <v>54164.726920000001</v>
      </c>
      <c r="Q100" s="343">
        <v>6726.957206</v>
      </c>
      <c r="R100" s="343">
        <v>140654.84</v>
      </c>
      <c r="S100" s="343">
        <v>14482.86362</v>
      </c>
      <c r="T100" s="343">
        <v>54.608359640000003</v>
      </c>
      <c r="U100" s="343">
        <v>176601.23310000001</v>
      </c>
      <c r="V100" s="343">
        <v>3178.8221960000001</v>
      </c>
      <c r="W100" s="343">
        <v>0</v>
      </c>
      <c r="X100" s="343">
        <v>10.6922078</v>
      </c>
      <c r="Y100" s="343">
        <v>7.3563577560000004</v>
      </c>
      <c r="Z100" s="343">
        <v>4.6517025500000004</v>
      </c>
      <c r="AA100" s="343">
        <v>260710856.19999999</v>
      </c>
      <c r="AB100" s="343">
        <v>0</v>
      </c>
      <c r="AC100" s="343">
        <v>0</v>
      </c>
      <c r="AD100" s="343">
        <v>95915.803910000002</v>
      </c>
      <c r="AE100" s="343">
        <v>0</v>
      </c>
      <c r="AF100" s="343">
        <v>0</v>
      </c>
      <c r="AG100" s="343">
        <v>0</v>
      </c>
      <c r="AH100" s="343">
        <v>0</v>
      </c>
      <c r="AI100" s="343">
        <v>0</v>
      </c>
      <c r="AJ100" s="343">
        <v>0</v>
      </c>
      <c r="AK100" s="343">
        <v>288940</v>
      </c>
      <c r="AL100" s="343">
        <v>0</v>
      </c>
      <c r="AM100" s="343">
        <v>0</v>
      </c>
      <c r="AN100" s="343">
        <v>0</v>
      </c>
      <c r="AO100" s="343">
        <v>0</v>
      </c>
      <c r="AP100" s="343">
        <v>0</v>
      </c>
      <c r="AQ100" s="343">
        <v>0</v>
      </c>
      <c r="AR100" s="343">
        <v>0</v>
      </c>
      <c r="AS100" s="343">
        <v>0</v>
      </c>
      <c r="AT100" s="343">
        <v>0</v>
      </c>
      <c r="AU100" s="343">
        <v>0</v>
      </c>
      <c r="AV100" s="343">
        <v>0</v>
      </c>
      <c r="AW100" s="343">
        <v>44265.514450000002</v>
      </c>
      <c r="AX100" s="343">
        <v>15923.85938</v>
      </c>
      <c r="AY100" s="343">
        <v>6658135.9368960001</v>
      </c>
      <c r="AZ100" s="343">
        <v>3407058.8369999998</v>
      </c>
      <c r="BA100" s="343">
        <v>0</v>
      </c>
      <c r="BB100" s="343">
        <v>0</v>
      </c>
      <c r="BC100" s="343">
        <v>0</v>
      </c>
      <c r="BD100" s="343">
        <v>0</v>
      </c>
      <c r="BE100" s="343">
        <v>0</v>
      </c>
      <c r="BF100" s="343">
        <v>104609.6249</v>
      </c>
      <c r="BG100" s="343">
        <v>0</v>
      </c>
      <c r="BH100" s="343">
        <v>22.700268105999999</v>
      </c>
      <c r="BI100" s="343">
        <v>0</v>
      </c>
      <c r="BJ100" s="343">
        <v>0</v>
      </c>
      <c r="BK100" s="343">
        <v>0</v>
      </c>
      <c r="BL100" s="343">
        <v>0</v>
      </c>
      <c r="BM100" s="343">
        <v>0</v>
      </c>
      <c r="BN100" s="343">
        <v>0</v>
      </c>
      <c r="BO100" s="343">
        <v>0</v>
      </c>
      <c r="BP100" s="343">
        <v>0</v>
      </c>
    </row>
    <row r="101" spans="1:68" s="343" customFormat="1" x14ac:dyDescent="0.2">
      <c r="A101"/>
      <c r="B101" s="144">
        <f ca="1"/>
        <v>1</v>
      </c>
      <c r="C101"/>
      <c r="D101" s="341" t="s">
        <v>5</v>
      </c>
      <c r="E101" s="342">
        <v>44123</v>
      </c>
      <c r="F101" s="343">
        <v>6008982.1279999996</v>
      </c>
      <c r="G101" s="343">
        <v>2564.707476</v>
      </c>
      <c r="H101" s="343">
        <v>12750.319670000001</v>
      </c>
      <c r="I101" s="343">
        <v>0</v>
      </c>
      <c r="J101" s="343">
        <v>-18.50089067</v>
      </c>
      <c r="K101" s="343">
        <v>9541.9300669999993</v>
      </c>
      <c r="L101" s="343">
        <v>641810.28929999995</v>
      </c>
      <c r="M101" s="343">
        <v>8919.5245680000007</v>
      </c>
      <c r="N101" s="343">
        <v>15518.903109999999</v>
      </c>
      <c r="O101" s="343">
        <v>10838053.32</v>
      </c>
      <c r="P101" s="343">
        <v>41750.5484</v>
      </c>
      <c r="Q101" s="343">
        <v>7490.1530709999997</v>
      </c>
      <c r="R101" s="343">
        <v>160397.96400000001</v>
      </c>
      <c r="S101" s="343">
        <v>17020.258669999999</v>
      </c>
      <c r="T101" s="343">
        <v>77.949029490000001</v>
      </c>
      <c r="U101" s="343">
        <v>147900.5766</v>
      </c>
      <c r="V101" s="343">
        <v>2662.2103790000001</v>
      </c>
      <c r="W101" s="343">
        <v>8</v>
      </c>
      <c r="X101" s="343">
        <v>10.44784542</v>
      </c>
      <c r="Y101" s="343">
        <v>6.4192830570000003</v>
      </c>
      <c r="Z101" s="343">
        <v>3.5427268139999999</v>
      </c>
      <c r="AA101" s="343">
        <v>251774233.40000001</v>
      </c>
      <c r="AB101" s="343">
        <v>0</v>
      </c>
      <c r="AC101" s="343">
        <v>0</v>
      </c>
      <c r="AD101" s="343">
        <v>0</v>
      </c>
      <c r="AE101" s="343">
        <v>0</v>
      </c>
      <c r="AF101" s="343">
        <v>0</v>
      </c>
      <c r="AG101" s="343">
        <v>0</v>
      </c>
      <c r="AH101" s="343">
        <v>0</v>
      </c>
      <c r="AI101" s="343">
        <v>0</v>
      </c>
      <c r="AJ101" s="343">
        <v>0</v>
      </c>
      <c r="AK101" s="343">
        <v>239376</v>
      </c>
      <c r="AL101" s="343">
        <v>0</v>
      </c>
      <c r="AM101" s="343">
        <v>0</v>
      </c>
      <c r="AN101" s="343">
        <v>0</v>
      </c>
      <c r="AO101" s="343">
        <v>0</v>
      </c>
      <c r="AP101" s="343">
        <v>0</v>
      </c>
      <c r="AQ101" s="343">
        <v>0</v>
      </c>
      <c r="AR101" s="343">
        <v>0</v>
      </c>
      <c r="AS101" s="343">
        <v>0</v>
      </c>
      <c r="AT101" s="343">
        <v>0</v>
      </c>
      <c r="AU101" s="343">
        <v>0</v>
      </c>
      <c r="AV101" s="343">
        <v>0</v>
      </c>
      <c r="AW101" s="343">
        <v>43479.728410000003</v>
      </c>
      <c r="AX101" s="343">
        <v>31535.250970000001</v>
      </c>
      <c r="AY101" s="343">
        <v>9245734.9425919894</v>
      </c>
      <c r="AZ101" s="343">
        <v>3277065.8259999999</v>
      </c>
      <c r="BA101" s="343">
        <v>0</v>
      </c>
      <c r="BB101" s="343">
        <v>0</v>
      </c>
      <c r="BC101" s="343">
        <v>0</v>
      </c>
      <c r="BD101" s="343">
        <v>0</v>
      </c>
      <c r="BE101" s="343">
        <v>0</v>
      </c>
      <c r="BF101" s="343">
        <v>0</v>
      </c>
      <c r="BG101" s="343">
        <v>0</v>
      </c>
      <c r="BH101" s="343">
        <v>20.409855291</v>
      </c>
      <c r="BI101" s="343">
        <v>0</v>
      </c>
      <c r="BJ101" s="343">
        <v>0</v>
      </c>
      <c r="BK101" s="343">
        <v>0</v>
      </c>
      <c r="BL101" s="343">
        <v>0</v>
      </c>
      <c r="BM101" s="343">
        <v>0</v>
      </c>
      <c r="BN101" s="343">
        <v>0</v>
      </c>
      <c r="BO101" s="343">
        <v>0</v>
      </c>
      <c r="BP101" s="343">
        <v>0</v>
      </c>
    </row>
    <row r="102" spans="1:68" s="343" customFormat="1" x14ac:dyDescent="0.2">
      <c r="A102"/>
      <c r="B102" s="144">
        <f ca="1"/>
        <v>1</v>
      </c>
      <c r="C102"/>
      <c r="D102" s="341" t="s">
        <v>5</v>
      </c>
      <c r="E102" s="342">
        <v>44130</v>
      </c>
      <c r="F102" s="343">
        <v>8869583.0580000002</v>
      </c>
      <c r="G102" s="343">
        <v>2326.1153960000001</v>
      </c>
      <c r="H102" s="343">
        <v>18898.156910000002</v>
      </c>
      <c r="I102" s="343">
        <v>0</v>
      </c>
      <c r="J102" s="343">
        <v>-18.799097249999999</v>
      </c>
      <c r="K102" s="343">
        <v>12269.70571</v>
      </c>
      <c r="L102" s="343">
        <v>983496.99750000006</v>
      </c>
      <c r="M102" s="343">
        <v>13220.262650000001</v>
      </c>
      <c r="N102" s="343">
        <v>10497.576359999999</v>
      </c>
      <c r="O102" s="343">
        <v>8089536.1880000001</v>
      </c>
      <c r="P102" s="343">
        <v>49243.055670000002</v>
      </c>
      <c r="Q102" s="343">
        <v>5559.9237130000001</v>
      </c>
      <c r="R102" s="343">
        <v>124354.685</v>
      </c>
      <c r="S102" s="343">
        <v>12364.10771</v>
      </c>
      <c r="T102" s="343">
        <v>66.939279560000003</v>
      </c>
      <c r="U102" s="343">
        <v>157453.51639999999</v>
      </c>
      <c r="V102" s="343">
        <v>2834.1632960000002</v>
      </c>
      <c r="W102" s="343">
        <v>0</v>
      </c>
      <c r="X102" s="343">
        <v>9.070032565</v>
      </c>
      <c r="Y102" s="343">
        <v>6.9854260190000002</v>
      </c>
      <c r="Z102" s="343">
        <v>1.8850061119999999</v>
      </c>
      <c r="AA102" s="343">
        <v>270547319.80000001</v>
      </c>
      <c r="AB102" s="343">
        <v>0</v>
      </c>
      <c r="AC102" s="343">
        <v>0</v>
      </c>
      <c r="AD102" s="343">
        <v>0</v>
      </c>
      <c r="AE102" s="343">
        <v>0</v>
      </c>
      <c r="AF102" s="343">
        <v>0</v>
      </c>
      <c r="AG102" s="343">
        <v>0</v>
      </c>
      <c r="AH102" s="343">
        <v>0</v>
      </c>
      <c r="AI102" s="343">
        <v>0</v>
      </c>
      <c r="AJ102" s="343">
        <v>84593.899860000005</v>
      </c>
      <c r="AK102" s="343">
        <v>515156</v>
      </c>
      <c r="AL102" s="343">
        <v>1142766.246</v>
      </c>
      <c r="AM102" s="343">
        <v>7500.6718979999996</v>
      </c>
      <c r="AN102" s="343">
        <v>963884.7169</v>
      </c>
      <c r="AO102" s="343">
        <v>5782.0585490000003</v>
      </c>
      <c r="AP102" s="343">
        <v>0</v>
      </c>
      <c r="AQ102" s="343">
        <v>0</v>
      </c>
      <c r="AR102" s="343">
        <v>0</v>
      </c>
      <c r="AS102" s="343">
        <v>0</v>
      </c>
      <c r="AT102" s="343">
        <v>0</v>
      </c>
      <c r="AU102" s="343">
        <v>0</v>
      </c>
      <c r="AV102" s="343">
        <v>0</v>
      </c>
      <c r="AW102" s="343">
        <v>44183.468540000002</v>
      </c>
      <c r="AX102" s="343">
        <v>45187.167370000003</v>
      </c>
      <c r="AY102" s="343">
        <v>13852996.4142319</v>
      </c>
      <c r="AZ102" s="343">
        <v>3236990.4730000002</v>
      </c>
      <c r="BA102" s="343">
        <v>0</v>
      </c>
      <c r="BB102" s="343">
        <v>0</v>
      </c>
      <c r="BC102" s="343">
        <v>0</v>
      </c>
      <c r="BD102" s="343">
        <v>0</v>
      </c>
      <c r="BE102" s="343">
        <v>0</v>
      </c>
      <c r="BF102" s="343">
        <v>0</v>
      </c>
      <c r="BG102" s="343">
        <v>0</v>
      </c>
      <c r="BH102" s="343">
        <v>17.940464695999999</v>
      </c>
      <c r="BI102" s="343">
        <v>0</v>
      </c>
      <c r="BJ102" s="343">
        <v>0</v>
      </c>
      <c r="BK102" s="343">
        <v>0</v>
      </c>
      <c r="BL102" s="343">
        <v>0</v>
      </c>
      <c r="BM102" s="343">
        <v>0</v>
      </c>
      <c r="BN102" s="343">
        <v>0</v>
      </c>
      <c r="BO102" s="343">
        <v>0</v>
      </c>
      <c r="BP102" s="343">
        <v>0</v>
      </c>
    </row>
    <row r="103" spans="1:68" s="343" customFormat="1" x14ac:dyDescent="0.2">
      <c r="A103"/>
      <c r="B103" s="144">
        <f ca="1"/>
        <v>1</v>
      </c>
      <c r="C103"/>
      <c r="D103" s="341" t="s">
        <v>5</v>
      </c>
      <c r="E103" s="342">
        <v>44137</v>
      </c>
      <c r="F103" s="343">
        <v>6830886.6129999999</v>
      </c>
      <c r="G103" s="343">
        <v>2791.338475</v>
      </c>
      <c r="H103" s="343">
        <v>21112.129290000001</v>
      </c>
      <c r="I103" s="343">
        <v>0</v>
      </c>
      <c r="J103" s="343">
        <v>-18.38469478</v>
      </c>
      <c r="K103" s="343">
        <v>15942.117899999999</v>
      </c>
      <c r="L103" s="343">
        <v>1366843.2779999999</v>
      </c>
      <c r="M103" s="343">
        <v>14769.05371</v>
      </c>
      <c r="N103" s="343">
        <v>4344.0069309999999</v>
      </c>
      <c r="O103" s="343">
        <v>4945666.4239999996</v>
      </c>
      <c r="P103" s="343">
        <v>27439.423040000001</v>
      </c>
      <c r="Q103" s="343">
        <v>6581.1881169999997</v>
      </c>
      <c r="R103" s="343">
        <v>149199.2867</v>
      </c>
      <c r="S103" s="343">
        <v>15727.64356</v>
      </c>
      <c r="T103" s="343">
        <v>15.8540399</v>
      </c>
      <c r="U103" s="343">
        <v>43120.34618</v>
      </c>
      <c r="V103" s="343">
        <v>776.16623119999997</v>
      </c>
      <c r="W103" s="343">
        <v>0</v>
      </c>
      <c r="X103" s="343">
        <v>7.0931780590000004</v>
      </c>
      <c r="Y103" s="343">
        <v>6.4923467400000003</v>
      </c>
      <c r="Z103" s="343">
        <v>3.5477557719999999</v>
      </c>
      <c r="AA103" s="343">
        <v>325253860.5</v>
      </c>
      <c r="AB103" s="343">
        <v>0</v>
      </c>
      <c r="AC103" s="343">
        <v>0</v>
      </c>
      <c r="AD103" s="343">
        <v>30859.994719999999</v>
      </c>
      <c r="AE103" s="343">
        <v>0</v>
      </c>
      <c r="AF103" s="343">
        <v>0</v>
      </c>
      <c r="AG103" s="343">
        <v>0</v>
      </c>
      <c r="AH103" s="343">
        <v>0</v>
      </c>
      <c r="AI103" s="343">
        <v>0</v>
      </c>
      <c r="AJ103" s="343">
        <v>0</v>
      </c>
      <c r="AK103" s="343">
        <v>435151</v>
      </c>
      <c r="AL103" s="343">
        <v>2433826.6910000001</v>
      </c>
      <c r="AM103" s="343">
        <v>18561.253799999999</v>
      </c>
      <c r="AN103" s="343">
        <v>1752155.1510000001</v>
      </c>
      <c r="AO103" s="343">
        <v>6934.0723969999999</v>
      </c>
      <c r="AP103" s="343">
        <v>0</v>
      </c>
      <c r="AQ103" s="343">
        <v>0</v>
      </c>
      <c r="AR103" s="343">
        <v>0</v>
      </c>
      <c r="AS103" s="343">
        <v>0</v>
      </c>
      <c r="AT103" s="343">
        <v>0</v>
      </c>
      <c r="AU103" s="343">
        <v>0</v>
      </c>
      <c r="AV103" s="343">
        <v>0</v>
      </c>
      <c r="AW103" s="343">
        <v>70324.932199999996</v>
      </c>
      <c r="AX103" s="343">
        <v>32041.233970000001</v>
      </c>
      <c r="AY103" s="343">
        <v>16901959.863104001</v>
      </c>
      <c r="AZ103" s="343">
        <v>5301722.2290000003</v>
      </c>
      <c r="BA103" s="343">
        <v>0</v>
      </c>
      <c r="BB103" s="343">
        <v>0</v>
      </c>
      <c r="BC103" s="343">
        <v>1</v>
      </c>
      <c r="BD103" s="343">
        <v>0</v>
      </c>
      <c r="BE103" s="343">
        <v>0</v>
      </c>
      <c r="BF103" s="343">
        <v>84593.899860000005</v>
      </c>
      <c r="BG103" s="343">
        <v>0</v>
      </c>
      <c r="BH103" s="343">
        <v>17.133280571</v>
      </c>
      <c r="BI103" s="343">
        <v>0</v>
      </c>
      <c r="BJ103" s="343">
        <v>0</v>
      </c>
      <c r="BK103" s="343">
        <v>0</v>
      </c>
      <c r="BL103" s="343">
        <v>0</v>
      </c>
      <c r="BM103" s="343">
        <v>0</v>
      </c>
      <c r="BN103" s="343">
        <v>0</v>
      </c>
      <c r="BO103" s="343">
        <v>0</v>
      </c>
      <c r="BP103" s="343">
        <v>0</v>
      </c>
    </row>
    <row r="104" spans="1:68" s="343" customFormat="1" x14ac:dyDescent="0.2">
      <c r="A104"/>
      <c r="B104" s="144">
        <f ca="1"/>
        <v>1</v>
      </c>
      <c r="C104"/>
      <c r="D104" s="341" t="s">
        <v>5</v>
      </c>
      <c r="E104" s="342">
        <v>44144</v>
      </c>
      <c r="F104" s="343">
        <v>9528321.3900000006</v>
      </c>
      <c r="G104" s="343">
        <v>3350.3616069999998</v>
      </c>
      <c r="H104" s="343">
        <v>22577.660189999999</v>
      </c>
      <c r="I104" s="343">
        <v>0</v>
      </c>
      <c r="J104" s="343">
        <v>-20.203703310000002</v>
      </c>
      <c r="K104" s="343">
        <v>18765.898560000001</v>
      </c>
      <c r="L104" s="343">
        <v>1519990.2209999999</v>
      </c>
      <c r="M104" s="343">
        <v>15794.270270000001</v>
      </c>
      <c r="N104" s="343">
        <v>12770.86953</v>
      </c>
      <c r="O104" s="343">
        <v>7757351.3339999998</v>
      </c>
      <c r="P104" s="343">
        <v>32451.405129999999</v>
      </c>
      <c r="Q104" s="343">
        <v>6171.625419</v>
      </c>
      <c r="R104" s="343">
        <v>144055.97200000001</v>
      </c>
      <c r="S104" s="343">
        <v>15835.0723</v>
      </c>
      <c r="T104" s="343">
        <v>0.44038999699999998</v>
      </c>
      <c r="U104" s="343">
        <v>904.1206641</v>
      </c>
      <c r="V104" s="343">
        <v>16.274171949999999</v>
      </c>
      <c r="W104" s="343">
        <v>0</v>
      </c>
      <c r="X104" s="343">
        <v>7.5181404760000001</v>
      </c>
      <c r="Y104" s="343">
        <v>5.999552328</v>
      </c>
      <c r="Z104" s="343">
        <v>2.6176890519999998</v>
      </c>
      <c r="AA104" s="343">
        <v>357417346.10000002</v>
      </c>
      <c r="AB104" s="343">
        <v>0</v>
      </c>
      <c r="AC104" s="343">
        <v>0</v>
      </c>
      <c r="AD104" s="343">
        <v>30859.994719999999</v>
      </c>
      <c r="AE104" s="343">
        <v>0</v>
      </c>
      <c r="AF104" s="343">
        <v>0</v>
      </c>
      <c r="AG104" s="343">
        <v>0</v>
      </c>
      <c r="AH104" s="343">
        <v>0</v>
      </c>
      <c r="AI104" s="343">
        <v>0</v>
      </c>
      <c r="AJ104" s="343">
        <v>0</v>
      </c>
      <c r="AK104" s="343">
        <v>402544</v>
      </c>
      <c r="AL104" s="343">
        <v>1619984.3970000001</v>
      </c>
      <c r="AM104" s="343">
        <v>12794.776089999999</v>
      </c>
      <c r="AN104" s="343">
        <v>1250650.365</v>
      </c>
      <c r="AO104" s="343">
        <v>8889.1185690000002</v>
      </c>
      <c r="AP104" s="343">
        <v>0</v>
      </c>
      <c r="AQ104" s="343">
        <v>0</v>
      </c>
      <c r="AR104" s="343">
        <v>584233.63080000004</v>
      </c>
      <c r="AS104" s="343">
        <v>0</v>
      </c>
      <c r="AT104" s="343">
        <v>0</v>
      </c>
      <c r="AU104" s="343">
        <v>0</v>
      </c>
      <c r="AV104" s="343">
        <v>0</v>
      </c>
      <c r="AW104" s="343">
        <v>90198.239180000004</v>
      </c>
      <c r="AX104" s="343">
        <v>57237.28847</v>
      </c>
      <c r="AY104" s="343">
        <v>23372176.555151999</v>
      </c>
      <c r="AZ104" s="343">
        <v>6852161.3789999997</v>
      </c>
      <c r="BA104" s="343">
        <v>0</v>
      </c>
      <c r="BB104" s="343">
        <v>0</v>
      </c>
      <c r="BC104" s="343">
        <v>1</v>
      </c>
      <c r="BD104" s="343">
        <v>0</v>
      </c>
      <c r="BE104" s="343">
        <v>584233.63080000004</v>
      </c>
      <c r="BF104" s="343">
        <v>0</v>
      </c>
      <c r="BG104" s="343">
        <v>0</v>
      </c>
      <c r="BH104" s="343">
        <v>16.135381855999999</v>
      </c>
      <c r="BI104" s="343">
        <v>0</v>
      </c>
      <c r="BJ104" s="343">
        <v>0</v>
      </c>
      <c r="BK104" s="343">
        <v>0</v>
      </c>
      <c r="BL104" s="343">
        <v>0</v>
      </c>
      <c r="BM104" s="343">
        <v>0</v>
      </c>
      <c r="BN104" s="343">
        <v>0</v>
      </c>
      <c r="BO104" s="343">
        <v>0</v>
      </c>
      <c r="BP104" s="343">
        <v>0</v>
      </c>
    </row>
    <row r="105" spans="1:68" s="343" customFormat="1" x14ac:dyDescent="0.2">
      <c r="A105"/>
      <c r="B105" s="144">
        <f ca="1"/>
        <v>1</v>
      </c>
      <c r="C105"/>
      <c r="D105" s="341" t="s">
        <v>5</v>
      </c>
      <c r="E105" s="342">
        <v>44151</v>
      </c>
      <c r="F105" s="343">
        <v>9021896.3000000007</v>
      </c>
      <c r="G105" s="343">
        <v>10098.92914</v>
      </c>
      <c r="H105" s="343">
        <v>50575.99136</v>
      </c>
      <c r="I105" s="343">
        <v>0</v>
      </c>
      <c r="J105" s="343">
        <v>-19.329303230000001</v>
      </c>
      <c r="K105" s="343">
        <v>44553.375229999998</v>
      </c>
      <c r="L105" s="343">
        <v>3577338.591</v>
      </c>
      <c r="M105" s="343">
        <v>35380.58726</v>
      </c>
      <c r="N105" s="343">
        <v>10994.33628</v>
      </c>
      <c r="O105" s="343">
        <v>9100076.6539999992</v>
      </c>
      <c r="P105" s="343">
        <v>49872.1394</v>
      </c>
      <c r="Q105" s="343">
        <v>5634.7900129999998</v>
      </c>
      <c r="R105" s="343">
        <v>140569.40429999999</v>
      </c>
      <c r="S105" s="343">
        <v>14284.19929</v>
      </c>
      <c r="T105" s="343">
        <v>59.893039610000002</v>
      </c>
      <c r="U105" s="343">
        <v>194707.42749999999</v>
      </c>
      <c r="V105" s="343">
        <v>3504.733694</v>
      </c>
      <c r="W105" s="343">
        <v>0</v>
      </c>
      <c r="X105" s="343">
        <v>4.4470549750000004</v>
      </c>
      <c r="Y105" s="343">
        <v>6.6875932860000002</v>
      </c>
      <c r="Z105" s="343">
        <v>2.3101516129999999</v>
      </c>
      <c r="AA105" s="343">
        <v>328854695.30000001</v>
      </c>
      <c r="AB105" s="343">
        <v>0</v>
      </c>
      <c r="AC105" s="343">
        <v>0</v>
      </c>
      <c r="AD105" s="343">
        <v>0</v>
      </c>
      <c r="AE105" s="343">
        <v>0</v>
      </c>
      <c r="AF105" s="343">
        <v>0</v>
      </c>
      <c r="AG105" s="343">
        <v>0</v>
      </c>
      <c r="AH105" s="343">
        <v>0</v>
      </c>
      <c r="AI105" s="343">
        <v>0</v>
      </c>
      <c r="AJ105" s="343">
        <v>0</v>
      </c>
      <c r="AK105" s="343">
        <v>152659</v>
      </c>
      <c r="AL105" s="343">
        <v>1128224.8689999999</v>
      </c>
      <c r="AM105" s="343">
        <v>9019.9320069999994</v>
      </c>
      <c r="AN105" s="343">
        <v>1154181.575</v>
      </c>
      <c r="AO105" s="343">
        <v>11362.59828</v>
      </c>
      <c r="AP105" s="343">
        <v>0</v>
      </c>
      <c r="AQ105" s="343">
        <v>0</v>
      </c>
      <c r="AR105" s="343">
        <v>584233.63080000004</v>
      </c>
      <c r="AS105" s="343">
        <v>0</v>
      </c>
      <c r="AT105" s="343">
        <v>0</v>
      </c>
      <c r="AU105" s="343">
        <v>0</v>
      </c>
      <c r="AV105" s="343">
        <v>0</v>
      </c>
      <c r="AW105" s="343">
        <v>114109.1174</v>
      </c>
      <c r="AX105" s="343">
        <v>64952.870289999999</v>
      </c>
      <c r="AY105" s="343">
        <v>27121710.646823999</v>
      </c>
      <c r="AZ105" s="343">
        <v>7774496.7230000002</v>
      </c>
      <c r="BA105" s="343">
        <v>0</v>
      </c>
      <c r="BB105" s="343">
        <v>0</v>
      </c>
      <c r="BC105" s="343">
        <v>1</v>
      </c>
      <c r="BD105" s="343">
        <v>0</v>
      </c>
      <c r="BE105" s="343">
        <v>584233.63080000004</v>
      </c>
      <c r="BF105" s="343">
        <v>0</v>
      </c>
      <c r="BG105" s="343">
        <v>0</v>
      </c>
      <c r="BH105" s="343">
        <v>13.444799873999999</v>
      </c>
      <c r="BI105" s="343">
        <v>0</v>
      </c>
      <c r="BJ105" s="343">
        <v>0</v>
      </c>
      <c r="BK105" s="343">
        <v>0</v>
      </c>
      <c r="BL105" s="343">
        <v>0</v>
      </c>
      <c r="BM105" s="343">
        <v>0</v>
      </c>
      <c r="BN105" s="343">
        <v>0</v>
      </c>
      <c r="BO105" s="343">
        <v>0</v>
      </c>
      <c r="BP105" s="343">
        <v>0</v>
      </c>
    </row>
    <row r="106" spans="1:68" s="343" customFormat="1" x14ac:dyDescent="0.2">
      <c r="A106"/>
      <c r="B106" s="144">
        <f ca="1"/>
        <v>1</v>
      </c>
      <c r="C106"/>
      <c r="D106" s="341" t="s">
        <v>5</v>
      </c>
      <c r="E106" s="342">
        <v>44158</v>
      </c>
      <c r="F106" s="343">
        <v>11920200.32</v>
      </c>
      <c r="G106" s="343">
        <v>6108.9644939999998</v>
      </c>
      <c r="H106" s="343">
        <v>218001.07569999999</v>
      </c>
      <c r="I106" s="343">
        <v>1</v>
      </c>
      <c r="J106" s="343">
        <v>-34.628428030000002</v>
      </c>
      <c r="K106" s="343">
        <v>118896.05100000001</v>
      </c>
      <c r="L106" s="343">
        <v>10407809.91</v>
      </c>
      <c r="M106" s="343">
        <v>152503.30989999999</v>
      </c>
      <c r="N106" s="343">
        <v>11100.02988</v>
      </c>
      <c r="O106" s="343">
        <v>7450850.0250000004</v>
      </c>
      <c r="P106" s="343">
        <v>51353.461389999997</v>
      </c>
      <c r="Q106" s="343">
        <v>5430.008664</v>
      </c>
      <c r="R106" s="343">
        <v>161706.36259999999</v>
      </c>
      <c r="S106" s="343">
        <v>22846.261610000001</v>
      </c>
      <c r="T106" s="343">
        <v>144.0075291</v>
      </c>
      <c r="U106" s="343">
        <v>377382.95980000001</v>
      </c>
      <c r="V106" s="343">
        <v>6792.8932770000001</v>
      </c>
      <c r="W106" s="343">
        <v>0</v>
      </c>
      <c r="X106" s="343">
        <v>5.7664517020000003</v>
      </c>
      <c r="Y106" s="343">
        <v>5.595031992</v>
      </c>
      <c r="Z106" s="343">
        <v>3.1854559440000001</v>
      </c>
      <c r="AA106" s="343">
        <v>426779597.5</v>
      </c>
      <c r="AB106" s="343">
        <v>0</v>
      </c>
      <c r="AC106" s="343">
        <v>0</v>
      </c>
      <c r="AD106" s="343">
        <v>0</v>
      </c>
      <c r="AE106" s="343">
        <v>0</v>
      </c>
      <c r="AF106" s="343">
        <v>0</v>
      </c>
      <c r="AG106" s="343">
        <v>0</v>
      </c>
      <c r="AH106" s="343">
        <v>0</v>
      </c>
      <c r="AI106" s="343">
        <v>0</v>
      </c>
      <c r="AJ106" s="343">
        <v>0</v>
      </c>
      <c r="AK106" s="343">
        <v>209733</v>
      </c>
      <c r="AL106" s="343">
        <v>1259994.3589999999</v>
      </c>
      <c r="AM106" s="343">
        <v>14278.29607</v>
      </c>
      <c r="AN106" s="343">
        <v>2597686.1150000002</v>
      </c>
      <c r="AO106" s="343">
        <v>26631.32589</v>
      </c>
      <c r="AP106" s="343">
        <v>1225803.5870000001</v>
      </c>
      <c r="AQ106" s="343">
        <v>6705.9871030000004</v>
      </c>
      <c r="AR106" s="343">
        <v>0</v>
      </c>
      <c r="AS106" s="343">
        <v>0</v>
      </c>
      <c r="AT106" s="343">
        <v>0</v>
      </c>
      <c r="AU106" s="343">
        <v>0</v>
      </c>
      <c r="AV106" s="343">
        <v>0</v>
      </c>
      <c r="AW106" s="343">
        <v>88700.81465</v>
      </c>
      <c r="AX106" s="343">
        <v>79074.807969999994</v>
      </c>
      <c r="AY106" s="343">
        <v>29197461.036231998</v>
      </c>
      <c r="AZ106" s="343">
        <v>5872779.9160000002</v>
      </c>
      <c r="BA106" s="343">
        <v>0</v>
      </c>
      <c r="BB106" s="343">
        <v>0</v>
      </c>
      <c r="BC106" s="343">
        <v>1</v>
      </c>
      <c r="BD106" s="343">
        <v>0</v>
      </c>
      <c r="BE106" s="343">
        <v>0</v>
      </c>
      <c r="BF106" s="343">
        <v>0</v>
      </c>
      <c r="BG106" s="343">
        <v>0</v>
      </c>
      <c r="BH106" s="343">
        <v>14.546939638</v>
      </c>
      <c r="BI106" s="343">
        <v>0</v>
      </c>
      <c r="BJ106" s="343">
        <v>0</v>
      </c>
      <c r="BK106" s="343">
        <v>0</v>
      </c>
      <c r="BL106" s="343">
        <v>0</v>
      </c>
      <c r="BM106" s="343">
        <v>0</v>
      </c>
      <c r="BN106" s="343">
        <v>0</v>
      </c>
      <c r="BO106" s="343">
        <v>0</v>
      </c>
      <c r="BP106" s="343">
        <v>0</v>
      </c>
    </row>
    <row r="107" spans="1:68" s="343" customFormat="1" x14ac:dyDescent="0.2">
      <c r="A107"/>
      <c r="B107" s="144">
        <f ca="1"/>
        <v>1</v>
      </c>
      <c r="C107"/>
      <c r="D107" s="341" t="s">
        <v>5</v>
      </c>
      <c r="E107" s="342">
        <v>44165</v>
      </c>
      <c r="F107" s="343">
        <v>14622121.83</v>
      </c>
      <c r="G107" s="343">
        <v>2824.703595</v>
      </c>
      <c r="H107" s="343">
        <v>105341.19500000001</v>
      </c>
      <c r="I107" s="343">
        <v>0</v>
      </c>
      <c r="J107" s="343">
        <v>-19.45859827</v>
      </c>
      <c r="K107" s="343">
        <v>56896.185680000002</v>
      </c>
      <c r="L107" s="343">
        <v>4094003.2549999999</v>
      </c>
      <c r="M107" s="343">
        <v>73691.750629999995</v>
      </c>
      <c r="N107" s="343">
        <v>16974.832439999998</v>
      </c>
      <c r="O107" s="343">
        <v>6419486.1579999998</v>
      </c>
      <c r="P107" s="343">
        <v>36643.572800000002</v>
      </c>
      <c r="Q107" s="343">
        <v>3889.9648440000001</v>
      </c>
      <c r="R107" s="343">
        <v>108114.86350000001</v>
      </c>
      <c r="S107" s="343">
        <v>13650.29312</v>
      </c>
      <c r="T107" s="343">
        <v>144.88830899999999</v>
      </c>
      <c r="U107" s="343">
        <v>255809.3376</v>
      </c>
      <c r="V107" s="343">
        <v>4604.5680769999999</v>
      </c>
      <c r="W107" s="343">
        <v>0</v>
      </c>
      <c r="X107" s="343">
        <v>7.3060119549999998</v>
      </c>
      <c r="Y107" s="343">
        <v>5.8959825869999998</v>
      </c>
      <c r="Z107" s="343">
        <v>4.6834421260000001</v>
      </c>
      <c r="AA107" s="343">
        <v>478731178.10000002</v>
      </c>
      <c r="AB107" s="343">
        <v>0</v>
      </c>
      <c r="AC107" s="343">
        <v>0</v>
      </c>
      <c r="AD107" s="343">
        <v>47414.773880000001</v>
      </c>
      <c r="AE107" s="343">
        <v>755.85202040000001</v>
      </c>
      <c r="AF107" s="343">
        <v>0</v>
      </c>
      <c r="AG107" s="343">
        <v>892000</v>
      </c>
      <c r="AH107" s="343">
        <v>5714.0912520000002</v>
      </c>
      <c r="AI107" s="343">
        <v>5606.7207040000003</v>
      </c>
      <c r="AJ107" s="343">
        <v>0</v>
      </c>
      <c r="AK107" s="343">
        <v>120205</v>
      </c>
      <c r="AL107" s="343">
        <v>465799.53860000003</v>
      </c>
      <c r="AM107" s="343">
        <v>6626.0906880000002</v>
      </c>
      <c r="AN107" s="343">
        <v>465211.76280000003</v>
      </c>
      <c r="AO107" s="343">
        <v>7591.5126980000005</v>
      </c>
      <c r="AP107" s="343">
        <v>1113465.7139999999</v>
      </c>
      <c r="AQ107" s="343">
        <v>6711.1164470000003</v>
      </c>
      <c r="AR107" s="343">
        <v>0</v>
      </c>
      <c r="AS107" s="343">
        <v>0</v>
      </c>
      <c r="AT107" s="343">
        <v>0</v>
      </c>
      <c r="AU107" s="343">
        <v>0</v>
      </c>
      <c r="AV107" s="343">
        <v>0</v>
      </c>
      <c r="AW107" s="343">
        <v>71039.253559999997</v>
      </c>
      <c r="AX107" s="343">
        <v>90946.384049999993</v>
      </c>
      <c r="AY107" s="343">
        <v>30285922.048639901</v>
      </c>
      <c r="AZ107" s="343">
        <v>5322599.5219999999</v>
      </c>
      <c r="BA107" s="343">
        <v>0</v>
      </c>
      <c r="BB107" s="343">
        <v>0</v>
      </c>
      <c r="BC107" s="343">
        <v>1</v>
      </c>
      <c r="BD107" s="343">
        <v>0</v>
      </c>
      <c r="BE107" s="343">
        <v>0</v>
      </c>
      <c r="BF107" s="343">
        <v>0</v>
      </c>
      <c r="BG107" s="343">
        <v>0</v>
      </c>
      <c r="BH107" s="343">
        <v>17.885436668000001</v>
      </c>
      <c r="BI107" s="343">
        <v>0</v>
      </c>
      <c r="BJ107" s="343">
        <v>0</v>
      </c>
      <c r="BK107" s="343">
        <v>0</v>
      </c>
      <c r="BL107" s="343">
        <v>0</v>
      </c>
      <c r="BM107" s="343">
        <v>0</v>
      </c>
      <c r="BN107" s="343">
        <v>0</v>
      </c>
      <c r="BO107" s="343">
        <v>0</v>
      </c>
      <c r="BP107" s="343">
        <v>0</v>
      </c>
    </row>
    <row r="108" spans="1:68" s="343" customFormat="1" x14ac:dyDescent="0.2">
      <c r="A108"/>
      <c r="B108" s="144">
        <f ca="1"/>
        <v>1</v>
      </c>
      <c r="C108"/>
      <c r="D108" s="341" t="s">
        <v>5</v>
      </c>
      <c r="E108" s="342">
        <v>44172</v>
      </c>
      <c r="F108" s="343">
        <v>12472911.68</v>
      </c>
      <c r="G108" s="343">
        <v>2513.7155010000001</v>
      </c>
      <c r="H108" s="343">
        <v>18308.944599999999</v>
      </c>
      <c r="I108" s="343">
        <v>0</v>
      </c>
      <c r="J108" s="343">
        <v>-19.254883020000001</v>
      </c>
      <c r="K108" s="343">
        <v>14948.157670000001</v>
      </c>
      <c r="L108" s="343">
        <v>1069767.196</v>
      </c>
      <c r="M108" s="343">
        <v>12808.0774</v>
      </c>
      <c r="N108" s="343">
        <v>16779.739669999999</v>
      </c>
      <c r="O108" s="343">
        <v>7354512.9519999996</v>
      </c>
      <c r="P108" s="343">
        <v>47689.035949999998</v>
      </c>
      <c r="Q108" s="343">
        <v>7657.5012699999997</v>
      </c>
      <c r="R108" s="343">
        <v>173536.99950000001</v>
      </c>
      <c r="S108" s="343">
        <v>17944.61966</v>
      </c>
      <c r="T108" s="343">
        <v>87.197219430000004</v>
      </c>
      <c r="U108" s="343">
        <v>95654.028539999999</v>
      </c>
      <c r="V108" s="343">
        <v>1721.772514</v>
      </c>
      <c r="W108" s="343">
        <v>2676</v>
      </c>
      <c r="X108" s="343">
        <v>8.8311388770000008</v>
      </c>
      <c r="Y108" s="343">
        <v>7.5423251200000001</v>
      </c>
      <c r="Z108" s="343">
        <v>2.7109116210000002</v>
      </c>
      <c r="AA108" s="343">
        <v>557692307.70000005</v>
      </c>
      <c r="AB108" s="343">
        <v>0</v>
      </c>
      <c r="AC108" s="343">
        <v>0</v>
      </c>
      <c r="AD108" s="343">
        <v>47414.773880000001</v>
      </c>
      <c r="AE108" s="343">
        <v>635.07409440000004</v>
      </c>
      <c r="AF108" s="343">
        <v>0</v>
      </c>
      <c r="AG108" s="343">
        <v>916000</v>
      </c>
      <c r="AH108" s="343">
        <v>6665.3053399999999</v>
      </c>
      <c r="AI108" s="343">
        <v>33640.324229999998</v>
      </c>
      <c r="AJ108" s="343">
        <v>0</v>
      </c>
      <c r="AK108" s="343">
        <v>69632</v>
      </c>
      <c r="AL108" s="343">
        <v>1286479.7350000001</v>
      </c>
      <c r="AM108" s="343">
        <v>11108.22682</v>
      </c>
      <c r="AN108" s="343">
        <v>1286196.683</v>
      </c>
      <c r="AO108" s="343">
        <v>7679.8473270000004</v>
      </c>
      <c r="AP108" s="343">
        <v>659472.23259999999</v>
      </c>
      <c r="AQ108" s="343">
        <v>2981.0538259999998</v>
      </c>
      <c r="AR108" s="343">
        <v>0</v>
      </c>
      <c r="AS108" s="343">
        <v>90929.304600000003</v>
      </c>
      <c r="AT108" s="343">
        <v>0</v>
      </c>
      <c r="AU108" s="343">
        <v>0</v>
      </c>
      <c r="AV108" s="343">
        <v>0</v>
      </c>
      <c r="AW108" s="343">
        <v>90475.658190000002</v>
      </c>
      <c r="AX108" s="343">
        <v>93958.403179999994</v>
      </c>
      <c r="AY108" s="343">
        <v>31993368.330879901</v>
      </c>
      <c r="AZ108" s="343">
        <v>5529198.6880000001</v>
      </c>
      <c r="BA108" s="343">
        <v>0</v>
      </c>
      <c r="BB108" s="343">
        <v>0</v>
      </c>
      <c r="BC108" s="343">
        <v>1</v>
      </c>
      <c r="BD108" s="343">
        <v>0</v>
      </c>
      <c r="BE108" s="343">
        <v>0</v>
      </c>
      <c r="BF108" s="343">
        <v>0</v>
      </c>
      <c r="BG108" s="343">
        <v>0</v>
      </c>
      <c r="BH108" s="343">
        <v>19.084375617999999</v>
      </c>
      <c r="BI108" s="343">
        <v>0</v>
      </c>
      <c r="BJ108" s="343">
        <v>0</v>
      </c>
      <c r="BK108" s="343">
        <v>0</v>
      </c>
      <c r="BL108" s="343">
        <v>0</v>
      </c>
      <c r="BM108" s="343">
        <v>0</v>
      </c>
      <c r="BN108" s="343">
        <v>0</v>
      </c>
      <c r="BO108" s="343">
        <v>0</v>
      </c>
      <c r="BP108" s="343">
        <v>0</v>
      </c>
    </row>
    <row r="109" spans="1:68" s="343" customFormat="1" x14ac:dyDescent="0.2">
      <c r="A109"/>
      <c r="B109" s="144">
        <f ca="1"/>
        <v>1</v>
      </c>
      <c r="C109"/>
      <c r="D109" s="341" t="s">
        <v>5</v>
      </c>
      <c r="E109" s="342">
        <v>44179</v>
      </c>
      <c r="F109" s="343">
        <v>12530145.32</v>
      </c>
      <c r="G109" s="343">
        <v>1940.2131670000001</v>
      </c>
      <c r="H109" s="343">
        <v>25012.460579999999</v>
      </c>
      <c r="I109" s="343">
        <v>0</v>
      </c>
      <c r="J109" s="343">
        <v>-19.926176999999999</v>
      </c>
      <c r="K109" s="343">
        <v>17575.964779999998</v>
      </c>
      <c r="L109" s="343">
        <v>1383143.433</v>
      </c>
      <c r="M109" s="343">
        <v>17497.542219999999</v>
      </c>
      <c r="N109" s="343">
        <v>24742.431209999999</v>
      </c>
      <c r="O109" s="343">
        <v>14709025.9</v>
      </c>
      <c r="P109" s="343">
        <v>104153.9733</v>
      </c>
      <c r="Q109" s="343">
        <v>10047.938169999999</v>
      </c>
      <c r="R109" s="343">
        <v>187552.85159999999</v>
      </c>
      <c r="S109" s="343">
        <v>18045.623100000001</v>
      </c>
      <c r="T109" s="343">
        <v>48.883289679999997</v>
      </c>
      <c r="U109" s="343">
        <v>52824.339760000003</v>
      </c>
      <c r="V109" s="343">
        <v>950.8381157</v>
      </c>
      <c r="W109" s="343">
        <v>1410</v>
      </c>
      <c r="X109" s="343">
        <v>9.8853273529999992</v>
      </c>
      <c r="Y109" s="343">
        <v>7.222037845</v>
      </c>
      <c r="Z109" s="343">
        <v>2.6575957209999999</v>
      </c>
      <c r="AA109" s="343">
        <v>625000000</v>
      </c>
      <c r="AB109" s="343">
        <v>0</v>
      </c>
      <c r="AC109" s="343">
        <v>0</v>
      </c>
      <c r="AD109" s="343">
        <v>47414.773880000001</v>
      </c>
      <c r="AE109" s="343">
        <v>532.61085400000002</v>
      </c>
      <c r="AF109" s="343">
        <v>0</v>
      </c>
      <c r="AG109" s="343">
        <v>1010000</v>
      </c>
      <c r="AH109" s="343">
        <v>6663.2649060000003</v>
      </c>
      <c r="AI109" s="343">
        <v>0</v>
      </c>
      <c r="AJ109" s="343">
        <v>0</v>
      </c>
      <c r="AK109" s="343">
        <v>82212</v>
      </c>
      <c r="AL109" s="343">
        <v>1977513.0009999999</v>
      </c>
      <c r="AM109" s="343">
        <v>18980.035779999998</v>
      </c>
      <c r="AN109" s="343">
        <v>1977367.206</v>
      </c>
      <c r="AO109" s="343">
        <v>7663.2198850000004</v>
      </c>
      <c r="AP109" s="343">
        <v>3615238.1320000002</v>
      </c>
      <c r="AQ109" s="343">
        <v>33821.199589999997</v>
      </c>
      <c r="AR109" s="343">
        <v>0</v>
      </c>
      <c r="AS109" s="343">
        <v>78156.023050000003</v>
      </c>
      <c r="AT109" s="343">
        <v>716820.73060000001</v>
      </c>
      <c r="AU109" s="343">
        <v>0</v>
      </c>
      <c r="AV109" s="343">
        <v>0</v>
      </c>
      <c r="AW109" s="343">
        <v>93652.967130000005</v>
      </c>
      <c r="AX109" s="343">
        <v>95475.531749999995</v>
      </c>
      <c r="AY109" s="343">
        <v>31928343.408</v>
      </c>
      <c r="AZ109" s="343">
        <v>4305102.3420000002</v>
      </c>
      <c r="BA109" s="343">
        <v>0</v>
      </c>
      <c r="BB109" s="343">
        <v>0</v>
      </c>
      <c r="BC109" s="343">
        <v>1</v>
      </c>
      <c r="BD109" s="343">
        <v>1</v>
      </c>
      <c r="BE109" s="343">
        <v>0</v>
      </c>
      <c r="BF109" s="343">
        <v>0</v>
      </c>
      <c r="BG109" s="343">
        <v>0</v>
      </c>
      <c r="BH109" s="343">
        <v>19.764960919</v>
      </c>
      <c r="BI109" s="343">
        <v>0</v>
      </c>
      <c r="BJ109" s="343">
        <v>0</v>
      </c>
      <c r="BK109" s="343">
        <v>0</v>
      </c>
      <c r="BL109" s="343">
        <v>0</v>
      </c>
      <c r="BM109" s="343">
        <v>0</v>
      </c>
      <c r="BN109" s="343">
        <v>0</v>
      </c>
      <c r="BO109" s="343">
        <v>0</v>
      </c>
      <c r="BP109" s="343">
        <v>0</v>
      </c>
    </row>
    <row r="110" spans="1:68" s="343" customFormat="1" x14ac:dyDescent="0.2">
      <c r="A110"/>
      <c r="B110" s="144">
        <f ca="1"/>
        <v>1</v>
      </c>
      <c r="C110"/>
      <c r="D110" s="341" t="s">
        <v>5</v>
      </c>
      <c r="E110" s="342">
        <v>44186</v>
      </c>
      <c r="F110" s="343">
        <v>13188094.560000001</v>
      </c>
      <c r="G110" s="343">
        <v>2012.6091799999999</v>
      </c>
      <c r="H110" s="343">
        <v>30650.488560000002</v>
      </c>
      <c r="I110" s="343">
        <v>0</v>
      </c>
      <c r="J110" s="343">
        <v>-36.497078649999999</v>
      </c>
      <c r="K110" s="343">
        <v>23008.1754</v>
      </c>
      <c r="L110" s="343">
        <v>2164692.111</v>
      </c>
      <c r="M110" s="343">
        <v>21441.64169</v>
      </c>
      <c r="N110" s="343">
        <v>30633.087810000001</v>
      </c>
      <c r="O110" s="343">
        <v>17879833.879999999</v>
      </c>
      <c r="P110" s="343">
        <v>121469.0816</v>
      </c>
      <c r="Q110" s="343">
        <v>11431.203149999999</v>
      </c>
      <c r="R110" s="343">
        <v>181749.3922</v>
      </c>
      <c r="S110" s="343">
        <v>18298.45981</v>
      </c>
      <c r="T110" s="343">
        <v>298.14402799999999</v>
      </c>
      <c r="U110" s="343">
        <v>345566.10369999998</v>
      </c>
      <c r="V110" s="343">
        <v>6220.189867</v>
      </c>
      <c r="W110" s="343">
        <v>282</v>
      </c>
      <c r="X110" s="343">
        <v>13.24900993</v>
      </c>
      <c r="Y110" s="343">
        <v>7.9985167349999999</v>
      </c>
      <c r="Z110" s="343">
        <v>2.6690570720000002</v>
      </c>
      <c r="AA110" s="343">
        <v>673076923.10000002</v>
      </c>
      <c r="AB110" s="343">
        <v>0</v>
      </c>
      <c r="AC110" s="343">
        <v>0</v>
      </c>
      <c r="AD110" s="343">
        <v>0</v>
      </c>
      <c r="AE110" s="343">
        <v>510.33623649999998</v>
      </c>
      <c r="AF110" s="343">
        <v>0</v>
      </c>
      <c r="AG110" s="343">
        <v>1040000</v>
      </c>
      <c r="AH110" s="343">
        <v>6657.5194499999998</v>
      </c>
      <c r="AI110" s="343">
        <v>0</v>
      </c>
      <c r="AJ110" s="343">
        <v>35426.905729999999</v>
      </c>
      <c r="AK110" s="343">
        <v>377405</v>
      </c>
      <c r="AL110" s="343">
        <v>971934.94720000005</v>
      </c>
      <c r="AM110" s="343">
        <v>8474.6431630000006</v>
      </c>
      <c r="AN110" s="343">
        <v>971741.21109999996</v>
      </c>
      <c r="AO110" s="343">
        <v>1496.8586700000001</v>
      </c>
      <c r="AP110" s="343">
        <v>5070275.4970000004</v>
      </c>
      <c r="AQ110" s="343">
        <v>47349.67942</v>
      </c>
      <c r="AR110" s="343">
        <v>0</v>
      </c>
      <c r="AS110" s="343">
        <v>11743.199269999999</v>
      </c>
      <c r="AT110" s="343">
        <v>643577.21909999999</v>
      </c>
      <c r="AU110" s="343">
        <v>0</v>
      </c>
      <c r="AV110" s="343">
        <v>1</v>
      </c>
      <c r="AW110" s="343">
        <v>92203.811149999994</v>
      </c>
      <c r="AX110" s="343">
        <v>72103.446630000006</v>
      </c>
      <c r="AY110" s="343">
        <v>30404614.487679999</v>
      </c>
      <c r="AZ110" s="343">
        <v>3900102.6179999998</v>
      </c>
      <c r="BA110" s="343">
        <v>0</v>
      </c>
      <c r="BB110" s="343">
        <v>0</v>
      </c>
      <c r="BC110" s="343">
        <v>1</v>
      </c>
      <c r="BD110" s="343">
        <v>1</v>
      </c>
      <c r="BE110" s="343">
        <v>0</v>
      </c>
      <c r="BF110" s="343">
        <v>0</v>
      </c>
      <c r="BG110" s="343">
        <v>0</v>
      </c>
      <c r="BH110" s="343">
        <v>23.916583737</v>
      </c>
      <c r="BI110" s="343">
        <v>0</v>
      </c>
      <c r="BJ110" s="343">
        <v>0</v>
      </c>
      <c r="BK110" s="343">
        <v>0</v>
      </c>
      <c r="BL110" s="343">
        <v>0</v>
      </c>
      <c r="BM110" s="343">
        <v>0</v>
      </c>
      <c r="BN110" s="343">
        <v>0</v>
      </c>
      <c r="BO110" s="343">
        <v>0</v>
      </c>
      <c r="BP110" s="343">
        <v>0</v>
      </c>
    </row>
    <row r="111" spans="1:68" s="343" customFormat="1" x14ac:dyDescent="0.2">
      <c r="A111"/>
      <c r="B111" s="144">
        <f ca="1"/>
        <v>1</v>
      </c>
      <c r="C111"/>
      <c r="D111" s="341" t="s">
        <v>5</v>
      </c>
      <c r="E111" s="342">
        <v>44193</v>
      </c>
      <c r="F111" s="343">
        <v>5481824.1730000004</v>
      </c>
      <c r="G111" s="343">
        <v>1677.698926</v>
      </c>
      <c r="H111" s="343">
        <v>16219.52</v>
      </c>
      <c r="I111" s="343">
        <v>0</v>
      </c>
      <c r="J111" s="343">
        <v>-35.317457640000001</v>
      </c>
      <c r="K111" s="343">
        <v>16333.624599999999</v>
      </c>
      <c r="L111" s="343">
        <v>1173712.8870000001</v>
      </c>
      <c r="M111" s="343">
        <v>11346.414119999999</v>
      </c>
      <c r="N111" s="343">
        <v>15386.345719999999</v>
      </c>
      <c r="O111" s="343">
        <v>8660576.6850000005</v>
      </c>
      <c r="P111" s="343">
        <v>56061.991020000001</v>
      </c>
      <c r="Q111" s="343">
        <v>8088.202687</v>
      </c>
      <c r="R111" s="343">
        <v>127000.98850000001</v>
      </c>
      <c r="S111" s="343">
        <v>12319.751630000001</v>
      </c>
      <c r="T111" s="343">
        <v>40.075489740000002</v>
      </c>
      <c r="U111" s="343">
        <v>59596.657140000003</v>
      </c>
      <c r="V111" s="343">
        <v>1072.739828</v>
      </c>
      <c r="W111" s="343">
        <v>1812</v>
      </c>
      <c r="X111" s="343">
        <v>17.74837175</v>
      </c>
      <c r="Y111" s="343">
        <v>8.2164650699999999</v>
      </c>
      <c r="Z111" s="343">
        <v>3.5181854069999998</v>
      </c>
      <c r="AA111" s="343">
        <v>287335953.5</v>
      </c>
      <c r="AB111" s="343">
        <v>0</v>
      </c>
      <c r="AC111" s="343">
        <v>0</v>
      </c>
      <c r="AD111" s="343">
        <v>0</v>
      </c>
      <c r="AE111" s="343">
        <v>626.16424740000002</v>
      </c>
      <c r="AF111" s="343">
        <v>0</v>
      </c>
      <c r="AG111" s="343">
        <v>778984.45819999999</v>
      </c>
      <c r="AH111" s="343">
        <v>3778.0325630000002</v>
      </c>
      <c r="AI111" s="343">
        <v>0</v>
      </c>
      <c r="AJ111" s="343">
        <v>0</v>
      </c>
      <c r="AK111" s="343">
        <v>499268</v>
      </c>
      <c r="AL111" s="343">
        <v>172.7207186</v>
      </c>
      <c r="AM111" s="343">
        <v>0</v>
      </c>
      <c r="AN111" s="343">
        <v>58.449216569999997</v>
      </c>
      <c r="AO111" s="343">
        <v>0</v>
      </c>
      <c r="AP111" s="343">
        <v>2914031.2769999998</v>
      </c>
      <c r="AQ111" s="343">
        <v>27056.95967</v>
      </c>
      <c r="AR111" s="343">
        <v>0</v>
      </c>
      <c r="AS111" s="343">
        <v>0</v>
      </c>
      <c r="AT111" s="343">
        <v>0</v>
      </c>
      <c r="AU111" s="343">
        <v>0</v>
      </c>
      <c r="AV111" s="343">
        <v>0</v>
      </c>
      <c r="AW111" s="343">
        <v>39218.948389999998</v>
      </c>
      <c r="AX111" s="343">
        <v>18749.434109999998</v>
      </c>
      <c r="AY111" s="343">
        <v>20854668.996040002</v>
      </c>
      <c r="AZ111" s="343">
        <v>1939259.6089999999</v>
      </c>
      <c r="BA111" s="343">
        <v>0</v>
      </c>
      <c r="BB111" s="343">
        <v>0</v>
      </c>
      <c r="BC111" s="343">
        <v>0</v>
      </c>
      <c r="BD111" s="343">
        <v>0</v>
      </c>
      <c r="BE111" s="343">
        <v>0</v>
      </c>
      <c r="BF111" s="343">
        <v>35426.905729999999</v>
      </c>
      <c r="BG111" s="343">
        <v>0</v>
      </c>
      <c r="BH111" s="343">
        <v>29.483022226999999</v>
      </c>
      <c r="BI111" s="343">
        <v>0</v>
      </c>
      <c r="BJ111" s="343">
        <v>0</v>
      </c>
      <c r="BK111" s="343">
        <v>0</v>
      </c>
      <c r="BL111" s="343">
        <v>0</v>
      </c>
      <c r="BM111" s="343">
        <v>0</v>
      </c>
      <c r="BN111" s="343">
        <v>0</v>
      </c>
      <c r="BO111" s="343">
        <v>0</v>
      </c>
      <c r="BP111" s="343">
        <v>0</v>
      </c>
    </row>
    <row r="112" spans="1:68" s="343" customFormat="1" x14ac:dyDescent="0.2">
      <c r="A112"/>
      <c r="B112" s="144">
        <f ca="1"/>
        <v>0</v>
      </c>
      <c r="C112"/>
      <c r="D112" s="341"/>
      <c r="E112" s="342"/>
    </row>
    <row r="113" spans="1:5" s="343" customFormat="1" x14ac:dyDescent="0.2">
      <c r="A113"/>
      <c r="B113" s="144">
        <f ca="1"/>
        <v>0</v>
      </c>
      <c r="C113"/>
      <c r="D113" s="341"/>
      <c r="E113" s="342"/>
    </row>
    <row r="114" spans="1:5" s="343" customFormat="1" x14ac:dyDescent="0.2">
      <c r="A114"/>
      <c r="B114" s="144">
        <f ca="1"/>
        <v>0</v>
      </c>
      <c r="C114"/>
      <c r="D114" s="341"/>
      <c r="E114" s="342"/>
    </row>
    <row r="115" spans="1:5" s="343" customFormat="1" x14ac:dyDescent="0.2">
      <c r="A115"/>
      <c r="B115" s="144">
        <f ca="1"/>
        <v>0</v>
      </c>
      <c r="C115"/>
      <c r="D115" s="341"/>
      <c r="E115" s="342"/>
    </row>
    <row r="116" spans="1:5" s="343" customFormat="1" x14ac:dyDescent="0.2">
      <c r="A116"/>
      <c r="B116" s="144">
        <f ca="1"/>
        <v>0</v>
      </c>
      <c r="C116"/>
      <c r="D116" s="341"/>
      <c r="E116" s="342"/>
    </row>
    <row r="117" spans="1:5" s="343" customFormat="1" x14ac:dyDescent="0.2">
      <c r="A117"/>
      <c r="B117" s="144"/>
      <c r="C117"/>
      <c r="D117" s="341"/>
      <c r="E117" s="342"/>
    </row>
    <row r="118" spans="1:5" s="343" customFormat="1" x14ac:dyDescent="0.2">
      <c r="A118"/>
      <c r="B118" s="144"/>
      <c r="C118"/>
      <c r="D118" s="341"/>
      <c r="E118" s="342"/>
    </row>
    <row r="119" spans="1:5" s="343" customFormat="1" x14ac:dyDescent="0.2">
      <c r="A119"/>
      <c r="B119" s="144"/>
      <c r="C119"/>
      <c r="D119" s="341"/>
      <c r="E119" s="342"/>
    </row>
    <row r="120" spans="1:5" s="343" customFormat="1" x14ac:dyDescent="0.2">
      <c r="A120"/>
      <c r="B120" s="144"/>
      <c r="C120"/>
      <c r="D120" s="341"/>
      <c r="E120" s="342"/>
    </row>
    <row r="121" spans="1:5" s="343" customFormat="1" x14ac:dyDescent="0.2">
      <c r="A121"/>
      <c r="B121" s="144"/>
      <c r="C121"/>
      <c r="D121" s="341"/>
      <c r="E121" s="342"/>
    </row>
    <row r="122" spans="1:5" s="343" customFormat="1" x14ac:dyDescent="0.2">
      <c r="A122"/>
      <c r="B122" s="144"/>
      <c r="C122"/>
      <c r="D122" s="341"/>
      <c r="E122" s="342"/>
    </row>
    <row r="123" spans="1:5" s="343" customFormat="1" x14ac:dyDescent="0.2">
      <c r="A123"/>
      <c r="B123" s="144"/>
      <c r="C123"/>
      <c r="D123" s="341"/>
      <c r="E123" s="342"/>
    </row>
    <row r="124" spans="1:5" s="343" customFormat="1" x14ac:dyDescent="0.2">
      <c r="A124"/>
      <c r="B124" s="144"/>
      <c r="C124"/>
      <c r="D124" s="341"/>
      <c r="E124" s="342"/>
    </row>
    <row r="125" spans="1:5" s="343" customFormat="1" x14ac:dyDescent="0.2">
      <c r="A125"/>
      <c r="B125" s="144"/>
      <c r="C125"/>
      <c r="D125" s="341"/>
      <c r="E125" s="342"/>
    </row>
    <row r="126" spans="1:5" s="343" customFormat="1" x14ac:dyDescent="0.2">
      <c r="A126"/>
      <c r="B126" s="144"/>
      <c r="C126"/>
      <c r="D126" s="341"/>
      <c r="E126" s="342"/>
    </row>
    <row r="127" spans="1:5" s="343" customFormat="1" x14ac:dyDescent="0.2">
      <c r="A127"/>
      <c r="B127" s="144"/>
      <c r="C127"/>
      <c r="D127" s="341"/>
      <c r="E127" s="342"/>
    </row>
    <row r="128" spans="1:5" s="343" customFormat="1" x14ac:dyDescent="0.2">
      <c r="A128"/>
      <c r="B128" s="144"/>
      <c r="C128"/>
      <c r="D128" s="341"/>
      <c r="E128" s="342"/>
    </row>
    <row r="129" spans="1:124" s="343" customFormat="1" x14ac:dyDescent="0.2">
      <c r="A129"/>
      <c r="B129" s="144"/>
      <c r="C129"/>
      <c r="D129" s="341"/>
      <c r="E129" s="342"/>
    </row>
    <row r="130" spans="1:124" s="343" customFormat="1" x14ac:dyDescent="0.2">
      <c r="A130"/>
      <c r="B130" s="144"/>
      <c r="C130"/>
      <c r="D130" s="341"/>
      <c r="E130" s="342"/>
    </row>
    <row r="131" spans="1:124" s="343" customFormat="1" x14ac:dyDescent="0.2">
      <c r="A131"/>
      <c r="B131" s="144"/>
      <c r="C131"/>
      <c r="D131" s="341"/>
      <c r="E131" s="342"/>
    </row>
    <row r="132" spans="1:124" x14ac:dyDescent="0.2">
      <c r="A132"/>
      <c r="B132" s="144"/>
      <c r="D132" s="341"/>
      <c r="F132" s="343"/>
      <c r="G132" s="343"/>
      <c r="H132" s="343"/>
      <c r="I132" s="343"/>
      <c r="J132" s="343"/>
      <c r="K132" s="343"/>
      <c r="L132" s="343"/>
      <c r="T132" s="373"/>
      <c r="V132" s="373"/>
      <c r="W132" s="373"/>
      <c r="X132" s="373"/>
      <c r="Y132" s="373"/>
      <c r="Z132" s="373"/>
      <c r="AA132" s="373"/>
      <c r="AB132" s="373"/>
      <c r="AC132" s="373"/>
      <c r="AD132" s="373"/>
      <c r="AE132" s="373"/>
      <c r="AG132" s="373"/>
      <c r="AI132" s="373"/>
      <c r="AL132" s="373"/>
      <c r="AM132" s="373"/>
      <c r="AN132" s="373"/>
      <c r="AO132" s="373"/>
      <c r="AR132" s="373"/>
      <c r="AU132" s="373"/>
      <c r="AV132" s="373"/>
      <c r="AW132" s="373"/>
      <c r="AX132" s="373"/>
      <c r="AY132" s="373"/>
      <c r="BB132" s="373"/>
      <c r="BC132" s="373"/>
      <c r="BD132" s="373"/>
      <c r="BE132" s="373"/>
      <c r="BF132" s="373"/>
      <c r="BI132" s="373"/>
      <c r="BJ132" s="373"/>
      <c r="BN132" s="373"/>
      <c r="BO132" s="373"/>
      <c r="BP132" s="373"/>
      <c r="BQ132" s="373"/>
      <c r="BS132" s="373"/>
      <c r="BT132" s="373"/>
      <c r="BU132" s="373"/>
      <c r="BV132" s="373"/>
      <c r="BW132" s="373"/>
      <c r="BX132" s="373"/>
      <c r="BY132" s="373"/>
      <c r="CB132" s="373"/>
      <c r="CD132" s="373"/>
      <c r="CE132" s="373"/>
      <c r="CF132" s="373"/>
      <c r="CG132" s="373"/>
      <c r="CH132" s="373"/>
      <c r="CI132" s="373"/>
      <c r="CJ132" s="373"/>
      <c r="CK132" s="373"/>
      <c r="CL132" s="373"/>
      <c r="CM132" s="373"/>
      <c r="CN132" s="373"/>
      <c r="CO132" s="373"/>
      <c r="CP132" s="373"/>
      <c r="CQ132" s="373"/>
      <c r="CR132" s="373"/>
      <c r="CS132" s="373"/>
      <c r="CT132" s="373"/>
      <c r="CU132" s="373"/>
      <c r="CV132" s="373"/>
      <c r="CW132" s="373"/>
      <c r="CX132" s="373"/>
      <c r="CY132" s="373"/>
      <c r="CZ132" s="373"/>
      <c r="DA132" s="373"/>
      <c r="DB132" s="373"/>
      <c r="DC132" s="373"/>
      <c r="DD132" s="373"/>
      <c r="DE132" s="373"/>
      <c r="DF132" s="373"/>
      <c r="DG132" s="373"/>
      <c r="DH132" s="373"/>
      <c r="DI132" s="373"/>
      <c r="DL132" s="373"/>
      <c r="DM132" s="373"/>
      <c r="DN132" s="373"/>
      <c r="DO132" s="373"/>
      <c r="DP132" s="373"/>
      <c r="DR132" s="373"/>
      <c r="DT132" s="373"/>
    </row>
    <row r="133" spans="1:124" x14ac:dyDescent="0.2">
      <c r="A133"/>
      <c r="B133" s="144"/>
      <c r="D133" s="341"/>
      <c r="F133" s="343"/>
      <c r="G133" s="343"/>
      <c r="H133" s="343"/>
      <c r="I133" s="343"/>
      <c r="J133" s="343"/>
      <c r="K133" s="343"/>
      <c r="L133" s="343"/>
      <c r="T133" s="373"/>
      <c r="V133" s="373"/>
      <c r="W133" s="373"/>
      <c r="X133" s="373"/>
      <c r="Y133" s="373"/>
      <c r="Z133" s="373"/>
      <c r="AA133" s="373"/>
      <c r="AB133" s="373"/>
      <c r="AC133" s="373"/>
      <c r="AD133" s="373"/>
      <c r="AE133" s="373"/>
      <c r="AF133" s="373"/>
      <c r="AG133" s="373"/>
      <c r="AH133" s="373"/>
      <c r="AI133" s="373"/>
      <c r="AJ133" s="373"/>
      <c r="AL133" s="373"/>
      <c r="AM133" s="373"/>
      <c r="AN133" s="373"/>
      <c r="AO133" s="373"/>
      <c r="AR133" s="373"/>
      <c r="AU133" s="373"/>
      <c r="AV133" s="373"/>
      <c r="AW133" s="373"/>
      <c r="AX133" s="373"/>
      <c r="AY133" s="373"/>
      <c r="BB133" s="373"/>
      <c r="BC133" s="373"/>
      <c r="BD133" s="373"/>
      <c r="BE133" s="373"/>
      <c r="BF133" s="373"/>
      <c r="BI133" s="373"/>
      <c r="BJ133" s="373"/>
      <c r="BN133" s="373"/>
      <c r="BO133" s="373"/>
      <c r="BP133" s="373"/>
      <c r="BQ133" s="373"/>
      <c r="BS133" s="373"/>
      <c r="BT133" s="373"/>
      <c r="BU133" s="373"/>
      <c r="BV133" s="373"/>
      <c r="BW133" s="373"/>
      <c r="BX133" s="373"/>
      <c r="BY133" s="373"/>
      <c r="CB133" s="373"/>
      <c r="CD133" s="373"/>
      <c r="CE133" s="373"/>
      <c r="CF133" s="373"/>
      <c r="CG133" s="373"/>
      <c r="CH133" s="373"/>
      <c r="CI133" s="373"/>
      <c r="CJ133" s="373"/>
      <c r="CK133" s="373"/>
      <c r="CL133" s="373"/>
      <c r="CM133" s="373"/>
      <c r="CN133" s="373"/>
      <c r="CO133" s="373"/>
      <c r="CP133" s="373"/>
      <c r="CQ133" s="373"/>
      <c r="CR133" s="373"/>
      <c r="CS133" s="373"/>
      <c r="CT133" s="373"/>
      <c r="CU133" s="373"/>
      <c r="CV133" s="373"/>
      <c r="CW133" s="373"/>
      <c r="CX133" s="373"/>
      <c r="CY133" s="373"/>
      <c r="CZ133" s="373"/>
      <c r="DA133" s="373"/>
      <c r="DB133" s="373"/>
      <c r="DC133" s="373"/>
      <c r="DD133" s="373"/>
      <c r="DE133" s="373"/>
      <c r="DF133" s="373"/>
      <c r="DG133" s="373"/>
      <c r="DH133" s="373"/>
      <c r="DI133" s="373"/>
      <c r="DL133" s="373"/>
      <c r="DM133" s="373"/>
      <c r="DN133" s="373"/>
      <c r="DO133" s="373"/>
      <c r="DP133" s="373"/>
      <c r="DR133" s="373"/>
      <c r="DT133" s="373"/>
    </row>
    <row r="134" spans="1:124" x14ac:dyDescent="0.2">
      <c r="A134"/>
      <c r="B134" s="144"/>
      <c r="D134" s="341"/>
      <c r="F134" s="343"/>
      <c r="G134" s="343"/>
      <c r="H134" s="343"/>
      <c r="I134" s="343"/>
      <c r="J134" s="343"/>
      <c r="K134" s="343"/>
      <c r="L134" s="343"/>
      <c r="T134" s="373"/>
      <c r="V134" s="373"/>
      <c r="W134" s="373"/>
      <c r="X134" s="373"/>
      <c r="Y134" s="373"/>
      <c r="Z134" s="373"/>
      <c r="AA134" s="373"/>
      <c r="AB134" s="373"/>
      <c r="AC134" s="373"/>
      <c r="AD134" s="373"/>
      <c r="AE134" s="373"/>
      <c r="AG134" s="373"/>
      <c r="AI134" s="373"/>
      <c r="AL134" s="373"/>
      <c r="AM134" s="373"/>
      <c r="AN134" s="373"/>
      <c r="AO134" s="373"/>
      <c r="AR134" s="373"/>
      <c r="AU134" s="373"/>
      <c r="AV134" s="373"/>
      <c r="AW134" s="373"/>
      <c r="AX134" s="373"/>
      <c r="AY134" s="373"/>
      <c r="BB134" s="373"/>
      <c r="BC134" s="373"/>
      <c r="BD134" s="373"/>
      <c r="BE134" s="373"/>
      <c r="BF134" s="373"/>
      <c r="BI134" s="373"/>
      <c r="BJ134" s="373"/>
      <c r="BN134" s="373"/>
      <c r="BO134" s="373"/>
      <c r="BP134" s="373"/>
      <c r="BQ134" s="373"/>
      <c r="BS134" s="373"/>
      <c r="BT134" s="373"/>
      <c r="BU134" s="373"/>
      <c r="BV134" s="373"/>
      <c r="BW134" s="373"/>
      <c r="BX134" s="373"/>
      <c r="BY134" s="373"/>
      <c r="CB134" s="373"/>
      <c r="CD134" s="373"/>
      <c r="CE134" s="373"/>
      <c r="CF134" s="373"/>
      <c r="CG134" s="373"/>
      <c r="CH134" s="373"/>
      <c r="CI134" s="373"/>
      <c r="CJ134" s="373"/>
      <c r="CK134" s="373"/>
      <c r="CL134" s="373"/>
      <c r="CM134" s="373"/>
      <c r="CN134" s="373"/>
      <c r="CO134" s="373"/>
      <c r="CP134" s="373"/>
      <c r="CQ134" s="373"/>
      <c r="CR134" s="373"/>
      <c r="CS134" s="373"/>
      <c r="CT134" s="373"/>
      <c r="CU134" s="373"/>
      <c r="CV134" s="373"/>
      <c r="CW134" s="373"/>
      <c r="CX134" s="373"/>
      <c r="CY134" s="373"/>
      <c r="CZ134" s="373"/>
      <c r="DA134" s="373"/>
      <c r="DB134" s="373"/>
      <c r="DC134" s="373"/>
      <c r="DD134" s="373"/>
      <c r="DE134" s="373"/>
      <c r="DF134" s="373"/>
      <c r="DG134" s="373"/>
      <c r="DH134" s="373"/>
      <c r="DI134" s="373"/>
      <c r="DL134" s="373"/>
      <c r="DM134" s="373"/>
      <c r="DN134" s="373"/>
      <c r="DO134" s="373"/>
      <c r="DP134" s="373"/>
      <c r="DR134" s="373"/>
      <c r="DT134" s="373"/>
    </row>
    <row r="135" spans="1:124" x14ac:dyDescent="0.2">
      <c r="A135"/>
      <c r="B135" s="144"/>
      <c r="D135" s="341"/>
      <c r="F135" s="343"/>
      <c r="G135" s="343"/>
      <c r="H135" s="343"/>
      <c r="I135" s="343"/>
      <c r="J135" s="343"/>
      <c r="K135" s="343"/>
      <c r="L135" s="343"/>
      <c r="T135" s="373"/>
      <c r="V135" s="373"/>
      <c r="W135" s="373"/>
      <c r="X135" s="373"/>
      <c r="Y135" s="373"/>
      <c r="Z135" s="373"/>
      <c r="AA135" s="373"/>
      <c r="AB135" s="373"/>
      <c r="AC135" s="373"/>
      <c r="AD135" s="373"/>
      <c r="AE135" s="373"/>
      <c r="AG135" s="373"/>
      <c r="AI135" s="373"/>
      <c r="AL135" s="373"/>
      <c r="AM135" s="373"/>
      <c r="AN135" s="373"/>
      <c r="AO135" s="373"/>
      <c r="AR135" s="373"/>
      <c r="AU135" s="373"/>
      <c r="AV135" s="373"/>
      <c r="AW135" s="373"/>
      <c r="AX135" s="373"/>
      <c r="AY135" s="373"/>
      <c r="BB135" s="373"/>
      <c r="BC135" s="373"/>
      <c r="BD135" s="373"/>
      <c r="BE135" s="373"/>
      <c r="BF135" s="373"/>
      <c r="BI135" s="373"/>
      <c r="BJ135" s="373"/>
      <c r="BN135" s="373"/>
      <c r="BO135" s="373"/>
      <c r="BP135" s="373"/>
      <c r="BQ135" s="373"/>
      <c r="BS135" s="373"/>
      <c r="BT135" s="373"/>
      <c r="BU135" s="373"/>
      <c r="BV135" s="373"/>
      <c r="BW135" s="373"/>
      <c r="BX135" s="373"/>
      <c r="BY135" s="373"/>
      <c r="CB135" s="373"/>
      <c r="CD135" s="373"/>
      <c r="CE135" s="373"/>
      <c r="CF135" s="373"/>
      <c r="CG135" s="373"/>
      <c r="CH135" s="373"/>
      <c r="CI135" s="373"/>
      <c r="CJ135" s="373"/>
      <c r="CK135" s="373"/>
      <c r="CL135" s="373"/>
      <c r="CM135" s="373"/>
      <c r="CN135" s="373"/>
      <c r="CO135" s="373"/>
      <c r="CP135" s="373"/>
      <c r="CQ135" s="373"/>
      <c r="CR135" s="373"/>
      <c r="CS135" s="373"/>
      <c r="CT135" s="373"/>
      <c r="CU135" s="373"/>
      <c r="CV135" s="373"/>
      <c r="CW135" s="373"/>
      <c r="CX135" s="373"/>
      <c r="CY135" s="373"/>
      <c r="CZ135" s="373"/>
      <c r="DA135" s="373"/>
      <c r="DB135" s="373"/>
      <c r="DC135" s="373"/>
      <c r="DD135" s="373"/>
      <c r="DE135" s="373"/>
      <c r="DF135" s="373"/>
      <c r="DG135" s="373"/>
      <c r="DH135" s="373"/>
      <c r="DI135" s="373"/>
      <c r="DL135" s="373"/>
      <c r="DM135" s="373"/>
      <c r="DN135" s="373"/>
      <c r="DO135" s="373"/>
      <c r="DP135" s="373"/>
      <c r="DR135" s="373"/>
      <c r="DT135" s="373"/>
    </row>
    <row r="136" spans="1:124" x14ac:dyDescent="0.2">
      <c r="A136"/>
      <c r="B136" s="144"/>
      <c r="D136" s="341"/>
      <c r="F136" s="343"/>
      <c r="G136" s="343"/>
      <c r="H136" s="343"/>
      <c r="I136" s="343"/>
      <c r="J136" s="343"/>
      <c r="K136" s="343"/>
      <c r="L136" s="343"/>
      <c r="T136" s="373"/>
      <c r="V136" s="373"/>
      <c r="W136" s="373"/>
      <c r="X136" s="373"/>
      <c r="Y136" s="373"/>
      <c r="Z136" s="373"/>
      <c r="AA136" s="373"/>
      <c r="AB136" s="373"/>
      <c r="AC136" s="373"/>
      <c r="AD136" s="373"/>
      <c r="AE136" s="373"/>
      <c r="AG136" s="373"/>
      <c r="AI136" s="373"/>
      <c r="AL136" s="373"/>
      <c r="AM136" s="373"/>
      <c r="AN136" s="373"/>
      <c r="AO136" s="373"/>
      <c r="AR136" s="373"/>
      <c r="AU136" s="373"/>
      <c r="AV136" s="373"/>
      <c r="AW136" s="373"/>
      <c r="AX136" s="373"/>
      <c r="AY136" s="373"/>
      <c r="BB136" s="373"/>
      <c r="BC136" s="373"/>
      <c r="BD136" s="373"/>
      <c r="BE136" s="373"/>
      <c r="BF136" s="373"/>
      <c r="BI136" s="373"/>
      <c r="BJ136" s="373"/>
      <c r="BN136" s="373"/>
      <c r="BO136" s="373"/>
      <c r="BP136" s="373"/>
      <c r="BQ136" s="373"/>
      <c r="BS136" s="373"/>
      <c r="BT136" s="373"/>
      <c r="BU136" s="373"/>
      <c r="BV136" s="373"/>
      <c r="BW136" s="373"/>
      <c r="BX136" s="373"/>
      <c r="BY136" s="373"/>
      <c r="CB136" s="373"/>
      <c r="CD136" s="373"/>
      <c r="CE136" s="373"/>
      <c r="CF136" s="373"/>
      <c r="CG136" s="373"/>
      <c r="CH136" s="373"/>
      <c r="CI136" s="373"/>
      <c r="CJ136" s="373"/>
      <c r="CK136" s="373"/>
      <c r="CL136" s="373"/>
      <c r="CM136" s="373"/>
      <c r="CN136" s="373"/>
      <c r="CO136" s="373"/>
      <c r="CP136" s="373"/>
      <c r="CQ136" s="373"/>
      <c r="CR136" s="373"/>
      <c r="CS136" s="373"/>
      <c r="CT136" s="373"/>
      <c r="CU136" s="373"/>
      <c r="CV136" s="373"/>
      <c r="CW136" s="373"/>
      <c r="CX136" s="373"/>
      <c r="CY136" s="373"/>
      <c r="CZ136" s="373"/>
      <c r="DA136" s="373"/>
      <c r="DB136" s="373"/>
      <c r="DC136" s="373"/>
      <c r="DD136" s="373"/>
      <c r="DE136" s="373"/>
      <c r="DF136" s="373"/>
      <c r="DG136" s="373"/>
      <c r="DH136" s="373"/>
      <c r="DI136" s="373"/>
      <c r="DL136" s="373"/>
      <c r="DM136" s="373"/>
      <c r="DN136" s="373"/>
      <c r="DO136" s="373"/>
      <c r="DP136" s="373"/>
      <c r="DR136" s="373"/>
      <c r="DT136" s="373"/>
    </row>
    <row r="137" spans="1:124" x14ac:dyDescent="0.2">
      <c r="A137"/>
      <c r="B137" s="144"/>
      <c r="D137" s="341"/>
      <c r="F137" s="343"/>
      <c r="G137" s="343"/>
      <c r="H137" s="343"/>
      <c r="I137" s="343"/>
      <c r="J137" s="343"/>
      <c r="K137" s="343"/>
      <c r="L137" s="343"/>
      <c r="T137" s="373"/>
      <c r="V137" s="373"/>
      <c r="W137" s="373"/>
      <c r="X137" s="373"/>
      <c r="Y137" s="373"/>
      <c r="Z137" s="373"/>
      <c r="AA137" s="373"/>
      <c r="AB137" s="373"/>
      <c r="AC137" s="373"/>
      <c r="AD137" s="373"/>
      <c r="AE137" s="373"/>
      <c r="AG137" s="373"/>
      <c r="AI137" s="373"/>
      <c r="AL137" s="373"/>
      <c r="AM137" s="373"/>
      <c r="AN137" s="373"/>
      <c r="AO137" s="373"/>
      <c r="AR137" s="373"/>
      <c r="AU137" s="373"/>
      <c r="AV137" s="373"/>
      <c r="AW137" s="373"/>
      <c r="AX137" s="373"/>
      <c r="AY137" s="373"/>
      <c r="BB137" s="373"/>
      <c r="BC137" s="373"/>
      <c r="BD137" s="373"/>
      <c r="BE137" s="373"/>
      <c r="BF137" s="373"/>
      <c r="BI137" s="373"/>
      <c r="BJ137" s="373"/>
      <c r="BN137" s="373"/>
      <c r="BO137" s="373"/>
      <c r="BP137" s="373"/>
      <c r="BQ137" s="373"/>
      <c r="BS137" s="373"/>
      <c r="BT137" s="373"/>
      <c r="BU137" s="373"/>
      <c r="BV137" s="373"/>
      <c r="BW137" s="373"/>
      <c r="BX137" s="373"/>
      <c r="BY137" s="373"/>
      <c r="CB137" s="373"/>
      <c r="CD137" s="373"/>
      <c r="CE137" s="373"/>
      <c r="CF137" s="373"/>
      <c r="CG137" s="373"/>
      <c r="CH137" s="373"/>
      <c r="CI137" s="373"/>
      <c r="CJ137" s="373"/>
      <c r="CK137" s="373"/>
      <c r="CL137" s="373"/>
      <c r="CM137" s="373"/>
      <c r="CN137" s="373"/>
      <c r="CO137" s="373"/>
      <c r="CP137" s="373"/>
      <c r="CQ137" s="373"/>
      <c r="CR137" s="373"/>
      <c r="CS137" s="373"/>
      <c r="CT137" s="373"/>
      <c r="CU137" s="373"/>
      <c r="CV137" s="373"/>
      <c r="CW137" s="373"/>
      <c r="CX137" s="373"/>
      <c r="CY137" s="373"/>
      <c r="CZ137" s="373"/>
      <c r="DA137" s="373"/>
      <c r="DB137" s="373"/>
      <c r="DC137" s="373"/>
      <c r="DD137" s="373"/>
      <c r="DE137" s="373"/>
      <c r="DF137" s="373"/>
      <c r="DG137" s="373"/>
      <c r="DH137" s="373"/>
      <c r="DI137" s="373"/>
      <c r="DL137" s="373"/>
      <c r="DM137" s="373"/>
      <c r="DN137" s="373"/>
      <c r="DO137" s="373"/>
      <c r="DP137" s="373"/>
      <c r="DR137" s="373"/>
      <c r="DT137" s="373"/>
    </row>
    <row r="138" spans="1:124" x14ac:dyDescent="0.2">
      <c r="A138"/>
      <c r="B138" s="144"/>
      <c r="D138" s="341"/>
      <c r="F138" s="343"/>
      <c r="G138" s="343"/>
      <c r="H138" s="343"/>
      <c r="I138" s="343"/>
      <c r="J138" s="343"/>
      <c r="K138" s="343"/>
      <c r="L138" s="343"/>
      <c r="T138" s="373"/>
      <c r="V138" s="373"/>
      <c r="W138" s="373"/>
      <c r="X138" s="373"/>
      <c r="Y138" s="373"/>
      <c r="Z138" s="373"/>
      <c r="AA138" s="373"/>
      <c r="AB138" s="373"/>
      <c r="AC138" s="373"/>
      <c r="AD138" s="373"/>
      <c r="AE138" s="373"/>
      <c r="AG138" s="373"/>
      <c r="AH138" s="373"/>
      <c r="AI138" s="373"/>
      <c r="AJ138" s="373"/>
      <c r="AK138" s="373"/>
      <c r="AL138" s="373"/>
      <c r="AM138" s="373"/>
      <c r="AN138" s="373"/>
      <c r="AO138" s="373"/>
      <c r="AR138" s="373"/>
      <c r="AU138" s="373"/>
      <c r="AV138" s="373"/>
      <c r="AW138" s="373"/>
      <c r="AX138" s="373"/>
      <c r="AY138" s="373"/>
      <c r="AZ138" s="373"/>
      <c r="BA138" s="373"/>
      <c r="BB138" s="373"/>
      <c r="BC138" s="373"/>
      <c r="BD138" s="373"/>
      <c r="BE138" s="373"/>
      <c r="BF138" s="373"/>
      <c r="BI138" s="373"/>
      <c r="BJ138" s="373"/>
      <c r="BL138" s="373"/>
      <c r="BN138" s="373"/>
      <c r="BO138" s="373"/>
      <c r="BP138" s="373"/>
      <c r="BQ138" s="373"/>
      <c r="BR138" s="373"/>
      <c r="BS138" s="373"/>
      <c r="BT138" s="373"/>
      <c r="BU138" s="373"/>
      <c r="BV138" s="373"/>
      <c r="BW138" s="373"/>
      <c r="BX138" s="373"/>
      <c r="BY138" s="373"/>
      <c r="BZ138" s="373"/>
      <c r="CB138" s="373"/>
      <c r="CD138" s="373"/>
      <c r="CE138" s="373"/>
      <c r="CF138" s="373"/>
      <c r="CG138" s="373"/>
      <c r="CH138" s="373"/>
      <c r="CI138" s="373"/>
      <c r="CJ138" s="373"/>
      <c r="CK138" s="373"/>
      <c r="CL138" s="373"/>
      <c r="CM138" s="373"/>
      <c r="CN138" s="373"/>
      <c r="CO138" s="373"/>
      <c r="CP138" s="373"/>
      <c r="CQ138" s="373"/>
      <c r="CR138" s="373"/>
      <c r="CS138" s="373"/>
      <c r="CT138" s="373"/>
      <c r="CU138" s="373"/>
      <c r="CV138" s="373"/>
      <c r="CW138" s="373"/>
      <c r="CX138" s="373"/>
      <c r="CY138" s="373"/>
      <c r="CZ138" s="373"/>
      <c r="DA138" s="373"/>
      <c r="DB138" s="373"/>
      <c r="DC138" s="373"/>
      <c r="DD138" s="373"/>
      <c r="DE138" s="373"/>
      <c r="DF138" s="373"/>
      <c r="DG138" s="373"/>
      <c r="DH138" s="373"/>
      <c r="DI138" s="373"/>
      <c r="DL138" s="373"/>
      <c r="DM138" s="373"/>
      <c r="DN138" s="373"/>
      <c r="DO138" s="373"/>
      <c r="DP138" s="373"/>
      <c r="DR138" s="373"/>
      <c r="DT138" s="373"/>
    </row>
    <row r="139" spans="1:124" x14ac:dyDescent="0.2">
      <c r="A139"/>
      <c r="B139" s="144"/>
      <c r="D139" s="341"/>
      <c r="F139" s="343"/>
      <c r="G139" s="343"/>
      <c r="H139" s="343"/>
      <c r="I139" s="343"/>
      <c r="J139" s="343"/>
      <c r="K139" s="343"/>
      <c r="L139" s="343"/>
      <c r="T139" s="373"/>
      <c r="V139" s="373"/>
      <c r="W139" s="373"/>
      <c r="X139" s="373"/>
      <c r="Y139" s="373"/>
      <c r="Z139" s="373"/>
      <c r="AA139" s="373"/>
      <c r="AB139" s="373"/>
      <c r="AC139" s="373"/>
      <c r="AD139" s="373"/>
      <c r="AE139" s="373"/>
      <c r="AG139" s="373"/>
      <c r="AH139" s="373"/>
      <c r="AI139" s="373"/>
      <c r="AJ139" s="373"/>
      <c r="AK139" s="373"/>
      <c r="AL139" s="373"/>
      <c r="AM139" s="373"/>
      <c r="AN139" s="373"/>
      <c r="AO139" s="373"/>
      <c r="AR139" s="373"/>
      <c r="AU139" s="373"/>
      <c r="AV139" s="373"/>
      <c r="AW139" s="373"/>
      <c r="AX139" s="373"/>
      <c r="AY139" s="373"/>
      <c r="AZ139" s="373"/>
      <c r="BA139" s="373"/>
      <c r="BB139" s="373"/>
      <c r="BC139" s="373"/>
      <c r="BD139" s="373"/>
      <c r="BE139" s="373"/>
      <c r="BF139" s="373"/>
      <c r="BI139" s="373"/>
      <c r="BJ139" s="373"/>
      <c r="BL139" s="373"/>
      <c r="BN139" s="373"/>
      <c r="BO139" s="373"/>
      <c r="BP139" s="373"/>
      <c r="BQ139" s="373"/>
      <c r="BR139" s="373"/>
      <c r="BS139" s="373"/>
      <c r="BT139" s="373"/>
      <c r="BU139" s="373"/>
      <c r="BV139" s="373"/>
      <c r="BW139" s="373"/>
      <c r="BX139" s="373"/>
      <c r="BY139" s="373"/>
      <c r="BZ139" s="373"/>
      <c r="CB139" s="373"/>
      <c r="CD139" s="373"/>
      <c r="CE139" s="373"/>
      <c r="CF139" s="373"/>
      <c r="CG139" s="373"/>
      <c r="CH139" s="373"/>
      <c r="CI139" s="373"/>
      <c r="CJ139" s="373"/>
      <c r="CK139" s="373"/>
      <c r="CL139" s="373"/>
      <c r="CM139" s="373"/>
      <c r="CN139" s="373"/>
      <c r="CO139" s="373"/>
      <c r="CP139" s="373"/>
      <c r="CQ139" s="373"/>
      <c r="CR139" s="373"/>
      <c r="CS139" s="373"/>
      <c r="CT139" s="373"/>
      <c r="CU139" s="373"/>
      <c r="CV139" s="373"/>
      <c r="CW139" s="373"/>
      <c r="CX139" s="373"/>
      <c r="CY139" s="373"/>
      <c r="CZ139" s="373"/>
      <c r="DA139" s="373"/>
      <c r="DB139" s="373"/>
      <c r="DC139" s="373"/>
      <c r="DD139" s="373"/>
      <c r="DE139" s="373"/>
      <c r="DF139" s="373"/>
      <c r="DG139" s="373"/>
      <c r="DH139" s="373"/>
      <c r="DI139" s="373"/>
      <c r="DL139" s="373"/>
      <c r="DM139" s="373"/>
      <c r="DN139" s="373"/>
      <c r="DO139" s="373"/>
      <c r="DP139" s="373"/>
      <c r="DR139" s="373"/>
      <c r="DT139" s="373"/>
    </row>
    <row r="140" spans="1:124" x14ac:dyDescent="0.2">
      <c r="A140"/>
      <c r="B140" s="144"/>
      <c r="D140" s="341"/>
      <c r="F140" s="343"/>
      <c r="G140" s="343"/>
      <c r="H140" s="343"/>
      <c r="I140" s="343"/>
      <c r="J140" s="343"/>
      <c r="K140" s="343"/>
      <c r="L140" s="343"/>
      <c r="T140" s="373"/>
      <c r="V140" s="373"/>
      <c r="W140" s="373"/>
      <c r="X140" s="373"/>
      <c r="Y140" s="373"/>
      <c r="Z140" s="373"/>
      <c r="AA140" s="373"/>
      <c r="AB140" s="373"/>
      <c r="AC140" s="373"/>
      <c r="AD140" s="373"/>
      <c r="AE140" s="373"/>
      <c r="AG140" s="373"/>
      <c r="AH140" s="373"/>
      <c r="AI140" s="373"/>
      <c r="AJ140" s="373"/>
      <c r="AK140" s="373"/>
      <c r="AL140" s="373"/>
      <c r="AM140" s="373"/>
      <c r="AN140" s="373"/>
      <c r="AO140" s="373"/>
      <c r="AR140" s="373"/>
      <c r="AU140" s="373"/>
      <c r="AV140" s="373"/>
      <c r="AW140" s="373"/>
      <c r="AX140" s="373"/>
      <c r="AY140" s="373"/>
      <c r="AZ140" s="373"/>
      <c r="BA140" s="373"/>
      <c r="BB140" s="373"/>
      <c r="BC140" s="373"/>
      <c r="BD140" s="373"/>
      <c r="BE140" s="373"/>
      <c r="BF140" s="373"/>
      <c r="BI140" s="373"/>
      <c r="BJ140" s="373"/>
      <c r="BL140" s="373"/>
      <c r="BN140" s="373"/>
      <c r="BO140" s="373"/>
      <c r="BP140" s="373"/>
      <c r="BQ140" s="373"/>
      <c r="BR140" s="373"/>
      <c r="BS140" s="373"/>
      <c r="BT140" s="373"/>
      <c r="BU140" s="373"/>
      <c r="BV140" s="373"/>
      <c r="BW140" s="373"/>
      <c r="BX140" s="373"/>
      <c r="BY140" s="373"/>
      <c r="BZ140" s="373"/>
      <c r="CB140" s="373"/>
      <c r="CD140" s="373"/>
      <c r="CE140" s="373"/>
      <c r="CF140" s="373"/>
      <c r="CG140" s="373"/>
      <c r="CH140" s="373"/>
      <c r="CI140" s="373"/>
      <c r="CJ140" s="373"/>
      <c r="CK140" s="373"/>
      <c r="CL140" s="373"/>
      <c r="CM140" s="373"/>
      <c r="CN140" s="373"/>
      <c r="CO140" s="373"/>
      <c r="CP140" s="373"/>
      <c r="CQ140" s="373"/>
      <c r="CR140" s="373"/>
      <c r="CS140" s="373"/>
      <c r="CT140" s="373"/>
      <c r="CU140" s="373"/>
      <c r="CV140" s="373"/>
      <c r="CW140" s="373"/>
      <c r="CX140" s="373"/>
      <c r="CY140" s="373"/>
      <c r="CZ140" s="373"/>
      <c r="DA140" s="373"/>
      <c r="DB140" s="373"/>
      <c r="DC140" s="373"/>
      <c r="DD140" s="373"/>
      <c r="DE140" s="373"/>
      <c r="DF140" s="373"/>
      <c r="DG140" s="373"/>
      <c r="DH140" s="373"/>
      <c r="DI140" s="373"/>
      <c r="DL140" s="373"/>
      <c r="DM140" s="373"/>
      <c r="DN140" s="373"/>
      <c r="DO140" s="373"/>
      <c r="DP140" s="373"/>
      <c r="DR140" s="373"/>
      <c r="DT140" s="373"/>
    </row>
    <row r="141" spans="1:124" x14ac:dyDescent="0.2">
      <c r="A141"/>
      <c r="B141" s="144"/>
      <c r="D141" s="341"/>
      <c r="F141" s="343"/>
      <c r="G141" s="343"/>
      <c r="H141" s="343"/>
      <c r="I141" s="343"/>
      <c r="J141" s="343"/>
      <c r="K141" s="343"/>
      <c r="L141" s="343"/>
      <c r="R141" s="373"/>
      <c r="T141" s="373"/>
      <c r="U141" s="373"/>
      <c r="V141" s="373"/>
      <c r="W141" s="373"/>
      <c r="X141" s="373"/>
      <c r="Y141" s="373"/>
      <c r="Z141" s="373"/>
      <c r="AA141" s="373"/>
      <c r="AB141" s="373"/>
      <c r="AC141" s="373"/>
      <c r="AD141" s="373"/>
      <c r="AE141" s="373"/>
      <c r="AG141" s="373"/>
      <c r="AH141" s="373"/>
      <c r="AI141" s="373"/>
      <c r="AJ141" s="373"/>
      <c r="AK141" s="373"/>
      <c r="AL141" s="373"/>
      <c r="AM141" s="373"/>
      <c r="AN141" s="373"/>
      <c r="AO141" s="373"/>
      <c r="AR141" s="373"/>
      <c r="AU141" s="373"/>
      <c r="AV141" s="373"/>
      <c r="AW141" s="373"/>
      <c r="AX141" s="373"/>
      <c r="AY141" s="373"/>
      <c r="AZ141" s="373"/>
      <c r="BA141" s="373"/>
      <c r="BB141" s="373"/>
      <c r="BC141" s="373"/>
      <c r="BD141" s="373"/>
      <c r="BE141" s="373"/>
      <c r="BF141" s="373"/>
      <c r="BI141" s="373"/>
      <c r="BJ141" s="373"/>
      <c r="BL141" s="373"/>
      <c r="BN141" s="373"/>
      <c r="BO141" s="373"/>
      <c r="BP141" s="373"/>
      <c r="BQ141" s="373"/>
      <c r="BR141" s="373"/>
      <c r="BS141" s="373"/>
      <c r="BT141" s="373"/>
      <c r="BU141" s="373"/>
      <c r="BV141" s="373"/>
      <c r="BW141" s="373"/>
      <c r="BX141" s="373"/>
      <c r="BY141" s="373"/>
      <c r="BZ141" s="373"/>
      <c r="CB141" s="373"/>
      <c r="CD141" s="373"/>
      <c r="CE141" s="373"/>
      <c r="CF141" s="373"/>
      <c r="CG141" s="373"/>
      <c r="CH141" s="373"/>
      <c r="CI141" s="373"/>
      <c r="CJ141" s="373"/>
      <c r="CK141" s="373"/>
      <c r="CL141" s="373"/>
      <c r="CM141" s="373"/>
      <c r="CN141" s="373"/>
      <c r="CO141" s="373"/>
      <c r="CP141" s="373"/>
      <c r="CQ141" s="373"/>
      <c r="CR141" s="373"/>
      <c r="CS141" s="373"/>
      <c r="CT141" s="373"/>
      <c r="CU141" s="373"/>
      <c r="CV141" s="373"/>
      <c r="CW141" s="373"/>
      <c r="CX141" s="373"/>
      <c r="CY141" s="373"/>
      <c r="CZ141" s="373"/>
      <c r="DA141" s="373"/>
      <c r="DB141" s="373"/>
      <c r="DC141" s="373"/>
      <c r="DD141" s="373"/>
      <c r="DE141" s="373"/>
      <c r="DF141" s="373"/>
      <c r="DG141" s="373"/>
      <c r="DH141" s="373"/>
      <c r="DI141" s="373"/>
      <c r="DL141" s="373"/>
      <c r="DM141" s="373"/>
      <c r="DN141" s="373"/>
      <c r="DO141" s="373"/>
      <c r="DP141" s="373"/>
      <c r="DR141" s="373"/>
      <c r="DT141" s="373"/>
    </row>
    <row r="142" spans="1:124" x14ac:dyDescent="0.2">
      <c r="A142"/>
      <c r="B142" s="144"/>
      <c r="D142" s="341"/>
      <c r="F142" s="343"/>
      <c r="G142" s="343"/>
      <c r="H142" s="343"/>
      <c r="I142" s="343"/>
      <c r="J142" s="343"/>
      <c r="K142" s="343"/>
      <c r="L142" s="343"/>
      <c r="R142" s="373"/>
      <c r="T142" s="373"/>
      <c r="U142" s="373"/>
      <c r="V142" s="373"/>
      <c r="W142" s="373"/>
      <c r="X142" s="373"/>
      <c r="Y142" s="373"/>
      <c r="Z142" s="373"/>
      <c r="AA142" s="373"/>
      <c r="AB142" s="373"/>
      <c r="AC142" s="373"/>
      <c r="AD142" s="373"/>
      <c r="AE142" s="373"/>
      <c r="AG142" s="373"/>
      <c r="AI142" s="373"/>
      <c r="AL142" s="373"/>
      <c r="AM142" s="373"/>
      <c r="AN142" s="373"/>
      <c r="AO142" s="373"/>
      <c r="AR142" s="373"/>
      <c r="AU142" s="373"/>
      <c r="AV142" s="373"/>
      <c r="AW142" s="373"/>
      <c r="AX142" s="373"/>
      <c r="AY142" s="373"/>
      <c r="BB142" s="373"/>
      <c r="BC142" s="373"/>
      <c r="BD142" s="373"/>
      <c r="BE142" s="373"/>
      <c r="BF142" s="373"/>
      <c r="BI142" s="373"/>
      <c r="BJ142" s="373"/>
      <c r="BN142" s="373"/>
      <c r="BO142" s="373"/>
      <c r="BP142" s="373"/>
      <c r="BQ142" s="373"/>
      <c r="BS142" s="373"/>
      <c r="BT142" s="373"/>
      <c r="BU142" s="373"/>
      <c r="BV142" s="373"/>
      <c r="BW142" s="373"/>
      <c r="BX142" s="373"/>
      <c r="BY142" s="373"/>
      <c r="CB142" s="373"/>
      <c r="CD142" s="373"/>
      <c r="CE142" s="373"/>
      <c r="CF142" s="373"/>
      <c r="CG142" s="373"/>
      <c r="CH142" s="373"/>
      <c r="CI142" s="373"/>
      <c r="CJ142" s="373"/>
      <c r="CK142" s="373"/>
      <c r="CL142" s="373"/>
      <c r="CM142" s="373"/>
      <c r="CN142" s="373"/>
      <c r="CO142" s="373"/>
      <c r="CP142" s="373"/>
      <c r="CQ142" s="373"/>
      <c r="CR142" s="373"/>
      <c r="CS142" s="373"/>
      <c r="CT142" s="373"/>
      <c r="CU142" s="373"/>
      <c r="CV142" s="373"/>
      <c r="CW142" s="373"/>
      <c r="CX142" s="373"/>
      <c r="CY142" s="373"/>
      <c r="CZ142" s="373"/>
      <c r="DA142" s="373"/>
      <c r="DB142" s="373"/>
      <c r="DC142" s="373"/>
      <c r="DD142" s="373"/>
      <c r="DE142" s="373"/>
      <c r="DF142" s="373"/>
      <c r="DG142" s="373"/>
      <c r="DH142" s="373"/>
      <c r="DI142" s="373"/>
      <c r="DL142" s="373"/>
      <c r="DM142" s="373"/>
      <c r="DN142" s="373"/>
      <c r="DO142" s="373"/>
      <c r="DP142" s="373"/>
      <c r="DR142" s="373"/>
      <c r="DT142" s="373"/>
    </row>
    <row r="143" spans="1:124" x14ac:dyDescent="0.2">
      <c r="A143"/>
      <c r="B143" s="144"/>
      <c r="D143" s="341"/>
      <c r="F143" s="343"/>
      <c r="G143" s="343"/>
      <c r="H143" s="343"/>
      <c r="I143" s="343"/>
      <c r="J143" s="343"/>
      <c r="K143" s="343"/>
      <c r="L143" s="343"/>
      <c r="R143" s="373"/>
      <c r="T143" s="373"/>
      <c r="U143" s="373"/>
      <c r="V143" s="373"/>
      <c r="W143" s="373"/>
      <c r="X143" s="373"/>
      <c r="Y143" s="373"/>
      <c r="Z143" s="373"/>
      <c r="AA143" s="373"/>
      <c r="AB143" s="373"/>
      <c r="AC143" s="373"/>
      <c r="AD143" s="373"/>
      <c r="AE143" s="373"/>
      <c r="AG143" s="373"/>
      <c r="AI143" s="373"/>
      <c r="AL143" s="373"/>
      <c r="AM143" s="373"/>
      <c r="AN143" s="373"/>
      <c r="AO143" s="373"/>
      <c r="AR143" s="373"/>
      <c r="AU143" s="373"/>
      <c r="AV143" s="373"/>
      <c r="AW143" s="373"/>
      <c r="AX143" s="373"/>
      <c r="AY143" s="373"/>
      <c r="BB143" s="373"/>
      <c r="BC143" s="373"/>
      <c r="BD143" s="373"/>
      <c r="BE143" s="373"/>
      <c r="BF143" s="373"/>
      <c r="BI143" s="373"/>
      <c r="BJ143" s="373"/>
      <c r="BN143" s="373"/>
      <c r="BO143" s="373"/>
      <c r="BP143" s="373"/>
      <c r="BQ143" s="373"/>
      <c r="BS143" s="373"/>
      <c r="BT143" s="373"/>
      <c r="BU143" s="373"/>
      <c r="BV143" s="373"/>
      <c r="BW143" s="373"/>
      <c r="BX143" s="373"/>
      <c r="BY143" s="373"/>
      <c r="CB143" s="373"/>
      <c r="CD143" s="373"/>
      <c r="CE143" s="373"/>
      <c r="CF143" s="373"/>
      <c r="CG143" s="373"/>
      <c r="CH143" s="373"/>
      <c r="CI143" s="373"/>
      <c r="CJ143" s="373"/>
      <c r="CK143" s="373"/>
      <c r="CL143" s="373"/>
      <c r="CM143" s="373"/>
      <c r="CN143" s="373"/>
      <c r="CO143" s="373"/>
      <c r="CP143" s="373"/>
      <c r="CQ143" s="373"/>
      <c r="CR143" s="373"/>
      <c r="CS143" s="373"/>
      <c r="CT143" s="373"/>
      <c r="CU143" s="373"/>
      <c r="CV143" s="373"/>
      <c r="CW143" s="373"/>
      <c r="CX143" s="373"/>
      <c r="CY143" s="373"/>
      <c r="CZ143" s="373"/>
      <c r="DA143" s="373"/>
      <c r="DB143" s="373"/>
      <c r="DC143" s="373"/>
      <c r="DD143" s="373"/>
      <c r="DE143" s="373"/>
      <c r="DF143" s="373"/>
      <c r="DG143" s="373"/>
      <c r="DH143" s="373"/>
      <c r="DI143" s="373"/>
      <c r="DL143" s="373"/>
      <c r="DM143" s="373"/>
      <c r="DN143" s="373"/>
      <c r="DO143" s="373"/>
      <c r="DP143" s="373"/>
      <c r="DR143" s="373"/>
      <c r="DT143" s="373"/>
    </row>
    <row r="144" spans="1:124" x14ac:dyDescent="0.2">
      <c r="A144"/>
      <c r="B144" s="144"/>
      <c r="D144" s="341"/>
      <c r="F144" s="343"/>
      <c r="G144" s="343"/>
      <c r="H144" s="343"/>
      <c r="I144" s="343"/>
      <c r="J144" s="343"/>
      <c r="K144" s="343"/>
      <c r="L144" s="343"/>
      <c r="R144" s="373"/>
      <c r="T144" s="373"/>
      <c r="U144" s="373"/>
      <c r="V144" s="373"/>
      <c r="W144" s="373"/>
      <c r="X144" s="373"/>
      <c r="Y144" s="373"/>
      <c r="Z144" s="373"/>
      <c r="AA144" s="373"/>
      <c r="AB144" s="373"/>
      <c r="AC144" s="373"/>
      <c r="AD144" s="373"/>
      <c r="AE144" s="373"/>
      <c r="AG144" s="373"/>
      <c r="AI144" s="373"/>
      <c r="AL144" s="373"/>
      <c r="AM144" s="373"/>
      <c r="AN144" s="373"/>
      <c r="AO144" s="373"/>
      <c r="AR144" s="373"/>
      <c r="AU144" s="373"/>
      <c r="AV144" s="373"/>
      <c r="AW144" s="373"/>
      <c r="AX144" s="373"/>
      <c r="AY144" s="373"/>
      <c r="BB144" s="373"/>
      <c r="BC144" s="373"/>
      <c r="BD144" s="373"/>
      <c r="BE144" s="373"/>
      <c r="BF144" s="373"/>
      <c r="BI144" s="373"/>
      <c r="BJ144" s="373"/>
      <c r="BN144" s="373"/>
      <c r="BO144" s="373"/>
      <c r="BP144" s="373"/>
      <c r="BQ144" s="373"/>
      <c r="BS144" s="373"/>
      <c r="BT144" s="373"/>
      <c r="BU144" s="373"/>
      <c r="BV144" s="373"/>
      <c r="BW144" s="373"/>
      <c r="BX144" s="373"/>
      <c r="BY144" s="373"/>
      <c r="CB144" s="373"/>
      <c r="CD144" s="373"/>
      <c r="CE144" s="373"/>
      <c r="CF144" s="373"/>
      <c r="CG144" s="373"/>
      <c r="CH144" s="373"/>
      <c r="CI144" s="373"/>
      <c r="CJ144" s="373"/>
      <c r="CK144" s="373"/>
      <c r="CL144" s="373"/>
      <c r="CM144" s="373"/>
      <c r="CN144" s="373"/>
      <c r="CO144" s="373"/>
      <c r="CP144" s="373"/>
      <c r="CQ144" s="373"/>
      <c r="CR144" s="373"/>
      <c r="CS144" s="373"/>
      <c r="CT144" s="373"/>
      <c r="CU144" s="373"/>
      <c r="CV144" s="373"/>
      <c r="CW144" s="373"/>
      <c r="CX144" s="373"/>
      <c r="CY144" s="373"/>
      <c r="CZ144" s="373"/>
      <c r="DA144" s="373"/>
      <c r="DB144" s="373"/>
      <c r="DC144" s="373"/>
      <c r="DD144" s="373"/>
      <c r="DE144" s="373"/>
      <c r="DF144" s="373"/>
      <c r="DG144" s="373"/>
      <c r="DH144" s="373"/>
      <c r="DI144" s="373"/>
      <c r="DL144" s="373"/>
      <c r="DM144" s="373"/>
      <c r="DN144" s="373"/>
      <c r="DO144" s="373"/>
      <c r="DP144" s="373"/>
      <c r="DR144" s="373"/>
      <c r="DT144" s="373"/>
    </row>
    <row r="145" spans="1:124" x14ac:dyDescent="0.2">
      <c r="A145"/>
      <c r="B145" s="144"/>
      <c r="D145" s="341"/>
      <c r="F145" s="343"/>
      <c r="G145" s="343"/>
      <c r="H145" s="343"/>
      <c r="I145" s="343"/>
      <c r="J145" s="343"/>
      <c r="K145" s="343"/>
      <c r="L145" s="343"/>
      <c r="R145" s="373"/>
      <c r="T145" s="373"/>
      <c r="U145" s="373"/>
      <c r="V145" s="373"/>
      <c r="W145" s="373"/>
      <c r="X145" s="373"/>
      <c r="Y145" s="373"/>
      <c r="Z145" s="373"/>
      <c r="AA145" s="373"/>
      <c r="AB145" s="373"/>
      <c r="AC145" s="373"/>
      <c r="AD145" s="373"/>
      <c r="AE145" s="373"/>
      <c r="AG145" s="373"/>
      <c r="AI145" s="373"/>
      <c r="AL145" s="373"/>
      <c r="AM145" s="373"/>
      <c r="AN145" s="373"/>
      <c r="AO145" s="373"/>
      <c r="AR145" s="373"/>
      <c r="AU145" s="373"/>
      <c r="AV145" s="373"/>
      <c r="AW145" s="373"/>
      <c r="AX145" s="373"/>
      <c r="AY145" s="373"/>
      <c r="BB145" s="373"/>
      <c r="BC145" s="373"/>
      <c r="BD145" s="373"/>
      <c r="BE145" s="373"/>
      <c r="BF145" s="373"/>
      <c r="BI145" s="373"/>
      <c r="BJ145" s="373"/>
      <c r="BN145" s="373"/>
      <c r="BO145" s="373"/>
      <c r="BP145" s="373"/>
      <c r="BQ145" s="373"/>
      <c r="BS145" s="373"/>
      <c r="BT145" s="373"/>
      <c r="BU145" s="373"/>
      <c r="BV145" s="373"/>
      <c r="BW145" s="373"/>
      <c r="BX145" s="373"/>
      <c r="BY145" s="373"/>
      <c r="CB145" s="373"/>
      <c r="CD145" s="373"/>
      <c r="CE145" s="373"/>
      <c r="CF145" s="373"/>
      <c r="CG145" s="373"/>
      <c r="CH145" s="373"/>
      <c r="CI145" s="373"/>
      <c r="CJ145" s="373"/>
      <c r="CK145" s="373"/>
      <c r="CL145" s="373"/>
      <c r="CM145" s="373"/>
      <c r="CN145" s="373"/>
      <c r="CO145" s="373"/>
      <c r="CP145" s="373"/>
      <c r="CQ145" s="373"/>
      <c r="CR145" s="373"/>
      <c r="CS145" s="373"/>
      <c r="CT145" s="373"/>
      <c r="CU145" s="373"/>
      <c r="CV145" s="373"/>
      <c r="CW145" s="373"/>
      <c r="CX145" s="373"/>
      <c r="CY145" s="373"/>
      <c r="CZ145" s="373"/>
      <c r="DA145" s="373"/>
      <c r="DB145" s="373"/>
      <c r="DC145" s="373"/>
      <c r="DD145" s="373"/>
      <c r="DE145" s="373"/>
      <c r="DF145" s="373"/>
      <c r="DG145" s="373"/>
      <c r="DH145" s="373"/>
      <c r="DI145" s="373"/>
      <c r="DL145" s="373"/>
      <c r="DM145" s="373"/>
      <c r="DN145" s="373"/>
      <c r="DO145" s="373"/>
      <c r="DP145" s="373"/>
      <c r="DR145" s="373"/>
      <c r="DT145" s="373"/>
    </row>
    <row r="146" spans="1:124" x14ac:dyDescent="0.2">
      <c r="A146"/>
      <c r="B146" s="144"/>
      <c r="D146" s="341"/>
      <c r="F146" s="343"/>
      <c r="G146" s="343"/>
      <c r="H146" s="343"/>
      <c r="I146" s="343"/>
      <c r="J146" s="343"/>
      <c r="K146" s="343"/>
      <c r="L146" s="343"/>
      <c r="R146" s="373"/>
      <c r="T146" s="373"/>
      <c r="U146" s="373"/>
      <c r="V146" s="373"/>
      <c r="W146" s="373"/>
      <c r="X146" s="373"/>
      <c r="Y146" s="373"/>
      <c r="Z146" s="373"/>
      <c r="AA146" s="373"/>
      <c r="AB146" s="373"/>
      <c r="AC146" s="373"/>
      <c r="AD146" s="373"/>
      <c r="AE146" s="373"/>
      <c r="AG146" s="373"/>
      <c r="AI146" s="373"/>
      <c r="AL146" s="373"/>
      <c r="AM146" s="373"/>
      <c r="AN146" s="373"/>
      <c r="AO146" s="373"/>
      <c r="AR146" s="373"/>
      <c r="AU146" s="373"/>
      <c r="AV146" s="373"/>
      <c r="AW146" s="373"/>
      <c r="AX146" s="373"/>
      <c r="AY146" s="373"/>
      <c r="BB146" s="373"/>
      <c r="BC146" s="373"/>
      <c r="BD146" s="373"/>
      <c r="BE146" s="373"/>
      <c r="BF146" s="373"/>
      <c r="BI146" s="373"/>
      <c r="BJ146" s="373"/>
      <c r="BN146" s="373"/>
      <c r="BO146" s="373"/>
      <c r="BP146" s="373"/>
      <c r="BQ146" s="373"/>
      <c r="BS146" s="373"/>
      <c r="BT146" s="373"/>
      <c r="BU146" s="373"/>
      <c r="BV146" s="373"/>
      <c r="BW146" s="373"/>
      <c r="BX146" s="373"/>
      <c r="BY146" s="373"/>
      <c r="CB146" s="373"/>
      <c r="CD146" s="373"/>
      <c r="CE146" s="373"/>
      <c r="CF146" s="373"/>
      <c r="CG146" s="373"/>
      <c r="CH146" s="373"/>
      <c r="CI146" s="373"/>
      <c r="CJ146" s="373"/>
      <c r="CK146" s="373"/>
      <c r="CL146" s="373"/>
      <c r="CM146" s="373"/>
      <c r="CN146" s="373"/>
      <c r="CO146" s="373"/>
      <c r="CP146" s="373"/>
      <c r="CQ146" s="373"/>
      <c r="CR146" s="373"/>
      <c r="CS146" s="373"/>
      <c r="CT146" s="373"/>
      <c r="CU146" s="373"/>
      <c r="CV146" s="373"/>
      <c r="CW146" s="373"/>
      <c r="CX146" s="373"/>
      <c r="CY146" s="373"/>
      <c r="CZ146" s="373"/>
      <c r="DA146" s="373"/>
      <c r="DB146" s="373"/>
      <c r="DC146" s="373"/>
      <c r="DD146" s="373"/>
      <c r="DE146" s="373"/>
      <c r="DF146" s="373"/>
      <c r="DG146" s="373"/>
      <c r="DH146" s="373"/>
      <c r="DI146" s="373"/>
      <c r="DL146" s="373"/>
      <c r="DM146" s="373"/>
      <c r="DN146" s="373"/>
      <c r="DO146" s="373"/>
      <c r="DP146" s="373"/>
      <c r="DR146" s="373"/>
      <c r="DT146" s="373"/>
    </row>
    <row r="147" spans="1:124" x14ac:dyDescent="0.2">
      <c r="A147"/>
      <c r="B147" s="144"/>
      <c r="D147" s="341"/>
      <c r="F147" s="343"/>
      <c r="G147" s="343"/>
      <c r="H147" s="343"/>
      <c r="I147" s="343"/>
      <c r="J147" s="343"/>
      <c r="K147" s="343"/>
      <c r="L147" s="343"/>
      <c r="R147" s="373"/>
      <c r="T147" s="373"/>
      <c r="U147" s="373"/>
      <c r="V147" s="373"/>
      <c r="W147" s="373"/>
      <c r="X147" s="373"/>
      <c r="Y147" s="373"/>
      <c r="Z147" s="373"/>
      <c r="AA147" s="373"/>
      <c r="AB147" s="373"/>
      <c r="AC147" s="373"/>
      <c r="AD147" s="373"/>
      <c r="AE147" s="373"/>
      <c r="AF147" s="373"/>
      <c r="AG147" s="373"/>
      <c r="AH147" s="373"/>
      <c r="AI147" s="373"/>
      <c r="AJ147" s="373"/>
      <c r="AL147" s="373"/>
      <c r="AM147" s="373"/>
      <c r="AN147" s="373"/>
      <c r="AO147" s="373"/>
      <c r="AR147" s="373"/>
      <c r="AU147" s="373"/>
      <c r="AV147" s="373"/>
      <c r="AW147" s="373"/>
      <c r="AX147" s="373"/>
      <c r="AY147" s="373"/>
      <c r="BB147" s="373"/>
      <c r="BC147" s="373"/>
      <c r="BD147" s="373"/>
      <c r="BE147" s="373"/>
      <c r="BF147" s="373"/>
      <c r="BI147" s="373"/>
      <c r="BJ147" s="373"/>
      <c r="BN147" s="373"/>
      <c r="BO147" s="373"/>
      <c r="BP147" s="373"/>
      <c r="BQ147" s="373"/>
      <c r="BS147" s="373"/>
      <c r="BT147" s="373"/>
      <c r="BU147" s="373"/>
      <c r="BV147" s="373"/>
      <c r="BW147" s="373"/>
      <c r="BX147" s="373"/>
      <c r="BY147" s="373"/>
      <c r="CB147" s="373"/>
      <c r="CD147" s="373"/>
      <c r="CE147" s="373"/>
      <c r="CF147" s="373"/>
      <c r="CG147" s="373"/>
      <c r="CH147" s="373"/>
      <c r="CI147" s="373"/>
      <c r="CJ147" s="373"/>
      <c r="CK147" s="373"/>
      <c r="CL147" s="373"/>
      <c r="CM147" s="373"/>
      <c r="CN147" s="373"/>
      <c r="CO147" s="373"/>
      <c r="CP147" s="373"/>
      <c r="CQ147" s="373"/>
      <c r="CR147" s="373"/>
      <c r="CS147" s="373"/>
      <c r="CT147" s="373"/>
      <c r="CU147" s="373"/>
      <c r="CV147" s="373"/>
      <c r="CW147" s="373"/>
      <c r="CX147" s="373"/>
      <c r="CY147" s="373"/>
      <c r="CZ147" s="373"/>
      <c r="DA147" s="373"/>
      <c r="DB147" s="373"/>
      <c r="DC147" s="373"/>
      <c r="DD147" s="373"/>
      <c r="DE147" s="373"/>
      <c r="DF147" s="373"/>
      <c r="DG147" s="373"/>
      <c r="DH147" s="373"/>
      <c r="DI147" s="373"/>
      <c r="DL147" s="373"/>
      <c r="DM147" s="373"/>
      <c r="DN147" s="373"/>
      <c r="DO147" s="373"/>
      <c r="DP147" s="373"/>
      <c r="DR147" s="373"/>
      <c r="DT147" s="373"/>
    </row>
    <row r="148" spans="1:124" x14ac:dyDescent="0.2">
      <c r="A148"/>
      <c r="B148" s="144"/>
      <c r="D148" s="341"/>
      <c r="F148" s="343"/>
      <c r="G148" s="343"/>
      <c r="H148" s="343"/>
      <c r="I148" s="343"/>
      <c r="J148" s="343"/>
      <c r="K148" s="343"/>
      <c r="L148" s="343"/>
      <c r="R148" s="373"/>
      <c r="T148" s="373"/>
      <c r="U148" s="373"/>
      <c r="V148" s="373"/>
      <c r="W148" s="373"/>
      <c r="X148" s="373"/>
      <c r="Y148" s="373"/>
      <c r="Z148" s="373"/>
      <c r="AA148" s="373"/>
      <c r="AB148" s="373"/>
      <c r="AC148" s="373"/>
      <c r="AD148" s="373"/>
      <c r="AE148" s="373"/>
      <c r="AF148" s="373"/>
      <c r="AG148" s="373"/>
      <c r="AH148" s="373"/>
      <c r="AI148" s="373"/>
      <c r="AJ148" s="373"/>
      <c r="AL148" s="373"/>
      <c r="AM148" s="373"/>
      <c r="AN148" s="373"/>
      <c r="AO148" s="373"/>
      <c r="AR148" s="373"/>
      <c r="AU148" s="373"/>
      <c r="AV148" s="373"/>
      <c r="AW148" s="373"/>
      <c r="AX148" s="373"/>
      <c r="AY148" s="373"/>
      <c r="BB148" s="373"/>
      <c r="BC148" s="373"/>
      <c r="BD148" s="373"/>
      <c r="BE148" s="373"/>
      <c r="BF148" s="373"/>
      <c r="BI148" s="373"/>
      <c r="BJ148" s="373"/>
      <c r="BN148" s="373"/>
      <c r="BO148" s="373"/>
      <c r="BP148" s="373"/>
      <c r="BQ148" s="373"/>
      <c r="BS148" s="373"/>
      <c r="BT148" s="373"/>
      <c r="BU148" s="373"/>
      <c r="BV148" s="373"/>
      <c r="BW148" s="373"/>
      <c r="BX148" s="373"/>
      <c r="BY148" s="373"/>
      <c r="CD148" s="373"/>
      <c r="CF148" s="373"/>
      <c r="CH148" s="373"/>
      <c r="CJ148" s="373"/>
      <c r="CK148" s="373"/>
      <c r="CL148" s="373"/>
      <c r="CM148" s="373"/>
      <c r="CN148" s="373"/>
      <c r="CO148" s="373"/>
      <c r="CP148" s="373"/>
      <c r="CQ148" s="373"/>
      <c r="CR148" s="373"/>
      <c r="CS148" s="373"/>
      <c r="CT148" s="373"/>
      <c r="CU148" s="373"/>
      <c r="CV148" s="373"/>
      <c r="CW148" s="373"/>
      <c r="CX148" s="373"/>
      <c r="CY148" s="373"/>
      <c r="CZ148" s="373"/>
      <c r="DA148" s="373"/>
      <c r="DB148" s="373"/>
      <c r="DC148" s="373"/>
      <c r="DD148" s="373"/>
      <c r="DE148" s="373"/>
      <c r="DF148" s="373"/>
      <c r="DG148" s="373"/>
      <c r="DH148" s="373"/>
      <c r="DI148" s="373"/>
      <c r="DL148" s="373"/>
      <c r="DM148" s="373"/>
      <c r="DN148" s="373"/>
      <c r="DO148" s="373"/>
      <c r="DP148" s="373"/>
      <c r="DR148" s="373"/>
      <c r="DT148" s="373"/>
    </row>
    <row r="149" spans="1:124" x14ac:dyDescent="0.2">
      <c r="A149"/>
      <c r="B149" s="144"/>
      <c r="D149" s="341"/>
      <c r="F149" s="343"/>
      <c r="G149" s="343"/>
      <c r="H149" s="343"/>
      <c r="I149" s="343"/>
      <c r="J149" s="343"/>
      <c r="K149" s="343"/>
      <c r="L149" s="343"/>
      <c r="R149" s="373"/>
      <c r="T149" s="373"/>
      <c r="U149" s="373"/>
      <c r="V149" s="373"/>
      <c r="W149" s="373"/>
      <c r="X149" s="373"/>
      <c r="Y149" s="373"/>
      <c r="Z149" s="373"/>
      <c r="AA149" s="373"/>
      <c r="AB149" s="373"/>
      <c r="AC149" s="373"/>
      <c r="AD149" s="373"/>
      <c r="AE149" s="373"/>
      <c r="AF149" s="373"/>
      <c r="AG149" s="373"/>
      <c r="AH149" s="373"/>
      <c r="AI149" s="373"/>
      <c r="AJ149" s="373"/>
      <c r="AL149" s="373"/>
      <c r="AM149" s="373"/>
      <c r="AN149" s="373"/>
      <c r="AO149" s="373"/>
      <c r="AR149" s="373"/>
      <c r="AU149" s="373"/>
      <c r="AV149" s="373"/>
      <c r="AW149" s="373"/>
      <c r="AX149" s="373"/>
      <c r="AY149" s="373"/>
      <c r="BB149" s="373"/>
      <c r="BC149" s="373"/>
      <c r="BD149" s="373"/>
      <c r="BE149" s="373"/>
      <c r="BF149" s="373"/>
      <c r="BI149" s="373"/>
      <c r="BJ149" s="373"/>
      <c r="BN149" s="373"/>
      <c r="BO149" s="373"/>
      <c r="BP149" s="373"/>
      <c r="BQ149" s="373"/>
      <c r="BS149" s="373"/>
      <c r="BT149" s="373"/>
      <c r="BU149" s="373"/>
      <c r="BV149" s="373"/>
      <c r="BW149" s="373"/>
      <c r="BX149" s="373"/>
      <c r="BY149" s="373"/>
      <c r="CD149" s="373"/>
      <c r="CF149" s="373"/>
      <c r="CH149" s="373"/>
      <c r="CJ149" s="373"/>
      <c r="CK149" s="373"/>
      <c r="CL149" s="373"/>
      <c r="CM149" s="373"/>
      <c r="CN149" s="373"/>
      <c r="CO149" s="373"/>
      <c r="CP149" s="373"/>
      <c r="CQ149" s="373"/>
      <c r="CR149" s="373"/>
      <c r="CS149" s="373"/>
      <c r="CT149" s="373"/>
      <c r="CU149" s="373"/>
      <c r="CV149" s="373"/>
      <c r="CW149" s="373"/>
      <c r="CX149" s="373"/>
      <c r="CY149" s="373"/>
      <c r="CZ149" s="373"/>
      <c r="DA149" s="373"/>
      <c r="DB149" s="373"/>
      <c r="DC149" s="373"/>
      <c r="DD149" s="373"/>
      <c r="DE149" s="373"/>
      <c r="DF149" s="373"/>
      <c r="DG149" s="373"/>
      <c r="DH149" s="373"/>
      <c r="DI149" s="373"/>
      <c r="DL149" s="373"/>
      <c r="DM149" s="373"/>
      <c r="DN149" s="373"/>
      <c r="DO149" s="373"/>
      <c r="DP149" s="373"/>
      <c r="DR149" s="373"/>
      <c r="DT149" s="373"/>
    </row>
    <row r="150" spans="1:124" x14ac:dyDescent="0.2">
      <c r="A150"/>
      <c r="B150" s="144"/>
      <c r="D150" s="341"/>
      <c r="F150" s="343"/>
      <c r="G150" s="343"/>
      <c r="H150" s="343"/>
      <c r="I150" s="343"/>
      <c r="J150" s="343"/>
      <c r="K150" s="343"/>
      <c r="L150" s="343"/>
      <c r="R150" s="373"/>
      <c r="T150" s="373"/>
      <c r="U150" s="373"/>
      <c r="V150" s="373"/>
      <c r="W150" s="373"/>
      <c r="X150" s="373"/>
      <c r="Y150" s="373"/>
      <c r="Z150" s="373"/>
      <c r="AA150" s="373"/>
      <c r="AB150" s="373"/>
      <c r="AC150" s="373"/>
      <c r="AD150" s="373"/>
      <c r="AE150" s="373"/>
      <c r="AF150" s="373"/>
      <c r="AG150" s="373"/>
      <c r="AH150" s="373"/>
      <c r="AI150" s="373"/>
      <c r="AJ150" s="373"/>
      <c r="AL150" s="373"/>
      <c r="AM150" s="373"/>
      <c r="AN150" s="373"/>
      <c r="AO150" s="373"/>
      <c r="AR150" s="373"/>
      <c r="AU150" s="373"/>
      <c r="AV150" s="373"/>
      <c r="AW150" s="373"/>
      <c r="AX150" s="373"/>
      <c r="AY150" s="373"/>
      <c r="BB150" s="373"/>
      <c r="BC150" s="373"/>
      <c r="BD150" s="373"/>
      <c r="BE150" s="373"/>
      <c r="BF150" s="373"/>
      <c r="BI150" s="373"/>
      <c r="BJ150" s="373"/>
      <c r="BN150" s="373"/>
      <c r="BO150" s="373"/>
      <c r="BP150" s="373"/>
      <c r="BQ150" s="373"/>
      <c r="BS150" s="373"/>
      <c r="BT150" s="373"/>
      <c r="BU150" s="373"/>
      <c r="BV150" s="373"/>
      <c r="BW150" s="373"/>
      <c r="BX150" s="373"/>
      <c r="BY150" s="373"/>
      <c r="CD150" s="373"/>
      <c r="CF150" s="373"/>
      <c r="CH150" s="373"/>
      <c r="CJ150" s="373"/>
      <c r="CK150" s="373"/>
      <c r="CL150" s="373"/>
      <c r="CM150" s="373"/>
      <c r="CN150" s="373"/>
      <c r="CO150" s="373"/>
      <c r="CP150" s="373"/>
      <c r="CQ150" s="373"/>
      <c r="CR150" s="373"/>
      <c r="CS150" s="373"/>
      <c r="CT150" s="373"/>
      <c r="CU150" s="373"/>
      <c r="CV150" s="373"/>
      <c r="CW150" s="373"/>
      <c r="CX150" s="373"/>
      <c r="CY150" s="373"/>
      <c r="CZ150" s="373"/>
      <c r="DA150" s="373"/>
      <c r="DB150" s="373"/>
      <c r="DC150" s="373"/>
      <c r="DD150" s="373"/>
      <c r="DE150" s="373"/>
      <c r="DF150" s="373"/>
      <c r="DG150" s="373"/>
      <c r="DH150" s="373"/>
      <c r="DI150" s="373"/>
      <c r="DL150" s="373"/>
      <c r="DM150" s="373"/>
      <c r="DN150" s="373"/>
      <c r="DO150" s="373"/>
      <c r="DP150" s="373"/>
      <c r="DR150" s="373"/>
      <c r="DT150" s="373"/>
    </row>
    <row r="151" spans="1:124" x14ac:dyDescent="0.2">
      <c r="B151" s="144"/>
      <c r="D151" s="341"/>
      <c r="F151" s="343"/>
      <c r="G151" s="343"/>
      <c r="H151" s="343"/>
      <c r="I151" s="343"/>
      <c r="J151" s="343"/>
      <c r="K151" s="343"/>
      <c r="L151" s="343"/>
      <c r="R151" s="373"/>
      <c r="T151" s="373"/>
      <c r="U151" s="373"/>
      <c r="V151" s="373"/>
      <c r="W151" s="373"/>
      <c r="X151" s="373"/>
      <c r="Y151" s="373"/>
      <c r="Z151" s="373"/>
      <c r="AA151" s="373"/>
      <c r="AB151" s="373"/>
      <c r="AC151" s="373"/>
      <c r="AD151" s="373"/>
      <c r="AE151" s="373"/>
      <c r="AF151" s="373"/>
      <c r="AG151" s="373"/>
      <c r="AH151" s="373"/>
      <c r="AI151" s="373"/>
      <c r="AJ151" s="373"/>
      <c r="AL151" s="373"/>
      <c r="AM151" s="373"/>
      <c r="AN151" s="373"/>
      <c r="AO151" s="373"/>
      <c r="AR151" s="373"/>
      <c r="AU151" s="373"/>
      <c r="AV151" s="373"/>
      <c r="AW151" s="373"/>
      <c r="AX151" s="373"/>
      <c r="AY151" s="373"/>
      <c r="BB151" s="373"/>
      <c r="BC151" s="373"/>
      <c r="BD151" s="373"/>
      <c r="BE151" s="373"/>
      <c r="BF151" s="373"/>
      <c r="BI151" s="373"/>
      <c r="BJ151" s="373"/>
      <c r="BN151" s="373"/>
      <c r="BO151" s="373"/>
      <c r="BP151" s="373"/>
      <c r="BQ151" s="373"/>
      <c r="BS151" s="373"/>
      <c r="BT151" s="373"/>
      <c r="BU151" s="373"/>
      <c r="BV151" s="373"/>
      <c r="BW151" s="373"/>
      <c r="BX151" s="373"/>
      <c r="BY151" s="373"/>
      <c r="CD151" s="373"/>
      <c r="CF151" s="373"/>
      <c r="CH151" s="373"/>
      <c r="CJ151" s="373"/>
      <c r="CK151" s="373"/>
      <c r="CL151" s="373"/>
      <c r="CM151" s="373"/>
      <c r="CN151" s="373"/>
      <c r="CO151" s="373"/>
      <c r="CP151" s="373"/>
      <c r="CQ151" s="373"/>
      <c r="CR151" s="373"/>
      <c r="CS151" s="373"/>
      <c r="CT151" s="373"/>
      <c r="CU151" s="373"/>
      <c r="CV151" s="373"/>
      <c r="CW151" s="373"/>
      <c r="CX151" s="373"/>
      <c r="CY151" s="373"/>
      <c r="CZ151" s="373"/>
      <c r="DA151" s="373"/>
      <c r="DB151" s="373"/>
      <c r="DC151" s="373"/>
      <c r="DD151" s="373"/>
      <c r="DE151" s="373"/>
      <c r="DF151" s="373"/>
      <c r="DG151" s="373"/>
      <c r="DH151" s="373"/>
      <c r="DI151" s="373"/>
      <c r="DL151" s="373"/>
      <c r="DM151" s="373"/>
      <c r="DN151" s="373"/>
      <c r="DO151" s="373"/>
      <c r="DP151" s="373"/>
      <c r="DR151" s="373"/>
      <c r="DT151" s="373"/>
    </row>
    <row r="152" spans="1:124" x14ac:dyDescent="0.2">
      <c r="A152"/>
      <c r="B152" s="144"/>
      <c r="D152" s="341"/>
      <c r="F152" s="343"/>
      <c r="G152" s="343"/>
      <c r="H152" s="343"/>
      <c r="I152" s="343"/>
      <c r="J152" s="343"/>
      <c r="K152" s="343"/>
      <c r="L152" s="343"/>
      <c r="R152" s="373"/>
      <c r="T152" s="373"/>
      <c r="U152" s="373"/>
      <c r="V152" s="373"/>
      <c r="W152" s="373"/>
      <c r="X152" s="373"/>
      <c r="Y152" s="373"/>
      <c r="Z152" s="373"/>
      <c r="AA152" s="373"/>
      <c r="AB152" s="373"/>
      <c r="AC152" s="373"/>
      <c r="AD152" s="373"/>
      <c r="AE152" s="373"/>
      <c r="AG152" s="373"/>
      <c r="AI152" s="373"/>
      <c r="AL152" s="373"/>
      <c r="AM152" s="373"/>
      <c r="AN152" s="373"/>
      <c r="AO152" s="373"/>
      <c r="AR152" s="373"/>
      <c r="AU152" s="373"/>
      <c r="AV152" s="373"/>
      <c r="AW152" s="373"/>
      <c r="AX152" s="373"/>
      <c r="AY152" s="373"/>
      <c r="BB152" s="373"/>
      <c r="BC152" s="373"/>
      <c r="BD152" s="373"/>
      <c r="BE152" s="373"/>
      <c r="BF152" s="373"/>
      <c r="BI152" s="373"/>
      <c r="BJ152" s="373"/>
      <c r="BN152" s="373"/>
      <c r="BO152" s="373"/>
      <c r="BP152" s="373"/>
      <c r="BQ152" s="373"/>
      <c r="BS152" s="373"/>
      <c r="BT152" s="373"/>
      <c r="BU152" s="373"/>
      <c r="BV152" s="373"/>
      <c r="BW152" s="373"/>
      <c r="BX152" s="373"/>
      <c r="BY152" s="373"/>
      <c r="CD152" s="373"/>
      <c r="CF152" s="373"/>
      <c r="CH152" s="373"/>
      <c r="CJ152" s="373"/>
      <c r="CK152" s="373"/>
      <c r="CL152" s="373"/>
      <c r="CM152" s="373"/>
      <c r="CN152" s="373"/>
      <c r="CO152" s="373"/>
      <c r="CP152" s="373"/>
      <c r="CQ152" s="373"/>
      <c r="CR152" s="373"/>
      <c r="CS152" s="373"/>
      <c r="CT152" s="373"/>
      <c r="CU152" s="373"/>
      <c r="CV152" s="373"/>
      <c r="CW152" s="373"/>
      <c r="CX152" s="373"/>
      <c r="CY152" s="373"/>
      <c r="CZ152" s="373"/>
      <c r="DA152" s="373"/>
      <c r="DB152" s="373"/>
      <c r="DC152" s="373"/>
      <c r="DD152" s="373"/>
      <c r="DE152" s="373"/>
      <c r="DF152" s="373"/>
      <c r="DG152" s="373"/>
      <c r="DH152" s="373"/>
      <c r="DI152" s="373"/>
      <c r="DL152" s="373"/>
      <c r="DM152" s="373"/>
      <c r="DN152" s="373"/>
      <c r="DO152" s="373"/>
      <c r="DP152" s="373"/>
      <c r="DR152" s="373"/>
      <c r="DT152" s="373"/>
    </row>
    <row r="153" spans="1:124" x14ac:dyDescent="0.2">
      <c r="A153"/>
      <c r="B153" s="144"/>
      <c r="D153" s="341"/>
      <c r="F153" s="343"/>
      <c r="G153" s="343"/>
      <c r="H153" s="343"/>
      <c r="I153" s="343"/>
      <c r="J153" s="343"/>
      <c r="K153" s="343"/>
      <c r="L153" s="343"/>
      <c r="R153" s="373"/>
      <c r="T153" s="373"/>
      <c r="U153" s="373"/>
      <c r="V153" s="373"/>
      <c r="W153" s="373"/>
      <c r="X153" s="373"/>
      <c r="Y153" s="373"/>
      <c r="Z153" s="373"/>
      <c r="AA153" s="373"/>
      <c r="AB153" s="373"/>
      <c r="AC153" s="373"/>
      <c r="AD153" s="373"/>
      <c r="AE153" s="373"/>
      <c r="AG153" s="373"/>
      <c r="AI153" s="373"/>
      <c r="AL153" s="373"/>
      <c r="AM153" s="373"/>
      <c r="AN153" s="373"/>
      <c r="AO153" s="373"/>
      <c r="AR153" s="373"/>
      <c r="AU153" s="373"/>
      <c r="AV153" s="373"/>
      <c r="AW153" s="373"/>
      <c r="AX153" s="373"/>
      <c r="AY153" s="373"/>
      <c r="BB153" s="373"/>
      <c r="BC153" s="373"/>
      <c r="BD153" s="373"/>
      <c r="BE153" s="373"/>
      <c r="BF153" s="373"/>
      <c r="BI153" s="373"/>
      <c r="BJ153" s="373"/>
      <c r="BN153" s="373"/>
      <c r="BO153" s="373"/>
      <c r="BP153" s="373"/>
      <c r="BQ153" s="373"/>
      <c r="BS153" s="373"/>
      <c r="BT153" s="373"/>
      <c r="BU153" s="373"/>
      <c r="BV153" s="373"/>
      <c r="BW153" s="373"/>
      <c r="BX153" s="373"/>
      <c r="BY153" s="373"/>
      <c r="CD153" s="373"/>
      <c r="CF153" s="373"/>
      <c r="CH153" s="373"/>
      <c r="CJ153" s="373"/>
      <c r="CK153" s="373"/>
      <c r="CL153" s="373"/>
      <c r="CM153" s="373"/>
      <c r="CN153" s="373"/>
      <c r="CO153" s="373"/>
      <c r="CP153" s="373"/>
      <c r="CQ153" s="373"/>
      <c r="CR153" s="373"/>
      <c r="CS153" s="373"/>
      <c r="CT153" s="373"/>
      <c r="CU153" s="373"/>
      <c r="CV153" s="373"/>
      <c r="CW153" s="373"/>
      <c r="CX153" s="373"/>
      <c r="CY153" s="373"/>
      <c r="CZ153" s="373"/>
      <c r="DA153" s="373"/>
      <c r="DB153" s="373"/>
      <c r="DC153" s="373"/>
      <c r="DD153" s="373"/>
      <c r="DE153" s="373"/>
      <c r="DF153" s="373"/>
      <c r="DG153" s="373"/>
      <c r="DH153" s="373"/>
      <c r="DI153" s="373"/>
      <c r="DL153" s="373"/>
      <c r="DM153" s="373"/>
      <c r="DN153" s="373"/>
      <c r="DO153" s="373"/>
      <c r="DP153" s="373"/>
      <c r="DR153" s="373"/>
      <c r="DT153" s="373"/>
    </row>
    <row r="154" spans="1:124" x14ac:dyDescent="0.2">
      <c r="A154"/>
      <c r="B154" s="144"/>
      <c r="D154" s="341"/>
      <c r="F154" s="343"/>
      <c r="G154" s="343"/>
      <c r="H154" s="343"/>
      <c r="I154" s="343"/>
      <c r="J154" s="343"/>
      <c r="K154" s="343"/>
      <c r="L154" s="343"/>
      <c r="R154" s="373"/>
      <c r="T154" s="373"/>
      <c r="U154" s="373"/>
      <c r="V154" s="373"/>
      <c r="W154" s="373"/>
      <c r="X154" s="373"/>
      <c r="Y154" s="373"/>
      <c r="Z154" s="373"/>
      <c r="AA154" s="373"/>
      <c r="AB154" s="373"/>
      <c r="AC154" s="373"/>
      <c r="AD154" s="373"/>
      <c r="AE154" s="373"/>
      <c r="AG154" s="373"/>
      <c r="AI154" s="373"/>
      <c r="AL154" s="373"/>
      <c r="AM154" s="373"/>
      <c r="AN154" s="373"/>
      <c r="AO154" s="373"/>
      <c r="AR154" s="373"/>
      <c r="AU154" s="373"/>
      <c r="AV154" s="373"/>
      <c r="AW154" s="373"/>
      <c r="AX154" s="373"/>
      <c r="AY154" s="373"/>
      <c r="BB154" s="373"/>
      <c r="BC154" s="373"/>
      <c r="BD154" s="373"/>
      <c r="BE154" s="373"/>
      <c r="BF154" s="373"/>
      <c r="BI154" s="373"/>
      <c r="BJ154" s="373"/>
      <c r="BN154" s="373"/>
      <c r="BO154" s="373"/>
      <c r="BP154" s="373"/>
      <c r="BQ154" s="373"/>
      <c r="BS154" s="373"/>
      <c r="BT154" s="373"/>
      <c r="BU154" s="373"/>
      <c r="BV154" s="373"/>
      <c r="BW154" s="373"/>
      <c r="BX154" s="373"/>
      <c r="BY154" s="373"/>
      <c r="CD154" s="373"/>
      <c r="CF154" s="373"/>
      <c r="CH154" s="373"/>
      <c r="CJ154" s="373"/>
      <c r="CK154" s="373"/>
      <c r="CL154" s="373"/>
      <c r="CM154" s="373"/>
      <c r="CN154" s="373"/>
      <c r="CO154" s="373"/>
      <c r="CP154" s="373"/>
      <c r="CQ154" s="373"/>
      <c r="CR154" s="373"/>
      <c r="CS154" s="373"/>
      <c r="CT154" s="373"/>
      <c r="CU154" s="373"/>
      <c r="CV154" s="373"/>
      <c r="CW154" s="373"/>
      <c r="CX154" s="373"/>
      <c r="CY154" s="373"/>
      <c r="CZ154" s="373"/>
      <c r="DA154" s="373"/>
      <c r="DB154" s="373"/>
      <c r="DC154" s="373"/>
      <c r="DD154" s="373"/>
      <c r="DE154" s="373"/>
      <c r="DF154" s="373"/>
      <c r="DG154" s="373"/>
      <c r="DH154" s="373"/>
      <c r="DI154" s="373"/>
      <c r="DL154" s="373"/>
      <c r="DM154" s="373"/>
      <c r="DN154" s="373"/>
      <c r="DO154" s="373"/>
      <c r="DP154" s="373"/>
      <c r="DR154" s="373"/>
      <c r="DT154" s="373"/>
    </row>
    <row r="155" spans="1:124" x14ac:dyDescent="0.2">
      <c r="A155"/>
      <c r="B155" s="144"/>
      <c r="D155" s="341"/>
      <c r="F155" s="343"/>
      <c r="G155" s="343"/>
      <c r="H155" s="343"/>
      <c r="I155" s="343"/>
      <c r="J155" s="343"/>
      <c r="K155" s="343"/>
      <c r="L155" s="343"/>
      <c r="R155" s="373"/>
      <c r="T155" s="373"/>
      <c r="U155" s="373"/>
      <c r="V155" s="373"/>
      <c r="W155" s="373"/>
      <c r="X155" s="373"/>
      <c r="Y155" s="373"/>
      <c r="Z155" s="373"/>
      <c r="AA155" s="373"/>
      <c r="AB155" s="373"/>
      <c r="AC155" s="373"/>
      <c r="AD155" s="373"/>
      <c r="AE155" s="373"/>
      <c r="AF155" s="373"/>
      <c r="AG155" s="373"/>
      <c r="AH155" s="373"/>
      <c r="AI155" s="373"/>
      <c r="AJ155" s="373"/>
      <c r="AK155" s="373"/>
      <c r="AL155" s="373"/>
      <c r="AM155" s="373"/>
      <c r="AN155" s="373"/>
      <c r="AO155" s="373"/>
      <c r="AR155" s="373"/>
      <c r="AU155" s="373"/>
      <c r="AV155" s="373"/>
      <c r="AW155" s="373"/>
      <c r="AX155" s="373"/>
      <c r="AY155" s="373"/>
      <c r="AZ155" s="373"/>
      <c r="BA155" s="373"/>
      <c r="BB155" s="373"/>
      <c r="BC155" s="373"/>
      <c r="BD155" s="373"/>
      <c r="BE155" s="373"/>
      <c r="BF155" s="373"/>
      <c r="BI155" s="373"/>
      <c r="BJ155" s="373"/>
      <c r="BL155" s="373"/>
      <c r="BN155" s="373"/>
      <c r="BO155" s="373"/>
      <c r="BP155" s="373"/>
      <c r="BQ155" s="373"/>
      <c r="BR155" s="373"/>
      <c r="BS155" s="373"/>
      <c r="BT155" s="373"/>
      <c r="BU155" s="373"/>
      <c r="BV155" s="373"/>
      <c r="BW155" s="373"/>
      <c r="BX155" s="373"/>
      <c r="BY155" s="373"/>
      <c r="BZ155" s="373"/>
      <c r="CB155" s="373"/>
      <c r="CD155" s="373"/>
      <c r="CE155" s="373"/>
      <c r="CF155" s="373"/>
      <c r="CG155" s="373"/>
      <c r="CH155" s="373"/>
      <c r="CI155" s="373"/>
      <c r="CJ155" s="373"/>
      <c r="CK155" s="373"/>
      <c r="CL155" s="373"/>
      <c r="CM155" s="373"/>
      <c r="CN155" s="373"/>
      <c r="CO155" s="373"/>
      <c r="CP155" s="373"/>
      <c r="CQ155" s="373"/>
      <c r="CR155" s="373"/>
      <c r="CS155" s="373"/>
      <c r="CT155" s="373"/>
      <c r="CU155" s="373"/>
      <c r="CV155" s="373"/>
      <c r="CW155" s="373"/>
      <c r="CX155" s="373"/>
      <c r="CY155" s="373"/>
      <c r="CZ155" s="373"/>
      <c r="DA155" s="373"/>
      <c r="DB155" s="373"/>
      <c r="DC155" s="373"/>
      <c r="DD155" s="373"/>
      <c r="DE155" s="373"/>
      <c r="DF155" s="373"/>
      <c r="DG155" s="373"/>
      <c r="DH155" s="373"/>
      <c r="DI155" s="373"/>
      <c r="DL155" s="373"/>
      <c r="DM155" s="373"/>
      <c r="DN155" s="373"/>
      <c r="DO155" s="373"/>
      <c r="DP155" s="373"/>
      <c r="DR155" s="373"/>
      <c r="DT155" s="373"/>
    </row>
    <row r="156" spans="1:124" x14ac:dyDescent="0.2">
      <c r="A156"/>
      <c r="B156" s="144"/>
      <c r="D156" s="341"/>
      <c r="F156" s="343"/>
      <c r="G156" s="343"/>
      <c r="H156" s="343"/>
      <c r="I156" s="343"/>
      <c r="J156" s="343"/>
      <c r="K156" s="343"/>
      <c r="L156" s="343"/>
      <c r="T156" s="373"/>
      <c r="U156" s="373"/>
      <c r="V156" s="373"/>
      <c r="W156" s="373"/>
      <c r="X156" s="373"/>
      <c r="Y156" s="373"/>
      <c r="Z156" s="373"/>
      <c r="AA156" s="373"/>
      <c r="AB156" s="373"/>
      <c r="AC156" s="373"/>
      <c r="AG156" s="373"/>
      <c r="AI156" s="373"/>
      <c r="AL156" s="373"/>
      <c r="AM156" s="373"/>
      <c r="AN156" s="373"/>
      <c r="AO156" s="373"/>
      <c r="AP156" s="373"/>
      <c r="AQ156" s="373"/>
      <c r="AR156" s="373"/>
      <c r="AS156" s="373"/>
      <c r="AU156" s="373"/>
      <c r="AV156" s="373"/>
      <c r="AW156" s="373"/>
      <c r="AX156" s="373"/>
      <c r="AY156" s="373"/>
      <c r="BB156" s="373"/>
      <c r="BC156" s="373"/>
      <c r="BD156" s="373"/>
      <c r="BE156" s="373"/>
      <c r="BI156" s="373"/>
      <c r="BN156" s="373"/>
      <c r="BP156" s="373"/>
      <c r="BQ156" s="373"/>
      <c r="BS156" s="373"/>
      <c r="BT156" s="373"/>
      <c r="BU156" s="373"/>
      <c r="BV156" s="373"/>
      <c r="BW156" s="373"/>
      <c r="BX156" s="373"/>
      <c r="BY156" s="373"/>
      <c r="CD156" s="373"/>
      <c r="CF156" s="373"/>
      <c r="CH156" s="373"/>
      <c r="CJ156" s="373"/>
      <c r="CK156" s="373"/>
      <c r="CL156" s="373"/>
      <c r="CM156" s="373"/>
      <c r="CN156" s="373"/>
      <c r="CO156" s="373"/>
      <c r="CP156" s="373"/>
      <c r="CQ156" s="373"/>
      <c r="CR156" s="373"/>
      <c r="CS156" s="373"/>
      <c r="CT156" s="373"/>
      <c r="CU156" s="373"/>
      <c r="CV156" s="373"/>
      <c r="CW156" s="373"/>
      <c r="CX156" s="373"/>
      <c r="CY156" s="373"/>
      <c r="CZ156" s="373"/>
      <c r="DA156" s="373"/>
      <c r="DB156" s="373"/>
      <c r="DC156" s="373"/>
      <c r="DD156" s="373"/>
      <c r="DE156" s="373"/>
      <c r="DF156" s="373"/>
      <c r="DG156" s="373"/>
      <c r="DH156" s="373"/>
      <c r="DI156" s="373"/>
      <c r="DL156" s="373"/>
      <c r="DM156" s="373"/>
      <c r="DN156" s="373"/>
      <c r="DO156" s="373"/>
      <c r="DP156" s="373"/>
      <c r="DR156" s="373"/>
      <c r="DT156" s="373"/>
    </row>
    <row r="157" spans="1:124" x14ac:dyDescent="0.2">
      <c r="A157"/>
      <c r="B157" s="144"/>
      <c r="D157" s="341"/>
      <c r="F157" s="343"/>
      <c r="G157" s="343"/>
      <c r="H157" s="343"/>
      <c r="I157" s="343"/>
      <c r="J157" s="343"/>
      <c r="K157" s="343"/>
      <c r="L157" s="343"/>
      <c r="T157" s="373"/>
      <c r="U157" s="373"/>
      <c r="V157" s="373"/>
      <c r="W157" s="373"/>
      <c r="X157" s="373"/>
      <c r="Y157" s="373"/>
      <c r="Z157" s="373"/>
      <c r="AA157" s="373"/>
      <c r="AB157" s="373"/>
      <c r="AC157" s="373"/>
      <c r="AG157" s="373"/>
      <c r="AI157" s="373"/>
      <c r="AL157" s="373"/>
      <c r="AM157" s="373"/>
      <c r="AN157" s="373"/>
      <c r="AO157" s="373"/>
      <c r="AP157" s="373"/>
      <c r="AQ157" s="373"/>
      <c r="AR157" s="373"/>
      <c r="AS157" s="373"/>
      <c r="AT157" s="373"/>
      <c r="AU157" s="373"/>
      <c r="AV157" s="373"/>
      <c r="AW157" s="373"/>
      <c r="AX157" s="373"/>
      <c r="AY157" s="373"/>
      <c r="BB157" s="373"/>
      <c r="BC157" s="373"/>
      <c r="BD157" s="373"/>
      <c r="BE157" s="373"/>
      <c r="BI157" s="373"/>
      <c r="BN157" s="373"/>
      <c r="BP157" s="373"/>
      <c r="BQ157" s="373"/>
      <c r="BS157" s="373"/>
      <c r="BT157" s="373"/>
      <c r="BU157" s="373"/>
      <c r="BV157" s="373"/>
      <c r="BW157" s="373"/>
      <c r="BX157" s="373"/>
      <c r="BY157" s="373"/>
      <c r="CC157" s="373"/>
      <c r="CD157" s="373"/>
      <c r="CE157" s="373"/>
      <c r="CF157" s="373"/>
      <c r="CG157" s="373"/>
      <c r="CH157" s="373"/>
      <c r="CI157" s="373"/>
      <c r="CJ157" s="373"/>
      <c r="CK157" s="373"/>
      <c r="CL157" s="373"/>
      <c r="CM157" s="373"/>
      <c r="CN157" s="373"/>
      <c r="CO157" s="373"/>
      <c r="CP157" s="373"/>
      <c r="CQ157" s="373"/>
      <c r="CR157" s="373"/>
      <c r="CS157" s="373"/>
      <c r="CT157" s="373"/>
      <c r="CU157" s="373"/>
      <c r="CV157" s="373"/>
      <c r="CW157" s="373"/>
      <c r="CX157" s="373"/>
      <c r="CY157" s="373"/>
      <c r="CZ157" s="373"/>
      <c r="DA157" s="373"/>
      <c r="DB157" s="373"/>
      <c r="DC157" s="373"/>
      <c r="DD157" s="373"/>
      <c r="DE157" s="373"/>
      <c r="DF157" s="373"/>
      <c r="DG157" s="373"/>
      <c r="DH157" s="373"/>
      <c r="DI157" s="373"/>
      <c r="DL157" s="373"/>
      <c r="DM157" s="373"/>
      <c r="DN157" s="373"/>
      <c r="DO157" s="373"/>
      <c r="DP157" s="373"/>
      <c r="DR157" s="373"/>
      <c r="DT157" s="373"/>
    </row>
    <row r="158" spans="1:124" x14ac:dyDescent="0.2">
      <c r="A158"/>
      <c r="B158" s="144"/>
      <c r="D158" s="341"/>
      <c r="F158" s="343"/>
      <c r="G158" s="343"/>
      <c r="H158" s="343"/>
      <c r="I158" s="343"/>
      <c r="J158" s="343"/>
      <c r="K158" s="343"/>
      <c r="L158" s="343"/>
      <c r="T158" s="373"/>
      <c r="U158" s="373"/>
      <c r="V158" s="373"/>
      <c r="W158" s="373"/>
      <c r="X158" s="373"/>
      <c r="Y158" s="373"/>
      <c r="Z158" s="373"/>
      <c r="AA158" s="373"/>
      <c r="AB158" s="373"/>
      <c r="AC158" s="373"/>
      <c r="AE158" s="373"/>
      <c r="AG158" s="373"/>
      <c r="AI158" s="373"/>
      <c r="AL158" s="373"/>
      <c r="AM158" s="373"/>
      <c r="AN158" s="373"/>
      <c r="AO158" s="373"/>
      <c r="AP158" s="373"/>
      <c r="AQ158" s="373"/>
      <c r="AR158" s="373"/>
      <c r="AS158" s="373"/>
      <c r="AT158" s="373"/>
      <c r="AU158" s="373"/>
      <c r="AV158" s="373"/>
      <c r="AW158" s="373"/>
      <c r="AX158" s="373"/>
      <c r="AY158" s="373"/>
      <c r="BB158" s="373"/>
      <c r="BC158" s="373"/>
      <c r="BD158" s="373"/>
      <c r="BE158" s="373"/>
      <c r="BI158" s="373"/>
      <c r="BN158" s="373"/>
      <c r="BP158" s="373"/>
      <c r="BQ158" s="373"/>
      <c r="BS158" s="373"/>
      <c r="BT158" s="373"/>
      <c r="BU158" s="373"/>
      <c r="BV158" s="373"/>
      <c r="BW158" s="373"/>
      <c r="BX158" s="373"/>
      <c r="BY158" s="373"/>
      <c r="CC158" s="373"/>
      <c r="CD158" s="373"/>
      <c r="CE158" s="373"/>
      <c r="CF158" s="373"/>
      <c r="CG158" s="373"/>
      <c r="CH158" s="373"/>
      <c r="CI158" s="373"/>
      <c r="CJ158" s="373"/>
      <c r="CK158" s="373"/>
      <c r="CL158" s="373"/>
      <c r="CM158" s="373"/>
      <c r="CN158" s="373"/>
      <c r="CO158" s="373"/>
      <c r="CP158" s="373"/>
      <c r="CQ158" s="373"/>
      <c r="CR158" s="373"/>
      <c r="CS158" s="373"/>
      <c r="CT158" s="373"/>
      <c r="CU158" s="373"/>
      <c r="CV158" s="373"/>
      <c r="CW158" s="373"/>
      <c r="CX158" s="373"/>
      <c r="CY158" s="373"/>
      <c r="CZ158" s="373"/>
      <c r="DA158" s="373"/>
      <c r="DB158" s="373"/>
      <c r="DC158" s="373"/>
      <c r="DD158" s="373"/>
      <c r="DE158" s="373"/>
      <c r="DF158" s="373"/>
      <c r="DG158" s="373"/>
      <c r="DH158" s="373"/>
      <c r="DI158" s="373"/>
      <c r="DL158" s="373"/>
      <c r="DM158" s="373"/>
      <c r="DN158" s="373"/>
      <c r="DO158" s="373"/>
      <c r="DP158" s="373"/>
      <c r="DR158" s="373"/>
      <c r="DT158" s="373"/>
    </row>
    <row r="159" spans="1:124" x14ac:dyDescent="0.2">
      <c r="A159"/>
      <c r="B159" s="144"/>
      <c r="D159" s="341"/>
      <c r="F159" s="343"/>
      <c r="G159" s="343"/>
      <c r="H159" s="343"/>
      <c r="I159" s="343"/>
      <c r="J159" s="343"/>
      <c r="K159" s="343"/>
      <c r="L159" s="343"/>
      <c r="T159" s="373"/>
      <c r="U159" s="373"/>
      <c r="V159" s="373"/>
      <c r="W159" s="373"/>
      <c r="X159" s="373"/>
      <c r="Y159" s="373"/>
      <c r="Z159" s="373"/>
      <c r="AA159" s="373"/>
      <c r="AB159" s="373"/>
      <c r="AC159" s="373"/>
      <c r="AE159" s="373"/>
      <c r="AF159" s="373"/>
      <c r="AG159" s="373"/>
      <c r="AH159" s="373"/>
      <c r="AI159" s="373"/>
      <c r="AJ159" s="373"/>
      <c r="AL159" s="373"/>
      <c r="AM159" s="373"/>
      <c r="AN159" s="373"/>
      <c r="AO159" s="373"/>
      <c r="AP159" s="373"/>
      <c r="AQ159" s="373"/>
      <c r="AR159" s="373"/>
      <c r="AS159" s="373"/>
      <c r="AT159" s="373"/>
      <c r="AU159" s="373"/>
      <c r="AV159" s="373"/>
      <c r="AW159" s="373"/>
      <c r="AX159" s="373"/>
      <c r="AY159" s="373"/>
      <c r="BB159" s="373"/>
      <c r="BC159" s="373"/>
      <c r="BD159" s="373"/>
      <c r="BE159" s="373"/>
      <c r="BI159" s="373"/>
      <c r="BN159" s="373"/>
      <c r="BP159" s="373"/>
      <c r="BQ159" s="373"/>
      <c r="BS159" s="373"/>
      <c r="BT159" s="373"/>
      <c r="BU159" s="373"/>
      <c r="BV159" s="373"/>
      <c r="BW159" s="373"/>
      <c r="BX159" s="373"/>
      <c r="BY159" s="373"/>
      <c r="CC159" s="373"/>
      <c r="CD159" s="373"/>
      <c r="CE159" s="373"/>
      <c r="CF159" s="373"/>
      <c r="CG159" s="373"/>
      <c r="CH159" s="373"/>
      <c r="CI159" s="373"/>
      <c r="CJ159" s="373"/>
      <c r="CK159" s="373"/>
      <c r="CL159" s="373"/>
      <c r="CM159" s="373"/>
      <c r="CN159" s="373"/>
      <c r="CO159" s="373"/>
      <c r="CP159" s="373"/>
      <c r="CQ159" s="373"/>
      <c r="CR159" s="373"/>
      <c r="CS159" s="373"/>
      <c r="CT159" s="373"/>
      <c r="CU159" s="373"/>
      <c r="CV159" s="373"/>
      <c r="CW159" s="373"/>
      <c r="CX159" s="373"/>
      <c r="CY159" s="373"/>
      <c r="CZ159" s="373"/>
      <c r="DA159" s="373"/>
      <c r="DB159" s="373"/>
      <c r="DC159" s="373"/>
      <c r="DD159" s="373"/>
      <c r="DE159" s="373"/>
      <c r="DF159" s="373"/>
      <c r="DG159" s="373"/>
      <c r="DH159" s="373"/>
      <c r="DI159" s="373"/>
      <c r="DL159" s="373"/>
      <c r="DM159" s="373"/>
      <c r="DN159" s="373"/>
      <c r="DO159" s="373"/>
      <c r="DP159" s="373"/>
      <c r="DR159" s="373"/>
      <c r="DT159" s="373"/>
    </row>
    <row r="160" spans="1:124" x14ac:dyDescent="0.2">
      <c r="A160"/>
      <c r="B160" s="144"/>
      <c r="D160" s="341"/>
      <c r="F160" s="343"/>
      <c r="G160" s="343"/>
      <c r="H160" s="343"/>
      <c r="I160" s="343"/>
      <c r="J160" s="343"/>
      <c r="K160" s="343"/>
      <c r="L160" s="343"/>
      <c r="T160" s="373"/>
      <c r="U160" s="373"/>
      <c r="V160" s="373"/>
      <c r="W160" s="373"/>
      <c r="X160" s="373"/>
      <c r="Y160" s="373"/>
      <c r="Z160" s="373"/>
      <c r="AA160" s="373"/>
      <c r="AB160" s="373"/>
      <c r="AC160" s="373"/>
      <c r="AE160" s="373"/>
      <c r="AF160" s="373"/>
      <c r="AG160" s="373"/>
      <c r="AH160" s="373"/>
      <c r="AI160" s="373"/>
      <c r="AJ160" s="373"/>
      <c r="AL160" s="373"/>
      <c r="AM160" s="373"/>
      <c r="AN160" s="373"/>
      <c r="AO160" s="373"/>
      <c r="AP160" s="373"/>
      <c r="AQ160" s="373"/>
      <c r="AR160" s="373"/>
      <c r="AS160" s="373"/>
      <c r="AT160" s="373"/>
      <c r="AU160" s="373"/>
      <c r="AV160" s="373"/>
      <c r="AW160" s="373"/>
      <c r="AX160" s="373"/>
      <c r="AY160" s="373"/>
      <c r="BB160" s="373"/>
      <c r="BC160" s="373"/>
      <c r="BD160" s="373"/>
      <c r="BE160" s="373"/>
      <c r="BI160" s="373"/>
      <c r="BN160" s="373"/>
      <c r="BP160" s="373"/>
      <c r="BQ160" s="373"/>
      <c r="BS160" s="373"/>
      <c r="BT160" s="373"/>
      <c r="BU160" s="373"/>
      <c r="BV160" s="373"/>
      <c r="BW160" s="373"/>
      <c r="BX160" s="373"/>
      <c r="BY160" s="373"/>
      <c r="CC160" s="373"/>
      <c r="CD160" s="373"/>
      <c r="CE160" s="373"/>
      <c r="CF160" s="373"/>
      <c r="CG160" s="373"/>
      <c r="CH160" s="373"/>
      <c r="CI160" s="373"/>
      <c r="CJ160" s="373"/>
      <c r="CK160" s="373"/>
      <c r="CL160" s="373"/>
      <c r="CM160" s="373"/>
      <c r="CN160" s="373"/>
      <c r="CO160" s="373"/>
      <c r="CP160" s="373"/>
      <c r="CQ160" s="373"/>
      <c r="CR160" s="373"/>
      <c r="CS160" s="373"/>
      <c r="CT160" s="373"/>
      <c r="CU160" s="373"/>
      <c r="CV160" s="373"/>
      <c r="CW160" s="373"/>
      <c r="CX160" s="373"/>
      <c r="CY160" s="373"/>
      <c r="CZ160" s="373"/>
      <c r="DA160" s="373"/>
      <c r="DB160" s="373"/>
      <c r="DC160" s="373"/>
      <c r="DD160" s="373"/>
      <c r="DE160" s="373"/>
      <c r="DF160" s="373"/>
      <c r="DG160" s="373"/>
      <c r="DH160" s="373"/>
      <c r="DI160" s="373"/>
      <c r="DL160" s="373"/>
      <c r="DM160" s="373"/>
      <c r="DN160" s="373"/>
      <c r="DO160" s="373"/>
      <c r="DP160" s="373"/>
      <c r="DR160" s="373"/>
      <c r="DT160" s="373"/>
    </row>
    <row r="161" spans="1:131" x14ac:dyDescent="0.2">
      <c r="A161"/>
      <c r="B161" s="144"/>
      <c r="D161" s="341"/>
      <c r="F161" s="343"/>
      <c r="G161" s="343"/>
      <c r="H161" s="343"/>
      <c r="I161" s="343"/>
      <c r="J161" s="343"/>
      <c r="K161" s="343"/>
      <c r="L161" s="343"/>
      <c r="T161" s="373"/>
      <c r="U161" s="373"/>
      <c r="V161" s="373"/>
      <c r="W161" s="373"/>
      <c r="X161" s="373"/>
      <c r="Y161" s="373"/>
      <c r="Z161" s="373"/>
      <c r="AA161" s="373"/>
      <c r="AB161" s="373"/>
      <c r="AC161" s="373"/>
      <c r="AE161" s="373"/>
      <c r="AG161" s="373"/>
      <c r="AI161" s="373"/>
      <c r="AL161" s="373"/>
      <c r="AM161" s="373"/>
      <c r="AN161" s="373"/>
      <c r="AO161" s="373"/>
      <c r="AP161" s="373"/>
      <c r="AQ161" s="373"/>
      <c r="AR161" s="373"/>
      <c r="AS161" s="373"/>
      <c r="AT161" s="373"/>
      <c r="AU161" s="373"/>
      <c r="AV161" s="373"/>
      <c r="AW161" s="373"/>
      <c r="AX161" s="373"/>
      <c r="AY161" s="373"/>
      <c r="BB161" s="373"/>
      <c r="BC161" s="373"/>
      <c r="BD161" s="373"/>
      <c r="BE161" s="373"/>
      <c r="BI161" s="373"/>
      <c r="BN161" s="373"/>
      <c r="BP161" s="373"/>
      <c r="BQ161" s="373"/>
      <c r="BS161" s="373"/>
      <c r="BT161" s="373"/>
      <c r="BU161" s="373"/>
      <c r="BV161" s="373"/>
      <c r="BW161" s="373"/>
      <c r="BX161" s="373"/>
      <c r="BY161" s="373"/>
      <c r="CC161" s="373"/>
      <c r="CD161" s="373"/>
      <c r="CE161" s="373"/>
      <c r="CF161" s="373"/>
      <c r="CG161" s="373"/>
      <c r="CH161" s="373"/>
      <c r="CI161" s="373"/>
      <c r="CJ161" s="373"/>
      <c r="CK161" s="373"/>
      <c r="CL161" s="373"/>
      <c r="CM161" s="373"/>
      <c r="CN161" s="373"/>
      <c r="CO161" s="373"/>
      <c r="CP161" s="373"/>
      <c r="CQ161" s="373"/>
      <c r="CR161" s="373"/>
      <c r="CS161" s="373"/>
      <c r="CT161" s="373"/>
      <c r="CU161" s="373"/>
      <c r="CV161" s="373"/>
      <c r="CW161" s="373"/>
      <c r="CX161" s="373"/>
      <c r="CY161" s="373"/>
      <c r="CZ161" s="373"/>
      <c r="DA161" s="373"/>
      <c r="DB161" s="373"/>
      <c r="DC161" s="373"/>
      <c r="DD161" s="373"/>
      <c r="DE161" s="373"/>
      <c r="DF161" s="373"/>
      <c r="DG161" s="373"/>
      <c r="DH161" s="373"/>
      <c r="DI161" s="373"/>
      <c r="DL161" s="373"/>
      <c r="DM161" s="373"/>
      <c r="DN161" s="373"/>
      <c r="DO161" s="373"/>
      <c r="DP161" s="373"/>
      <c r="DR161" s="373"/>
      <c r="DT161" s="373"/>
    </row>
    <row r="162" spans="1:131" x14ac:dyDescent="0.2">
      <c r="A162"/>
      <c r="B162" s="144"/>
      <c r="D162" s="341"/>
      <c r="F162" s="343"/>
      <c r="G162" s="343"/>
      <c r="H162" s="343"/>
      <c r="I162" s="343"/>
      <c r="J162" s="343"/>
      <c r="K162" s="343"/>
      <c r="L162" s="343"/>
      <c r="T162" s="373"/>
      <c r="U162" s="373"/>
      <c r="V162" s="373"/>
      <c r="W162" s="373"/>
      <c r="X162" s="373"/>
      <c r="Y162" s="373"/>
      <c r="Z162" s="373"/>
      <c r="AA162" s="373"/>
      <c r="AB162" s="373"/>
      <c r="AC162" s="373"/>
      <c r="AE162" s="373"/>
      <c r="AG162" s="373"/>
      <c r="AI162" s="373"/>
      <c r="AL162" s="373"/>
      <c r="AM162" s="373"/>
      <c r="AN162" s="373"/>
      <c r="AO162" s="373"/>
      <c r="AP162" s="373"/>
      <c r="AQ162" s="373"/>
      <c r="AR162" s="373"/>
      <c r="AS162" s="373"/>
      <c r="AT162" s="373"/>
      <c r="AU162" s="373"/>
      <c r="AV162" s="373"/>
      <c r="AW162" s="373"/>
      <c r="AX162" s="373"/>
      <c r="AY162" s="373"/>
      <c r="BB162" s="373"/>
      <c r="BC162" s="373"/>
      <c r="BD162" s="373"/>
      <c r="BE162" s="373"/>
      <c r="BI162" s="373"/>
      <c r="BN162" s="373"/>
      <c r="BP162" s="373"/>
      <c r="BQ162" s="373"/>
      <c r="BS162" s="373"/>
      <c r="BT162" s="373"/>
      <c r="BU162" s="373"/>
      <c r="BV162" s="373"/>
      <c r="BW162" s="373"/>
      <c r="BX162" s="373"/>
      <c r="BY162" s="373"/>
      <c r="CC162" s="373"/>
      <c r="CD162" s="373"/>
      <c r="CE162" s="373"/>
      <c r="CF162" s="373"/>
      <c r="CG162" s="373"/>
      <c r="CH162" s="373"/>
      <c r="CI162" s="373"/>
      <c r="CJ162" s="373"/>
      <c r="CK162" s="373"/>
      <c r="CL162" s="373"/>
      <c r="CM162" s="373"/>
      <c r="CN162" s="373"/>
      <c r="CO162" s="373"/>
      <c r="CP162" s="373"/>
      <c r="CQ162" s="373"/>
      <c r="CR162" s="373"/>
      <c r="CS162" s="373"/>
      <c r="CT162" s="373"/>
      <c r="CU162" s="373"/>
      <c r="CV162" s="373"/>
      <c r="CW162" s="373"/>
      <c r="CX162" s="373"/>
      <c r="CY162" s="373"/>
      <c r="CZ162" s="373"/>
      <c r="DA162" s="373"/>
      <c r="DB162" s="373"/>
      <c r="DC162" s="373"/>
      <c r="DD162" s="373"/>
      <c r="DE162" s="373"/>
      <c r="DF162" s="373"/>
      <c r="DG162" s="373"/>
      <c r="DH162" s="373"/>
      <c r="DI162" s="373"/>
      <c r="DL162" s="373"/>
      <c r="DM162" s="373"/>
      <c r="DN162" s="373"/>
      <c r="DO162" s="373"/>
      <c r="DP162" s="373"/>
      <c r="DR162" s="373"/>
      <c r="DT162" s="373"/>
    </row>
    <row r="163" spans="1:131" x14ac:dyDescent="0.2">
      <c r="A163"/>
      <c r="B163" s="144"/>
      <c r="D163" s="341"/>
      <c r="F163" s="343"/>
      <c r="G163" s="343"/>
      <c r="H163" s="343"/>
      <c r="I163" s="343"/>
      <c r="J163" s="343"/>
      <c r="K163" s="343"/>
      <c r="L163" s="343"/>
      <c r="T163" s="373"/>
      <c r="U163" s="373"/>
      <c r="V163" s="373"/>
      <c r="W163" s="373"/>
      <c r="X163" s="373"/>
      <c r="Y163" s="373"/>
      <c r="Z163" s="373"/>
      <c r="AA163" s="373"/>
      <c r="AB163" s="373"/>
      <c r="AC163" s="373"/>
      <c r="AE163" s="373"/>
      <c r="AF163" s="373"/>
      <c r="AG163" s="373"/>
      <c r="AH163" s="373"/>
      <c r="AI163" s="373"/>
      <c r="AJ163" s="373"/>
      <c r="AL163" s="373"/>
      <c r="AM163" s="373"/>
      <c r="AN163" s="373"/>
      <c r="AO163" s="373"/>
      <c r="AP163" s="373"/>
      <c r="AQ163" s="373"/>
      <c r="AR163" s="373"/>
      <c r="AS163" s="373"/>
      <c r="AT163" s="373"/>
      <c r="AU163" s="373"/>
      <c r="AV163" s="373"/>
      <c r="AW163" s="373"/>
      <c r="AX163" s="373"/>
      <c r="AY163" s="373"/>
      <c r="BB163" s="373"/>
      <c r="BC163" s="373"/>
      <c r="BD163" s="373"/>
      <c r="BE163" s="373"/>
      <c r="BI163" s="373"/>
      <c r="BN163" s="373"/>
      <c r="BP163" s="373"/>
      <c r="BQ163" s="373"/>
      <c r="BS163" s="373"/>
      <c r="BT163" s="373"/>
      <c r="BU163" s="373"/>
      <c r="BV163" s="373"/>
      <c r="BW163" s="373"/>
      <c r="BX163" s="373"/>
      <c r="BY163" s="373"/>
      <c r="CC163" s="373"/>
      <c r="CD163" s="373"/>
      <c r="CE163" s="373"/>
      <c r="CF163" s="373"/>
      <c r="CG163" s="373"/>
      <c r="CH163" s="373"/>
      <c r="CI163" s="373"/>
      <c r="CJ163" s="373"/>
      <c r="CK163" s="373"/>
      <c r="CL163" s="373"/>
      <c r="CM163" s="373"/>
      <c r="CN163" s="373"/>
      <c r="CO163" s="373"/>
      <c r="CP163" s="373"/>
      <c r="CQ163" s="373"/>
      <c r="CR163" s="373"/>
      <c r="CS163" s="373"/>
      <c r="CT163" s="373"/>
      <c r="CU163" s="373"/>
      <c r="CV163" s="373"/>
      <c r="CW163" s="373"/>
      <c r="CX163" s="373"/>
      <c r="CY163" s="373"/>
      <c r="CZ163" s="373"/>
      <c r="DA163" s="373"/>
      <c r="DB163" s="373"/>
      <c r="DC163" s="373"/>
      <c r="DD163" s="373"/>
      <c r="DE163" s="373"/>
      <c r="DF163" s="373"/>
      <c r="DG163" s="373"/>
      <c r="DH163" s="373"/>
      <c r="DI163" s="373"/>
      <c r="DL163" s="373"/>
      <c r="DM163" s="373"/>
      <c r="DN163" s="373"/>
      <c r="DO163" s="373"/>
      <c r="DP163" s="373"/>
      <c r="DR163" s="373"/>
      <c r="DT163" s="373"/>
    </row>
    <row r="164" spans="1:131" x14ac:dyDescent="0.2">
      <c r="A164"/>
      <c r="B164" s="144"/>
      <c r="D164" s="341"/>
      <c r="F164" s="343"/>
      <c r="G164" s="343"/>
      <c r="H164" s="343"/>
      <c r="I164" s="343"/>
      <c r="J164" s="343"/>
      <c r="K164" s="343"/>
      <c r="L164" s="343"/>
      <c r="S164" s="373"/>
      <c r="T164" s="373"/>
      <c r="U164" s="373"/>
      <c r="V164" s="373"/>
      <c r="W164" s="373"/>
      <c r="X164" s="373"/>
      <c r="Y164" s="373"/>
      <c r="Z164" s="373"/>
      <c r="AA164" s="373"/>
      <c r="AB164" s="373"/>
      <c r="AC164" s="373"/>
      <c r="AE164" s="373"/>
      <c r="AF164" s="373"/>
      <c r="AG164" s="373"/>
      <c r="AH164" s="373"/>
      <c r="AI164" s="373"/>
      <c r="AJ164" s="373"/>
      <c r="AL164" s="373"/>
      <c r="AM164" s="373"/>
      <c r="AN164" s="373"/>
      <c r="AO164" s="373"/>
      <c r="AP164" s="373"/>
      <c r="AQ164" s="373"/>
      <c r="AR164" s="373"/>
      <c r="AS164" s="373"/>
      <c r="AT164" s="373"/>
      <c r="AU164" s="373"/>
      <c r="AV164" s="373"/>
      <c r="AW164" s="373"/>
      <c r="AX164" s="373"/>
      <c r="AY164" s="373"/>
      <c r="BB164" s="373"/>
      <c r="BC164" s="373"/>
      <c r="BD164" s="373"/>
      <c r="BE164" s="373"/>
      <c r="BI164" s="373"/>
      <c r="BN164" s="373"/>
      <c r="BP164" s="373"/>
      <c r="BQ164" s="373"/>
      <c r="BS164" s="373"/>
      <c r="BT164" s="373"/>
      <c r="BU164" s="373"/>
      <c r="BV164" s="373"/>
      <c r="BW164" s="373"/>
      <c r="BX164" s="373"/>
      <c r="BY164" s="373"/>
      <c r="CC164" s="373"/>
      <c r="CD164" s="373"/>
      <c r="CE164" s="373"/>
      <c r="CF164" s="373"/>
      <c r="CG164" s="373"/>
      <c r="CH164" s="373"/>
      <c r="CI164" s="373"/>
      <c r="CJ164" s="373"/>
      <c r="CK164" s="373"/>
      <c r="CL164" s="373"/>
      <c r="CM164" s="373"/>
      <c r="CN164" s="373"/>
      <c r="CO164" s="373"/>
      <c r="CP164" s="373"/>
      <c r="CQ164" s="373"/>
      <c r="CR164" s="373"/>
      <c r="CS164" s="373"/>
      <c r="CT164" s="373"/>
      <c r="CU164" s="373"/>
      <c r="CV164" s="373"/>
      <c r="CW164" s="373"/>
      <c r="CX164" s="373"/>
      <c r="CY164" s="373"/>
      <c r="CZ164" s="373"/>
      <c r="DA164" s="373"/>
      <c r="DB164" s="373"/>
      <c r="DC164" s="373"/>
      <c r="DD164" s="373"/>
      <c r="DE164" s="373"/>
      <c r="DF164" s="373"/>
      <c r="DG164" s="373"/>
      <c r="DH164" s="373"/>
      <c r="DI164" s="373"/>
      <c r="DL164" s="373"/>
      <c r="DM164" s="373"/>
      <c r="DN164" s="373"/>
      <c r="DO164" s="373"/>
      <c r="DP164" s="373"/>
      <c r="DR164" s="373"/>
      <c r="DS164" s="373"/>
      <c r="DT164" s="373"/>
      <c r="DY164" s="373"/>
      <c r="EA164" s="373"/>
    </row>
    <row r="165" spans="1:131" x14ac:dyDescent="0.2">
      <c r="A165"/>
      <c r="B165" s="144"/>
      <c r="D165" s="341"/>
      <c r="F165" s="343"/>
      <c r="G165" s="343"/>
      <c r="H165" s="343"/>
      <c r="I165" s="343"/>
      <c r="J165" s="343"/>
      <c r="K165" s="343"/>
      <c r="L165" s="343"/>
      <c r="S165" s="373"/>
      <c r="T165" s="373"/>
      <c r="U165" s="373"/>
      <c r="V165" s="373"/>
      <c r="W165" s="373"/>
      <c r="X165" s="373"/>
      <c r="Y165" s="373"/>
      <c r="Z165" s="373"/>
      <c r="AA165" s="373"/>
      <c r="AB165" s="373"/>
      <c r="AC165" s="373"/>
      <c r="AE165" s="373"/>
      <c r="AG165" s="373"/>
      <c r="AI165" s="373"/>
      <c r="AL165" s="373"/>
      <c r="AM165" s="373"/>
      <c r="AN165" s="373"/>
      <c r="AO165" s="373"/>
      <c r="AP165" s="373"/>
      <c r="AQ165" s="373"/>
      <c r="AR165" s="373"/>
      <c r="AS165" s="373"/>
      <c r="AT165" s="373"/>
      <c r="AU165" s="373"/>
      <c r="AV165" s="373"/>
      <c r="AW165" s="373"/>
      <c r="AX165" s="373"/>
      <c r="AY165" s="373"/>
      <c r="BB165" s="373"/>
      <c r="BC165" s="373"/>
      <c r="BD165" s="373"/>
      <c r="BE165" s="373"/>
      <c r="BI165" s="373"/>
      <c r="BN165" s="373"/>
      <c r="BP165" s="373"/>
      <c r="BQ165" s="373"/>
      <c r="BS165" s="373"/>
      <c r="BT165" s="373"/>
      <c r="BU165" s="373"/>
      <c r="BV165" s="373"/>
      <c r="BW165" s="373"/>
      <c r="BX165" s="373"/>
      <c r="BY165" s="373"/>
      <c r="CC165" s="373"/>
      <c r="CD165" s="373"/>
      <c r="CE165" s="373"/>
      <c r="CF165" s="373"/>
      <c r="CG165" s="373"/>
      <c r="CH165" s="373"/>
      <c r="CI165" s="373"/>
      <c r="CJ165" s="373"/>
      <c r="CK165" s="373"/>
      <c r="CL165" s="373"/>
      <c r="CM165" s="373"/>
      <c r="CN165" s="373"/>
      <c r="CO165" s="373"/>
      <c r="CP165" s="373"/>
      <c r="CQ165" s="373"/>
      <c r="CR165" s="373"/>
      <c r="CS165" s="373"/>
      <c r="CT165" s="373"/>
      <c r="CU165" s="373"/>
      <c r="CV165" s="373"/>
      <c r="CW165" s="373"/>
      <c r="CX165" s="373"/>
      <c r="CY165" s="373"/>
      <c r="CZ165" s="373"/>
      <c r="DA165" s="373"/>
      <c r="DB165" s="373"/>
      <c r="DC165" s="373"/>
      <c r="DD165" s="373"/>
      <c r="DE165" s="373"/>
      <c r="DF165" s="373"/>
      <c r="DG165" s="373"/>
      <c r="DH165" s="373"/>
      <c r="DI165" s="373"/>
      <c r="DL165" s="373"/>
      <c r="DM165" s="373"/>
      <c r="DN165" s="373"/>
      <c r="DO165" s="373"/>
      <c r="DP165" s="373"/>
      <c r="DR165" s="373"/>
      <c r="DS165" s="373"/>
      <c r="DT165" s="373"/>
      <c r="DY165" s="373"/>
      <c r="EA165" s="373"/>
    </row>
    <row r="166" spans="1:131" x14ac:dyDescent="0.2">
      <c r="A166"/>
      <c r="B166" s="144"/>
      <c r="D166" s="341"/>
      <c r="F166" s="343"/>
      <c r="G166" s="343"/>
      <c r="H166" s="343"/>
      <c r="I166" s="343"/>
      <c r="J166" s="343"/>
      <c r="K166" s="343"/>
      <c r="L166" s="343"/>
      <c r="S166" s="373"/>
      <c r="V166" s="373"/>
      <c r="X166" s="373"/>
      <c r="Z166" s="373"/>
      <c r="DG166" s="373"/>
      <c r="DH166" s="373"/>
      <c r="DI166" s="373"/>
      <c r="DM166" s="373"/>
      <c r="DN166" s="373"/>
      <c r="DO166" s="373"/>
      <c r="DS166" s="373"/>
      <c r="DY166" s="373"/>
      <c r="EA166" s="373"/>
    </row>
    <row r="167" spans="1:131" x14ac:dyDescent="0.2">
      <c r="A167"/>
      <c r="B167" s="144"/>
      <c r="D167" s="341"/>
      <c r="F167" s="343"/>
      <c r="G167" s="343"/>
      <c r="H167" s="343"/>
      <c r="I167" s="343"/>
      <c r="J167" s="343"/>
      <c r="K167" s="343"/>
      <c r="L167" s="343"/>
    </row>
    <row r="168" spans="1:131" x14ac:dyDescent="0.2">
      <c r="A168"/>
      <c r="B168" s="144"/>
      <c r="D168" s="341"/>
      <c r="F168" s="343"/>
      <c r="G168" s="343"/>
      <c r="H168" s="343"/>
      <c r="I168" s="343"/>
      <c r="J168" s="343"/>
      <c r="K168" s="343"/>
      <c r="L168" s="343"/>
    </row>
    <row r="169" spans="1:131" x14ac:dyDescent="0.2">
      <c r="A169"/>
      <c r="B169" s="144"/>
      <c r="D169" s="341"/>
      <c r="F169" s="343"/>
      <c r="G169" s="343"/>
      <c r="H169" s="343"/>
      <c r="I169" s="343"/>
      <c r="J169" s="343"/>
      <c r="K169" s="343"/>
      <c r="L169" s="343"/>
    </row>
    <row r="170" spans="1:131" x14ac:dyDescent="0.2">
      <c r="A170"/>
      <c r="B170" s="144"/>
      <c r="D170" s="341"/>
      <c r="F170" s="343"/>
      <c r="G170" s="343"/>
      <c r="H170" s="343"/>
      <c r="I170" s="343"/>
      <c r="J170" s="343"/>
      <c r="K170" s="343"/>
      <c r="L170" s="343"/>
    </row>
    <row r="171" spans="1:131" x14ac:dyDescent="0.2">
      <c r="A171"/>
      <c r="B171" s="144"/>
      <c r="D171" s="341"/>
      <c r="F171" s="343"/>
      <c r="G171" s="343"/>
      <c r="H171" s="343"/>
      <c r="I171" s="343"/>
      <c r="J171" s="343"/>
      <c r="K171" s="343"/>
      <c r="L171" s="343"/>
    </row>
    <row r="172" spans="1:131" x14ac:dyDescent="0.2">
      <c r="A172"/>
      <c r="B172" s="144"/>
      <c r="D172" s="341"/>
      <c r="F172" s="343"/>
      <c r="G172" s="343"/>
      <c r="H172" s="343"/>
      <c r="I172" s="343"/>
      <c r="J172" s="343"/>
      <c r="K172" s="343"/>
      <c r="L172" s="343"/>
      <c r="S172" s="373"/>
      <c r="V172" s="373"/>
      <c r="X172" s="373"/>
      <c r="Z172" s="373"/>
      <c r="DG172" s="373"/>
      <c r="DH172" s="373"/>
      <c r="DI172" s="373"/>
      <c r="DM172" s="373"/>
      <c r="DN172" s="373"/>
      <c r="DO172" s="373"/>
      <c r="DS172" s="373"/>
      <c r="DY172" s="373"/>
      <c r="EA172" s="373"/>
    </row>
    <row r="173" spans="1:131" x14ac:dyDescent="0.2">
      <c r="A173"/>
      <c r="B173" s="144"/>
      <c r="D173" s="341"/>
      <c r="F173" s="343"/>
      <c r="G173" s="343"/>
      <c r="H173" s="343"/>
      <c r="I173" s="343"/>
      <c r="J173" s="343"/>
      <c r="K173" s="343"/>
      <c r="L173" s="343"/>
      <c r="S173" s="373"/>
      <c r="V173" s="373"/>
      <c r="X173" s="373"/>
      <c r="Z173" s="373"/>
      <c r="AV173" s="373"/>
      <c r="AX173" s="373"/>
      <c r="AY173" s="373"/>
      <c r="BS173" s="373"/>
      <c r="BT173" s="373"/>
      <c r="BU173" s="373"/>
      <c r="CT173" s="373"/>
      <c r="CV173" s="373"/>
      <c r="CW173" s="373"/>
      <c r="CX173" s="373"/>
      <c r="DG173" s="373"/>
      <c r="DH173" s="373"/>
      <c r="DI173" s="373"/>
      <c r="DM173" s="373"/>
      <c r="DN173" s="373"/>
      <c r="DO173" s="373"/>
      <c r="DS173" s="373"/>
      <c r="DY173" s="373"/>
      <c r="EA173" s="373"/>
    </row>
    <row r="174" spans="1:131" x14ac:dyDescent="0.2">
      <c r="A174"/>
      <c r="B174" s="144"/>
      <c r="D174" s="341"/>
      <c r="F174" s="343"/>
      <c r="G174" s="343"/>
      <c r="H174" s="343"/>
      <c r="I174" s="343"/>
      <c r="J174" s="343"/>
      <c r="K174" s="343"/>
      <c r="L174" s="343"/>
      <c r="S174" s="373"/>
      <c r="V174" s="373"/>
      <c r="X174" s="373"/>
      <c r="Z174" s="373"/>
      <c r="AV174" s="373"/>
      <c r="AX174" s="373"/>
      <c r="AY174" s="373"/>
      <c r="BS174" s="373"/>
      <c r="BT174" s="373"/>
      <c r="BU174" s="373"/>
      <c r="CT174" s="373"/>
      <c r="CV174" s="373"/>
      <c r="CW174" s="373"/>
      <c r="CX174" s="373"/>
      <c r="DG174" s="373"/>
      <c r="DH174" s="373"/>
      <c r="DI174" s="373"/>
      <c r="DM174" s="373"/>
      <c r="DN174" s="373"/>
      <c r="DO174" s="373"/>
      <c r="DS174" s="373"/>
      <c r="DY174" s="373"/>
      <c r="EA174" s="373"/>
    </row>
    <row r="175" spans="1:131" x14ac:dyDescent="0.2">
      <c r="A175"/>
      <c r="B175" s="144"/>
      <c r="D175" s="341"/>
      <c r="F175" s="343"/>
      <c r="G175" s="343"/>
      <c r="H175" s="343"/>
      <c r="I175" s="343"/>
      <c r="J175" s="343"/>
      <c r="K175" s="343"/>
      <c r="L175" s="343"/>
      <c r="S175" s="373"/>
      <c r="V175" s="373"/>
      <c r="X175" s="373"/>
      <c r="Z175" s="373"/>
      <c r="AV175" s="373"/>
      <c r="AX175" s="373"/>
      <c r="AY175" s="373"/>
      <c r="BS175" s="373"/>
      <c r="BT175" s="373"/>
      <c r="BU175" s="373"/>
      <c r="CT175" s="373"/>
      <c r="CV175" s="373"/>
      <c r="CW175" s="373"/>
      <c r="CX175" s="373"/>
      <c r="DG175" s="373"/>
      <c r="DH175" s="373"/>
      <c r="DI175" s="373"/>
      <c r="DM175" s="373"/>
      <c r="DN175" s="373"/>
      <c r="DO175" s="373"/>
      <c r="DS175" s="373"/>
      <c r="DY175" s="373"/>
      <c r="EA175" s="373"/>
    </row>
    <row r="176" spans="1:131" x14ac:dyDescent="0.2">
      <c r="A176"/>
      <c r="B176" s="144"/>
      <c r="D176" s="341"/>
      <c r="F176" s="343"/>
      <c r="G176" s="343"/>
      <c r="H176" s="343"/>
      <c r="I176" s="343"/>
      <c r="J176" s="343"/>
      <c r="K176" s="343"/>
      <c r="L176" s="343"/>
      <c r="S176" s="373"/>
      <c r="V176" s="373"/>
      <c r="X176" s="373"/>
      <c r="Z176" s="373"/>
      <c r="AV176" s="373"/>
      <c r="AX176" s="373"/>
      <c r="AY176" s="373"/>
      <c r="BS176" s="373"/>
      <c r="BT176" s="373"/>
      <c r="BU176" s="373"/>
      <c r="CT176" s="373"/>
      <c r="CV176" s="373"/>
      <c r="CW176" s="373"/>
      <c r="CX176" s="373"/>
      <c r="DG176" s="373"/>
      <c r="DH176" s="373"/>
      <c r="DI176" s="373"/>
      <c r="DM176" s="373"/>
      <c r="DN176" s="373"/>
      <c r="DO176" s="373"/>
      <c r="DS176" s="373"/>
      <c r="DY176" s="373"/>
      <c r="EA176" s="373"/>
    </row>
    <row r="177" spans="1:131" x14ac:dyDescent="0.2">
      <c r="A177"/>
      <c r="B177" s="144"/>
      <c r="D177" s="341"/>
      <c r="F177" s="343"/>
      <c r="G177" s="343"/>
      <c r="H177" s="343"/>
      <c r="I177" s="343"/>
      <c r="J177" s="343"/>
      <c r="K177" s="343"/>
      <c r="L177" s="343"/>
      <c r="S177" s="373"/>
      <c r="V177" s="373"/>
      <c r="X177" s="373"/>
      <c r="Z177" s="373"/>
      <c r="AH177" s="373"/>
      <c r="AI177" s="373"/>
      <c r="AJ177" s="373"/>
      <c r="AK177" s="373"/>
      <c r="AL177" s="373"/>
      <c r="AN177" s="373"/>
      <c r="AV177" s="373"/>
      <c r="AX177" s="373"/>
      <c r="AY177" s="373"/>
      <c r="AZ177" s="373"/>
      <c r="BA177" s="373"/>
      <c r="BE177" s="373"/>
      <c r="BJ177" s="373"/>
      <c r="BL177" s="373"/>
      <c r="BR177" s="373"/>
      <c r="BS177" s="373"/>
      <c r="BT177" s="373"/>
      <c r="BU177" s="373"/>
      <c r="BV177" s="373"/>
      <c r="BW177" s="373"/>
      <c r="BX177" s="373"/>
      <c r="BY177" s="373"/>
      <c r="BZ177" s="373"/>
      <c r="CE177" s="373"/>
      <c r="CG177" s="373"/>
      <c r="CT177" s="373"/>
      <c r="CV177" s="373"/>
      <c r="CW177" s="373"/>
      <c r="CX177" s="373"/>
      <c r="DG177" s="373"/>
      <c r="DH177" s="373"/>
      <c r="DI177" s="373"/>
      <c r="DM177" s="373"/>
      <c r="DN177" s="373"/>
      <c r="DO177" s="373"/>
      <c r="DS177" s="373"/>
      <c r="DY177" s="373"/>
      <c r="EA177" s="373"/>
    </row>
    <row r="178" spans="1:131" x14ac:dyDescent="0.2">
      <c r="A178"/>
      <c r="B178" s="144"/>
      <c r="D178" s="341"/>
      <c r="F178" s="343"/>
      <c r="G178" s="343"/>
      <c r="H178" s="343"/>
      <c r="I178" s="343"/>
      <c r="J178" s="343"/>
      <c r="K178" s="343"/>
      <c r="L178" s="343"/>
      <c r="S178" s="373"/>
      <c r="V178" s="373"/>
      <c r="X178" s="373"/>
      <c r="Z178" s="373"/>
      <c r="AH178" s="373"/>
      <c r="AI178" s="373"/>
      <c r="AJ178" s="373"/>
      <c r="AK178" s="373"/>
      <c r="AL178" s="373"/>
      <c r="AN178" s="373"/>
      <c r="AV178" s="373"/>
      <c r="AX178" s="373"/>
      <c r="AY178" s="373"/>
      <c r="AZ178" s="373"/>
      <c r="BA178" s="373"/>
      <c r="BE178" s="373"/>
      <c r="BJ178" s="373"/>
      <c r="BL178" s="373"/>
      <c r="BR178" s="373"/>
      <c r="BS178" s="373"/>
      <c r="BT178" s="373"/>
      <c r="BU178" s="373"/>
      <c r="BV178" s="373"/>
      <c r="BW178" s="373"/>
      <c r="BX178" s="373"/>
      <c r="BY178" s="373"/>
      <c r="BZ178" s="373"/>
      <c r="CE178" s="373"/>
      <c r="CG178" s="373"/>
      <c r="CT178" s="373"/>
      <c r="CV178" s="373"/>
      <c r="CW178" s="373"/>
      <c r="CX178" s="373"/>
      <c r="DG178" s="373"/>
      <c r="DH178" s="373"/>
      <c r="DI178" s="373"/>
      <c r="DM178" s="373"/>
      <c r="DN178" s="373"/>
      <c r="DO178" s="373"/>
      <c r="DS178" s="373"/>
      <c r="DY178" s="373"/>
      <c r="EA178" s="373"/>
    </row>
    <row r="179" spans="1:131" x14ac:dyDescent="0.2">
      <c r="A179"/>
      <c r="B179" s="144"/>
      <c r="D179" s="341"/>
      <c r="F179" s="343"/>
      <c r="G179" s="343"/>
      <c r="H179" s="343"/>
      <c r="I179" s="343"/>
      <c r="J179" s="343"/>
      <c r="K179" s="343"/>
      <c r="L179" s="343"/>
      <c r="S179" s="373"/>
      <c r="V179" s="373"/>
      <c r="X179" s="373"/>
      <c r="Z179" s="373"/>
      <c r="AH179" s="373"/>
      <c r="AI179" s="373"/>
      <c r="AJ179" s="373"/>
      <c r="AK179" s="373"/>
      <c r="AL179" s="373"/>
      <c r="AN179" s="373"/>
      <c r="AV179" s="373"/>
      <c r="AX179" s="373"/>
      <c r="AY179" s="373"/>
      <c r="AZ179" s="373"/>
      <c r="BA179" s="373"/>
      <c r="BE179" s="373"/>
      <c r="BJ179" s="373"/>
      <c r="BL179" s="373"/>
      <c r="BR179" s="373"/>
      <c r="BS179" s="373"/>
      <c r="BT179" s="373"/>
      <c r="BU179" s="373"/>
      <c r="BV179" s="373"/>
      <c r="BW179" s="373"/>
      <c r="BX179" s="373"/>
      <c r="BY179" s="373"/>
      <c r="BZ179" s="373"/>
      <c r="CE179" s="373"/>
      <c r="CG179" s="373"/>
      <c r="CT179" s="373"/>
      <c r="CV179" s="373"/>
      <c r="CW179" s="373"/>
      <c r="CX179" s="373"/>
      <c r="DG179" s="373"/>
      <c r="DH179" s="373"/>
      <c r="DI179" s="373"/>
      <c r="DM179" s="373"/>
      <c r="DN179" s="373"/>
      <c r="DO179" s="373"/>
      <c r="DS179" s="373"/>
      <c r="DY179" s="373"/>
      <c r="EA179" s="373"/>
    </row>
    <row r="180" spans="1:131" x14ac:dyDescent="0.2">
      <c r="A180"/>
      <c r="B180" s="144"/>
      <c r="D180" s="341"/>
      <c r="F180" s="343"/>
      <c r="G180" s="343"/>
      <c r="H180" s="343"/>
      <c r="I180" s="343"/>
      <c r="J180" s="343"/>
      <c r="K180" s="343"/>
      <c r="L180" s="343"/>
      <c r="S180" s="373"/>
      <c r="V180" s="373"/>
      <c r="X180" s="373"/>
      <c r="Z180" s="373"/>
      <c r="AV180" s="373"/>
      <c r="AX180" s="373"/>
      <c r="AY180" s="373"/>
      <c r="BS180" s="373"/>
      <c r="BT180" s="373"/>
      <c r="BU180" s="373"/>
      <c r="CT180" s="373"/>
      <c r="CV180" s="373"/>
      <c r="CW180" s="373"/>
      <c r="CX180" s="373"/>
      <c r="DG180" s="373"/>
      <c r="DH180" s="373"/>
      <c r="DI180" s="373"/>
      <c r="DM180" s="373"/>
      <c r="DN180" s="373"/>
      <c r="DO180" s="373"/>
      <c r="DS180" s="373"/>
      <c r="DY180" s="373"/>
      <c r="EA180" s="373"/>
    </row>
    <row r="181" spans="1:131" x14ac:dyDescent="0.2">
      <c r="A181"/>
      <c r="B181" s="144"/>
      <c r="D181" s="341"/>
      <c r="F181" s="343"/>
      <c r="G181" s="343"/>
      <c r="H181" s="343"/>
      <c r="I181" s="343"/>
      <c r="J181" s="343"/>
      <c r="K181" s="343"/>
      <c r="L181" s="343"/>
      <c r="S181" s="373"/>
      <c r="V181" s="373"/>
      <c r="X181" s="373"/>
      <c r="Z181" s="373"/>
      <c r="AV181" s="373"/>
      <c r="AX181" s="373"/>
      <c r="AY181" s="373"/>
      <c r="BS181" s="373"/>
      <c r="BT181" s="373"/>
      <c r="BU181" s="373"/>
      <c r="CT181" s="373"/>
      <c r="CV181" s="373"/>
      <c r="CW181" s="373"/>
      <c r="CX181" s="373"/>
      <c r="DG181" s="373"/>
      <c r="DH181" s="373"/>
      <c r="DI181" s="373"/>
      <c r="DM181" s="373"/>
      <c r="DN181" s="373"/>
      <c r="DO181" s="373"/>
      <c r="DS181" s="373"/>
      <c r="DY181" s="373"/>
      <c r="EA181" s="373"/>
    </row>
    <row r="182" spans="1:131" x14ac:dyDescent="0.2">
      <c r="A182"/>
      <c r="B182" s="144"/>
      <c r="D182" s="341"/>
      <c r="F182" s="343"/>
      <c r="G182" s="343"/>
      <c r="H182" s="343"/>
      <c r="I182" s="343"/>
      <c r="J182" s="343"/>
      <c r="K182" s="343"/>
      <c r="L182" s="343"/>
      <c r="S182" s="373"/>
      <c r="V182" s="373"/>
      <c r="X182" s="373"/>
      <c r="Z182" s="373"/>
      <c r="AV182" s="373"/>
      <c r="AX182" s="373"/>
      <c r="AY182" s="373"/>
      <c r="BS182" s="373"/>
      <c r="BT182" s="373"/>
      <c r="BU182" s="373"/>
      <c r="CT182" s="373"/>
      <c r="CV182" s="373"/>
      <c r="CW182" s="373"/>
      <c r="CX182" s="373"/>
      <c r="DG182" s="373"/>
      <c r="DH182" s="373"/>
      <c r="DI182" s="373"/>
      <c r="DM182" s="373"/>
      <c r="DN182" s="373"/>
      <c r="DO182" s="373"/>
      <c r="DS182" s="373"/>
      <c r="DY182" s="373"/>
      <c r="EA182" s="373"/>
    </row>
    <row r="183" spans="1:131" x14ac:dyDescent="0.2">
      <c r="A183"/>
      <c r="B183" s="144"/>
      <c r="D183" s="341"/>
      <c r="F183" s="343"/>
      <c r="G183" s="343"/>
      <c r="H183" s="343"/>
      <c r="I183" s="343"/>
      <c r="J183" s="343"/>
      <c r="K183" s="343"/>
      <c r="L183" s="343"/>
      <c r="S183" s="373"/>
      <c r="V183" s="373"/>
      <c r="X183" s="373"/>
      <c r="Z183" s="373"/>
      <c r="AV183" s="373"/>
      <c r="AX183" s="373"/>
      <c r="AY183" s="373"/>
      <c r="BS183" s="373"/>
      <c r="BT183" s="373"/>
      <c r="BU183" s="373"/>
      <c r="CT183" s="373"/>
      <c r="CV183" s="373"/>
      <c r="CW183" s="373"/>
      <c r="CX183" s="373"/>
      <c r="DG183" s="373"/>
      <c r="DH183" s="373"/>
      <c r="DI183" s="373"/>
      <c r="DM183" s="373"/>
      <c r="DN183" s="373"/>
      <c r="DO183" s="373"/>
      <c r="DS183" s="373"/>
      <c r="DY183" s="373"/>
      <c r="EA183" s="373"/>
    </row>
    <row r="184" spans="1:131" x14ac:dyDescent="0.2">
      <c r="A184"/>
      <c r="B184" s="144"/>
      <c r="D184" s="341"/>
      <c r="F184" s="343"/>
      <c r="G184" s="343"/>
      <c r="H184" s="343"/>
      <c r="I184" s="343"/>
      <c r="J184" s="343"/>
      <c r="K184" s="343"/>
      <c r="L184" s="343"/>
      <c r="AV184" s="373"/>
      <c r="AX184" s="373"/>
      <c r="AY184" s="373"/>
      <c r="BS184" s="373"/>
      <c r="BT184" s="373"/>
      <c r="BU184" s="373"/>
      <c r="CT184" s="373"/>
      <c r="CV184" s="373"/>
      <c r="CW184" s="373"/>
      <c r="CX184" s="373"/>
    </row>
    <row r="185" spans="1:131" x14ac:dyDescent="0.2">
      <c r="A185"/>
      <c r="B185" s="144"/>
      <c r="D185" s="341"/>
      <c r="F185" s="343"/>
      <c r="G185" s="343"/>
      <c r="H185" s="343"/>
      <c r="I185" s="343"/>
      <c r="J185" s="343"/>
      <c r="K185" s="343"/>
      <c r="L185" s="343"/>
      <c r="AV185" s="373"/>
      <c r="AX185" s="373"/>
      <c r="AY185" s="373"/>
      <c r="BS185" s="373"/>
      <c r="BT185" s="373"/>
      <c r="BU185" s="373"/>
      <c r="CT185" s="373"/>
      <c r="CV185" s="373"/>
      <c r="CW185" s="373"/>
      <c r="CX185" s="373"/>
    </row>
    <row r="186" spans="1:131" x14ac:dyDescent="0.2">
      <c r="A186"/>
      <c r="B186" s="144"/>
      <c r="D186" s="341"/>
      <c r="F186" s="343"/>
      <c r="G186" s="343"/>
      <c r="H186" s="343"/>
      <c r="I186" s="343"/>
      <c r="J186" s="343"/>
      <c r="K186" s="343"/>
      <c r="L186" s="343"/>
      <c r="AV186" s="373"/>
      <c r="AX186" s="373"/>
      <c r="AY186" s="373"/>
      <c r="BS186" s="373"/>
      <c r="BT186" s="373"/>
      <c r="BU186" s="373"/>
      <c r="CT186" s="373"/>
      <c r="CV186" s="373"/>
      <c r="CW186" s="373"/>
      <c r="CX186" s="373"/>
    </row>
    <row r="187" spans="1:131" x14ac:dyDescent="0.2">
      <c r="A187"/>
      <c r="B187" s="144"/>
      <c r="D187" s="341"/>
      <c r="F187" s="343"/>
      <c r="G187" s="343"/>
      <c r="H187" s="343"/>
      <c r="I187" s="343"/>
      <c r="J187" s="343"/>
      <c r="K187" s="343"/>
      <c r="L187" s="343"/>
      <c r="AA187" s="373"/>
      <c r="AC187" s="373"/>
      <c r="AD187" s="373"/>
      <c r="AF187" s="373"/>
      <c r="AH187" s="373"/>
      <c r="AV187" s="373"/>
      <c r="AX187" s="373"/>
      <c r="AY187" s="373"/>
      <c r="BS187" s="373"/>
      <c r="BT187" s="373"/>
      <c r="BU187" s="373"/>
      <c r="CT187" s="373"/>
      <c r="CV187" s="373"/>
      <c r="CW187" s="373"/>
      <c r="CX187" s="373"/>
    </row>
    <row r="188" spans="1:131" x14ac:dyDescent="0.2">
      <c r="A188"/>
      <c r="B188" s="144"/>
      <c r="D188" s="341"/>
      <c r="F188" s="343"/>
      <c r="G188" s="343"/>
      <c r="H188" s="343"/>
      <c r="I188" s="343"/>
      <c r="J188" s="343"/>
      <c r="K188" s="343"/>
      <c r="L188" s="343"/>
      <c r="AA188" s="373"/>
      <c r="AC188" s="373"/>
      <c r="AD188" s="373"/>
      <c r="AF188" s="373"/>
      <c r="AH188" s="373"/>
      <c r="AV188" s="373"/>
      <c r="AX188" s="373"/>
      <c r="AY188" s="373"/>
      <c r="BS188" s="373"/>
      <c r="BT188" s="373"/>
      <c r="BU188" s="373"/>
      <c r="CT188" s="373"/>
      <c r="CV188" s="373"/>
      <c r="CW188" s="373"/>
      <c r="CX188" s="373"/>
    </row>
    <row r="189" spans="1:131" x14ac:dyDescent="0.2">
      <c r="A189"/>
      <c r="B189" s="144"/>
      <c r="D189" s="341"/>
      <c r="F189" s="343"/>
      <c r="G189" s="343"/>
      <c r="H189" s="343"/>
      <c r="I189" s="343"/>
      <c r="J189" s="343"/>
      <c r="K189" s="343"/>
      <c r="L189" s="343"/>
      <c r="AA189" s="373"/>
      <c r="AC189" s="373"/>
      <c r="AD189" s="373"/>
      <c r="AF189" s="373"/>
      <c r="AH189" s="373"/>
      <c r="AV189" s="373"/>
      <c r="AX189" s="373"/>
      <c r="AY189" s="373"/>
      <c r="BS189" s="373"/>
      <c r="BT189" s="373"/>
      <c r="BU189" s="373"/>
      <c r="CT189" s="373"/>
      <c r="CV189" s="373"/>
      <c r="CW189" s="373"/>
      <c r="CX189" s="373"/>
    </row>
    <row r="190" spans="1:131" x14ac:dyDescent="0.2">
      <c r="A190"/>
      <c r="B190" s="144"/>
      <c r="D190" s="341"/>
      <c r="F190" s="343"/>
      <c r="G190" s="343"/>
      <c r="H190" s="343"/>
      <c r="I190" s="343"/>
      <c r="J190" s="343"/>
      <c r="K190" s="343"/>
      <c r="L190" s="343"/>
      <c r="AA190" s="373"/>
      <c r="AC190" s="373"/>
      <c r="AD190" s="373"/>
      <c r="AF190" s="373"/>
      <c r="AH190" s="373"/>
      <c r="AV190" s="373"/>
      <c r="AX190" s="373"/>
      <c r="AY190" s="373"/>
      <c r="BS190" s="373"/>
      <c r="BT190" s="373"/>
      <c r="BU190" s="373"/>
      <c r="CT190" s="373"/>
      <c r="CV190" s="373"/>
      <c r="CW190" s="373"/>
      <c r="CX190" s="373"/>
    </row>
    <row r="191" spans="1:131" x14ac:dyDescent="0.2">
      <c r="A191"/>
      <c r="B191" s="144"/>
      <c r="D191" s="341"/>
      <c r="F191" s="343"/>
      <c r="G191" s="343"/>
      <c r="H191" s="343"/>
      <c r="I191" s="343"/>
      <c r="J191" s="343"/>
      <c r="K191" s="343"/>
      <c r="L191" s="343"/>
      <c r="S191" s="373"/>
      <c r="V191" s="373"/>
      <c r="X191" s="373"/>
      <c r="Z191" s="373"/>
      <c r="AA191" s="373"/>
      <c r="AC191" s="373"/>
      <c r="AD191" s="373"/>
      <c r="AF191" s="373"/>
      <c r="AH191" s="373"/>
      <c r="AV191" s="373"/>
      <c r="AX191" s="373"/>
      <c r="AY191" s="373"/>
      <c r="BS191" s="373"/>
      <c r="BT191" s="373"/>
      <c r="BU191" s="373"/>
      <c r="CT191" s="373"/>
      <c r="CV191" s="373"/>
      <c r="CW191" s="373"/>
      <c r="CX191" s="373"/>
      <c r="DG191" s="373"/>
      <c r="DH191" s="373"/>
      <c r="DI191" s="373"/>
      <c r="DM191" s="373"/>
      <c r="DN191" s="373"/>
      <c r="DO191" s="373"/>
      <c r="DS191" s="373"/>
      <c r="DY191" s="373"/>
      <c r="EA191" s="373"/>
    </row>
    <row r="192" spans="1:131" x14ac:dyDescent="0.2">
      <c r="A192"/>
      <c r="B192" s="144"/>
      <c r="D192" s="341"/>
      <c r="F192" s="343"/>
      <c r="G192" s="343"/>
      <c r="H192" s="343"/>
      <c r="I192" s="343"/>
      <c r="J192" s="343"/>
      <c r="K192" s="343"/>
      <c r="L192" s="343"/>
      <c r="AA192" s="373"/>
      <c r="AC192" s="373"/>
      <c r="AD192" s="373"/>
      <c r="AF192" s="373"/>
      <c r="AH192" s="373"/>
      <c r="AV192" s="373"/>
      <c r="AX192" s="373"/>
      <c r="AY192" s="373"/>
      <c r="BS192" s="373"/>
      <c r="BT192" s="373"/>
      <c r="BU192" s="373"/>
      <c r="CT192" s="373"/>
      <c r="CV192" s="373"/>
      <c r="CW192" s="373"/>
      <c r="CX192" s="373"/>
    </row>
    <row r="193" spans="1:132" x14ac:dyDescent="0.2">
      <c r="A193"/>
      <c r="B193" s="144"/>
      <c r="D193" s="341"/>
      <c r="F193" s="343"/>
      <c r="G193" s="343"/>
      <c r="H193" s="343"/>
      <c r="I193" s="343"/>
      <c r="J193" s="343"/>
      <c r="K193" s="343"/>
      <c r="L193" s="343"/>
      <c r="AA193" s="373"/>
      <c r="AC193" s="373"/>
      <c r="AD193" s="373"/>
      <c r="AF193" s="373"/>
      <c r="AH193" s="373"/>
      <c r="AV193" s="373"/>
      <c r="AX193" s="373"/>
      <c r="AY193" s="373"/>
      <c r="BS193" s="373"/>
      <c r="BT193" s="373"/>
      <c r="BU193" s="373"/>
      <c r="CT193" s="373"/>
      <c r="CV193" s="373"/>
      <c r="CW193" s="373"/>
      <c r="CX193" s="373"/>
    </row>
    <row r="194" spans="1:132" x14ac:dyDescent="0.2">
      <c r="A194"/>
      <c r="B194" s="144"/>
      <c r="D194" s="341"/>
      <c r="F194" s="343"/>
      <c r="G194" s="343"/>
      <c r="H194" s="343"/>
      <c r="I194" s="343"/>
      <c r="J194" s="343"/>
      <c r="K194" s="343"/>
      <c r="L194" s="343"/>
      <c r="AA194" s="373"/>
      <c r="AC194" s="373"/>
      <c r="AD194" s="373"/>
      <c r="AF194" s="373"/>
      <c r="AH194" s="373"/>
      <c r="AV194" s="373"/>
      <c r="AX194" s="373"/>
      <c r="AY194" s="373"/>
      <c r="BS194" s="373"/>
      <c r="BT194" s="373"/>
      <c r="BU194" s="373"/>
      <c r="CT194" s="373"/>
      <c r="CV194" s="373"/>
      <c r="CW194" s="373"/>
      <c r="CX194" s="373"/>
    </row>
    <row r="195" spans="1:132" x14ac:dyDescent="0.2">
      <c r="A195"/>
      <c r="B195" s="144"/>
      <c r="D195" s="341"/>
      <c r="F195" s="343"/>
      <c r="G195" s="343"/>
      <c r="H195" s="343"/>
      <c r="I195" s="343"/>
      <c r="J195" s="343"/>
      <c r="K195" s="343"/>
      <c r="L195" s="343"/>
      <c r="AA195" s="373"/>
      <c r="AC195" s="373"/>
      <c r="AD195" s="373"/>
      <c r="AF195" s="373"/>
      <c r="AH195" s="373"/>
      <c r="AV195" s="373"/>
      <c r="AX195" s="373"/>
      <c r="AY195" s="373"/>
      <c r="BS195" s="373"/>
      <c r="BT195" s="373"/>
      <c r="BU195" s="373"/>
      <c r="CT195" s="373"/>
      <c r="CV195" s="373"/>
      <c r="CW195" s="373"/>
      <c r="CX195" s="373"/>
    </row>
    <row r="196" spans="1:132" x14ac:dyDescent="0.2">
      <c r="A196"/>
      <c r="B196" s="144"/>
      <c r="D196" s="341"/>
      <c r="F196" s="343"/>
      <c r="G196" s="343"/>
      <c r="H196" s="343"/>
      <c r="I196" s="343"/>
      <c r="J196" s="343"/>
      <c r="K196" s="343"/>
      <c r="L196" s="343"/>
      <c r="S196" s="373"/>
      <c r="U196" s="373"/>
      <c r="V196" s="373"/>
      <c r="W196" s="373"/>
      <c r="X196" s="373"/>
      <c r="Z196" s="373"/>
      <c r="AA196" s="373"/>
      <c r="AB196" s="373"/>
      <c r="AC196" s="373"/>
      <c r="AD196" s="373"/>
      <c r="AF196" s="373"/>
      <c r="AH196" s="373"/>
      <c r="AV196" s="373"/>
      <c r="AX196" s="373"/>
      <c r="AY196" s="373"/>
      <c r="BS196" s="373"/>
      <c r="BT196" s="373"/>
      <c r="BU196" s="373"/>
      <c r="CT196" s="373"/>
      <c r="CV196" s="373"/>
      <c r="CW196" s="373"/>
      <c r="CX196" s="373"/>
      <c r="DG196" s="373"/>
      <c r="DH196" s="373"/>
      <c r="DI196" s="373"/>
      <c r="DM196" s="373"/>
      <c r="DN196" s="373"/>
      <c r="DO196" s="373"/>
      <c r="DS196" s="373"/>
      <c r="DY196" s="373"/>
      <c r="EA196" s="373"/>
    </row>
    <row r="197" spans="1:132" x14ac:dyDescent="0.2">
      <c r="A197"/>
      <c r="B197" s="144"/>
      <c r="D197" s="341"/>
      <c r="F197" s="343"/>
      <c r="G197" s="343"/>
      <c r="H197" s="343"/>
      <c r="I197" s="343"/>
      <c r="J197" s="343"/>
      <c r="K197" s="343"/>
      <c r="L197" s="343"/>
      <c r="S197" s="373"/>
      <c r="U197" s="373"/>
      <c r="V197" s="373"/>
      <c r="W197" s="373"/>
      <c r="X197" s="373"/>
      <c r="Z197" s="373"/>
      <c r="AA197" s="373"/>
      <c r="AB197" s="373"/>
      <c r="AC197" s="373"/>
      <c r="AD197" s="373"/>
      <c r="AF197" s="373"/>
      <c r="AH197" s="373"/>
      <c r="AI197" s="373"/>
      <c r="AJ197" s="373"/>
      <c r="AK197" s="373"/>
      <c r="AL197" s="373"/>
      <c r="AN197" s="373"/>
      <c r="AT197" s="373"/>
      <c r="AV197" s="373"/>
      <c r="AW197" s="373"/>
      <c r="AX197" s="373"/>
      <c r="AY197" s="373"/>
      <c r="AZ197" s="373"/>
      <c r="BA197" s="373"/>
      <c r="BB197" s="373"/>
      <c r="BC197" s="373"/>
      <c r="BE197" s="373"/>
      <c r="BG197" s="373"/>
      <c r="BJ197" s="373"/>
      <c r="BL197" s="373"/>
      <c r="BN197" s="373"/>
      <c r="BR197" s="373"/>
      <c r="BS197" s="373"/>
      <c r="BT197" s="373"/>
      <c r="BU197" s="373"/>
      <c r="BV197" s="373"/>
      <c r="BW197" s="373"/>
      <c r="BX197" s="373"/>
      <c r="BY197" s="373"/>
      <c r="BZ197" s="373"/>
      <c r="CA197" s="373"/>
      <c r="CB197" s="373"/>
      <c r="CC197" s="373"/>
      <c r="CD197" s="373"/>
      <c r="CE197" s="373"/>
      <c r="CG197" s="373"/>
      <c r="CJ197" s="373"/>
      <c r="CL197" s="373"/>
      <c r="CT197" s="373"/>
      <c r="CV197" s="373"/>
      <c r="CW197" s="373"/>
      <c r="CX197" s="373"/>
      <c r="DC197" s="373"/>
      <c r="DD197" s="373"/>
      <c r="DF197" s="373"/>
      <c r="DG197" s="373"/>
      <c r="DH197" s="373"/>
      <c r="DI197" s="373"/>
      <c r="DJ197" s="373"/>
      <c r="DK197" s="373"/>
      <c r="DM197" s="373"/>
      <c r="DN197" s="373"/>
      <c r="DO197" s="373"/>
      <c r="DS197" s="373"/>
      <c r="DT197" s="373"/>
      <c r="DV197" s="373"/>
      <c r="DY197" s="373"/>
      <c r="EA197" s="373"/>
    </row>
    <row r="198" spans="1:132" x14ac:dyDescent="0.2">
      <c r="A198"/>
      <c r="B198" s="144"/>
      <c r="D198" s="341"/>
      <c r="F198" s="343"/>
      <c r="G198" s="343"/>
      <c r="H198" s="343"/>
      <c r="I198" s="343"/>
      <c r="J198" s="343"/>
      <c r="K198" s="343"/>
      <c r="L198" s="343"/>
      <c r="S198" s="373"/>
      <c r="U198" s="373"/>
      <c r="V198" s="373"/>
      <c r="W198" s="373"/>
      <c r="X198" s="373"/>
      <c r="Z198" s="373"/>
      <c r="AA198" s="373"/>
      <c r="AB198" s="373"/>
      <c r="AC198" s="373"/>
      <c r="AD198" s="373"/>
      <c r="AF198" s="373"/>
      <c r="AH198" s="373"/>
      <c r="AI198" s="373"/>
      <c r="AJ198" s="373"/>
      <c r="AK198" s="373"/>
      <c r="AL198" s="373"/>
      <c r="AN198" s="373"/>
      <c r="AT198" s="373"/>
      <c r="AV198" s="373"/>
      <c r="AW198" s="373"/>
      <c r="AX198" s="373"/>
      <c r="AY198" s="373"/>
      <c r="AZ198" s="373"/>
      <c r="BA198" s="373"/>
      <c r="BB198" s="373"/>
      <c r="BC198" s="373"/>
      <c r="BE198" s="373"/>
      <c r="BG198" s="373"/>
      <c r="BJ198" s="373"/>
      <c r="BL198" s="373"/>
      <c r="BN198" s="373"/>
      <c r="BR198" s="373"/>
      <c r="BS198" s="373"/>
      <c r="BT198" s="373"/>
      <c r="BU198" s="373"/>
      <c r="BV198" s="373"/>
      <c r="BW198" s="373"/>
      <c r="BX198" s="373"/>
      <c r="BY198" s="373"/>
      <c r="BZ198" s="373"/>
      <c r="CA198" s="373"/>
      <c r="CB198" s="373"/>
      <c r="CC198" s="373"/>
      <c r="CD198" s="373"/>
      <c r="CE198" s="373"/>
      <c r="CG198" s="373"/>
      <c r="CJ198" s="373"/>
      <c r="CL198" s="373"/>
      <c r="CT198" s="373"/>
      <c r="CV198" s="373"/>
      <c r="CW198" s="373"/>
      <c r="CX198" s="373"/>
      <c r="DC198" s="373"/>
      <c r="DD198" s="373"/>
      <c r="DF198" s="373"/>
      <c r="DG198" s="373"/>
      <c r="DH198" s="373"/>
      <c r="DI198" s="373"/>
      <c r="DJ198" s="373"/>
      <c r="DK198" s="373"/>
      <c r="DM198" s="373"/>
      <c r="DN198" s="373"/>
      <c r="DO198" s="373"/>
      <c r="DS198" s="373"/>
      <c r="DT198" s="373"/>
      <c r="DV198" s="373"/>
      <c r="DY198" s="373"/>
      <c r="EA198" s="373"/>
    </row>
    <row r="199" spans="1:132" x14ac:dyDescent="0.2">
      <c r="A199"/>
      <c r="B199" s="144"/>
      <c r="D199" s="341"/>
      <c r="F199" s="343"/>
      <c r="G199" s="343"/>
      <c r="H199" s="343"/>
      <c r="I199" s="343"/>
      <c r="J199" s="343"/>
      <c r="K199" s="343"/>
      <c r="L199" s="343"/>
      <c r="S199" s="373"/>
      <c r="U199" s="373"/>
      <c r="V199" s="373"/>
      <c r="W199" s="373"/>
      <c r="X199" s="373"/>
      <c r="Z199" s="373"/>
      <c r="AA199" s="373"/>
      <c r="AB199" s="373"/>
      <c r="AC199" s="373"/>
      <c r="AD199" s="373"/>
      <c r="AF199" s="373"/>
      <c r="AH199" s="373"/>
      <c r="AI199" s="373"/>
      <c r="AJ199" s="373"/>
      <c r="AK199" s="373"/>
      <c r="AL199" s="373"/>
      <c r="AN199" s="373"/>
      <c r="AT199" s="373"/>
      <c r="AV199" s="373"/>
      <c r="AW199" s="373"/>
      <c r="AX199" s="373"/>
      <c r="AY199" s="373"/>
      <c r="AZ199" s="373"/>
      <c r="BA199" s="373"/>
      <c r="BB199" s="373"/>
      <c r="BC199" s="373"/>
      <c r="BE199" s="373"/>
      <c r="BG199" s="373"/>
      <c r="BJ199" s="373"/>
      <c r="BL199" s="373"/>
      <c r="BN199" s="373"/>
      <c r="BR199" s="373"/>
      <c r="BS199" s="373"/>
      <c r="BT199" s="373"/>
      <c r="BU199" s="373"/>
      <c r="BV199" s="373"/>
      <c r="BW199" s="373"/>
      <c r="BX199" s="373"/>
      <c r="BY199" s="373"/>
      <c r="BZ199" s="373"/>
      <c r="CA199" s="373"/>
      <c r="CB199" s="373"/>
      <c r="CC199" s="373"/>
      <c r="CD199" s="373"/>
      <c r="CE199" s="373"/>
      <c r="CG199" s="373"/>
      <c r="CJ199" s="373"/>
      <c r="CL199" s="373"/>
      <c r="CT199" s="373"/>
      <c r="CV199" s="373"/>
      <c r="CW199" s="373"/>
      <c r="CX199" s="373"/>
      <c r="DC199" s="373"/>
      <c r="DD199" s="373"/>
      <c r="DF199" s="373"/>
      <c r="DG199" s="373"/>
      <c r="DH199" s="373"/>
      <c r="DI199" s="373"/>
      <c r="DJ199" s="373"/>
      <c r="DK199" s="373"/>
      <c r="DM199" s="373"/>
      <c r="DN199" s="373"/>
      <c r="DO199" s="373"/>
      <c r="DS199" s="373"/>
      <c r="DT199" s="373"/>
      <c r="DV199" s="373"/>
      <c r="DY199" s="373"/>
      <c r="EA199" s="373"/>
    </row>
    <row r="200" spans="1:132" x14ac:dyDescent="0.2">
      <c r="A200"/>
      <c r="B200" s="144"/>
      <c r="D200" s="341"/>
      <c r="F200" s="343"/>
      <c r="G200" s="343"/>
      <c r="H200" s="343"/>
      <c r="I200" s="343"/>
      <c r="J200" s="343"/>
      <c r="K200" s="343"/>
      <c r="L200" s="343"/>
      <c r="S200" s="373"/>
      <c r="U200" s="373"/>
      <c r="V200" s="373"/>
      <c r="W200" s="373"/>
      <c r="X200" s="373"/>
      <c r="Z200" s="373"/>
      <c r="AA200" s="373"/>
      <c r="AB200" s="373"/>
      <c r="AC200" s="373"/>
      <c r="AD200" s="373"/>
      <c r="AF200" s="373"/>
      <c r="AH200" s="373"/>
      <c r="AI200" s="373"/>
      <c r="AJ200" s="373"/>
      <c r="AK200" s="373"/>
      <c r="AL200" s="373"/>
      <c r="AN200" s="373"/>
      <c r="AT200" s="373"/>
      <c r="AV200" s="373"/>
      <c r="AW200" s="373"/>
      <c r="AX200" s="373"/>
      <c r="AY200" s="373"/>
      <c r="AZ200" s="373"/>
      <c r="BA200" s="373"/>
      <c r="BB200" s="373"/>
      <c r="BC200" s="373"/>
      <c r="BE200" s="373"/>
      <c r="BG200" s="373"/>
      <c r="BJ200" s="373"/>
      <c r="BL200" s="373"/>
      <c r="BN200" s="373"/>
      <c r="BR200" s="373"/>
      <c r="BS200" s="373"/>
      <c r="BT200" s="373"/>
      <c r="BU200" s="373"/>
      <c r="BV200" s="373"/>
      <c r="BW200" s="373"/>
      <c r="BX200" s="373"/>
      <c r="BY200" s="373"/>
      <c r="BZ200" s="373"/>
      <c r="CA200" s="373"/>
      <c r="CB200" s="373"/>
      <c r="CC200" s="373"/>
      <c r="CD200" s="373"/>
      <c r="CE200" s="373"/>
      <c r="CG200" s="373"/>
      <c r="CJ200" s="373"/>
      <c r="CL200" s="373"/>
      <c r="CT200" s="373"/>
      <c r="CV200" s="373"/>
      <c r="CW200" s="373"/>
      <c r="CX200" s="373"/>
      <c r="DC200" s="373"/>
      <c r="DD200" s="373"/>
      <c r="DF200" s="373"/>
      <c r="DG200" s="373"/>
      <c r="DH200" s="373"/>
      <c r="DI200" s="373"/>
      <c r="DJ200" s="373"/>
      <c r="DK200" s="373"/>
      <c r="DM200" s="373"/>
      <c r="DN200" s="373"/>
      <c r="DO200" s="373"/>
      <c r="DS200" s="373"/>
      <c r="DT200" s="373"/>
      <c r="DV200" s="373"/>
      <c r="DY200" s="373"/>
      <c r="EA200" s="373"/>
    </row>
    <row r="201" spans="1:132" x14ac:dyDescent="0.2">
      <c r="A201"/>
      <c r="B201" s="144"/>
      <c r="D201" s="341"/>
      <c r="F201" s="343"/>
      <c r="G201" s="343"/>
      <c r="H201" s="343"/>
      <c r="I201" s="343"/>
      <c r="J201" s="343"/>
      <c r="K201" s="343"/>
      <c r="L201" s="343"/>
      <c r="S201" s="373"/>
      <c r="U201" s="373"/>
      <c r="V201" s="373"/>
      <c r="W201" s="373"/>
      <c r="X201" s="373"/>
      <c r="Z201" s="373"/>
      <c r="AA201" s="373"/>
      <c r="AB201" s="373"/>
      <c r="AC201" s="373"/>
      <c r="AD201" s="373"/>
      <c r="AF201" s="373"/>
      <c r="AH201" s="373"/>
      <c r="AI201" s="373"/>
      <c r="AJ201" s="373"/>
      <c r="AK201" s="373"/>
      <c r="AL201" s="373"/>
      <c r="AN201" s="373"/>
      <c r="AT201" s="373"/>
      <c r="AV201" s="373"/>
      <c r="AW201" s="373"/>
      <c r="AX201" s="373"/>
      <c r="AY201" s="373"/>
      <c r="AZ201" s="373"/>
      <c r="BA201" s="373"/>
      <c r="BB201" s="373"/>
      <c r="BC201" s="373"/>
      <c r="BE201" s="373"/>
      <c r="BG201" s="373"/>
      <c r="BJ201" s="373"/>
      <c r="BL201" s="373"/>
      <c r="BN201" s="373"/>
      <c r="BR201" s="373"/>
      <c r="BS201" s="373"/>
      <c r="BT201" s="373"/>
      <c r="BU201" s="373"/>
      <c r="BV201" s="373"/>
      <c r="BW201" s="373"/>
      <c r="BX201" s="373"/>
      <c r="BY201" s="373"/>
      <c r="BZ201" s="373"/>
      <c r="CA201" s="373"/>
      <c r="CB201" s="373"/>
      <c r="CC201" s="373"/>
      <c r="CD201" s="373"/>
      <c r="CE201" s="373"/>
      <c r="CG201" s="373"/>
      <c r="CJ201" s="373"/>
      <c r="CL201" s="373"/>
      <c r="CT201" s="373"/>
      <c r="CV201" s="373"/>
      <c r="CW201" s="373"/>
      <c r="CX201" s="373"/>
      <c r="DC201" s="373"/>
      <c r="DD201" s="373"/>
      <c r="DF201" s="373"/>
      <c r="DG201" s="373"/>
      <c r="DH201" s="373"/>
      <c r="DI201" s="373"/>
      <c r="DJ201" s="373"/>
      <c r="DK201" s="373"/>
      <c r="DM201" s="373"/>
      <c r="DN201" s="373"/>
      <c r="DO201" s="373"/>
      <c r="DS201" s="373"/>
      <c r="DT201" s="373"/>
      <c r="DV201" s="373"/>
      <c r="DY201" s="373"/>
      <c r="EA201" s="373"/>
    </row>
    <row r="202" spans="1:132" x14ac:dyDescent="0.2">
      <c r="A202"/>
      <c r="B202" s="144"/>
      <c r="D202" s="341"/>
      <c r="F202" s="343"/>
      <c r="G202" s="343"/>
      <c r="H202" s="343"/>
      <c r="I202" s="343"/>
      <c r="J202" s="343"/>
      <c r="K202" s="343"/>
      <c r="L202" s="343"/>
      <c r="S202" s="373"/>
      <c r="U202" s="373"/>
      <c r="V202" s="373"/>
      <c r="W202" s="373"/>
      <c r="X202" s="373"/>
      <c r="Z202" s="373"/>
      <c r="AA202" s="373"/>
      <c r="AB202" s="373"/>
      <c r="AC202" s="373"/>
      <c r="AD202" s="373"/>
      <c r="AF202" s="373"/>
      <c r="AH202" s="373"/>
      <c r="AI202" s="373"/>
      <c r="AJ202" s="373"/>
      <c r="AK202" s="373"/>
      <c r="AL202" s="373"/>
      <c r="AN202" s="373"/>
      <c r="AT202" s="373"/>
      <c r="AV202" s="373"/>
      <c r="AW202" s="373"/>
      <c r="AX202" s="373"/>
      <c r="AY202" s="373"/>
      <c r="AZ202" s="373"/>
      <c r="BA202" s="373"/>
      <c r="BB202" s="373"/>
      <c r="BC202" s="373"/>
      <c r="BE202" s="373"/>
      <c r="BG202" s="373"/>
      <c r="BJ202" s="373"/>
      <c r="BL202" s="373"/>
      <c r="BN202" s="373"/>
      <c r="BR202" s="373"/>
      <c r="BS202" s="373"/>
      <c r="BT202" s="373"/>
      <c r="BU202" s="373"/>
      <c r="BV202" s="373"/>
      <c r="BW202" s="373"/>
      <c r="BX202" s="373"/>
      <c r="BY202" s="373"/>
      <c r="BZ202" s="373"/>
      <c r="CA202" s="373"/>
      <c r="CB202" s="373"/>
      <c r="CC202" s="373"/>
      <c r="CD202" s="373"/>
      <c r="CE202" s="373"/>
      <c r="CG202" s="373"/>
      <c r="CJ202" s="373"/>
      <c r="CL202" s="373"/>
      <c r="CT202" s="373"/>
      <c r="CV202" s="373"/>
      <c r="CW202" s="373"/>
      <c r="CX202" s="373"/>
      <c r="DC202" s="373"/>
      <c r="DD202" s="373"/>
      <c r="DF202" s="373"/>
      <c r="DG202" s="373"/>
      <c r="DH202" s="373"/>
      <c r="DI202" s="373"/>
      <c r="DJ202" s="373"/>
      <c r="DK202" s="373"/>
      <c r="DM202" s="373"/>
      <c r="DN202" s="373"/>
      <c r="DO202" s="373"/>
      <c r="DS202" s="373"/>
      <c r="DT202" s="373"/>
      <c r="DV202" s="373"/>
      <c r="DY202" s="373"/>
      <c r="EA202" s="373"/>
    </row>
    <row r="203" spans="1:132" x14ac:dyDescent="0.2">
      <c r="A203"/>
      <c r="B203" s="144"/>
      <c r="D203" s="341"/>
      <c r="F203" s="343"/>
      <c r="G203" s="343"/>
      <c r="H203" s="343"/>
      <c r="I203" s="343"/>
      <c r="J203" s="343"/>
      <c r="K203" s="343"/>
      <c r="L203" s="343"/>
      <c r="S203" s="373"/>
      <c r="U203" s="373"/>
      <c r="V203" s="373"/>
      <c r="W203" s="373"/>
      <c r="X203" s="373"/>
      <c r="Z203" s="373"/>
      <c r="AA203" s="373"/>
      <c r="AB203" s="373"/>
      <c r="AC203" s="373"/>
      <c r="AD203" s="373"/>
      <c r="AF203" s="373"/>
      <c r="AH203" s="373"/>
      <c r="AI203" s="373"/>
      <c r="AJ203" s="373"/>
      <c r="AK203" s="373"/>
      <c r="AL203" s="373"/>
      <c r="AM203" s="373"/>
      <c r="AN203" s="373"/>
      <c r="AO203" s="373"/>
      <c r="AP203" s="373"/>
      <c r="AS203" s="373"/>
      <c r="AT203" s="373"/>
      <c r="AV203" s="373"/>
      <c r="AW203" s="373"/>
      <c r="AX203" s="373"/>
      <c r="AY203" s="373"/>
      <c r="AZ203" s="373"/>
      <c r="BA203" s="373"/>
      <c r="BB203" s="373"/>
      <c r="BC203" s="373"/>
      <c r="BD203" s="373"/>
      <c r="BE203" s="373"/>
      <c r="BG203" s="373"/>
      <c r="BI203" s="373"/>
      <c r="BJ203" s="373"/>
      <c r="BK203" s="373"/>
      <c r="BL203" s="373"/>
      <c r="BN203" s="373"/>
      <c r="BR203" s="373"/>
      <c r="BS203" s="373"/>
      <c r="BT203" s="373"/>
      <c r="BU203" s="373"/>
      <c r="BV203" s="373"/>
      <c r="BW203" s="373"/>
      <c r="BX203" s="373"/>
      <c r="BY203" s="373"/>
      <c r="BZ203" s="373"/>
      <c r="CA203" s="373"/>
      <c r="CB203" s="373"/>
      <c r="CC203" s="373"/>
      <c r="CD203" s="373"/>
      <c r="CE203" s="373"/>
      <c r="CF203" s="373"/>
      <c r="CG203" s="373"/>
      <c r="CJ203" s="373"/>
      <c r="CL203" s="373"/>
      <c r="CN203" s="373"/>
      <c r="CT203" s="373"/>
      <c r="CV203" s="373"/>
      <c r="CW203" s="373"/>
      <c r="CX203" s="373"/>
      <c r="DC203" s="373"/>
      <c r="DD203" s="373"/>
      <c r="DF203" s="373"/>
      <c r="DG203" s="373"/>
      <c r="DH203" s="373"/>
      <c r="DI203" s="373"/>
      <c r="DJ203" s="373"/>
      <c r="DK203" s="373"/>
      <c r="DM203" s="373"/>
      <c r="DN203" s="373"/>
      <c r="DO203" s="373"/>
      <c r="DP203" s="373"/>
      <c r="DS203" s="373"/>
      <c r="DT203" s="373"/>
      <c r="DV203" s="373"/>
      <c r="DY203" s="373"/>
      <c r="DZ203" s="373"/>
      <c r="EA203" s="373"/>
      <c r="EB203" s="373"/>
    </row>
    <row r="204" spans="1:132" x14ac:dyDescent="0.2">
      <c r="A204"/>
      <c r="B204" s="144"/>
      <c r="D204" s="341"/>
      <c r="F204" s="343"/>
      <c r="G204" s="343"/>
      <c r="H204" s="343"/>
      <c r="I204" s="343"/>
      <c r="J204" s="343"/>
      <c r="K204" s="343"/>
      <c r="L204" s="343"/>
      <c r="S204" s="373"/>
      <c r="U204" s="373"/>
      <c r="V204" s="373"/>
      <c r="W204" s="373"/>
      <c r="X204" s="373"/>
      <c r="Z204" s="373"/>
      <c r="AA204" s="373"/>
      <c r="AB204" s="373"/>
      <c r="AC204" s="373"/>
      <c r="AD204" s="373"/>
      <c r="AF204" s="373"/>
      <c r="AH204" s="373"/>
      <c r="AI204" s="373"/>
      <c r="AJ204" s="373"/>
      <c r="AK204" s="373"/>
      <c r="AL204" s="373"/>
      <c r="AM204" s="373"/>
      <c r="AN204" s="373"/>
      <c r="AO204" s="373"/>
      <c r="AP204" s="373"/>
      <c r="AS204" s="373"/>
      <c r="AT204" s="373"/>
      <c r="AV204" s="373"/>
      <c r="AW204" s="373"/>
      <c r="AX204" s="373"/>
      <c r="AY204" s="373"/>
      <c r="AZ204" s="373"/>
      <c r="BA204" s="373"/>
      <c r="BB204" s="373"/>
      <c r="BC204" s="373"/>
      <c r="BD204" s="373"/>
      <c r="BE204" s="373"/>
      <c r="BG204" s="373"/>
      <c r="BI204" s="373"/>
      <c r="BJ204" s="373"/>
      <c r="BK204" s="373"/>
      <c r="BL204" s="373"/>
      <c r="BN204" s="373"/>
      <c r="BR204" s="373"/>
      <c r="BS204" s="373"/>
      <c r="BT204" s="373"/>
      <c r="BU204" s="373"/>
      <c r="BV204" s="373"/>
      <c r="BW204" s="373"/>
      <c r="BX204" s="373"/>
      <c r="BY204" s="373"/>
      <c r="BZ204" s="373"/>
      <c r="CA204" s="373"/>
      <c r="CB204" s="373"/>
      <c r="CC204" s="373"/>
      <c r="CD204" s="373"/>
      <c r="CE204" s="373"/>
      <c r="CF204" s="373"/>
      <c r="CG204" s="373"/>
      <c r="CJ204" s="373"/>
      <c r="CL204" s="373"/>
      <c r="CN204" s="373"/>
      <c r="CT204" s="373"/>
      <c r="CV204" s="373"/>
      <c r="CW204" s="373"/>
      <c r="CX204" s="373"/>
      <c r="DC204" s="373"/>
      <c r="DD204" s="373"/>
      <c r="DF204" s="373"/>
      <c r="DG204" s="373"/>
      <c r="DH204" s="373"/>
      <c r="DI204" s="373"/>
      <c r="DJ204" s="373"/>
      <c r="DK204" s="373"/>
      <c r="DM204" s="373"/>
      <c r="DN204" s="373"/>
      <c r="DO204" s="373"/>
      <c r="DP204" s="373"/>
      <c r="DS204" s="373"/>
      <c r="DT204" s="373"/>
      <c r="DV204" s="373"/>
      <c r="DY204" s="373"/>
      <c r="DZ204" s="373"/>
      <c r="EA204" s="373"/>
      <c r="EB204" s="373"/>
    </row>
    <row r="205" spans="1:132" x14ac:dyDescent="0.2">
      <c r="A205"/>
      <c r="B205" s="144"/>
      <c r="D205" s="341"/>
      <c r="F205" s="343"/>
      <c r="G205" s="343"/>
      <c r="H205" s="343"/>
      <c r="I205" s="343"/>
      <c r="J205" s="343"/>
      <c r="K205" s="343"/>
      <c r="L205" s="343"/>
      <c r="S205" s="373"/>
      <c r="U205" s="373"/>
      <c r="V205" s="373"/>
      <c r="W205" s="373"/>
      <c r="X205" s="373"/>
      <c r="Z205" s="373"/>
      <c r="AA205" s="373"/>
      <c r="AB205" s="373"/>
      <c r="AC205" s="373"/>
      <c r="AD205" s="373"/>
      <c r="AF205" s="373"/>
      <c r="AH205" s="373"/>
      <c r="AI205" s="373"/>
      <c r="AJ205" s="373"/>
      <c r="AK205" s="373"/>
      <c r="AL205" s="373"/>
      <c r="AM205" s="373"/>
      <c r="AN205" s="373"/>
      <c r="AO205" s="373"/>
      <c r="AP205" s="373"/>
      <c r="AS205" s="373"/>
      <c r="AT205" s="373"/>
      <c r="AV205" s="373"/>
      <c r="AW205" s="373"/>
      <c r="AX205" s="373"/>
      <c r="AY205" s="373"/>
      <c r="AZ205" s="373"/>
      <c r="BA205" s="373"/>
      <c r="BB205" s="373"/>
      <c r="BC205" s="373"/>
      <c r="BD205" s="373"/>
      <c r="BE205" s="373"/>
      <c r="BG205" s="373"/>
      <c r="BI205" s="373"/>
      <c r="BJ205" s="373"/>
      <c r="BK205" s="373"/>
      <c r="BL205" s="373"/>
      <c r="BN205" s="373"/>
      <c r="BR205" s="373"/>
      <c r="BS205" s="373"/>
      <c r="BT205" s="373"/>
      <c r="BU205" s="373"/>
      <c r="BV205" s="373"/>
      <c r="BW205" s="373"/>
      <c r="BX205" s="373"/>
      <c r="BY205" s="373"/>
      <c r="BZ205" s="373"/>
      <c r="CA205" s="373"/>
      <c r="CB205" s="373"/>
      <c r="CC205" s="373"/>
      <c r="CD205" s="373"/>
      <c r="CE205" s="373"/>
      <c r="CF205" s="373"/>
      <c r="CG205" s="373"/>
      <c r="CJ205" s="373"/>
      <c r="CL205" s="373"/>
      <c r="CN205" s="373"/>
      <c r="CT205" s="373"/>
      <c r="CV205" s="373"/>
      <c r="CW205" s="373"/>
      <c r="CX205" s="373"/>
      <c r="DC205" s="373"/>
      <c r="DD205" s="373"/>
      <c r="DF205" s="373"/>
      <c r="DG205" s="373"/>
      <c r="DH205" s="373"/>
      <c r="DI205" s="373"/>
      <c r="DJ205" s="373"/>
      <c r="DK205" s="373"/>
      <c r="DM205" s="373"/>
      <c r="DN205" s="373"/>
      <c r="DO205" s="373"/>
      <c r="DP205" s="373"/>
      <c r="DS205" s="373"/>
      <c r="DT205" s="373"/>
      <c r="DV205" s="373"/>
      <c r="DY205" s="373"/>
      <c r="DZ205" s="373"/>
      <c r="EA205" s="373"/>
      <c r="EB205" s="373"/>
    </row>
    <row r="206" spans="1:132" x14ac:dyDescent="0.2">
      <c r="A206"/>
      <c r="B206" s="144"/>
      <c r="D206" s="341"/>
      <c r="F206" s="343"/>
      <c r="G206" s="343"/>
      <c r="H206" s="343"/>
      <c r="I206" s="343"/>
      <c r="J206" s="343"/>
      <c r="K206" s="343"/>
      <c r="L206" s="343"/>
      <c r="S206" s="373"/>
      <c r="U206" s="373"/>
      <c r="V206" s="373"/>
      <c r="W206" s="373"/>
      <c r="X206" s="373"/>
      <c r="Y206" s="373"/>
      <c r="Z206" s="373"/>
      <c r="AA206" s="373"/>
      <c r="AB206" s="373"/>
      <c r="AC206" s="373"/>
      <c r="AD206" s="373"/>
      <c r="AF206" s="373"/>
      <c r="AH206" s="373"/>
      <c r="AI206" s="373"/>
      <c r="AJ206" s="373"/>
      <c r="AK206" s="373"/>
      <c r="AL206" s="373"/>
      <c r="AM206" s="373"/>
      <c r="AN206" s="373"/>
      <c r="AO206" s="373"/>
      <c r="AP206" s="373"/>
      <c r="AS206" s="373"/>
      <c r="AT206" s="373"/>
      <c r="AV206" s="373"/>
      <c r="AW206" s="373"/>
      <c r="AX206" s="373"/>
      <c r="AY206" s="373"/>
      <c r="AZ206" s="373"/>
      <c r="BA206" s="373"/>
      <c r="BB206" s="373"/>
      <c r="BC206" s="373"/>
      <c r="BD206" s="373"/>
      <c r="BE206" s="373"/>
      <c r="BF206" s="373"/>
      <c r="BG206" s="373"/>
      <c r="BI206" s="373"/>
      <c r="BJ206" s="373"/>
      <c r="BK206" s="373"/>
      <c r="BL206" s="373"/>
      <c r="BN206" s="373"/>
      <c r="BO206" s="373"/>
      <c r="BQ206" s="373"/>
      <c r="BR206" s="373"/>
      <c r="BS206" s="373"/>
      <c r="BT206" s="373"/>
      <c r="BU206" s="373"/>
      <c r="BV206" s="373"/>
      <c r="BW206" s="373"/>
      <c r="BX206" s="373"/>
      <c r="BY206" s="373"/>
      <c r="BZ206" s="373"/>
      <c r="CA206" s="373"/>
      <c r="CB206" s="373"/>
      <c r="CC206" s="373"/>
      <c r="CD206" s="373"/>
      <c r="CE206" s="373"/>
      <c r="CF206" s="373"/>
      <c r="CG206" s="373"/>
      <c r="CJ206" s="373"/>
      <c r="CL206" s="373"/>
      <c r="CN206" s="373"/>
      <c r="CT206" s="373"/>
      <c r="CV206" s="373"/>
      <c r="CW206" s="373"/>
      <c r="CX206" s="373"/>
      <c r="DC206" s="373"/>
      <c r="DD206" s="373"/>
      <c r="DF206" s="373"/>
      <c r="DG206" s="373"/>
      <c r="DH206" s="373"/>
      <c r="DI206" s="373"/>
      <c r="DJ206" s="373"/>
      <c r="DK206" s="373"/>
      <c r="DM206" s="373"/>
      <c r="DN206" s="373"/>
      <c r="DO206" s="373"/>
      <c r="DP206" s="373"/>
      <c r="DS206" s="373"/>
      <c r="DT206" s="373"/>
      <c r="DV206" s="373"/>
      <c r="DY206" s="373"/>
      <c r="DZ206" s="373"/>
      <c r="EA206" s="373"/>
      <c r="EB206" s="373"/>
    </row>
    <row r="207" spans="1:132" x14ac:dyDescent="0.2">
      <c r="A207"/>
      <c r="B207" s="144"/>
      <c r="D207" s="341"/>
      <c r="F207" s="343"/>
      <c r="G207" s="343"/>
      <c r="H207" s="343"/>
      <c r="I207" s="343"/>
      <c r="J207" s="343"/>
      <c r="K207" s="343"/>
      <c r="L207" s="343"/>
      <c r="S207" s="373"/>
      <c r="U207" s="373"/>
      <c r="V207" s="373"/>
      <c r="W207" s="373"/>
      <c r="X207" s="373"/>
      <c r="Y207" s="373"/>
      <c r="Z207" s="373"/>
      <c r="AA207" s="373"/>
      <c r="AB207" s="373"/>
      <c r="AC207" s="373"/>
      <c r="AD207" s="373"/>
      <c r="AF207" s="373"/>
      <c r="AH207" s="373"/>
      <c r="AI207" s="373"/>
      <c r="AJ207" s="373"/>
      <c r="AK207" s="373"/>
      <c r="AL207" s="373"/>
      <c r="AM207" s="373"/>
      <c r="AN207" s="373"/>
      <c r="AO207" s="373"/>
      <c r="AP207" s="373"/>
      <c r="AS207" s="373"/>
      <c r="AT207" s="373"/>
      <c r="AV207" s="373"/>
      <c r="AW207" s="373"/>
      <c r="AX207" s="373"/>
      <c r="AY207" s="373"/>
      <c r="AZ207" s="373"/>
      <c r="BA207" s="373"/>
      <c r="BB207" s="373"/>
      <c r="BC207" s="373"/>
      <c r="BD207" s="373"/>
      <c r="BE207" s="373"/>
      <c r="BF207" s="373"/>
      <c r="BG207" s="373"/>
      <c r="BI207" s="373"/>
      <c r="BJ207" s="373"/>
      <c r="BK207" s="373"/>
      <c r="BL207" s="373"/>
      <c r="BN207" s="373"/>
      <c r="BO207" s="373"/>
      <c r="BQ207" s="373"/>
      <c r="BR207" s="373"/>
      <c r="BS207" s="373"/>
      <c r="BT207" s="373"/>
      <c r="BU207" s="373"/>
      <c r="BV207" s="373"/>
      <c r="BW207" s="373"/>
      <c r="BX207" s="373"/>
      <c r="BY207" s="373"/>
      <c r="BZ207" s="373"/>
      <c r="CA207" s="373"/>
      <c r="CB207" s="373"/>
      <c r="CC207" s="373"/>
      <c r="CD207" s="373"/>
      <c r="CE207" s="373"/>
      <c r="CF207" s="373"/>
      <c r="CG207" s="373"/>
      <c r="CJ207" s="373"/>
      <c r="CL207" s="373"/>
      <c r="CN207" s="373"/>
      <c r="CT207" s="373"/>
      <c r="CV207" s="373"/>
      <c r="CW207" s="373"/>
      <c r="CX207" s="373"/>
      <c r="DC207" s="373"/>
      <c r="DD207" s="373"/>
      <c r="DF207" s="373"/>
      <c r="DG207" s="373"/>
      <c r="DH207" s="373"/>
      <c r="DI207" s="373"/>
      <c r="DJ207" s="373"/>
      <c r="DK207" s="373"/>
      <c r="DM207" s="373"/>
      <c r="DN207" s="373"/>
      <c r="DO207" s="373"/>
      <c r="DP207" s="373"/>
      <c r="DS207" s="373"/>
      <c r="DT207" s="373"/>
      <c r="DV207" s="373"/>
      <c r="DY207" s="373"/>
      <c r="DZ207" s="373"/>
      <c r="EA207" s="373"/>
      <c r="EB207" s="373"/>
    </row>
    <row r="208" spans="1:132" x14ac:dyDescent="0.2">
      <c r="A208"/>
      <c r="B208" s="144"/>
      <c r="D208" s="341"/>
      <c r="F208" s="343"/>
      <c r="G208" s="343"/>
      <c r="H208" s="343"/>
      <c r="I208" s="343"/>
      <c r="J208" s="343"/>
      <c r="K208" s="343"/>
      <c r="L208" s="343"/>
      <c r="S208" s="373"/>
      <c r="U208" s="373"/>
      <c r="V208" s="373"/>
      <c r="W208" s="373"/>
      <c r="X208" s="373"/>
      <c r="Y208" s="373"/>
      <c r="Z208" s="373"/>
      <c r="AA208" s="373"/>
      <c r="AB208" s="373"/>
      <c r="AC208" s="373"/>
      <c r="AD208" s="373"/>
      <c r="AF208" s="373"/>
      <c r="AH208" s="373"/>
      <c r="AI208" s="373"/>
      <c r="AJ208" s="373"/>
      <c r="AK208" s="373"/>
      <c r="AL208" s="373"/>
      <c r="AM208" s="373"/>
      <c r="AN208" s="373"/>
      <c r="AO208" s="373"/>
      <c r="AP208" s="373"/>
      <c r="AS208" s="373"/>
      <c r="AT208" s="373"/>
      <c r="AV208" s="373"/>
      <c r="AW208" s="373"/>
      <c r="AX208" s="373"/>
      <c r="AY208" s="373"/>
      <c r="AZ208" s="373"/>
      <c r="BA208" s="373"/>
      <c r="BB208" s="373"/>
      <c r="BC208" s="373"/>
      <c r="BD208" s="373"/>
      <c r="BE208" s="373"/>
      <c r="BF208" s="373"/>
      <c r="BG208" s="373"/>
      <c r="BI208" s="373"/>
      <c r="BJ208" s="373"/>
      <c r="BK208" s="373"/>
      <c r="BL208" s="373"/>
      <c r="BN208" s="373"/>
      <c r="BO208" s="373"/>
      <c r="BQ208" s="373"/>
      <c r="BR208" s="373"/>
      <c r="BS208" s="373"/>
      <c r="BT208" s="373"/>
      <c r="BU208" s="373"/>
      <c r="BV208" s="373"/>
      <c r="BW208" s="373"/>
      <c r="BX208" s="373"/>
      <c r="BY208" s="373"/>
      <c r="BZ208" s="373"/>
      <c r="CA208" s="373"/>
      <c r="CB208" s="373"/>
      <c r="CC208" s="373"/>
      <c r="CD208" s="373"/>
      <c r="CE208" s="373"/>
      <c r="CF208" s="373"/>
      <c r="CG208" s="373"/>
      <c r="CJ208" s="373"/>
      <c r="CL208" s="373"/>
      <c r="CN208" s="373"/>
      <c r="CT208" s="373"/>
      <c r="CV208" s="373"/>
      <c r="CW208" s="373"/>
      <c r="CX208" s="373"/>
      <c r="DC208" s="373"/>
      <c r="DD208" s="373"/>
      <c r="DF208" s="373"/>
      <c r="DG208" s="373"/>
      <c r="DH208" s="373"/>
      <c r="DI208" s="373"/>
      <c r="DJ208" s="373"/>
      <c r="DK208" s="373"/>
      <c r="DM208" s="373"/>
      <c r="DN208" s="373"/>
      <c r="DO208" s="373"/>
      <c r="DP208" s="373"/>
      <c r="DS208" s="373"/>
      <c r="DT208" s="373"/>
      <c r="DV208" s="373"/>
      <c r="DY208" s="373"/>
      <c r="DZ208" s="373"/>
      <c r="EA208" s="373"/>
      <c r="EB208" s="373"/>
    </row>
    <row r="209" spans="1:132" x14ac:dyDescent="0.2">
      <c r="A209"/>
      <c r="B209" s="144"/>
      <c r="D209" s="341"/>
      <c r="F209" s="343"/>
      <c r="G209" s="343"/>
      <c r="H209" s="343"/>
      <c r="I209" s="343"/>
      <c r="J209" s="343"/>
      <c r="K209" s="343"/>
      <c r="L209" s="343"/>
      <c r="S209" s="373"/>
      <c r="U209" s="373"/>
      <c r="V209" s="373"/>
      <c r="W209" s="373"/>
      <c r="X209" s="373"/>
      <c r="Y209" s="373"/>
      <c r="Z209" s="373"/>
      <c r="AA209" s="373"/>
      <c r="AB209" s="373"/>
      <c r="AC209" s="373"/>
      <c r="AD209" s="373"/>
      <c r="AF209" s="373"/>
      <c r="AH209" s="373"/>
      <c r="AM209" s="373"/>
      <c r="AO209" s="373"/>
      <c r="AP209" s="373"/>
      <c r="AS209" s="373"/>
      <c r="AT209" s="373"/>
      <c r="AV209" s="373"/>
      <c r="AW209" s="373"/>
      <c r="AX209" s="373"/>
      <c r="AY209" s="373"/>
      <c r="AZ209" s="373"/>
      <c r="BA209" s="373"/>
      <c r="BB209" s="373"/>
      <c r="BC209" s="373"/>
      <c r="BD209" s="373"/>
      <c r="BE209" s="373"/>
      <c r="BF209" s="373"/>
      <c r="BG209" s="373"/>
      <c r="BI209" s="373"/>
      <c r="BJ209" s="373"/>
      <c r="BK209" s="373"/>
      <c r="BL209" s="373"/>
      <c r="BN209" s="373"/>
      <c r="BO209" s="373"/>
      <c r="BQ209" s="373"/>
      <c r="BS209" s="373"/>
      <c r="BT209" s="373"/>
      <c r="BU209" s="373"/>
      <c r="BW209" s="373"/>
      <c r="BY209" s="373"/>
      <c r="BZ209" s="373"/>
      <c r="CA209" s="373"/>
      <c r="CB209" s="373"/>
      <c r="CC209" s="373"/>
      <c r="CD209" s="373"/>
      <c r="CE209" s="373"/>
      <c r="CF209" s="373"/>
      <c r="CG209" s="373"/>
      <c r="CJ209" s="373"/>
      <c r="CL209" s="373"/>
      <c r="CN209" s="373"/>
      <c r="CT209" s="373"/>
      <c r="CV209" s="373"/>
      <c r="CW209" s="373"/>
      <c r="CX209" s="373"/>
      <c r="DC209" s="373"/>
      <c r="DD209" s="373"/>
      <c r="DF209" s="373"/>
      <c r="DG209" s="373"/>
      <c r="DH209" s="373"/>
      <c r="DI209" s="373"/>
      <c r="DJ209" s="373"/>
      <c r="DK209" s="373"/>
      <c r="DM209" s="373"/>
      <c r="DN209" s="373"/>
      <c r="DO209" s="373"/>
      <c r="DP209" s="373"/>
      <c r="DS209" s="373"/>
      <c r="DT209" s="373"/>
      <c r="DV209" s="373"/>
      <c r="DY209" s="373"/>
      <c r="DZ209" s="373"/>
      <c r="EA209" s="373"/>
      <c r="EB209" s="373"/>
    </row>
    <row r="210" spans="1:132" x14ac:dyDescent="0.2">
      <c r="A210"/>
      <c r="B210" s="144"/>
      <c r="D210" s="341"/>
      <c r="F210" s="343"/>
      <c r="G210" s="343"/>
      <c r="H210" s="343"/>
      <c r="I210" s="343"/>
      <c r="J210" s="343"/>
      <c r="K210" s="343"/>
      <c r="L210" s="343"/>
      <c r="S210" s="373"/>
      <c r="U210" s="373"/>
      <c r="V210" s="373"/>
      <c r="W210" s="373"/>
      <c r="X210" s="373"/>
      <c r="Y210" s="373"/>
      <c r="Z210" s="373"/>
      <c r="AA210" s="373"/>
      <c r="AB210" s="373"/>
      <c r="AC210" s="373"/>
      <c r="AD210" s="373"/>
      <c r="AF210" s="373"/>
      <c r="AH210" s="373"/>
      <c r="AM210" s="373"/>
      <c r="AO210" s="373"/>
      <c r="AP210" s="373"/>
      <c r="AS210" s="373"/>
      <c r="AT210" s="373"/>
      <c r="AV210" s="373"/>
      <c r="AW210" s="373"/>
      <c r="AX210" s="373"/>
      <c r="AY210" s="373"/>
      <c r="AZ210" s="373"/>
      <c r="BA210" s="373"/>
      <c r="BB210" s="373"/>
      <c r="BC210" s="373"/>
      <c r="BD210" s="373"/>
      <c r="BE210" s="373"/>
      <c r="BF210" s="373"/>
      <c r="BG210" s="373"/>
      <c r="BI210" s="373"/>
      <c r="BJ210" s="373"/>
      <c r="BK210" s="373"/>
      <c r="BL210" s="373"/>
      <c r="BN210" s="373"/>
      <c r="BO210" s="373"/>
      <c r="BQ210" s="373"/>
      <c r="BS210" s="373"/>
      <c r="BT210" s="373"/>
      <c r="BU210" s="373"/>
      <c r="BW210" s="373"/>
      <c r="BY210" s="373"/>
      <c r="BZ210" s="373"/>
      <c r="CA210" s="373"/>
      <c r="CB210" s="373"/>
      <c r="CC210" s="373"/>
      <c r="CD210" s="373"/>
      <c r="CE210" s="373"/>
      <c r="CF210" s="373"/>
      <c r="CG210" s="373"/>
      <c r="CJ210" s="373"/>
      <c r="CL210" s="373"/>
      <c r="CN210" s="373"/>
      <c r="CT210" s="373"/>
      <c r="CV210" s="373"/>
      <c r="CW210" s="373"/>
      <c r="CX210" s="373"/>
      <c r="DC210" s="373"/>
      <c r="DD210" s="373"/>
      <c r="DF210" s="373"/>
      <c r="DG210" s="373"/>
      <c r="DH210" s="373"/>
      <c r="DI210" s="373"/>
      <c r="DJ210" s="373"/>
      <c r="DK210" s="373"/>
      <c r="DM210" s="373"/>
      <c r="DN210" s="373"/>
      <c r="DO210" s="373"/>
      <c r="DP210" s="373"/>
      <c r="DS210" s="373"/>
      <c r="DT210" s="373"/>
      <c r="DV210" s="373"/>
      <c r="DY210" s="373"/>
      <c r="DZ210" s="373"/>
      <c r="EA210" s="373"/>
      <c r="EB210" s="373"/>
    </row>
    <row r="211" spans="1:132" x14ac:dyDescent="0.2">
      <c r="A211"/>
      <c r="B211" s="144"/>
      <c r="D211" s="341"/>
      <c r="F211" s="343"/>
      <c r="G211" s="343"/>
      <c r="H211" s="343"/>
      <c r="I211" s="343"/>
      <c r="J211" s="343"/>
      <c r="K211" s="343"/>
      <c r="L211" s="343"/>
      <c r="S211" s="373"/>
      <c r="U211" s="373"/>
      <c r="V211" s="373"/>
      <c r="W211" s="373"/>
      <c r="X211" s="373"/>
      <c r="Y211" s="373"/>
      <c r="Z211" s="373"/>
      <c r="AA211" s="373"/>
      <c r="AB211" s="373"/>
      <c r="AC211" s="373"/>
      <c r="AD211" s="373"/>
      <c r="AF211" s="373"/>
      <c r="AH211" s="373"/>
      <c r="AL211" s="373"/>
      <c r="AM211" s="373"/>
      <c r="AN211" s="373"/>
      <c r="AO211" s="373"/>
      <c r="AP211" s="373"/>
      <c r="AR211" s="373"/>
      <c r="AS211" s="373"/>
      <c r="AT211" s="373"/>
      <c r="AV211" s="373"/>
      <c r="AW211" s="373"/>
      <c r="AX211" s="373"/>
      <c r="AY211" s="373"/>
      <c r="AZ211" s="373"/>
      <c r="BA211" s="373"/>
      <c r="BB211" s="373"/>
      <c r="BC211" s="373"/>
      <c r="BD211" s="373"/>
      <c r="BE211" s="373"/>
      <c r="BF211" s="373"/>
      <c r="BG211" s="373"/>
      <c r="BI211" s="373"/>
      <c r="BJ211" s="373"/>
      <c r="BK211" s="373"/>
      <c r="BL211" s="373"/>
      <c r="BN211" s="373"/>
      <c r="BO211" s="373"/>
      <c r="BQ211" s="373"/>
      <c r="BS211" s="373"/>
      <c r="BT211" s="373"/>
      <c r="BU211" s="373"/>
      <c r="BW211" s="373"/>
      <c r="BY211" s="373"/>
      <c r="BZ211" s="373"/>
      <c r="CA211" s="373"/>
      <c r="CB211" s="373"/>
      <c r="CC211" s="373"/>
      <c r="CD211" s="373"/>
      <c r="CE211" s="373"/>
      <c r="CF211" s="373"/>
      <c r="CG211" s="373"/>
      <c r="CJ211" s="373"/>
      <c r="CL211" s="373"/>
      <c r="CN211" s="373"/>
      <c r="CT211" s="373"/>
      <c r="CV211" s="373"/>
      <c r="CW211" s="373"/>
      <c r="CX211" s="373"/>
      <c r="DC211" s="373"/>
      <c r="DD211" s="373"/>
      <c r="DF211" s="373"/>
      <c r="DG211" s="373"/>
      <c r="DH211" s="373"/>
      <c r="DI211" s="373"/>
      <c r="DJ211" s="373"/>
      <c r="DK211" s="373"/>
      <c r="DM211" s="373"/>
      <c r="DN211" s="373"/>
      <c r="DO211" s="373"/>
      <c r="DP211" s="373"/>
      <c r="DS211" s="373"/>
      <c r="DT211" s="373"/>
      <c r="DV211" s="373"/>
      <c r="DY211" s="373"/>
      <c r="DZ211" s="373"/>
      <c r="EA211" s="373"/>
      <c r="EB211" s="373"/>
    </row>
    <row r="212" spans="1:132" x14ac:dyDescent="0.2">
      <c r="A212"/>
      <c r="B212" s="144"/>
      <c r="D212" s="341"/>
      <c r="F212" s="343"/>
      <c r="G212" s="343"/>
      <c r="H212" s="343"/>
      <c r="I212" s="343"/>
      <c r="J212" s="343"/>
      <c r="K212" s="343"/>
      <c r="L212" s="343"/>
      <c r="U212" s="373"/>
      <c r="W212" s="373"/>
      <c r="X212" s="373"/>
      <c r="Y212" s="373"/>
      <c r="Z212" s="373"/>
      <c r="AA212" s="373"/>
      <c r="AB212" s="373"/>
      <c r="AC212" s="373"/>
      <c r="AD212" s="373"/>
      <c r="AF212" s="373"/>
      <c r="AH212" s="373"/>
      <c r="AL212" s="373"/>
      <c r="AM212" s="373"/>
      <c r="AN212" s="373"/>
      <c r="AO212" s="373"/>
      <c r="AP212" s="373"/>
      <c r="AR212" s="373"/>
      <c r="AS212" s="373"/>
      <c r="AT212" s="373"/>
      <c r="AV212" s="373"/>
      <c r="AW212" s="373"/>
      <c r="AX212" s="373"/>
      <c r="AY212" s="373"/>
      <c r="AZ212" s="373"/>
      <c r="BA212" s="373"/>
      <c r="BB212" s="373"/>
      <c r="BC212" s="373"/>
      <c r="BD212" s="373"/>
      <c r="BE212" s="373"/>
      <c r="BF212" s="373"/>
      <c r="BG212" s="373"/>
      <c r="BI212" s="373"/>
      <c r="BJ212" s="373"/>
      <c r="BK212" s="373"/>
      <c r="BL212" s="373"/>
      <c r="BN212" s="373"/>
      <c r="BO212" s="373"/>
      <c r="BQ212" s="373"/>
      <c r="BS212" s="373"/>
      <c r="BT212" s="373"/>
      <c r="BU212" s="373"/>
      <c r="BW212" s="373"/>
      <c r="BY212" s="373"/>
      <c r="BZ212" s="373"/>
      <c r="CA212" s="373"/>
      <c r="CB212" s="373"/>
      <c r="CC212" s="373"/>
      <c r="CD212" s="373"/>
      <c r="CE212" s="373"/>
      <c r="CF212" s="373"/>
      <c r="CG212" s="373"/>
      <c r="CJ212" s="373"/>
      <c r="CL212" s="373"/>
      <c r="CN212" s="373"/>
      <c r="CT212" s="373"/>
      <c r="CV212" s="373"/>
      <c r="CW212" s="373"/>
      <c r="CX212" s="373"/>
      <c r="DC212" s="373"/>
      <c r="DD212" s="373"/>
      <c r="DF212" s="373"/>
      <c r="DH212" s="373"/>
      <c r="DI212" s="373"/>
      <c r="DJ212" s="373"/>
      <c r="DK212" s="373"/>
      <c r="DN212" s="373"/>
      <c r="DO212" s="373"/>
      <c r="DP212" s="373"/>
      <c r="DT212" s="373"/>
      <c r="DV212" s="373"/>
      <c r="DZ212" s="373"/>
      <c r="EB212" s="373"/>
    </row>
    <row r="213" spans="1:132" x14ac:dyDescent="0.2">
      <c r="A213"/>
      <c r="B213" s="144"/>
      <c r="D213" s="341"/>
      <c r="F213" s="343"/>
      <c r="G213" s="343"/>
      <c r="H213" s="343"/>
      <c r="I213" s="343"/>
      <c r="J213" s="343"/>
      <c r="K213" s="343"/>
      <c r="L213" s="343"/>
      <c r="S213" s="373"/>
      <c r="U213" s="373"/>
      <c r="V213" s="373"/>
      <c r="W213" s="373"/>
      <c r="X213" s="373"/>
      <c r="Y213" s="373"/>
      <c r="Z213" s="373"/>
      <c r="AA213" s="373"/>
      <c r="AB213" s="373"/>
      <c r="AC213" s="373"/>
      <c r="AD213" s="373"/>
      <c r="AF213" s="373"/>
      <c r="AH213" s="373"/>
      <c r="AL213" s="373"/>
      <c r="AM213" s="373"/>
      <c r="AN213" s="373"/>
      <c r="AO213" s="373"/>
      <c r="AP213" s="373"/>
      <c r="AR213" s="373"/>
      <c r="AS213" s="373"/>
      <c r="AT213" s="373"/>
      <c r="AV213" s="373"/>
      <c r="AW213" s="373"/>
      <c r="AX213" s="373"/>
      <c r="AY213" s="373"/>
      <c r="AZ213" s="373"/>
      <c r="BA213" s="373"/>
      <c r="BB213" s="373"/>
      <c r="BC213" s="373"/>
      <c r="BD213" s="373"/>
      <c r="BE213" s="373"/>
      <c r="BF213" s="373"/>
      <c r="BG213" s="373"/>
      <c r="BI213" s="373"/>
      <c r="BJ213" s="373"/>
      <c r="BK213" s="373"/>
      <c r="BL213" s="373"/>
      <c r="BN213" s="373"/>
      <c r="BO213" s="373"/>
      <c r="BQ213" s="373"/>
      <c r="BS213" s="373"/>
      <c r="BT213" s="373"/>
      <c r="BU213" s="373"/>
      <c r="BW213" s="373"/>
      <c r="BY213" s="373"/>
      <c r="BZ213" s="373"/>
      <c r="CA213" s="373"/>
      <c r="CB213" s="373"/>
      <c r="CC213" s="373"/>
      <c r="CD213" s="373"/>
      <c r="CE213" s="373"/>
      <c r="CF213" s="373"/>
      <c r="CG213" s="373"/>
      <c r="CJ213" s="373"/>
      <c r="CL213" s="373"/>
      <c r="CN213" s="373"/>
      <c r="CT213" s="373"/>
      <c r="CV213" s="373"/>
      <c r="CW213" s="373"/>
      <c r="CX213" s="373"/>
      <c r="DC213" s="373"/>
      <c r="DD213" s="373"/>
      <c r="DF213" s="373"/>
      <c r="DG213" s="373"/>
      <c r="DH213" s="373"/>
      <c r="DI213" s="373"/>
      <c r="DJ213" s="373"/>
      <c r="DK213" s="373"/>
      <c r="DM213" s="373"/>
      <c r="DN213" s="373"/>
      <c r="DO213" s="373"/>
      <c r="DP213" s="373"/>
      <c r="DS213" s="373"/>
      <c r="DT213" s="373"/>
      <c r="DV213" s="373"/>
      <c r="DY213" s="373"/>
      <c r="DZ213" s="373"/>
      <c r="EA213" s="373"/>
      <c r="EB213" s="373"/>
    </row>
    <row r="214" spans="1:132" x14ac:dyDescent="0.2">
      <c r="A214"/>
      <c r="B214" s="144"/>
      <c r="D214" s="341"/>
      <c r="F214" s="343"/>
      <c r="G214" s="343"/>
      <c r="H214" s="343"/>
      <c r="I214" s="343"/>
      <c r="J214" s="343"/>
      <c r="K214" s="343"/>
      <c r="L214" s="343"/>
      <c r="S214" s="373"/>
      <c r="T214" s="373"/>
      <c r="U214" s="373"/>
      <c r="V214" s="373"/>
      <c r="W214" s="373"/>
      <c r="X214" s="373"/>
      <c r="Y214" s="373"/>
      <c r="Z214" s="373"/>
      <c r="AA214" s="373"/>
      <c r="AB214" s="373"/>
      <c r="AC214" s="373"/>
      <c r="AD214" s="373"/>
      <c r="AF214" s="373"/>
      <c r="AH214" s="373"/>
      <c r="AL214" s="373"/>
      <c r="AM214" s="373"/>
      <c r="AN214" s="373"/>
      <c r="AO214" s="373"/>
      <c r="AP214" s="373"/>
      <c r="AR214" s="373"/>
      <c r="AS214" s="373"/>
      <c r="AT214" s="373"/>
      <c r="AV214" s="373"/>
      <c r="AW214" s="373"/>
      <c r="AX214" s="373"/>
      <c r="AY214" s="373"/>
      <c r="AZ214" s="373"/>
      <c r="BA214" s="373"/>
      <c r="BB214" s="373"/>
      <c r="BC214" s="373"/>
      <c r="BD214" s="373"/>
      <c r="BE214" s="373"/>
      <c r="BF214" s="373"/>
      <c r="BG214" s="373"/>
      <c r="BH214" s="373"/>
      <c r="BI214" s="373"/>
      <c r="BJ214" s="373"/>
      <c r="BK214" s="373"/>
      <c r="BL214" s="373"/>
      <c r="BM214" s="373"/>
      <c r="BN214" s="373"/>
      <c r="BO214" s="373"/>
      <c r="BQ214" s="373"/>
      <c r="BS214" s="373"/>
      <c r="BT214" s="373"/>
      <c r="BU214" s="373"/>
      <c r="BW214" s="373"/>
      <c r="BY214" s="373"/>
      <c r="BZ214" s="373"/>
      <c r="CA214" s="373"/>
      <c r="CB214" s="373"/>
      <c r="CC214" s="373"/>
      <c r="CD214" s="373"/>
      <c r="CE214" s="373"/>
      <c r="CF214" s="373"/>
      <c r="CG214" s="373"/>
      <c r="CJ214" s="373"/>
      <c r="CL214" s="373"/>
      <c r="CN214" s="373"/>
      <c r="CT214" s="373"/>
      <c r="CV214" s="373"/>
      <c r="CW214" s="373"/>
      <c r="CX214" s="373"/>
      <c r="DC214" s="373"/>
      <c r="DD214" s="373"/>
      <c r="DF214" s="373"/>
      <c r="DG214" s="373"/>
      <c r="DH214" s="373"/>
      <c r="DI214" s="373"/>
      <c r="DJ214" s="373"/>
      <c r="DK214" s="373"/>
      <c r="DM214" s="373"/>
      <c r="DN214" s="373"/>
      <c r="DO214" s="373"/>
      <c r="DP214" s="373"/>
      <c r="DS214" s="373"/>
      <c r="DT214" s="373"/>
      <c r="DV214" s="373"/>
      <c r="DY214" s="373"/>
      <c r="DZ214" s="373"/>
      <c r="EA214" s="373"/>
      <c r="EB214" s="373"/>
    </row>
    <row r="215" spans="1:132" x14ac:dyDescent="0.2">
      <c r="A215"/>
      <c r="B215" s="144"/>
      <c r="D215" s="341"/>
      <c r="F215" s="343"/>
      <c r="G215" s="343"/>
      <c r="H215" s="343"/>
      <c r="I215" s="343"/>
      <c r="J215" s="343"/>
      <c r="K215" s="343"/>
      <c r="L215" s="343"/>
      <c r="T215" s="373"/>
      <c r="U215" s="373"/>
      <c r="V215" s="373"/>
      <c r="W215" s="373"/>
      <c r="X215" s="373"/>
      <c r="Y215" s="373"/>
      <c r="Z215" s="373"/>
      <c r="AA215" s="373"/>
      <c r="AB215" s="373"/>
      <c r="AC215" s="373"/>
      <c r="AD215" s="373"/>
      <c r="AF215" s="373"/>
      <c r="AH215" s="373"/>
      <c r="AL215" s="373"/>
      <c r="AM215" s="373"/>
      <c r="AN215" s="373"/>
      <c r="AO215" s="373"/>
      <c r="AP215" s="373"/>
      <c r="AR215" s="373"/>
      <c r="AS215" s="373"/>
      <c r="AT215" s="373"/>
      <c r="AV215" s="373"/>
      <c r="AW215" s="373"/>
      <c r="AX215" s="373"/>
      <c r="AY215" s="373"/>
      <c r="AZ215" s="373"/>
      <c r="BA215" s="373"/>
      <c r="BB215" s="373"/>
      <c r="BC215" s="373"/>
      <c r="BD215" s="373"/>
      <c r="BE215" s="373"/>
      <c r="BF215" s="373"/>
      <c r="BG215" s="373"/>
      <c r="BH215" s="373"/>
      <c r="BI215" s="373"/>
      <c r="BJ215" s="373"/>
      <c r="BK215" s="373"/>
      <c r="BL215" s="373"/>
      <c r="BM215" s="373"/>
      <c r="BN215" s="373"/>
      <c r="BO215" s="373"/>
      <c r="BQ215" s="373"/>
      <c r="BS215" s="373"/>
      <c r="BT215" s="373"/>
      <c r="BU215" s="373"/>
      <c r="BW215" s="373"/>
      <c r="BY215" s="373"/>
      <c r="BZ215" s="373"/>
      <c r="CA215" s="373"/>
      <c r="CB215" s="373"/>
      <c r="CC215" s="373"/>
      <c r="CD215" s="373"/>
      <c r="CE215" s="373"/>
      <c r="CF215" s="373"/>
      <c r="CG215" s="373"/>
      <c r="CJ215" s="373"/>
      <c r="CL215" s="373"/>
      <c r="CN215" s="373"/>
      <c r="CT215" s="373"/>
      <c r="CV215" s="373"/>
      <c r="CW215" s="373"/>
      <c r="CX215" s="373"/>
      <c r="DC215" s="373"/>
      <c r="DD215" s="373"/>
      <c r="DF215" s="373"/>
      <c r="DH215" s="373"/>
      <c r="DI215" s="373"/>
      <c r="DJ215" s="373"/>
      <c r="DK215" s="373"/>
      <c r="DN215" s="373"/>
      <c r="DO215" s="373"/>
      <c r="DP215" s="373"/>
      <c r="DT215" s="373"/>
      <c r="DV215" s="373"/>
      <c r="DZ215" s="373"/>
      <c r="EB215" s="373"/>
    </row>
    <row r="216" spans="1:132" x14ac:dyDescent="0.2">
      <c r="A216"/>
      <c r="B216" s="144"/>
      <c r="D216" s="341"/>
      <c r="F216" s="343"/>
      <c r="G216" s="343"/>
      <c r="H216" s="343"/>
      <c r="I216" s="343"/>
      <c r="J216" s="343"/>
      <c r="K216" s="343"/>
      <c r="L216" s="343"/>
      <c r="T216" s="373"/>
      <c r="U216" s="373"/>
      <c r="V216" s="373"/>
      <c r="W216" s="373"/>
      <c r="X216" s="373"/>
      <c r="Y216" s="373"/>
      <c r="Z216" s="373"/>
      <c r="AA216" s="373"/>
      <c r="AB216" s="373"/>
      <c r="AC216" s="373"/>
      <c r="AD216" s="373"/>
      <c r="AF216" s="373"/>
      <c r="AG216" s="373"/>
      <c r="AH216" s="373"/>
      <c r="AI216" s="373"/>
      <c r="AK216" s="373"/>
      <c r="AL216" s="373"/>
      <c r="AM216" s="373"/>
      <c r="AN216" s="373"/>
      <c r="AO216" s="373"/>
      <c r="AP216" s="373"/>
      <c r="AR216" s="373"/>
      <c r="AS216" s="373"/>
      <c r="AT216" s="373"/>
      <c r="AV216" s="373"/>
      <c r="AW216" s="373"/>
      <c r="AX216" s="373"/>
      <c r="AY216" s="373"/>
      <c r="AZ216" s="373"/>
      <c r="BA216" s="373"/>
      <c r="BB216" s="373"/>
      <c r="BC216" s="373"/>
      <c r="BD216" s="373"/>
      <c r="BE216" s="373"/>
      <c r="BF216" s="373"/>
      <c r="BG216" s="373"/>
      <c r="BH216" s="373"/>
      <c r="BI216" s="373"/>
      <c r="BJ216" s="373"/>
      <c r="BK216" s="373"/>
      <c r="BL216" s="373"/>
      <c r="BM216" s="373"/>
      <c r="BN216" s="373"/>
      <c r="BO216" s="373"/>
      <c r="BQ216" s="373"/>
      <c r="BS216" s="373"/>
      <c r="BT216" s="373"/>
      <c r="BU216" s="373"/>
      <c r="BW216" s="373"/>
      <c r="BY216" s="373"/>
      <c r="BZ216" s="373"/>
      <c r="CA216" s="373"/>
      <c r="CB216" s="373"/>
      <c r="CC216" s="373"/>
      <c r="CD216" s="373"/>
      <c r="CE216" s="373"/>
      <c r="CF216" s="373"/>
      <c r="CG216" s="373"/>
      <c r="CH216" s="373"/>
      <c r="CJ216" s="373"/>
      <c r="CK216" s="373"/>
      <c r="CL216" s="373"/>
      <c r="CM216" s="373"/>
      <c r="CN216" s="373"/>
      <c r="CO216" s="373"/>
      <c r="CP216" s="373"/>
      <c r="CT216" s="373"/>
      <c r="CU216" s="373"/>
      <c r="CV216" s="373"/>
      <c r="CW216" s="373"/>
      <c r="CX216" s="373"/>
      <c r="DC216" s="373"/>
      <c r="DD216" s="373"/>
      <c r="DF216" s="373"/>
      <c r="DH216" s="373"/>
      <c r="DI216" s="373"/>
      <c r="DJ216" s="373"/>
      <c r="DK216" s="373"/>
      <c r="DN216" s="373"/>
      <c r="DO216" s="373"/>
      <c r="DP216" s="373"/>
      <c r="DT216" s="373"/>
      <c r="DV216" s="373"/>
      <c r="DZ216" s="373"/>
      <c r="EB216" s="373"/>
    </row>
    <row r="217" spans="1:132" x14ac:dyDescent="0.2">
      <c r="A217"/>
      <c r="B217" s="144"/>
      <c r="D217" s="341"/>
      <c r="F217" s="343"/>
      <c r="G217" s="343"/>
      <c r="H217" s="343"/>
      <c r="I217" s="343"/>
      <c r="J217" s="343"/>
      <c r="K217" s="343"/>
      <c r="L217" s="343"/>
      <c r="T217" s="373"/>
      <c r="U217" s="373"/>
      <c r="V217" s="373"/>
      <c r="W217" s="373"/>
      <c r="X217" s="373"/>
      <c r="Y217" s="373"/>
      <c r="Z217" s="373"/>
      <c r="AA217" s="373"/>
      <c r="AB217" s="373"/>
      <c r="AC217" s="373"/>
      <c r="AD217" s="373"/>
      <c r="AE217" s="373"/>
      <c r="AF217" s="373"/>
      <c r="AG217" s="373"/>
      <c r="AH217" s="373"/>
      <c r="AI217" s="373"/>
      <c r="AK217" s="373"/>
      <c r="AL217" s="373"/>
      <c r="AM217" s="373"/>
      <c r="AN217" s="373"/>
      <c r="AO217" s="373"/>
      <c r="AP217" s="373"/>
      <c r="AR217" s="373"/>
      <c r="AS217" s="373"/>
      <c r="AT217" s="373"/>
      <c r="AV217" s="373"/>
      <c r="AW217" s="373"/>
      <c r="AX217" s="373"/>
      <c r="AY217" s="373"/>
      <c r="AZ217" s="373"/>
      <c r="BA217" s="373"/>
      <c r="BB217" s="373"/>
      <c r="BC217" s="373"/>
      <c r="BD217" s="373"/>
      <c r="BE217" s="373"/>
      <c r="BF217" s="373"/>
      <c r="BG217" s="373"/>
      <c r="BH217" s="373"/>
      <c r="BI217" s="373"/>
      <c r="BJ217" s="373"/>
      <c r="BK217" s="373"/>
      <c r="BL217" s="373"/>
      <c r="BM217" s="373"/>
      <c r="BN217" s="373"/>
      <c r="BO217" s="373"/>
      <c r="BQ217" s="373"/>
      <c r="BS217" s="373"/>
      <c r="BT217" s="373"/>
      <c r="BU217" s="373"/>
      <c r="BW217" s="373"/>
      <c r="BY217" s="373"/>
      <c r="BZ217" s="373"/>
      <c r="CA217" s="373"/>
      <c r="CB217" s="373"/>
      <c r="CC217" s="373"/>
      <c r="CD217" s="373"/>
      <c r="CE217" s="373"/>
      <c r="CF217" s="373"/>
      <c r="CG217" s="373"/>
      <c r="CH217" s="373"/>
      <c r="CJ217" s="373"/>
      <c r="CK217" s="373"/>
      <c r="CL217" s="373"/>
      <c r="CM217" s="373"/>
      <c r="CN217" s="373"/>
      <c r="CO217" s="373"/>
      <c r="CP217" s="373"/>
      <c r="CQ217" s="373"/>
      <c r="CR217" s="373"/>
      <c r="CS217" s="373"/>
      <c r="CT217" s="373"/>
      <c r="CU217" s="373"/>
      <c r="CV217" s="373"/>
      <c r="CW217" s="373"/>
      <c r="CX217" s="373"/>
      <c r="CZ217" s="373"/>
      <c r="DA217" s="373"/>
      <c r="DB217" s="373"/>
      <c r="DC217" s="373"/>
      <c r="DD217" s="373"/>
      <c r="DE217" s="373"/>
      <c r="DF217" s="373"/>
      <c r="DH217" s="373"/>
      <c r="DI217" s="373"/>
      <c r="DJ217" s="373"/>
      <c r="DK217" s="373"/>
      <c r="DN217" s="373"/>
      <c r="DO217" s="373"/>
      <c r="DP217" s="373"/>
      <c r="DT217" s="373"/>
      <c r="DV217" s="373"/>
      <c r="DZ217" s="373"/>
      <c r="EB217" s="373"/>
    </row>
    <row r="218" spans="1:132" x14ac:dyDescent="0.2">
      <c r="A218"/>
      <c r="B218" s="144"/>
      <c r="D218" s="341"/>
      <c r="F218" s="343"/>
      <c r="G218" s="343"/>
      <c r="H218" s="343"/>
      <c r="I218" s="343"/>
      <c r="J218" s="343"/>
      <c r="K218" s="343"/>
      <c r="L218" s="343"/>
      <c r="S218" s="373"/>
      <c r="T218" s="373"/>
      <c r="U218" s="373"/>
      <c r="V218" s="373"/>
      <c r="W218" s="373"/>
      <c r="X218" s="373"/>
      <c r="Y218" s="373"/>
      <c r="Z218" s="373"/>
      <c r="AA218" s="373"/>
      <c r="AB218" s="373"/>
      <c r="AC218" s="373"/>
      <c r="AD218" s="373"/>
      <c r="AE218" s="373"/>
      <c r="AF218" s="373"/>
      <c r="AG218" s="373"/>
      <c r="AH218" s="373"/>
      <c r="AI218" s="373"/>
      <c r="AK218" s="373"/>
      <c r="AL218" s="373"/>
      <c r="AM218" s="373"/>
      <c r="AN218" s="373"/>
      <c r="AO218" s="373"/>
      <c r="AP218" s="373"/>
      <c r="AR218" s="373"/>
      <c r="AS218" s="373"/>
      <c r="AT218" s="373"/>
      <c r="AV218" s="373"/>
      <c r="AW218" s="373"/>
      <c r="AX218" s="373"/>
      <c r="AY218" s="373"/>
      <c r="AZ218" s="373"/>
      <c r="BA218" s="373"/>
      <c r="BB218" s="373"/>
      <c r="BC218" s="373"/>
      <c r="BD218" s="373"/>
      <c r="BE218" s="373"/>
      <c r="BF218" s="373"/>
      <c r="BG218" s="373"/>
      <c r="BH218" s="373"/>
      <c r="BI218" s="373"/>
      <c r="BJ218" s="373"/>
      <c r="BK218" s="373"/>
      <c r="BL218" s="373"/>
      <c r="BM218" s="373"/>
      <c r="BN218" s="373"/>
      <c r="BO218" s="373"/>
      <c r="BQ218" s="373"/>
      <c r="BS218" s="373"/>
      <c r="BT218" s="373"/>
      <c r="BU218" s="373"/>
      <c r="BW218" s="373"/>
      <c r="BY218" s="373"/>
      <c r="BZ218" s="373"/>
      <c r="CA218" s="373"/>
      <c r="CB218" s="373"/>
      <c r="CC218" s="373"/>
      <c r="CD218" s="373"/>
      <c r="CE218" s="373"/>
      <c r="CF218" s="373"/>
      <c r="CG218" s="373"/>
      <c r="CH218" s="373"/>
      <c r="CJ218" s="373"/>
      <c r="CK218" s="373"/>
      <c r="CL218" s="373"/>
      <c r="CM218" s="373"/>
      <c r="CN218" s="373"/>
      <c r="CO218" s="373"/>
      <c r="CP218" s="373"/>
      <c r="CQ218" s="373"/>
      <c r="CR218" s="373"/>
      <c r="CS218" s="373"/>
      <c r="CT218" s="373"/>
      <c r="CU218" s="373"/>
      <c r="CV218" s="373"/>
      <c r="CW218" s="373"/>
      <c r="CX218" s="373"/>
      <c r="CZ218" s="373"/>
      <c r="DA218" s="373"/>
      <c r="DB218" s="373"/>
      <c r="DC218" s="373"/>
      <c r="DD218" s="373"/>
      <c r="DE218" s="373"/>
      <c r="DF218" s="373"/>
      <c r="DG218" s="373"/>
      <c r="DH218" s="373"/>
      <c r="DI218" s="373"/>
      <c r="DJ218" s="373"/>
      <c r="DK218" s="373"/>
      <c r="DM218" s="373"/>
      <c r="DN218" s="373"/>
      <c r="DO218" s="373"/>
      <c r="DP218" s="373"/>
      <c r="DS218" s="373"/>
      <c r="DT218" s="373"/>
      <c r="DV218" s="373"/>
      <c r="DY218" s="373"/>
      <c r="DZ218" s="373"/>
      <c r="EA218" s="373"/>
      <c r="EB218" s="373"/>
    </row>
    <row r="219" spans="1:132" x14ac:dyDescent="0.2">
      <c r="A219"/>
      <c r="B219" s="144"/>
      <c r="D219" s="341"/>
      <c r="F219" s="343"/>
      <c r="G219" s="343"/>
      <c r="H219" s="343"/>
      <c r="I219" s="343"/>
      <c r="J219" s="343"/>
      <c r="K219" s="343"/>
      <c r="L219" s="343"/>
      <c r="S219" s="373"/>
      <c r="T219" s="373"/>
      <c r="U219" s="373"/>
      <c r="V219" s="373"/>
      <c r="W219" s="373"/>
      <c r="X219" s="373"/>
      <c r="Y219" s="373"/>
      <c r="Z219" s="373"/>
      <c r="AA219" s="373"/>
      <c r="AB219" s="373"/>
      <c r="AC219" s="373"/>
      <c r="AD219" s="373"/>
      <c r="AE219" s="373"/>
      <c r="AF219" s="373"/>
      <c r="AG219" s="373"/>
      <c r="AH219" s="373"/>
      <c r="AI219" s="373"/>
      <c r="AK219" s="373"/>
      <c r="AL219" s="373"/>
      <c r="AM219" s="373"/>
      <c r="AN219" s="373"/>
      <c r="AO219" s="373"/>
      <c r="AP219" s="373"/>
      <c r="AR219" s="373"/>
      <c r="AS219" s="373"/>
      <c r="AT219" s="373"/>
      <c r="AV219" s="373"/>
      <c r="AW219" s="373"/>
      <c r="AX219" s="373"/>
      <c r="AY219" s="373"/>
      <c r="AZ219" s="373"/>
      <c r="BA219" s="373"/>
      <c r="BB219" s="373"/>
      <c r="BC219" s="373"/>
      <c r="BD219" s="373"/>
      <c r="BE219" s="373"/>
      <c r="BF219" s="373"/>
      <c r="BG219" s="373"/>
      <c r="BH219" s="373"/>
      <c r="BI219" s="373"/>
      <c r="BJ219" s="373"/>
      <c r="BK219" s="373"/>
      <c r="BL219" s="373"/>
      <c r="BM219" s="373"/>
      <c r="BN219" s="373"/>
      <c r="BO219" s="373"/>
      <c r="BQ219" s="373"/>
      <c r="BS219" s="373"/>
      <c r="BT219" s="373"/>
      <c r="BU219" s="373"/>
      <c r="BW219" s="373"/>
      <c r="BY219" s="373"/>
      <c r="BZ219" s="373"/>
      <c r="CA219" s="373"/>
      <c r="CB219" s="373"/>
      <c r="CC219" s="373"/>
      <c r="CD219" s="373"/>
      <c r="CE219" s="373"/>
      <c r="CF219" s="373"/>
      <c r="CG219" s="373"/>
      <c r="CH219" s="373"/>
      <c r="CJ219" s="373"/>
      <c r="CK219" s="373"/>
      <c r="CL219" s="373"/>
      <c r="CM219" s="373"/>
      <c r="CN219" s="373"/>
      <c r="CO219" s="373"/>
      <c r="CP219" s="373"/>
      <c r="CQ219" s="373"/>
      <c r="CR219" s="373"/>
      <c r="CS219" s="373"/>
      <c r="CT219" s="373"/>
      <c r="CU219" s="373"/>
      <c r="CV219" s="373"/>
      <c r="CW219" s="373"/>
      <c r="CX219" s="373"/>
      <c r="CZ219" s="373"/>
      <c r="DA219" s="373"/>
      <c r="DB219" s="373"/>
      <c r="DC219" s="373"/>
      <c r="DD219" s="373"/>
      <c r="DE219" s="373"/>
      <c r="DF219" s="373"/>
      <c r="DG219" s="373"/>
      <c r="DH219" s="373"/>
      <c r="DI219" s="373"/>
      <c r="DJ219" s="373"/>
      <c r="DK219" s="373"/>
      <c r="DM219" s="373"/>
      <c r="DN219" s="373"/>
      <c r="DO219" s="373"/>
      <c r="DP219" s="373"/>
      <c r="DS219" s="373"/>
      <c r="DT219" s="373"/>
      <c r="DV219" s="373"/>
      <c r="DY219" s="373"/>
      <c r="DZ219" s="373"/>
      <c r="EA219" s="373"/>
      <c r="EB219" s="373"/>
    </row>
    <row r="220" spans="1:132" x14ac:dyDescent="0.2">
      <c r="A220"/>
      <c r="B220" s="144"/>
      <c r="D220" s="341"/>
      <c r="F220" s="343"/>
      <c r="G220" s="343"/>
      <c r="H220" s="343"/>
      <c r="I220" s="343"/>
      <c r="J220" s="343"/>
      <c r="K220" s="343"/>
      <c r="L220" s="343"/>
      <c r="S220" s="373"/>
      <c r="T220" s="373"/>
      <c r="U220" s="373"/>
      <c r="V220" s="373"/>
      <c r="W220" s="373"/>
      <c r="X220" s="373"/>
      <c r="Y220" s="373"/>
      <c r="Z220" s="373"/>
      <c r="AA220" s="373"/>
      <c r="AB220" s="373"/>
      <c r="AC220" s="373"/>
      <c r="AD220" s="373"/>
      <c r="AE220" s="373"/>
      <c r="AF220" s="373"/>
      <c r="AG220" s="373"/>
      <c r="AH220" s="373"/>
      <c r="AI220" s="373"/>
      <c r="AK220" s="373"/>
      <c r="AL220" s="373"/>
      <c r="AM220" s="373"/>
      <c r="AN220" s="373"/>
      <c r="AO220" s="373"/>
      <c r="AP220" s="373"/>
      <c r="AR220" s="373"/>
      <c r="AS220" s="373"/>
      <c r="AT220" s="373"/>
      <c r="AV220" s="373"/>
      <c r="AW220" s="373"/>
      <c r="AX220" s="373"/>
      <c r="AY220" s="373"/>
      <c r="AZ220" s="373"/>
      <c r="BA220" s="373"/>
      <c r="BB220" s="373"/>
      <c r="BC220" s="373"/>
      <c r="BD220" s="373"/>
      <c r="BE220" s="373"/>
      <c r="BF220" s="373"/>
      <c r="BG220" s="373"/>
      <c r="BH220" s="373"/>
      <c r="BI220" s="373"/>
      <c r="BJ220" s="373"/>
      <c r="BK220" s="373"/>
      <c r="BL220" s="373"/>
      <c r="BM220" s="373"/>
      <c r="BN220" s="373"/>
      <c r="BO220" s="373"/>
      <c r="BQ220" s="373"/>
      <c r="BS220" s="373"/>
      <c r="BT220" s="373"/>
      <c r="BU220" s="373"/>
      <c r="BW220" s="373"/>
      <c r="BY220" s="373"/>
      <c r="BZ220" s="373"/>
      <c r="CA220" s="373"/>
      <c r="CB220" s="373"/>
      <c r="CC220" s="373"/>
      <c r="CD220" s="373"/>
      <c r="CE220" s="373"/>
      <c r="CF220" s="373"/>
      <c r="CG220" s="373"/>
      <c r="CH220" s="373"/>
      <c r="CJ220" s="373"/>
      <c r="CK220" s="373"/>
      <c r="CL220" s="373"/>
      <c r="CM220" s="373"/>
      <c r="CN220" s="373"/>
      <c r="CO220" s="373"/>
      <c r="CP220" s="373"/>
      <c r="CQ220" s="373"/>
      <c r="CR220" s="373"/>
      <c r="CS220" s="373"/>
      <c r="CT220" s="373"/>
      <c r="CU220" s="373"/>
      <c r="CV220" s="373"/>
      <c r="CW220" s="373"/>
      <c r="CX220" s="373"/>
      <c r="CZ220" s="373"/>
      <c r="DA220" s="373"/>
      <c r="DB220" s="373"/>
      <c r="DC220" s="373"/>
      <c r="DD220" s="373"/>
      <c r="DE220" s="373"/>
      <c r="DF220" s="373"/>
      <c r="DG220" s="373"/>
      <c r="DH220" s="373"/>
      <c r="DI220" s="373"/>
      <c r="DJ220" s="373"/>
      <c r="DK220" s="373"/>
      <c r="DM220" s="373"/>
      <c r="DN220" s="373"/>
      <c r="DO220" s="373"/>
      <c r="DP220" s="373"/>
      <c r="DS220" s="373"/>
      <c r="DT220" s="373"/>
      <c r="DV220" s="373"/>
      <c r="DY220" s="373"/>
      <c r="DZ220" s="373"/>
      <c r="EA220" s="373"/>
      <c r="EB220" s="373"/>
    </row>
    <row r="221" spans="1:132" x14ac:dyDescent="0.2">
      <c r="A221"/>
      <c r="B221" s="144"/>
      <c r="D221" s="341"/>
      <c r="F221" s="343"/>
      <c r="G221" s="343"/>
      <c r="H221" s="343"/>
      <c r="I221" s="343"/>
      <c r="J221" s="343"/>
      <c r="K221" s="343"/>
      <c r="L221" s="343"/>
      <c r="S221" s="373"/>
      <c r="T221" s="373"/>
      <c r="U221" s="373"/>
      <c r="V221" s="373"/>
      <c r="W221" s="373"/>
      <c r="X221" s="373"/>
      <c r="Y221" s="373"/>
      <c r="Z221" s="373"/>
      <c r="AA221" s="373"/>
      <c r="AB221" s="373"/>
      <c r="AC221" s="373"/>
      <c r="AD221" s="373"/>
      <c r="AE221" s="373"/>
      <c r="AF221" s="373"/>
      <c r="AG221" s="373"/>
      <c r="AH221" s="373"/>
      <c r="AI221" s="373"/>
      <c r="AK221" s="373"/>
      <c r="AL221" s="373"/>
      <c r="AM221" s="373"/>
      <c r="AN221" s="373"/>
      <c r="AO221" s="373"/>
      <c r="AP221" s="373"/>
      <c r="AR221" s="373"/>
      <c r="AS221" s="373"/>
      <c r="AT221" s="373"/>
      <c r="AV221" s="373"/>
      <c r="AW221" s="373"/>
      <c r="AX221" s="373"/>
      <c r="AY221" s="373"/>
      <c r="AZ221" s="373"/>
      <c r="BA221" s="373"/>
      <c r="BB221" s="373"/>
      <c r="BC221" s="373"/>
      <c r="BD221" s="373"/>
      <c r="BE221" s="373"/>
      <c r="BF221" s="373"/>
      <c r="BG221" s="373"/>
      <c r="BH221" s="373"/>
      <c r="BI221" s="373"/>
      <c r="BJ221" s="373"/>
      <c r="BK221" s="373"/>
      <c r="BL221" s="373"/>
      <c r="BM221" s="373"/>
      <c r="BN221" s="373"/>
      <c r="BO221" s="373"/>
      <c r="BQ221" s="373"/>
      <c r="BS221" s="373"/>
      <c r="BT221" s="373"/>
      <c r="BU221" s="373"/>
      <c r="BW221" s="373"/>
      <c r="BY221" s="373"/>
      <c r="BZ221" s="373"/>
      <c r="CA221" s="373"/>
      <c r="CB221" s="373"/>
      <c r="CC221" s="373"/>
      <c r="CD221" s="373"/>
      <c r="CE221" s="373"/>
      <c r="CF221" s="373"/>
      <c r="CG221" s="373"/>
      <c r="CH221" s="373"/>
      <c r="CJ221" s="373"/>
      <c r="CK221" s="373"/>
      <c r="CL221" s="373"/>
      <c r="CM221" s="373"/>
      <c r="CN221" s="373"/>
      <c r="CO221" s="373"/>
      <c r="CP221" s="373"/>
      <c r="CQ221" s="373"/>
      <c r="CR221" s="373"/>
      <c r="CS221" s="373"/>
      <c r="CT221" s="373"/>
      <c r="CU221" s="373"/>
      <c r="CV221" s="373"/>
      <c r="CW221" s="373"/>
      <c r="CX221" s="373"/>
      <c r="CZ221" s="373"/>
      <c r="DA221" s="373"/>
      <c r="DB221" s="373"/>
      <c r="DC221" s="373"/>
      <c r="DD221" s="373"/>
      <c r="DE221" s="373"/>
      <c r="DF221" s="373"/>
      <c r="DG221" s="373"/>
      <c r="DH221" s="373"/>
      <c r="DI221" s="373"/>
      <c r="DJ221" s="373"/>
      <c r="DK221" s="373"/>
      <c r="DM221" s="373"/>
      <c r="DN221" s="373"/>
      <c r="DO221" s="373"/>
      <c r="DP221" s="373"/>
      <c r="DS221" s="373"/>
      <c r="DT221" s="373"/>
      <c r="DV221" s="373"/>
      <c r="DY221" s="373"/>
      <c r="DZ221" s="373"/>
      <c r="EA221" s="373"/>
      <c r="EB221" s="373"/>
    </row>
    <row r="222" spans="1:132" x14ac:dyDescent="0.2">
      <c r="A222"/>
      <c r="B222" s="144"/>
      <c r="D222" s="341"/>
      <c r="F222" s="343"/>
      <c r="G222" s="343"/>
      <c r="H222" s="343"/>
      <c r="I222" s="343"/>
      <c r="J222" s="343"/>
      <c r="K222" s="343"/>
      <c r="L222" s="343"/>
      <c r="S222" s="373"/>
      <c r="T222" s="373"/>
      <c r="U222" s="373"/>
      <c r="V222" s="373"/>
      <c r="W222" s="373"/>
      <c r="X222" s="373"/>
      <c r="Y222" s="373"/>
      <c r="Z222" s="373"/>
      <c r="AA222" s="373"/>
      <c r="AB222" s="373"/>
      <c r="AC222" s="373"/>
      <c r="AD222" s="373"/>
      <c r="AE222" s="373"/>
      <c r="AF222" s="373"/>
      <c r="AG222" s="373"/>
      <c r="AH222" s="373"/>
      <c r="AI222" s="373"/>
      <c r="AJ222" s="373"/>
      <c r="AK222" s="373"/>
      <c r="AL222" s="373"/>
      <c r="AM222" s="373"/>
      <c r="AN222" s="373"/>
      <c r="AO222" s="373"/>
      <c r="AP222" s="373"/>
      <c r="AR222" s="373"/>
      <c r="AS222" s="373"/>
      <c r="AT222" s="373"/>
      <c r="AV222" s="373"/>
      <c r="AW222" s="373"/>
      <c r="AX222" s="373"/>
      <c r="AY222" s="373"/>
      <c r="AZ222" s="373"/>
      <c r="BA222" s="373"/>
      <c r="BB222" s="373"/>
      <c r="BC222" s="373"/>
      <c r="BD222" s="373"/>
      <c r="BE222" s="373"/>
      <c r="BF222" s="373"/>
      <c r="BG222" s="373"/>
      <c r="BH222" s="373"/>
      <c r="BI222" s="373"/>
      <c r="BJ222" s="373"/>
      <c r="BK222" s="373"/>
      <c r="BL222" s="373"/>
      <c r="BM222" s="373"/>
      <c r="BN222" s="373"/>
      <c r="BO222" s="373"/>
      <c r="BQ222" s="373"/>
      <c r="BS222" s="373"/>
      <c r="BT222" s="373"/>
      <c r="BU222" s="373"/>
      <c r="BV222" s="373"/>
      <c r="BW222" s="373"/>
      <c r="BX222" s="373"/>
      <c r="BY222" s="373"/>
      <c r="BZ222" s="373"/>
      <c r="CA222" s="373"/>
      <c r="CB222" s="373"/>
      <c r="CC222" s="373"/>
      <c r="CD222" s="373"/>
      <c r="CE222" s="373"/>
      <c r="CF222" s="373"/>
      <c r="CG222" s="373"/>
      <c r="CH222" s="373"/>
      <c r="CJ222" s="373"/>
      <c r="CK222" s="373"/>
      <c r="CL222" s="373"/>
      <c r="CM222" s="373"/>
      <c r="CN222" s="373"/>
      <c r="CO222" s="373"/>
      <c r="CP222" s="373"/>
      <c r="CQ222" s="373"/>
      <c r="CR222" s="373"/>
      <c r="CS222" s="373"/>
      <c r="CT222" s="373"/>
      <c r="CU222" s="373"/>
      <c r="CV222" s="373"/>
      <c r="CW222" s="373"/>
      <c r="CX222" s="373"/>
      <c r="CY222" s="373"/>
      <c r="CZ222" s="373"/>
      <c r="DA222" s="373"/>
      <c r="DB222" s="373"/>
      <c r="DC222" s="373"/>
      <c r="DD222" s="373"/>
      <c r="DE222" s="373"/>
      <c r="DF222" s="373"/>
      <c r="DG222" s="373"/>
      <c r="DH222" s="373"/>
      <c r="DI222" s="373"/>
      <c r="DJ222" s="373"/>
      <c r="DK222" s="373"/>
      <c r="DM222" s="373"/>
      <c r="DN222" s="373"/>
      <c r="DO222" s="373"/>
      <c r="DP222" s="373"/>
      <c r="DS222" s="373"/>
      <c r="DT222" s="373"/>
      <c r="DV222" s="373"/>
      <c r="DY222" s="373"/>
      <c r="DZ222" s="373"/>
      <c r="EA222" s="373"/>
      <c r="EB222" s="373"/>
    </row>
    <row r="223" spans="1:132" x14ac:dyDescent="0.2">
      <c r="A223"/>
      <c r="B223" s="144"/>
      <c r="D223" s="341"/>
      <c r="F223" s="343"/>
      <c r="G223" s="343"/>
      <c r="H223" s="343"/>
      <c r="I223" s="343"/>
      <c r="J223" s="343"/>
      <c r="K223" s="343"/>
      <c r="L223" s="343"/>
      <c r="S223" s="373"/>
      <c r="T223" s="373"/>
      <c r="U223" s="373"/>
      <c r="V223" s="373"/>
      <c r="W223" s="373"/>
      <c r="X223" s="373"/>
      <c r="Y223" s="373"/>
      <c r="Z223" s="373"/>
      <c r="AA223" s="373"/>
      <c r="AB223" s="373"/>
      <c r="AC223" s="373"/>
      <c r="AD223" s="373"/>
      <c r="AE223" s="373"/>
      <c r="AF223" s="373"/>
      <c r="AG223" s="373"/>
      <c r="AH223" s="373"/>
      <c r="AI223" s="373"/>
      <c r="AJ223" s="373"/>
      <c r="AK223" s="373"/>
      <c r="AL223" s="373"/>
      <c r="AM223" s="373"/>
      <c r="AN223" s="373"/>
      <c r="AO223" s="373"/>
      <c r="AP223" s="373"/>
      <c r="AR223" s="373"/>
      <c r="AS223" s="373"/>
      <c r="AT223" s="373"/>
      <c r="AV223" s="373"/>
      <c r="AW223" s="373"/>
      <c r="AX223" s="373"/>
      <c r="AY223" s="373"/>
      <c r="AZ223" s="373"/>
      <c r="BA223" s="373"/>
      <c r="BB223" s="373"/>
      <c r="BC223" s="373"/>
      <c r="BD223" s="373"/>
      <c r="BE223" s="373"/>
      <c r="BF223" s="373"/>
      <c r="BG223" s="373"/>
      <c r="BH223" s="373"/>
      <c r="BI223" s="373"/>
      <c r="BJ223" s="373"/>
      <c r="BK223" s="373"/>
      <c r="BL223" s="373"/>
      <c r="BM223" s="373"/>
      <c r="BN223" s="373"/>
      <c r="BO223" s="373"/>
      <c r="BQ223" s="373"/>
      <c r="BS223" s="373"/>
      <c r="BT223" s="373"/>
      <c r="BU223" s="373"/>
      <c r="BV223" s="373"/>
      <c r="BW223" s="373"/>
      <c r="BX223" s="373"/>
      <c r="BY223" s="373"/>
      <c r="BZ223" s="373"/>
      <c r="CA223" s="373"/>
      <c r="CB223" s="373"/>
      <c r="CC223" s="373"/>
      <c r="CD223" s="373"/>
      <c r="CE223" s="373"/>
      <c r="CF223" s="373"/>
      <c r="CG223" s="373"/>
      <c r="CH223" s="373"/>
      <c r="CJ223" s="373"/>
      <c r="CK223" s="373"/>
      <c r="CL223" s="373"/>
      <c r="CM223" s="373"/>
      <c r="CN223" s="373"/>
      <c r="CO223" s="373"/>
      <c r="CP223" s="373"/>
      <c r="CQ223" s="373"/>
      <c r="CR223" s="373"/>
      <c r="CS223" s="373"/>
      <c r="CT223" s="373"/>
      <c r="CU223" s="373"/>
      <c r="CV223" s="373"/>
      <c r="CW223" s="373"/>
      <c r="CX223" s="373"/>
      <c r="CY223" s="373"/>
      <c r="CZ223" s="373"/>
      <c r="DA223" s="373"/>
      <c r="DB223" s="373"/>
      <c r="DC223" s="373"/>
      <c r="DD223" s="373"/>
      <c r="DE223" s="373"/>
      <c r="DF223" s="373"/>
      <c r="DG223" s="373"/>
      <c r="DH223" s="373"/>
      <c r="DI223" s="373"/>
      <c r="DJ223" s="373"/>
      <c r="DK223" s="373"/>
      <c r="DM223" s="373"/>
      <c r="DN223" s="373"/>
      <c r="DO223" s="373"/>
      <c r="DP223" s="373"/>
      <c r="DS223" s="373"/>
      <c r="DT223" s="373"/>
      <c r="DV223" s="373"/>
      <c r="DY223" s="373"/>
      <c r="DZ223" s="373"/>
      <c r="EA223" s="373"/>
      <c r="EB223" s="373"/>
    </row>
    <row r="224" spans="1:132" x14ac:dyDescent="0.2">
      <c r="A224"/>
      <c r="B224" s="144"/>
      <c r="D224" s="341"/>
      <c r="F224" s="343"/>
      <c r="G224" s="343"/>
      <c r="H224" s="343"/>
      <c r="I224" s="343"/>
      <c r="J224" s="343"/>
      <c r="K224" s="343"/>
      <c r="L224" s="343"/>
      <c r="S224" s="373"/>
      <c r="T224" s="373"/>
      <c r="U224" s="373"/>
      <c r="V224" s="373"/>
      <c r="W224" s="373"/>
      <c r="X224" s="373"/>
      <c r="Y224" s="373"/>
      <c r="Z224" s="373"/>
      <c r="AA224" s="373"/>
      <c r="AB224" s="373"/>
      <c r="AC224" s="373"/>
      <c r="AD224" s="373"/>
      <c r="AE224" s="373"/>
      <c r="AF224" s="373"/>
      <c r="AG224" s="373"/>
      <c r="AH224" s="373"/>
      <c r="AI224" s="373"/>
      <c r="AK224" s="373"/>
      <c r="AL224" s="373"/>
      <c r="AM224" s="373"/>
      <c r="AN224" s="373"/>
      <c r="AO224" s="373"/>
      <c r="AP224" s="373"/>
      <c r="AR224" s="373"/>
      <c r="AS224" s="373"/>
      <c r="AT224" s="373"/>
      <c r="AV224" s="373"/>
      <c r="AW224" s="373"/>
      <c r="AX224" s="373"/>
      <c r="AY224" s="373"/>
      <c r="AZ224" s="373"/>
      <c r="BA224" s="373"/>
      <c r="BB224" s="373"/>
      <c r="BC224" s="373"/>
      <c r="BD224" s="373"/>
      <c r="BE224" s="373"/>
      <c r="BF224" s="373"/>
      <c r="BG224" s="373"/>
      <c r="BH224" s="373"/>
      <c r="BI224" s="373"/>
      <c r="BJ224" s="373"/>
      <c r="BK224" s="373"/>
      <c r="BL224" s="373"/>
      <c r="BM224" s="373"/>
      <c r="BN224" s="373"/>
      <c r="BO224" s="373"/>
      <c r="BQ224" s="373"/>
      <c r="BS224" s="373"/>
      <c r="BT224" s="373"/>
      <c r="BU224" s="373"/>
      <c r="BW224" s="373"/>
      <c r="BY224" s="373"/>
      <c r="BZ224" s="373"/>
      <c r="CA224" s="373"/>
      <c r="CB224" s="373"/>
      <c r="CC224" s="373"/>
      <c r="CD224" s="373"/>
      <c r="CE224" s="373"/>
      <c r="CF224" s="373"/>
      <c r="CG224" s="373"/>
      <c r="CH224" s="373"/>
      <c r="CJ224" s="373"/>
      <c r="CK224" s="373"/>
      <c r="CL224" s="373"/>
      <c r="CM224" s="373"/>
      <c r="CN224" s="373"/>
      <c r="CO224" s="373"/>
      <c r="CP224" s="373"/>
      <c r="CQ224" s="373"/>
      <c r="CR224" s="373"/>
      <c r="CS224" s="373"/>
      <c r="CT224" s="373"/>
      <c r="CU224" s="373"/>
      <c r="CV224" s="373"/>
      <c r="CW224" s="373"/>
      <c r="CX224" s="373"/>
      <c r="CZ224" s="373"/>
      <c r="DA224" s="373"/>
      <c r="DB224" s="373"/>
      <c r="DC224" s="373"/>
      <c r="DD224" s="373"/>
      <c r="DE224" s="373"/>
      <c r="DF224" s="373"/>
      <c r="DG224" s="373"/>
      <c r="DH224" s="373"/>
      <c r="DI224" s="373"/>
      <c r="DJ224" s="373"/>
      <c r="DK224" s="373"/>
      <c r="DM224" s="373"/>
      <c r="DN224" s="373"/>
      <c r="DO224" s="373"/>
      <c r="DP224" s="373"/>
      <c r="DS224" s="373"/>
      <c r="DT224" s="373"/>
      <c r="DV224" s="373"/>
      <c r="DY224" s="373"/>
      <c r="DZ224" s="373"/>
      <c r="EA224" s="373"/>
      <c r="EB224" s="373"/>
    </row>
    <row r="225" spans="1:132" x14ac:dyDescent="0.2">
      <c r="A225"/>
      <c r="B225" s="144"/>
      <c r="D225" s="341"/>
      <c r="F225" s="343"/>
      <c r="G225" s="343"/>
      <c r="H225" s="343"/>
      <c r="I225" s="343"/>
      <c r="J225" s="343"/>
      <c r="K225" s="343"/>
      <c r="L225" s="343"/>
      <c r="S225" s="373"/>
      <c r="T225" s="373"/>
      <c r="U225" s="373"/>
      <c r="V225" s="373"/>
      <c r="W225" s="373"/>
      <c r="X225" s="373"/>
      <c r="Y225" s="373"/>
      <c r="Z225" s="373"/>
      <c r="AA225" s="373"/>
      <c r="AB225" s="373"/>
      <c r="AC225" s="373"/>
      <c r="AD225" s="373"/>
      <c r="AE225" s="373"/>
      <c r="AF225" s="373"/>
      <c r="AG225" s="373"/>
      <c r="AH225" s="373"/>
      <c r="AI225" s="373"/>
      <c r="AK225" s="373"/>
      <c r="AL225" s="373"/>
      <c r="AM225" s="373"/>
      <c r="AN225" s="373"/>
      <c r="AO225" s="373"/>
      <c r="AP225" s="373"/>
      <c r="AR225" s="373"/>
      <c r="AS225" s="373"/>
      <c r="AT225" s="373"/>
      <c r="AV225" s="373"/>
      <c r="AW225" s="373"/>
      <c r="AX225" s="373"/>
      <c r="AY225" s="373"/>
      <c r="AZ225" s="373"/>
      <c r="BA225" s="373"/>
      <c r="BB225" s="373"/>
      <c r="BC225" s="373"/>
      <c r="BD225" s="373"/>
      <c r="BE225" s="373"/>
      <c r="BF225" s="373"/>
      <c r="BG225" s="373"/>
      <c r="BH225" s="373"/>
      <c r="BI225" s="373"/>
      <c r="BJ225" s="373"/>
      <c r="BK225" s="373"/>
      <c r="BL225" s="373"/>
      <c r="BM225" s="373"/>
      <c r="BN225" s="373"/>
      <c r="BO225" s="373"/>
      <c r="BQ225" s="373"/>
      <c r="BS225" s="373"/>
      <c r="BT225" s="373"/>
      <c r="BU225" s="373"/>
      <c r="BW225" s="373"/>
      <c r="BY225" s="373"/>
      <c r="BZ225" s="373"/>
      <c r="CA225" s="373"/>
      <c r="CB225" s="373"/>
      <c r="CC225" s="373"/>
      <c r="CD225" s="373"/>
      <c r="CE225" s="373"/>
      <c r="CF225" s="373"/>
      <c r="CG225" s="373"/>
      <c r="CH225" s="373"/>
      <c r="CJ225" s="373"/>
      <c r="CK225" s="373"/>
      <c r="CL225" s="373"/>
      <c r="CM225" s="373"/>
      <c r="CN225" s="373"/>
      <c r="CO225" s="373"/>
      <c r="CP225" s="373"/>
      <c r="CQ225" s="373"/>
      <c r="CR225" s="373"/>
      <c r="CS225" s="373"/>
      <c r="CT225" s="373"/>
      <c r="CU225" s="373"/>
      <c r="CV225" s="373"/>
      <c r="CW225" s="373"/>
      <c r="CX225" s="373"/>
      <c r="CZ225" s="373"/>
      <c r="DA225" s="373"/>
      <c r="DB225" s="373"/>
      <c r="DC225" s="373"/>
      <c r="DD225" s="373"/>
      <c r="DE225" s="373"/>
      <c r="DF225" s="373"/>
      <c r="DG225" s="373"/>
      <c r="DH225" s="373"/>
      <c r="DI225" s="373"/>
      <c r="DJ225" s="373"/>
      <c r="DK225" s="373"/>
      <c r="DM225" s="373"/>
      <c r="DN225" s="373"/>
      <c r="DO225" s="373"/>
      <c r="DP225" s="373"/>
      <c r="DS225" s="373"/>
      <c r="DT225" s="373"/>
      <c r="DV225" s="373"/>
      <c r="DY225" s="373"/>
      <c r="DZ225" s="373"/>
      <c r="EA225" s="373"/>
      <c r="EB225" s="373"/>
    </row>
    <row r="226" spans="1:132" x14ac:dyDescent="0.2">
      <c r="A226"/>
      <c r="B226" s="144"/>
      <c r="D226" s="341"/>
      <c r="F226" s="343"/>
      <c r="G226" s="343"/>
      <c r="H226" s="343"/>
      <c r="I226" s="343"/>
      <c r="J226" s="343"/>
      <c r="K226" s="343"/>
      <c r="L226" s="343"/>
      <c r="S226" s="373"/>
      <c r="T226" s="373"/>
      <c r="U226" s="373"/>
      <c r="V226" s="373"/>
      <c r="W226" s="373"/>
      <c r="X226" s="373"/>
      <c r="Y226" s="373"/>
      <c r="Z226" s="373"/>
      <c r="AA226" s="373"/>
      <c r="AB226" s="373"/>
      <c r="AC226" s="373"/>
      <c r="AD226" s="373"/>
      <c r="AE226" s="373"/>
      <c r="AF226" s="373"/>
      <c r="AG226" s="373"/>
      <c r="AH226" s="373"/>
      <c r="AI226" s="373"/>
      <c r="AK226" s="373"/>
      <c r="AL226" s="373"/>
      <c r="AM226" s="373"/>
      <c r="AN226" s="373"/>
      <c r="AO226" s="373"/>
      <c r="AP226" s="373"/>
      <c r="AR226" s="373"/>
      <c r="AS226" s="373"/>
      <c r="AT226" s="373"/>
      <c r="AV226" s="373"/>
      <c r="AW226" s="373"/>
      <c r="AX226" s="373"/>
      <c r="AY226" s="373"/>
      <c r="AZ226" s="373"/>
      <c r="BA226" s="373"/>
      <c r="BB226" s="373"/>
      <c r="BC226" s="373"/>
      <c r="BD226" s="373"/>
      <c r="BE226" s="373"/>
      <c r="BF226" s="373"/>
      <c r="BG226" s="373"/>
      <c r="BH226" s="373"/>
      <c r="BI226" s="373"/>
      <c r="BJ226" s="373"/>
      <c r="BK226" s="373"/>
      <c r="BL226" s="373"/>
      <c r="BM226" s="373"/>
      <c r="BN226" s="373"/>
      <c r="BO226" s="373"/>
      <c r="BQ226" s="373"/>
      <c r="BS226" s="373"/>
      <c r="BT226" s="373"/>
      <c r="BU226" s="373"/>
      <c r="BW226" s="373"/>
      <c r="BY226" s="373"/>
      <c r="BZ226" s="373"/>
      <c r="CA226" s="373"/>
      <c r="CB226" s="373"/>
      <c r="CC226" s="373"/>
      <c r="CD226" s="373"/>
      <c r="CE226" s="373"/>
      <c r="CF226" s="373"/>
      <c r="CG226" s="373"/>
      <c r="CH226" s="373"/>
      <c r="CJ226" s="373"/>
      <c r="CK226" s="373"/>
      <c r="CL226" s="373"/>
      <c r="CM226" s="373"/>
      <c r="CN226" s="373"/>
      <c r="CO226" s="373"/>
      <c r="CP226" s="373"/>
      <c r="CQ226" s="373"/>
      <c r="CR226" s="373"/>
      <c r="CS226" s="373"/>
      <c r="CT226" s="373"/>
      <c r="CU226" s="373"/>
      <c r="CV226" s="373"/>
      <c r="CW226" s="373"/>
      <c r="CX226" s="373"/>
      <c r="CZ226" s="373"/>
      <c r="DA226" s="373"/>
      <c r="DB226" s="373"/>
      <c r="DC226" s="373"/>
      <c r="DD226" s="373"/>
      <c r="DE226" s="373"/>
      <c r="DF226" s="373"/>
      <c r="DG226" s="373"/>
      <c r="DH226" s="373"/>
      <c r="DI226" s="373"/>
      <c r="DJ226" s="373"/>
      <c r="DK226" s="373"/>
      <c r="DM226" s="373"/>
      <c r="DN226" s="373"/>
      <c r="DO226" s="373"/>
      <c r="DP226" s="373"/>
      <c r="DS226" s="373"/>
      <c r="DT226" s="373"/>
      <c r="DV226" s="373"/>
      <c r="DY226" s="373"/>
      <c r="DZ226" s="373"/>
      <c r="EA226" s="373"/>
      <c r="EB226" s="373"/>
    </row>
    <row r="227" spans="1:132" x14ac:dyDescent="0.2">
      <c r="A227"/>
      <c r="B227" s="144"/>
      <c r="D227" s="341"/>
      <c r="F227" s="343"/>
      <c r="G227" s="343"/>
      <c r="H227" s="343"/>
      <c r="I227" s="343"/>
      <c r="J227" s="343"/>
      <c r="K227" s="343"/>
      <c r="L227" s="343"/>
      <c r="S227" s="373"/>
      <c r="T227" s="373"/>
      <c r="U227" s="373"/>
      <c r="V227" s="373"/>
      <c r="W227" s="373"/>
      <c r="X227" s="373"/>
      <c r="Y227" s="373"/>
      <c r="Z227" s="373"/>
      <c r="AA227" s="373"/>
      <c r="AB227" s="373"/>
      <c r="AC227" s="373"/>
      <c r="AD227" s="373"/>
      <c r="AE227" s="373"/>
      <c r="AF227" s="373"/>
      <c r="AG227" s="373"/>
      <c r="AH227" s="373"/>
      <c r="AI227" s="373"/>
      <c r="AK227" s="373"/>
      <c r="AL227" s="373"/>
      <c r="AM227" s="373"/>
      <c r="AN227" s="373"/>
      <c r="AO227" s="373"/>
      <c r="AP227" s="373"/>
      <c r="AR227" s="373"/>
      <c r="AS227" s="373"/>
      <c r="AT227" s="373"/>
      <c r="AU227" s="373"/>
      <c r="AV227" s="373"/>
      <c r="AW227" s="373"/>
      <c r="AX227" s="373"/>
      <c r="AY227" s="373"/>
      <c r="AZ227" s="373"/>
      <c r="BA227" s="373"/>
      <c r="BB227" s="373"/>
      <c r="BC227" s="373"/>
      <c r="BD227" s="373"/>
      <c r="BE227" s="373"/>
      <c r="BF227" s="373"/>
      <c r="BG227" s="373"/>
      <c r="BH227" s="373"/>
      <c r="BI227" s="373"/>
      <c r="BJ227" s="373"/>
      <c r="BK227" s="373"/>
      <c r="BL227" s="373"/>
      <c r="BM227" s="373"/>
      <c r="BN227" s="373"/>
      <c r="BO227" s="373"/>
      <c r="BQ227" s="373"/>
      <c r="BS227" s="373"/>
      <c r="BT227" s="373"/>
      <c r="BU227" s="373"/>
      <c r="BW227" s="373"/>
      <c r="BX227" s="373"/>
      <c r="BY227" s="373"/>
      <c r="BZ227" s="373"/>
      <c r="CA227" s="373"/>
      <c r="CB227" s="373"/>
      <c r="CC227" s="373"/>
      <c r="CD227" s="373"/>
      <c r="CE227" s="373"/>
      <c r="CF227" s="373"/>
      <c r="CG227" s="373"/>
      <c r="CH227" s="373"/>
      <c r="CJ227" s="373"/>
      <c r="CK227" s="373"/>
      <c r="CL227" s="373"/>
      <c r="CM227" s="373"/>
      <c r="CN227" s="373"/>
      <c r="CO227" s="373"/>
      <c r="CP227" s="373"/>
      <c r="CQ227" s="373"/>
      <c r="CR227" s="373"/>
      <c r="CS227" s="373"/>
      <c r="CT227" s="373"/>
      <c r="CU227" s="373"/>
      <c r="CV227" s="373"/>
      <c r="CW227" s="373"/>
      <c r="CX227" s="373"/>
      <c r="CZ227" s="373"/>
      <c r="DA227" s="373"/>
      <c r="DB227" s="373"/>
      <c r="DC227" s="373"/>
      <c r="DD227" s="373"/>
      <c r="DE227" s="373"/>
      <c r="DF227" s="373"/>
      <c r="DG227" s="373"/>
      <c r="DH227" s="373"/>
      <c r="DI227" s="373"/>
      <c r="DJ227" s="373"/>
      <c r="DK227" s="373"/>
      <c r="DM227" s="373"/>
      <c r="DN227" s="373"/>
      <c r="DO227" s="373"/>
      <c r="DP227" s="373"/>
      <c r="DQ227" s="373"/>
      <c r="DS227" s="373"/>
      <c r="DT227" s="373"/>
      <c r="DV227" s="373"/>
      <c r="DW227" s="373"/>
      <c r="DY227" s="373"/>
      <c r="DZ227" s="373"/>
      <c r="EA227" s="373"/>
      <c r="EB227" s="373"/>
    </row>
    <row r="228" spans="1:132" x14ac:dyDescent="0.2">
      <c r="A228"/>
      <c r="B228" s="144"/>
      <c r="D228" s="341"/>
      <c r="F228" s="343"/>
      <c r="G228" s="343"/>
      <c r="H228" s="343"/>
      <c r="I228" s="343"/>
      <c r="J228" s="343"/>
      <c r="K228" s="343"/>
      <c r="L228" s="343"/>
      <c r="S228" s="373"/>
      <c r="T228" s="373"/>
      <c r="U228" s="373"/>
      <c r="V228" s="373"/>
      <c r="W228" s="373"/>
      <c r="X228" s="373"/>
      <c r="Y228" s="373"/>
      <c r="Z228" s="373"/>
      <c r="AA228" s="373"/>
      <c r="AB228" s="373"/>
      <c r="AC228" s="373"/>
      <c r="AD228" s="373"/>
      <c r="AE228" s="373"/>
      <c r="AF228" s="373"/>
      <c r="AG228" s="373"/>
      <c r="AH228" s="373"/>
      <c r="AI228" s="373"/>
      <c r="AK228" s="373"/>
      <c r="AL228" s="373"/>
      <c r="AM228" s="373"/>
      <c r="AN228" s="373"/>
      <c r="AO228" s="373"/>
      <c r="AP228" s="373"/>
      <c r="AR228" s="373"/>
      <c r="AS228" s="373"/>
      <c r="AT228" s="373"/>
      <c r="AU228" s="373"/>
      <c r="AV228" s="373"/>
      <c r="AW228" s="373"/>
      <c r="AX228" s="373"/>
      <c r="AY228" s="373"/>
      <c r="AZ228" s="373"/>
      <c r="BA228" s="373"/>
      <c r="BB228" s="373"/>
      <c r="BC228" s="373"/>
      <c r="BD228" s="373"/>
      <c r="BE228" s="373"/>
      <c r="BF228" s="373"/>
      <c r="BG228" s="373"/>
      <c r="BH228" s="373"/>
      <c r="BI228" s="373"/>
      <c r="BJ228" s="373"/>
      <c r="BK228" s="373"/>
      <c r="BL228" s="373"/>
      <c r="BM228" s="373"/>
      <c r="BN228" s="373"/>
      <c r="BO228" s="373"/>
      <c r="BQ228" s="373"/>
      <c r="BS228" s="373"/>
      <c r="BT228" s="373"/>
      <c r="BU228" s="373"/>
      <c r="BW228" s="373"/>
      <c r="BX228" s="373"/>
      <c r="BY228" s="373"/>
      <c r="BZ228" s="373"/>
      <c r="CA228" s="373"/>
      <c r="CB228" s="373"/>
      <c r="CC228" s="373"/>
      <c r="CD228" s="373"/>
      <c r="CE228" s="373"/>
      <c r="CF228" s="373"/>
      <c r="CG228" s="373"/>
      <c r="CH228" s="373"/>
      <c r="CJ228" s="373"/>
      <c r="CK228" s="373"/>
      <c r="CL228" s="373"/>
      <c r="CM228" s="373"/>
      <c r="CN228" s="373"/>
      <c r="CO228" s="373"/>
      <c r="CP228" s="373"/>
      <c r="CQ228" s="373"/>
      <c r="CR228" s="373"/>
      <c r="CS228" s="373"/>
      <c r="CT228" s="373"/>
      <c r="CU228" s="373"/>
      <c r="CV228" s="373"/>
      <c r="CW228" s="373"/>
      <c r="CX228" s="373"/>
      <c r="CZ228" s="373"/>
      <c r="DA228" s="373"/>
      <c r="DB228" s="373"/>
      <c r="DC228" s="373"/>
      <c r="DD228" s="373"/>
      <c r="DE228" s="373"/>
      <c r="DF228" s="373"/>
      <c r="DG228" s="373"/>
      <c r="DH228" s="373"/>
      <c r="DI228" s="373"/>
      <c r="DJ228" s="373"/>
      <c r="DK228" s="373"/>
      <c r="DM228" s="373"/>
      <c r="DN228" s="373"/>
      <c r="DO228" s="373"/>
      <c r="DP228" s="373"/>
      <c r="DQ228" s="373"/>
      <c r="DS228" s="373"/>
      <c r="DT228" s="373"/>
      <c r="DV228" s="373"/>
      <c r="DW228" s="373"/>
      <c r="DY228" s="373"/>
      <c r="DZ228" s="373"/>
      <c r="EA228" s="373"/>
      <c r="EB228" s="373"/>
    </row>
    <row r="229" spans="1:132" x14ac:dyDescent="0.2">
      <c r="A229"/>
      <c r="B229" s="144"/>
      <c r="D229" s="341"/>
      <c r="F229" s="343"/>
      <c r="G229" s="343"/>
      <c r="H229" s="343"/>
      <c r="I229" s="343"/>
      <c r="J229" s="343"/>
      <c r="K229" s="343"/>
      <c r="L229" s="343"/>
      <c r="S229" s="373"/>
      <c r="T229" s="373"/>
      <c r="U229" s="373"/>
      <c r="V229" s="373"/>
      <c r="W229" s="373"/>
      <c r="X229" s="373"/>
      <c r="Y229" s="373"/>
      <c r="Z229" s="373"/>
      <c r="AA229" s="373"/>
      <c r="AB229" s="373"/>
      <c r="AC229" s="373"/>
      <c r="AD229" s="373"/>
      <c r="AE229" s="373"/>
      <c r="AF229" s="373"/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3"/>
      <c r="AR229" s="373"/>
      <c r="AS229" s="373"/>
      <c r="AT229" s="373"/>
      <c r="AU229" s="373"/>
      <c r="AV229" s="373"/>
      <c r="AW229" s="373"/>
      <c r="AX229" s="373"/>
      <c r="AY229" s="373"/>
      <c r="AZ229" s="373"/>
      <c r="BA229" s="373"/>
      <c r="BB229" s="373"/>
      <c r="BC229" s="373"/>
      <c r="BD229" s="373"/>
      <c r="BE229" s="373"/>
      <c r="BF229" s="373"/>
      <c r="BG229" s="373"/>
      <c r="BH229" s="373"/>
      <c r="BI229" s="373"/>
      <c r="BJ229" s="373"/>
      <c r="BK229" s="373"/>
      <c r="BL229" s="373"/>
      <c r="BM229" s="373"/>
      <c r="BN229" s="373"/>
      <c r="BO229" s="373"/>
      <c r="BQ229" s="373"/>
      <c r="BR229" s="373"/>
      <c r="BS229" s="373"/>
      <c r="BT229" s="373"/>
      <c r="BU229" s="373"/>
      <c r="BV229" s="373"/>
      <c r="BW229" s="373"/>
      <c r="BX229" s="373"/>
      <c r="BY229" s="373"/>
      <c r="BZ229" s="373"/>
      <c r="CA229" s="373"/>
      <c r="CB229" s="373"/>
      <c r="CC229" s="373"/>
      <c r="CD229" s="373"/>
      <c r="CE229" s="373"/>
      <c r="CF229" s="373"/>
      <c r="CG229" s="373"/>
      <c r="CH229" s="373"/>
      <c r="CJ229" s="373"/>
      <c r="CK229" s="373"/>
      <c r="CL229" s="373"/>
      <c r="CM229" s="373"/>
      <c r="CN229" s="373"/>
      <c r="CO229" s="373"/>
      <c r="CP229" s="373"/>
      <c r="CQ229" s="373"/>
      <c r="CR229" s="373"/>
      <c r="CS229" s="373"/>
      <c r="CT229" s="373"/>
      <c r="CU229" s="373"/>
      <c r="CV229" s="373"/>
      <c r="CW229" s="373"/>
      <c r="CX229" s="373"/>
      <c r="CZ229" s="373"/>
      <c r="DA229" s="373"/>
      <c r="DB229" s="373"/>
      <c r="DC229" s="373"/>
      <c r="DD229" s="373"/>
      <c r="DE229" s="373"/>
      <c r="DF229" s="373"/>
      <c r="DG229" s="373"/>
      <c r="DH229" s="373"/>
      <c r="DI229" s="373"/>
      <c r="DJ229" s="373"/>
      <c r="DK229" s="373"/>
      <c r="DM229" s="373"/>
      <c r="DN229" s="373"/>
      <c r="DO229" s="373"/>
      <c r="DP229" s="373"/>
      <c r="DQ229" s="373"/>
      <c r="DS229" s="373"/>
      <c r="DT229" s="373"/>
      <c r="DV229" s="373"/>
      <c r="DW229" s="373"/>
      <c r="DY229" s="373"/>
      <c r="DZ229" s="373"/>
      <c r="EA229" s="373"/>
      <c r="EB229" s="373"/>
    </row>
    <row r="230" spans="1:132" x14ac:dyDescent="0.2">
      <c r="A230"/>
      <c r="B230" s="144"/>
      <c r="D230" s="341"/>
      <c r="F230" s="343"/>
      <c r="G230" s="343"/>
      <c r="H230" s="343"/>
      <c r="I230" s="343"/>
      <c r="J230" s="343"/>
      <c r="K230" s="343"/>
      <c r="L230" s="343"/>
      <c r="S230" s="373"/>
      <c r="T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3"/>
      <c r="AR230" s="373"/>
      <c r="AS230" s="373"/>
      <c r="AT230" s="373"/>
      <c r="AU230" s="373"/>
      <c r="AV230" s="373"/>
      <c r="AW230" s="373"/>
      <c r="AX230" s="373"/>
      <c r="AY230" s="373"/>
      <c r="AZ230" s="373"/>
      <c r="BA230" s="373"/>
      <c r="BB230" s="373"/>
      <c r="BC230" s="373"/>
      <c r="BD230" s="373"/>
      <c r="BE230" s="373"/>
      <c r="BF230" s="373"/>
      <c r="BG230" s="373"/>
      <c r="BH230" s="373"/>
      <c r="BI230" s="373"/>
      <c r="BJ230" s="373"/>
      <c r="BK230" s="373"/>
      <c r="BL230" s="373"/>
      <c r="BM230" s="373"/>
      <c r="BN230" s="373"/>
      <c r="BO230" s="373"/>
      <c r="BQ230" s="373"/>
      <c r="BR230" s="373"/>
      <c r="BS230" s="373"/>
      <c r="BT230" s="373"/>
      <c r="BU230" s="373"/>
      <c r="BV230" s="373"/>
      <c r="BW230" s="373"/>
      <c r="BX230" s="373"/>
      <c r="BY230" s="373"/>
      <c r="BZ230" s="373"/>
      <c r="CA230" s="373"/>
      <c r="CB230" s="373"/>
      <c r="CC230" s="373"/>
      <c r="CD230" s="373"/>
      <c r="CE230" s="373"/>
      <c r="CF230" s="373"/>
      <c r="CG230" s="373"/>
      <c r="CH230" s="373"/>
      <c r="CJ230" s="373"/>
      <c r="CK230" s="373"/>
      <c r="CL230" s="373"/>
      <c r="CM230" s="373"/>
      <c r="CN230" s="373"/>
      <c r="CO230" s="373"/>
      <c r="CP230" s="373"/>
      <c r="CQ230" s="373"/>
      <c r="CR230" s="373"/>
      <c r="CS230" s="373"/>
      <c r="CT230" s="373"/>
      <c r="CU230" s="373"/>
      <c r="CV230" s="373"/>
      <c r="CW230" s="373"/>
      <c r="CX230" s="373"/>
      <c r="CZ230" s="373"/>
      <c r="DA230" s="373"/>
      <c r="DB230" s="373"/>
      <c r="DC230" s="373"/>
      <c r="DD230" s="373"/>
      <c r="DE230" s="373"/>
      <c r="DF230" s="373"/>
      <c r="DG230" s="373"/>
      <c r="DH230" s="373"/>
      <c r="DI230" s="373"/>
      <c r="DJ230" s="373"/>
      <c r="DK230" s="373"/>
      <c r="DM230" s="373"/>
      <c r="DN230" s="373"/>
      <c r="DO230" s="373"/>
      <c r="DP230" s="373"/>
      <c r="DQ230" s="373"/>
      <c r="DS230" s="373"/>
      <c r="DT230" s="373"/>
      <c r="DV230" s="373"/>
      <c r="DW230" s="373"/>
      <c r="DY230" s="373"/>
      <c r="DZ230" s="373"/>
      <c r="EA230" s="373"/>
      <c r="EB230" s="373"/>
    </row>
    <row r="231" spans="1:132" x14ac:dyDescent="0.2">
      <c r="A231"/>
      <c r="B231" s="144"/>
      <c r="D231" s="341"/>
      <c r="F231" s="343"/>
      <c r="G231" s="343"/>
      <c r="H231" s="343"/>
      <c r="I231" s="343"/>
      <c r="J231" s="343"/>
      <c r="K231" s="343"/>
      <c r="L231" s="343"/>
      <c r="S231" s="373"/>
      <c r="T231" s="373"/>
      <c r="V231" s="373"/>
      <c r="W231" s="373"/>
      <c r="X231" s="373"/>
      <c r="Y231" s="373"/>
      <c r="Z231" s="373"/>
      <c r="AA231" s="373"/>
      <c r="AB231" s="373"/>
      <c r="AC231" s="373"/>
      <c r="AD231" s="373"/>
      <c r="AE231" s="373"/>
      <c r="AF231" s="373"/>
      <c r="AG231" s="373"/>
      <c r="AH231" s="373"/>
      <c r="AI231" s="373"/>
      <c r="AJ231" s="373"/>
      <c r="AK231" s="373"/>
      <c r="AL231" s="373"/>
      <c r="AM231" s="373"/>
      <c r="AN231" s="373"/>
      <c r="AO231" s="373"/>
      <c r="AP231" s="373"/>
      <c r="AR231" s="373"/>
      <c r="AS231" s="373"/>
      <c r="AT231" s="373"/>
      <c r="AU231" s="373"/>
      <c r="AV231" s="373"/>
      <c r="AW231" s="373"/>
      <c r="AX231" s="373"/>
      <c r="AY231" s="373"/>
      <c r="AZ231" s="373"/>
      <c r="BA231" s="373"/>
      <c r="BB231" s="373"/>
      <c r="BC231" s="373"/>
      <c r="BD231" s="373"/>
      <c r="BE231" s="373"/>
      <c r="BF231" s="373"/>
      <c r="BG231" s="373"/>
      <c r="BH231" s="373"/>
      <c r="BI231" s="373"/>
      <c r="BJ231" s="373"/>
      <c r="BK231" s="373"/>
      <c r="BL231" s="373"/>
      <c r="BM231" s="373"/>
      <c r="BN231" s="373"/>
      <c r="BO231" s="373"/>
      <c r="BQ231" s="373"/>
      <c r="BR231" s="373"/>
      <c r="BS231" s="373"/>
      <c r="BT231" s="373"/>
      <c r="BU231" s="373"/>
      <c r="BV231" s="373"/>
      <c r="BW231" s="373"/>
      <c r="BX231" s="373"/>
      <c r="BY231" s="373"/>
      <c r="BZ231" s="373"/>
      <c r="CA231" s="373"/>
      <c r="CB231" s="373"/>
      <c r="CC231" s="373"/>
      <c r="CD231" s="373"/>
      <c r="CE231" s="373"/>
      <c r="CF231" s="373"/>
      <c r="CG231" s="373"/>
      <c r="CH231" s="373"/>
      <c r="CJ231" s="373"/>
      <c r="CK231" s="373"/>
      <c r="CL231" s="373"/>
      <c r="CM231" s="373"/>
      <c r="CN231" s="373"/>
      <c r="CO231" s="373"/>
      <c r="CP231" s="373"/>
      <c r="CQ231" s="373"/>
      <c r="CR231" s="373"/>
      <c r="CS231" s="373"/>
      <c r="CT231" s="373"/>
      <c r="CU231" s="373"/>
      <c r="CV231" s="373"/>
      <c r="CW231" s="373"/>
      <c r="CX231" s="373"/>
      <c r="CY231" s="373"/>
      <c r="CZ231" s="373"/>
      <c r="DA231" s="373"/>
      <c r="DB231" s="373"/>
      <c r="DC231" s="373"/>
      <c r="DD231" s="373"/>
      <c r="DE231" s="373"/>
      <c r="DF231" s="373"/>
      <c r="DG231" s="373"/>
      <c r="DH231" s="373"/>
      <c r="DI231" s="373"/>
      <c r="DJ231" s="373"/>
      <c r="DK231" s="373"/>
      <c r="DM231" s="373"/>
      <c r="DN231" s="373"/>
      <c r="DO231" s="373"/>
      <c r="DP231" s="373"/>
      <c r="DQ231" s="373"/>
      <c r="DS231" s="373"/>
      <c r="DT231" s="373"/>
      <c r="DV231" s="373"/>
      <c r="DW231" s="373"/>
      <c r="DY231" s="373"/>
      <c r="DZ231" s="373"/>
      <c r="EA231" s="373"/>
      <c r="EB231" s="373"/>
    </row>
    <row r="232" spans="1:132" x14ac:dyDescent="0.2">
      <c r="A232"/>
      <c r="B232" s="144"/>
      <c r="D232" s="341"/>
      <c r="F232" s="343"/>
      <c r="G232" s="343"/>
      <c r="H232" s="343"/>
      <c r="I232" s="343"/>
      <c r="J232" s="343"/>
      <c r="K232" s="343"/>
      <c r="L232" s="343"/>
      <c r="S232" s="373"/>
      <c r="T232" s="373"/>
      <c r="V232" s="373"/>
      <c r="W232" s="373"/>
      <c r="X232" s="373"/>
      <c r="Y232" s="373"/>
      <c r="Z232" s="373"/>
      <c r="AA232" s="373"/>
      <c r="AB232" s="373"/>
      <c r="AC232" s="373"/>
      <c r="AD232" s="373"/>
      <c r="AE232" s="373"/>
      <c r="AF232" s="373"/>
      <c r="AG232" s="373"/>
      <c r="AH232" s="373"/>
      <c r="AI232" s="373"/>
      <c r="AK232" s="373"/>
      <c r="AL232" s="373"/>
      <c r="AM232" s="373"/>
      <c r="AN232" s="373"/>
      <c r="AO232" s="373"/>
      <c r="AP232" s="373"/>
      <c r="AR232" s="373"/>
      <c r="AS232" s="373"/>
      <c r="AT232" s="373"/>
      <c r="AU232" s="373"/>
      <c r="AV232" s="373"/>
      <c r="AW232" s="373"/>
      <c r="AX232" s="373"/>
      <c r="AY232" s="373"/>
      <c r="AZ232" s="373"/>
      <c r="BA232" s="373"/>
      <c r="BB232" s="373"/>
      <c r="BC232" s="373"/>
      <c r="BD232" s="373"/>
      <c r="BE232" s="373"/>
      <c r="BF232" s="373"/>
      <c r="BG232" s="373"/>
      <c r="BH232" s="373"/>
      <c r="BI232" s="373"/>
      <c r="BJ232" s="373"/>
      <c r="BK232" s="373"/>
      <c r="BL232" s="373"/>
      <c r="BM232" s="373"/>
      <c r="BN232" s="373"/>
      <c r="BO232" s="373"/>
      <c r="BQ232" s="373"/>
      <c r="BS232" s="373"/>
      <c r="BT232" s="373"/>
      <c r="BU232" s="373"/>
      <c r="BW232" s="373"/>
      <c r="BX232" s="373"/>
      <c r="BY232" s="373"/>
      <c r="BZ232" s="373"/>
      <c r="CA232" s="373"/>
      <c r="CB232" s="373"/>
      <c r="CC232" s="373"/>
      <c r="CD232" s="373"/>
      <c r="CE232" s="373"/>
      <c r="CF232" s="373"/>
      <c r="CG232" s="373"/>
      <c r="CH232" s="373"/>
      <c r="CJ232" s="373"/>
      <c r="CK232" s="373"/>
      <c r="CL232" s="373"/>
      <c r="CM232" s="373"/>
      <c r="CN232" s="373"/>
      <c r="CO232" s="373"/>
      <c r="CP232" s="373"/>
      <c r="CQ232" s="373"/>
      <c r="CR232" s="373"/>
      <c r="CS232" s="373"/>
      <c r="CT232" s="373"/>
      <c r="CU232" s="373"/>
      <c r="CV232" s="373"/>
      <c r="CW232" s="373"/>
      <c r="CX232" s="373"/>
      <c r="CY232" s="373"/>
      <c r="CZ232" s="373"/>
      <c r="DA232" s="373"/>
      <c r="DB232" s="373"/>
      <c r="DC232" s="373"/>
      <c r="DD232" s="373"/>
      <c r="DE232" s="373"/>
      <c r="DF232" s="373"/>
      <c r="DG232" s="373"/>
      <c r="DH232" s="373"/>
      <c r="DI232" s="373"/>
      <c r="DJ232" s="373"/>
      <c r="DK232" s="373"/>
      <c r="DM232" s="373"/>
      <c r="DN232" s="373"/>
      <c r="DO232" s="373"/>
      <c r="DP232" s="373"/>
      <c r="DQ232" s="373"/>
      <c r="DS232" s="373"/>
      <c r="DT232" s="373"/>
      <c r="DV232" s="373"/>
      <c r="DW232" s="373"/>
      <c r="DY232" s="373"/>
      <c r="DZ232" s="373"/>
      <c r="EA232" s="373"/>
      <c r="EB232" s="373"/>
    </row>
    <row r="233" spans="1:132" x14ac:dyDescent="0.2">
      <c r="A233"/>
      <c r="B233" s="144"/>
      <c r="D233" s="341"/>
      <c r="F233" s="343"/>
      <c r="G233" s="343"/>
      <c r="H233" s="343"/>
      <c r="I233" s="343"/>
      <c r="J233" s="343"/>
      <c r="K233" s="343"/>
      <c r="L233" s="343"/>
      <c r="S233" s="373"/>
      <c r="T233" s="373"/>
      <c r="V233" s="373"/>
      <c r="W233" s="373"/>
      <c r="X233" s="373"/>
      <c r="Y233" s="373"/>
      <c r="Z233" s="373"/>
      <c r="AA233" s="373"/>
      <c r="AB233" s="373"/>
      <c r="AC233" s="373"/>
      <c r="AD233" s="373"/>
      <c r="AE233" s="373"/>
      <c r="AF233" s="373"/>
      <c r="AG233" s="373"/>
      <c r="AH233" s="373"/>
      <c r="AI233" s="373"/>
      <c r="AJ233" s="373"/>
      <c r="AK233" s="373"/>
      <c r="AL233" s="373"/>
      <c r="AM233" s="373"/>
      <c r="AN233" s="373"/>
      <c r="AO233" s="373"/>
      <c r="AP233" s="373"/>
      <c r="AR233" s="373"/>
      <c r="AS233" s="373"/>
      <c r="AT233" s="373"/>
      <c r="AU233" s="373"/>
      <c r="AV233" s="373"/>
      <c r="AW233" s="373"/>
      <c r="AX233" s="373"/>
      <c r="AY233" s="373"/>
      <c r="AZ233" s="373"/>
      <c r="BA233" s="373"/>
      <c r="BB233" s="373"/>
      <c r="BC233" s="373"/>
      <c r="BD233" s="373"/>
      <c r="BE233" s="373"/>
      <c r="BF233" s="373"/>
      <c r="BG233" s="373"/>
      <c r="BH233" s="373"/>
      <c r="BI233" s="373"/>
      <c r="BJ233" s="373"/>
      <c r="BK233" s="373"/>
      <c r="BL233" s="373"/>
      <c r="BM233" s="373"/>
      <c r="BN233" s="373"/>
      <c r="BO233" s="373"/>
      <c r="BQ233" s="373"/>
      <c r="BR233" s="373"/>
      <c r="BS233" s="373"/>
      <c r="BT233" s="373"/>
      <c r="BU233" s="373"/>
      <c r="BV233" s="373"/>
      <c r="BW233" s="373"/>
      <c r="BX233" s="373"/>
      <c r="BY233" s="373"/>
      <c r="BZ233" s="373"/>
      <c r="CA233" s="373"/>
      <c r="CB233" s="373"/>
      <c r="CC233" s="373"/>
      <c r="CD233" s="373"/>
      <c r="CE233" s="373"/>
      <c r="CF233" s="373"/>
      <c r="CG233" s="373"/>
      <c r="CH233" s="373"/>
      <c r="CJ233" s="373"/>
      <c r="CK233" s="373"/>
      <c r="CL233" s="373"/>
      <c r="CM233" s="373"/>
      <c r="CN233" s="373"/>
      <c r="CO233" s="373"/>
      <c r="CP233" s="373"/>
      <c r="CQ233" s="373"/>
      <c r="CR233" s="373"/>
      <c r="CS233" s="373"/>
      <c r="CT233" s="373"/>
      <c r="CU233" s="373"/>
      <c r="CV233" s="373"/>
      <c r="CW233" s="373"/>
      <c r="CX233" s="373"/>
      <c r="CY233" s="373"/>
      <c r="CZ233" s="373"/>
      <c r="DA233" s="373"/>
      <c r="DB233" s="373"/>
      <c r="DC233" s="373"/>
      <c r="DD233" s="373"/>
      <c r="DE233" s="373"/>
      <c r="DF233" s="373"/>
      <c r="DG233" s="373"/>
      <c r="DH233" s="373"/>
      <c r="DI233" s="373"/>
      <c r="DJ233" s="373"/>
      <c r="DK233" s="373"/>
      <c r="DM233" s="373"/>
      <c r="DN233" s="373"/>
      <c r="DO233" s="373"/>
      <c r="DP233" s="373"/>
      <c r="DQ233" s="373"/>
      <c r="DS233" s="373"/>
      <c r="DT233" s="373"/>
      <c r="DV233" s="373"/>
      <c r="DW233" s="373"/>
      <c r="DY233" s="373"/>
      <c r="DZ233" s="373"/>
      <c r="EA233" s="373"/>
      <c r="EB233" s="373"/>
    </row>
    <row r="234" spans="1:132" x14ac:dyDescent="0.2">
      <c r="A234"/>
      <c r="B234" s="144"/>
      <c r="D234" s="341"/>
      <c r="F234" s="343"/>
      <c r="G234" s="343"/>
      <c r="H234" s="343"/>
      <c r="I234" s="343"/>
      <c r="J234" s="343"/>
      <c r="K234" s="343"/>
      <c r="L234" s="343"/>
      <c r="S234" s="373"/>
      <c r="T234" s="373"/>
      <c r="V234" s="373"/>
      <c r="W234" s="373"/>
      <c r="X234" s="373"/>
      <c r="Y234" s="373"/>
      <c r="Z234" s="373"/>
      <c r="AA234" s="373"/>
      <c r="AB234" s="373"/>
      <c r="AC234" s="373"/>
      <c r="AD234" s="373"/>
      <c r="AE234" s="373"/>
      <c r="AF234" s="373"/>
      <c r="AG234" s="373"/>
      <c r="AH234" s="373"/>
      <c r="AI234" s="373"/>
      <c r="AJ234" s="373"/>
      <c r="AK234" s="373"/>
      <c r="AL234" s="373"/>
      <c r="AM234" s="373"/>
      <c r="AN234" s="373"/>
      <c r="AO234" s="373"/>
      <c r="AP234" s="373"/>
      <c r="AR234" s="373"/>
      <c r="AS234" s="373"/>
      <c r="AT234" s="373"/>
      <c r="AU234" s="373"/>
      <c r="AV234" s="373"/>
      <c r="AW234" s="373"/>
      <c r="AX234" s="373"/>
      <c r="AY234" s="373"/>
      <c r="AZ234" s="373"/>
      <c r="BA234" s="373"/>
      <c r="BB234" s="373"/>
      <c r="BC234" s="373"/>
      <c r="BD234" s="373"/>
      <c r="BE234" s="373"/>
      <c r="BF234" s="373"/>
      <c r="BG234" s="373"/>
      <c r="BH234" s="373"/>
      <c r="BI234" s="373"/>
      <c r="BJ234" s="373"/>
      <c r="BK234" s="373"/>
      <c r="BL234" s="373"/>
      <c r="BM234" s="373"/>
      <c r="BN234" s="373"/>
      <c r="BO234" s="373"/>
      <c r="BQ234" s="373"/>
      <c r="BR234" s="373"/>
      <c r="BS234" s="373"/>
      <c r="BT234" s="373"/>
      <c r="BU234" s="373"/>
      <c r="BV234" s="373"/>
      <c r="BW234" s="373"/>
      <c r="BX234" s="373"/>
      <c r="BY234" s="373"/>
      <c r="BZ234" s="373"/>
      <c r="CA234" s="373"/>
      <c r="CB234" s="373"/>
      <c r="CC234" s="373"/>
      <c r="CD234" s="373"/>
      <c r="CE234" s="373"/>
      <c r="CF234" s="373"/>
      <c r="CG234" s="373"/>
      <c r="CH234" s="373"/>
      <c r="CJ234" s="373"/>
      <c r="CK234" s="373"/>
      <c r="CL234" s="373"/>
      <c r="CM234" s="373"/>
      <c r="CN234" s="373"/>
      <c r="CO234" s="373"/>
      <c r="CP234" s="373"/>
      <c r="CQ234" s="373"/>
      <c r="CR234" s="373"/>
      <c r="CS234" s="373"/>
      <c r="CT234" s="373"/>
      <c r="CU234" s="373"/>
      <c r="CV234" s="373"/>
      <c r="CW234" s="373"/>
      <c r="CX234" s="373"/>
      <c r="CY234" s="373"/>
      <c r="CZ234" s="373"/>
      <c r="DA234" s="373"/>
      <c r="DB234" s="373"/>
      <c r="DC234" s="373"/>
      <c r="DD234" s="373"/>
      <c r="DE234" s="373"/>
      <c r="DF234" s="373"/>
      <c r="DG234" s="373"/>
      <c r="DH234" s="373"/>
      <c r="DI234" s="373"/>
      <c r="DJ234" s="373"/>
      <c r="DK234" s="373"/>
      <c r="DM234" s="373"/>
      <c r="DN234" s="373"/>
      <c r="DO234" s="373"/>
      <c r="DP234" s="373"/>
      <c r="DQ234" s="373"/>
      <c r="DS234" s="373"/>
      <c r="DT234" s="373"/>
      <c r="DV234" s="373"/>
      <c r="DW234" s="373"/>
      <c r="DY234" s="373"/>
      <c r="DZ234" s="373"/>
      <c r="EA234" s="373"/>
      <c r="EB234" s="373"/>
    </row>
    <row r="235" spans="1:132" x14ac:dyDescent="0.2">
      <c r="A235"/>
      <c r="B235" s="144"/>
      <c r="D235" s="341"/>
      <c r="F235" s="343"/>
      <c r="G235" s="343"/>
      <c r="H235" s="343"/>
      <c r="I235" s="343"/>
      <c r="J235" s="343"/>
      <c r="K235" s="343"/>
      <c r="L235" s="343"/>
      <c r="S235" s="373"/>
      <c r="T235" s="373"/>
      <c r="V235" s="373"/>
      <c r="W235" s="373"/>
      <c r="X235" s="373"/>
      <c r="Y235" s="373"/>
      <c r="Z235" s="373"/>
      <c r="AA235" s="373"/>
      <c r="AB235" s="373"/>
      <c r="AC235" s="373"/>
      <c r="AD235" s="373"/>
      <c r="AE235" s="373"/>
      <c r="AF235" s="373"/>
      <c r="AG235" s="373"/>
      <c r="AH235" s="373"/>
      <c r="AI235" s="373"/>
      <c r="AJ235" s="373"/>
      <c r="AK235" s="373"/>
      <c r="AL235" s="373"/>
      <c r="AM235" s="373"/>
      <c r="AN235" s="373"/>
      <c r="AO235" s="373"/>
      <c r="AP235" s="373"/>
      <c r="AR235" s="373"/>
      <c r="AS235" s="373"/>
      <c r="AT235" s="373"/>
      <c r="AU235" s="373"/>
      <c r="AV235" s="373"/>
      <c r="AW235" s="373"/>
      <c r="AX235" s="373"/>
      <c r="AY235" s="373"/>
      <c r="AZ235" s="373"/>
      <c r="BA235" s="373"/>
      <c r="BB235" s="373"/>
      <c r="BC235" s="373"/>
      <c r="BD235" s="373"/>
      <c r="BE235" s="373"/>
      <c r="BF235" s="373"/>
      <c r="BG235" s="373"/>
      <c r="BH235" s="373"/>
      <c r="BI235" s="373"/>
      <c r="BJ235" s="373"/>
      <c r="BK235" s="373"/>
      <c r="BL235" s="373"/>
      <c r="BM235" s="373"/>
      <c r="BN235" s="373"/>
      <c r="BO235" s="373"/>
      <c r="BQ235" s="373"/>
      <c r="BR235" s="373"/>
      <c r="BS235" s="373"/>
      <c r="BT235" s="373"/>
      <c r="BU235" s="373"/>
      <c r="BV235" s="373"/>
      <c r="BW235" s="373"/>
      <c r="BX235" s="373"/>
      <c r="BY235" s="373"/>
      <c r="BZ235" s="373"/>
      <c r="CA235" s="373"/>
      <c r="CB235" s="373"/>
      <c r="CC235" s="373"/>
      <c r="CD235" s="373"/>
      <c r="CE235" s="373"/>
      <c r="CF235" s="373"/>
      <c r="CG235" s="373"/>
      <c r="CH235" s="373"/>
      <c r="CJ235" s="373"/>
      <c r="CK235" s="373"/>
      <c r="CL235" s="373"/>
      <c r="CM235" s="373"/>
      <c r="CN235" s="373"/>
      <c r="CO235" s="373"/>
      <c r="CP235" s="373"/>
      <c r="CQ235" s="373"/>
      <c r="CR235" s="373"/>
      <c r="CS235" s="373"/>
      <c r="CT235" s="373"/>
      <c r="CU235" s="373"/>
      <c r="CV235" s="373"/>
      <c r="CW235" s="373"/>
      <c r="CX235" s="373"/>
      <c r="CY235" s="373"/>
      <c r="CZ235" s="373"/>
      <c r="DA235" s="373"/>
      <c r="DB235" s="373"/>
      <c r="DC235" s="373"/>
      <c r="DD235" s="373"/>
      <c r="DE235" s="373"/>
      <c r="DF235" s="373"/>
      <c r="DG235" s="373"/>
      <c r="DH235" s="373"/>
      <c r="DI235" s="373"/>
      <c r="DJ235" s="373"/>
      <c r="DK235" s="373"/>
      <c r="DM235" s="373"/>
      <c r="DN235" s="373"/>
      <c r="DO235" s="373"/>
      <c r="DP235" s="373"/>
      <c r="DQ235" s="373"/>
      <c r="DS235" s="373"/>
      <c r="DT235" s="373"/>
      <c r="DV235" s="373"/>
      <c r="DW235" s="373"/>
      <c r="DY235" s="373"/>
      <c r="DZ235" s="373"/>
      <c r="EA235" s="373"/>
      <c r="EB235" s="373"/>
    </row>
    <row r="236" spans="1:132" x14ac:dyDescent="0.2">
      <c r="A236"/>
      <c r="B236" s="144"/>
      <c r="D236" s="341"/>
      <c r="F236" s="343"/>
      <c r="G236" s="343"/>
      <c r="H236" s="343"/>
      <c r="I236" s="343"/>
      <c r="J236" s="343"/>
      <c r="K236" s="343"/>
      <c r="L236" s="343"/>
      <c r="S236" s="373"/>
      <c r="T236" s="373"/>
      <c r="V236" s="373"/>
      <c r="W236" s="373"/>
      <c r="X236" s="373"/>
      <c r="Y236" s="373"/>
      <c r="Z236" s="373"/>
      <c r="AA236" s="373"/>
      <c r="AB236" s="373"/>
      <c r="AC236" s="373"/>
      <c r="AD236" s="373"/>
      <c r="AE236" s="373"/>
      <c r="AF236" s="373"/>
      <c r="AG236" s="373"/>
      <c r="AH236" s="373"/>
      <c r="AI236" s="373"/>
      <c r="AJ236" s="373"/>
      <c r="AK236" s="373"/>
      <c r="AL236" s="373"/>
      <c r="AM236" s="373"/>
      <c r="AN236" s="373"/>
      <c r="AO236" s="373"/>
      <c r="AP236" s="373"/>
      <c r="AR236" s="373"/>
      <c r="AS236" s="373"/>
      <c r="AT236" s="373"/>
      <c r="AU236" s="373"/>
      <c r="AV236" s="373"/>
      <c r="AW236" s="373"/>
      <c r="AX236" s="373"/>
      <c r="AY236" s="373"/>
      <c r="AZ236" s="373"/>
      <c r="BA236" s="373"/>
      <c r="BB236" s="373"/>
      <c r="BC236" s="373"/>
      <c r="BD236" s="373"/>
      <c r="BE236" s="373"/>
      <c r="BF236" s="373"/>
      <c r="BG236" s="373"/>
      <c r="BH236" s="373"/>
      <c r="BI236" s="373"/>
      <c r="BJ236" s="373"/>
      <c r="BK236" s="373"/>
      <c r="BL236" s="373"/>
      <c r="BM236" s="373"/>
      <c r="BN236" s="373"/>
      <c r="BO236" s="373"/>
      <c r="BQ236" s="373"/>
      <c r="BR236" s="373"/>
      <c r="BS236" s="373"/>
      <c r="BT236" s="373"/>
      <c r="BU236" s="373"/>
      <c r="BV236" s="373"/>
      <c r="BW236" s="373"/>
      <c r="BX236" s="373"/>
      <c r="BY236" s="373"/>
      <c r="BZ236" s="373"/>
      <c r="CA236" s="373"/>
      <c r="CB236" s="373"/>
      <c r="CC236" s="373"/>
      <c r="CD236" s="373"/>
      <c r="CE236" s="373"/>
      <c r="CF236" s="373"/>
      <c r="CG236" s="373"/>
      <c r="CH236" s="373"/>
      <c r="CI236" s="373"/>
      <c r="CJ236" s="373"/>
      <c r="CK236" s="373"/>
      <c r="CL236" s="373"/>
      <c r="CM236" s="373"/>
      <c r="CN236" s="373"/>
      <c r="CO236" s="373"/>
      <c r="CP236" s="373"/>
      <c r="CQ236" s="373"/>
      <c r="CR236" s="373"/>
      <c r="CS236" s="373"/>
      <c r="CT236" s="373"/>
      <c r="CU236" s="373"/>
      <c r="CV236" s="373"/>
      <c r="CW236" s="373"/>
      <c r="CX236" s="373"/>
      <c r="CY236" s="373"/>
      <c r="CZ236" s="373"/>
      <c r="DA236" s="373"/>
      <c r="DB236" s="373"/>
      <c r="DC236" s="373"/>
      <c r="DD236" s="373"/>
      <c r="DE236" s="373"/>
      <c r="DF236" s="373"/>
      <c r="DG236" s="373"/>
      <c r="DH236" s="373"/>
      <c r="DI236" s="373"/>
      <c r="DJ236" s="373"/>
      <c r="DK236" s="373"/>
      <c r="DM236" s="373"/>
      <c r="DN236" s="373"/>
      <c r="DO236" s="373"/>
      <c r="DP236" s="373"/>
      <c r="DQ236" s="373"/>
      <c r="DS236" s="373"/>
      <c r="DT236" s="373"/>
      <c r="DV236" s="373"/>
      <c r="DW236" s="373"/>
      <c r="DY236" s="373"/>
      <c r="DZ236" s="373"/>
      <c r="EA236" s="373"/>
      <c r="EB236" s="373"/>
    </row>
    <row r="237" spans="1:132" x14ac:dyDescent="0.2">
      <c r="A237"/>
      <c r="B237" s="144"/>
      <c r="D237" s="341"/>
      <c r="F237" s="343"/>
      <c r="G237" s="343"/>
      <c r="H237" s="343"/>
      <c r="I237" s="343"/>
      <c r="J237" s="343"/>
      <c r="K237" s="343"/>
      <c r="L237" s="343"/>
      <c r="S237" s="373"/>
      <c r="T237" s="373"/>
      <c r="V237" s="373"/>
      <c r="W237" s="373"/>
      <c r="X237" s="373"/>
      <c r="Y237" s="373"/>
      <c r="Z237" s="373"/>
      <c r="AA237" s="373"/>
      <c r="AB237" s="373"/>
      <c r="AC237" s="373"/>
      <c r="AD237" s="373"/>
      <c r="AE237" s="373"/>
      <c r="AF237" s="373"/>
      <c r="AG237" s="373"/>
      <c r="AH237" s="373"/>
      <c r="AI237" s="373"/>
      <c r="AJ237" s="373"/>
      <c r="AK237" s="373"/>
      <c r="AL237" s="373"/>
      <c r="AM237" s="373"/>
      <c r="AN237" s="373"/>
      <c r="AO237" s="373"/>
      <c r="AP237" s="373"/>
      <c r="AR237" s="373"/>
      <c r="AS237" s="373"/>
      <c r="AT237" s="373"/>
      <c r="AU237" s="373"/>
      <c r="AV237" s="373"/>
      <c r="AW237" s="373"/>
      <c r="AX237" s="373"/>
      <c r="AY237" s="373"/>
      <c r="AZ237" s="373"/>
      <c r="BA237" s="373"/>
      <c r="BB237" s="373"/>
      <c r="BC237" s="373"/>
      <c r="BD237" s="373"/>
      <c r="BE237" s="373"/>
      <c r="BF237" s="373"/>
      <c r="BG237" s="373"/>
      <c r="BH237" s="373"/>
      <c r="BI237" s="373"/>
      <c r="BJ237" s="373"/>
      <c r="BK237" s="373"/>
      <c r="BL237" s="373"/>
      <c r="BM237" s="373"/>
      <c r="BN237" s="373"/>
      <c r="BO237" s="373"/>
      <c r="BQ237" s="373"/>
      <c r="BR237" s="373"/>
      <c r="BS237" s="373"/>
      <c r="BT237" s="373"/>
      <c r="BU237" s="373"/>
      <c r="BV237" s="373"/>
      <c r="BW237" s="373"/>
      <c r="BX237" s="373"/>
      <c r="BY237" s="373"/>
      <c r="BZ237" s="373"/>
      <c r="CA237" s="373"/>
      <c r="CB237" s="373"/>
      <c r="CC237" s="373"/>
      <c r="CD237" s="373"/>
      <c r="CE237" s="373"/>
      <c r="CF237" s="373"/>
      <c r="CG237" s="373"/>
      <c r="CH237" s="373"/>
      <c r="CI237" s="373"/>
      <c r="CJ237" s="373"/>
      <c r="CK237" s="373"/>
      <c r="CL237" s="373"/>
      <c r="CM237" s="373"/>
      <c r="CN237" s="373"/>
      <c r="CO237" s="373"/>
      <c r="CP237" s="373"/>
      <c r="CQ237" s="373"/>
      <c r="CR237" s="373"/>
      <c r="CS237" s="373"/>
      <c r="CT237" s="373"/>
      <c r="CU237" s="373"/>
      <c r="CV237" s="373"/>
      <c r="CW237" s="373"/>
      <c r="CX237" s="373"/>
      <c r="CY237" s="373"/>
      <c r="CZ237" s="373"/>
      <c r="DA237" s="373"/>
      <c r="DB237" s="373"/>
      <c r="DC237" s="373"/>
      <c r="DD237" s="373"/>
      <c r="DE237" s="373"/>
      <c r="DF237" s="373"/>
      <c r="DG237" s="373"/>
      <c r="DH237" s="373"/>
      <c r="DI237" s="373"/>
      <c r="DJ237" s="373"/>
      <c r="DK237" s="373"/>
      <c r="DM237" s="373"/>
      <c r="DN237" s="373"/>
      <c r="DO237" s="373"/>
      <c r="DP237" s="373"/>
      <c r="DQ237" s="373"/>
      <c r="DS237" s="373"/>
      <c r="DT237" s="373"/>
      <c r="DV237" s="373"/>
      <c r="DW237" s="373"/>
      <c r="DY237" s="373"/>
      <c r="DZ237" s="373"/>
      <c r="EA237" s="373"/>
      <c r="EB237" s="373"/>
    </row>
    <row r="238" spans="1:132" x14ac:dyDescent="0.2">
      <c r="A238"/>
      <c r="B238" s="144"/>
      <c r="D238" s="341"/>
      <c r="F238" s="343"/>
      <c r="G238" s="343"/>
      <c r="H238" s="343"/>
      <c r="I238" s="343"/>
      <c r="J238" s="343"/>
      <c r="K238" s="343"/>
      <c r="L238" s="343"/>
      <c r="S238" s="373"/>
      <c r="T238" s="373"/>
      <c r="V238" s="373"/>
      <c r="W238" s="373"/>
      <c r="X238" s="373"/>
      <c r="Y238" s="373"/>
      <c r="Z238" s="373"/>
      <c r="AA238" s="373"/>
      <c r="AB238" s="373"/>
      <c r="AC238" s="373"/>
      <c r="AD238" s="373"/>
      <c r="AE238" s="373"/>
      <c r="AF238" s="373"/>
      <c r="AG238" s="373"/>
      <c r="AH238" s="373"/>
      <c r="AI238" s="373"/>
      <c r="AJ238" s="373"/>
      <c r="AK238" s="373"/>
      <c r="AL238" s="373"/>
      <c r="AM238" s="373"/>
      <c r="AN238" s="373"/>
      <c r="AO238" s="373"/>
      <c r="AP238" s="373"/>
      <c r="AR238" s="373"/>
      <c r="AS238" s="373"/>
      <c r="AT238" s="373"/>
      <c r="AU238" s="373"/>
      <c r="AV238" s="373"/>
      <c r="AW238" s="373"/>
      <c r="AX238" s="373"/>
      <c r="AY238" s="373"/>
      <c r="AZ238" s="373"/>
      <c r="BA238" s="373"/>
      <c r="BB238" s="373"/>
      <c r="BC238" s="373"/>
      <c r="BD238" s="373"/>
      <c r="BE238" s="373"/>
      <c r="BF238" s="373"/>
      <c r="BG238" s="373"/>
      <c r="BH238" s="373"/>
      <c r="BI238" s="373"/>
      <c r="BJ238" s="373"/>
      <c r="BK238" s="373"/>
      <c r="BL238" s="373"/>
      <c r="BM238" s="373"/>
      <c r="BN238" s="373"/>
      <c r="BO238" s="373"/>
      <c r="BQ238" s="373"/>
      <c r="BR238" s="373"/>
      <c r="BS238" s="373"/>
      <c r="BT238" s="373"/>
      <c r="BU238" s="373"/>
      <c r="BV238" s="373"/>
      <c r="BW238" s="373"/>
      <c r="BX238" s="373"/>
      <c r="BY238" s="373"/>
      <c r="BZ238" s="373"/>
      <c r="CA238" s="373"/>
      <c r="CB238" s="373"/>
      <c r="CC238" s="373"/>
      <c r="CD238" s="373"/>
      <c r="CE238" s="373"/>
      <c r="CF238" s="373"/>
      <c r="CG238" s="373"/>
      <c r="CH238" s="373"/>
      <c r="CI238" s="373"/>
      <c r="CJ238" s="373"/>
      <c r="CK238" s="373"/>
      <c r="CL238" s="373"/>
      <c r="CM238" s="373"/>
      <c r="CN238" s="373"/>
      <c r="CO238" s="373"/>
      <c r="CP238" s="373"/>
      <c r="CQ238" s="373"/>
      <c r="CR238" s="373"/>
      <c r="CS238" s="373"/>
      <c r="CT238" s="373"/>
      <c r="CU238" s="373"/>
      <c r="CV238" s="373"/>
      <c r="CW238" s="373"/>
      <c r="CX238" s="373"/>
      <c r="CY238" s="373"/>
      <c r="CZ238" s="373"/>
      <c r="DA238" s="373"/>
      <c r="DB238" s="373"/>
      <c r="DC238" s="373"/>
      <c r="DD238" s="373"/>
      <c r="DE238" s="373"/>
      <c r="DF238" s="373"/>
      <c r="DG238" s="373"/>
      <c r="DH238" s="373"/>
      <c r="DI238" s="373"/>
      <c r="DJ238" s="373"/>
      <c r="DK238" s="373"/>
      <c r="DM238" s="373"/>
      <c r="DN238" s="373"/>
      <c r="DO238" s="373"/>
      <c r="DP238" s="373"/>
      <c r="DQ238" s="373"/>
      <c r="DS238" s="373"/>
      <c r="DT238" s="373"/>
      <c r="DV238" s="373"/>
      <c r="DW238" s="373"/>
      <c r="DY238" s="373"/>
      <c r="DZ238" s="373"/>
      <c r="EA238" s="373"/>
      <c r="EB238" s="373"/>
    </row>
    <row r="239" spans="1:132" x14ac:dyDescent="0.2">
      <c r="A239"/>
      <c r="B239" s="144"/>
      <c r="D239" s="341"/>
      <c r="F239" s="343"/>
      <c r="G239" s="343"/>
      <c r="H239" s="343"/>
      <c r="I239" s="343"/>
      <c r="J239" s="343"/>
      <c r="K239" s="343"/>
      <c r="L239" s="343"/>
      <c r="S239" s="373"/>
      <c r="T239" s="373"/>
      <c r="V239" s="373"/>
      <c r="W239" s="373"/>
      <c r="X239" s="373"/>
      <c r="Y239" s="373"/>
      <c r="Z239" s="373"/>
      <c r="AA239" s="373"/>
      <c r="AB239" s="373"/>
      <c r="AC239" s="373"/>
      <c r="AD239" s="373"/>
      <c r="AE239" s="373"/>
      <c r="AF239" s="373"/>
      <c r="AG239" s="373"/>
      <c r="AH239" s="373"/>
      <c r="AI239" s="373"/>
      <c r="AJ239" s="373"/>
      <c r="AK239" s="373"/>
      <c r="AL239" s="373"/>
      <c r="AM239" s="373"/>
      <c r="AN239" s="373"/>
      <c r="AO239" s="373"/>
      <c r="AP239" s="373"/>
      <c r="AR239" s="373"/>
      <c r="AS239" s="373"/>
      <c r="AT239" s="373"/>
      <c r="AU239" s="373"/>
      <c r="AV239" s="373"/>
      <c r="AW239" s="373"/>
      <c r="AX239" s="373"/>
      <c r="AY239" s="373"/>
      <c r="AZ239" s="373"/>
      <c r="BA239" s="373"/>
      <c r="BB239" s="373"/>
      <c r="BC239" s="373"/>
      <c r="BD239" s="373"/>
      <c r="BE239" s="373"/>
      <c r="BF239" s="373"/>
      <c r="BG239" s="373"/>
      <c r="BH239" s="373"/>
      <c r="BI239" s="373"/>
      <c r="BJ239" s="373"/>
      <c r="BK239" s="373"/>
      <c r="BL239" s="373"/>
      <c r="BM239" s="373"/>
      <c r="BN239" s="373"/>
      <c r="BO239" s="373"/>
      <c r="BQ239" s="373"/>
      <c r="BR239" s="373"/>
      <c r="BS239" s="373"/>
      <c r="BT239" s="373"/>
      <c r="BU239" s="373"/>
      <c r="BV239" s="373"/>
      <c r="BW239" s="373"/>
      <c r="BX239" s="373"/>
      <c r="BY239" s="373"/>
      <c r="BZ239" s="373"/>
      <c r="CA239" s="373"/>
      <c r="CB239" s="373"/>
      <c r="CC239" s="373"/>
      <c r="CD239" s="373"/>
      <c r="CE239" s="373"/>
      <c r="CF239" s="373"/>
      <c r="CG239" s="373"/>
      <c r="CH239" s="373"/>
      <c r="CI239" s="373"/>
      <c r="CJ239" s="373"/>
      <c r="CK239" s="373"/>
      <c r="CL239" s="373"/>
      <c r="CM239" s="373"/>
      <c r="CN239" s="373"/>
      <c r="CO239" s="373"/>
      <c r="CP239" s="373"/>
      <c r="CQ239" s="373"/>
      <c r="CR239" s="373"/>
      <c r="CS239" s="373"/>
      <c r="CT239" s="373"/>
      <c r="CU239" s="373"/>
      <c r="CV239" s="373"/>
      <c r="CW239" s="373"/>
      <c r="CX239" s="373"/>
      <c r="CY239" s="373"/>
      <c r="CZ239" s="373"/>
      <c r="DA239" s="373"/>
      <c r="DB239" s="373"/>
      <c r="DC239" s="373"/>
      <c r="DD239" s="373"/>
      <c r="DE239" s="373"/>
      <c r="DF239" s="373"/>
      <c r="DG239" s="373"/>
      <c r="DH239" s="373"/>
      <c r="DI239" s="373"/>
      <c r="DJ239" s="373"/>
      <c r="DK239" s="373"/>
      <c r="DM239" s="373"/>
      <c r="DN239" s="373"/>
      <c r="DO239" s="373"/>
      <c r="DP239" s="373"/>
      <c r="DQ239" s="373"/>
      <c r="DS239" s="373"/>
      <c r="DT239" s="373"/>
      <c r="DV239" s="373"/>
      <c r="DW239" s="373"/>
      <c r="DY239" s="373"/>
      <c r="DZ239" s="373"/>
      <c r="EA239" s="373"/>
      <c r="EB239" s="373"/>
    </row>
    <row r="240" spans="1:132" x14ac:dyDescent="0.2">
      <c r="A240"/>
      <c r="B240" s="144"/>
      <c r="D240" s="341"/>
      <c r="F240" s="343"/>
      <c r="G240" s="343"/>
      <c r="H240" s="343"/>
      <c r="I240" s="343"/>
      <c r="J240" s="343"/>
      <c r="K240" s="343"/>
      <c r="L240" s="343"/>
      <c r="S240" s="373"/>
      <c r="T240" s="373"/>
      <c r="V240" s="373"/>
      <c r="W240" s="373"/>
      <c r="X240" s="373"/>
      <c r="Y240" s="373"/>
      <c r="Z240" s="373"/>
      <c r="AA240" s="373"/>
      <c r="AB240" s="373"/>
      <c r="AC240" s="373"/>
      <c r="AD240" s="373"/>
      <c r="AE240" s="373"/>
      <c r="AF240" s="373"/>
      <c r="AG240" s="373"/>
      <c r="AH240" s="373"/>
      <c r="AI240" s="373"/>
      <c r="AJ240" s="373"/>
      <c r="AK240" s="373"/>
      <c r="AL240" s="373"/>
      <c r="AM240" s="373"/>
      <c r="AN240" s="373"/>
      <c r="AO240" s="373"/>
      <c r="AP240" s="373"/>
      <c r="AR240" s="373"/>
      <c r="AS240" s="373"/>
      <c r="AT240" s="373"/>
      <c r="AU240" s="373"/>
      <c r="AV240" s="373"/>
      <c r="AW240" s="373"/>
      <c r="AX240" s="373"/>
      <c r="AY240" s="373"/>
      <c r="AZ240" s="373"/>
      <c r="BA240" s="373"/>
      <c r="BB240" s="373"/>
      <c r="BC240" s="373"/>
      <c r="BD240" s="373"/>
      <c r="BE240" s="373"/>
      <c r="BF240" s="373"/>
      <c r="BG240" s="373"/>
      <c r="BH240" s="373"/>
      <c r="BI240" s="373"/>
      <c r="BJ240" s="373"/>
      <c r="BK240" s="373"/>
      <c r="BL240" s="373"/>
      <c r="BM240" s="373"/>
      <c r="BN240" s="373"/>
      <c r="BO240" s="373"/>
      <c r="BQ240" s="373"/>
      <c r="BR240" s="373"/>
      <c r="BS240" s="373"/>
      <c r="BT240" s="373"/>
      <c r="BU240" s="373"/>
      <c r="BV240" s="373"/>
      <c r="BW240" s="373"/>
      <c r="BX240" s="373"/>
      <c r="BY240" s="373"/>
      <c r="BZ240" s="373"/>
      <c r="CA240" s="373"/>
      <c r="CB240" s="373"/>
      <c r="CC240" s="373"/>
      <c r="CD240" s="373"/>
      <c r="CE240" s="373"/>
      <c r="CF240" s="373"/>
      <c r="CG240" s="373"/>
      <c r="CH240" s="373"/>
      <c r="CI240" s="373"/>
      <c r="CJ240" s="373"/>
      <c r="CK240" s="373"/>
      <c r="CL240" s="373"/>
      <c r="CM240" s="373"/>
      <c r="CN240" s="373"/>
      <c r="CO240" s="373"/>
      <c r="CP240" s="373"/>
      <c r="CQ240" s="373"/>
      <c r="CR240" s="373"/>
      <c r="CS240" s="373"/>
      <c r="CT240" s="373"/>
      <c r="CU240" s="373"/>
      <c r="CV240" s="373"/>
      <c r="CW240" s="373"/>
      <c r="CX240" s="373"/>
      <c r="CY240" s="373"/>
      <c r="CZ240" s="373"/>
      <c r="DA240" s="373"/>
      <c r="DB240" s="373"/>
      <c r="DC240" s="373"/>
      <c r="DD240" s="373"/>
      <c r="DE240" s="373"/>
      <c r="DF240" s="373"/>
      <c r="DG240" s="373"/>
      <c r="DH240" s="373"/>
      <c r="DI240" s="373"/>
      <c r="DJ240" s="373"/>
      <c r="DK240" s="373"/>
      <c r="DM240" s="373"/>
      <c r="DN240" s="373"/>
      <c r="DO240" s="373"/>
      <c r="DP240" s="373"/>
      <c r="DQ240" s="373"/>
      <c r="DS240" s="373"/>
      <c r="DT240" s="373"/>
      <c r="DV240" s="373"/>
      <c r="DW240" s="373"/>
      <c r="DY240" s="373"/>
      <c r="DZ240" s="373"/>
      <c r="EA240" s="373"/>
      <c r="EB240" s="373"/>
    </row>
    <row r="241" spans="1:132" x14ac:dyDescent="0.2">
      <c r="A241"/>
      <c r="B241" s="144"/>
      <c r="D241" s="341"/>
      <c r="F241" s="343"/>
      <c r="G241" s="343"/>
      <c r="H241" s="343"/>
      <c r="I241" s="343"/>
      <c r="J241" s="343"/>
      <c r="K241" s="343"/>
      <c r="L241" s="343"/>
      <c r="S241" s="373"/>
      <c r="T241" s="373"/>
      <c r="U241" s="373"/>
      <c r="V241" s="373"/>
      <c r="W241" s="373"/>
      <c r="X241" s="373"/>
      <c r="Y241" s="373"/>
      <c r="Z241" s="373"/>
      <c r="AA241" s="373"/>
      <c r="AB241" s="373"/>
      <c r="AC241" s="373"/>
      <c r="AD241" s="373"/>
      <c r="AE241" s="373"/>
      <c r="AF241" s="373"/>
      <c r="AG241" s="373"/>
      <c r="AH241" s="373"/>
      <c r="AI241" s="373"/>
      <c r="AJ241" s="373"/>
      <c r="AK241" s="373"/>
      <c r="AL241" s="373"/>
      <c r="AM241" s="373"/>
      <c r="AN241" s="373"/>
      <c r="AO241" s="373"/>
      <c r="AP241" s="373"/>
      <c r="AQ241" s="373"/>
      <c r="AR241" s="373"/>
      <c r="AS241" s="373"/>
      <c r="AT241" s="373"/>
      <c r="AU241" s="373"/>
      <c r="AV241" s="373"/>
      <c r="AW241" s="373"/>
      <c r="AX241" s="373"/>
      <c r="AY241" s="373"/>
      <c r="AZ241" s="373"/>
      <c r="BA241" s="373"/>
      <c r="BB241" s="373"/>
      <c r="BC241" s="373"/>
      <c r="BD241" s="373"/>
      <c r="BE241" s="373"/>
      <c r="BF241" s="373"/>
      <c r="BG241" s="373"/>
      <c r="BH241" s="373"/>
      <c r="BI241" s="373"/>
      <c r="BJ241" s="373"/>
      <c r="BK241" s="373"/>
      <c r="BL241" s="373"/>
      <c r="BM241" s="373"/>
      <c r="BN241" s="373"/>
      <c r="BO241" s="373"/>
      <c r="BQ241" s="373"/>
      <c r="BR241" s="373"/>
      <c r="BS241" s="373"/>
      <c r="BT241" s="373"/>
      <c r="BU241" s="373"/>
      <c r="BV241" s="373"/>
      <c r="BW241" s="373"/>
      <c r="BX241" s="373"/>
      <c r="BY241" s="373"/>
      <c r="BZ241" s="373"/>
      <c r="CA241" s="373"/>
      <c r="CB241" s="373"/>
      <c r="CC241" s="373"/>
      <c r="CD241" s="373"/>
      <c r="CE241" s="373"/>
      <c r="CF241" s="373"/>
      <c r="CG241" s="373"/>
      <c r="CH241" s="373"/>
      <c r="CI241" s="373"/>
      <c r="CJ241" s="373"/>
      <c r="CK241" s="373"/>
      <c r="CL241" s="373"/>
      <c r="CM241" s="373"/>
      <c r="CN241" s="373"/>
      <c r="CO241" s="373"/>
      <c r="CP241" s="373"/>
      <c r="CQ241" s="373"/>
      <c r="CR241" s="373"/>
      <c r="CS241" s="373"/>
      <c r="CT241" s="373"/>
      <c r="CU241" s="373"/>
      <c r="CV241" s="373"/>
      <c r="CW241" s="373"/>
      <c r="CX241" s="373"/>
      <c r="CY241" s="373"/>
      <c r="CZ241" s="373"/>
      <c r="DA241" s="373"/>
      <c r="DB241" s="373"/>
      <c r="DC241" s="373"/>
      <c r="DD241" s="373"/>
      <c r="DE241" s="373"/>
      <c r="DF241" s="373"/>
      <c r="DG241" s="373"/>
      <c r="DH241" s="373"/>
      <c r="DI241" s="373"/>
      <c r="DJ241" s="373"/>
      <c r="DK241" s="373"/>
      <c r="DM241" s="373"/>
      <c r="DN241" s="373"/>
      <c r="DO241" s="373"/>
      <c r="DP241" s="373"/>
      <c r="DQ241" s="373"/>
      <c r="DS241" s="373"/>
      <c r="DT241" s="373"/>
      <c r="DV241" s="373"/>
      <c r="DW241" s="373"/>
      <c r="DY241" s="373"/>
      <c r="DZ241" s="373"/>
      <c r="EA241" s="373"/>
      <c r="EB241" s="373"/>
    </row>
    <row r="242" spans="1:132" x14ac:dyDescent="0.2">
      <c r="A242"/>
      <c r="B242" s="144"/>
      <c r="D242" s="341"/>
      <c r="F242" s="343"/>
      <c r="G242" s="343"/>
      <c r="H242" s="343"/>
      <c r="I242" s="343"/>
      <c r="J242" s="343"/>
      <c r="K242" s="343"/>
      <c r="L242" s="343"/>
      <c r="S242" s="373"/>
      <c r="T242" s="373"/>
      <c r="U242" s="373"/>
      <c r="V242" s="373"/>
      <c r="W242" s="373"/>
      <c r="X242" s="373"/>
      <c r="Y242" s="373"/>
      <c r="Z242" s="373"/>
      <c r="AA242" s="373"/>
      <c r="AB242" s="373"/>
      <c r="AC242" s="373"/>
      <c r="AD242" s="373"/>
      <c r="AE242" s="373"/>
      <c r="AF242" s="373"/>
      <c r="AG242" s="373"/>
      <c r="AH242" s="373"/>
      <c r="AI242" s="373"/>
      <c r="AJ242" s="373"/>
      <c r="AK242" s="373"/>
      <c r="AL242" s="373"/>
      <c r="AM242" s="373"/>
      <c r="AN242" s="373"/>
      <c r="AO242" s="373"/>
      <c r="AP242" s="373"/>
      <c r="AQ242" s="373"/>
      <c r="AR242" s="373"/>
      <c r="AS242" s="373"/>
      <c r="AT242" s="373"/>
      <c r="AU242" s="373"/>
      <c r="AV242" s="373"/>
      <c r="AW242" s="373"/>
      <c r="AX242" s="373"/>
      <c r="AY242" s="373"/>
      <c r="AZ242" s="373"/>
      <c r="BA242" s="373"/>
      <c r="BB242" s="373"/>
      <c r="BC242" s="373"/>
      <c r="BD242" s="373"/>
      <c r="BE242" s="373"/>
      <c r="BF242" s="373"/>
      <c r="BG242" s="373"/>
      <c r="BH242" s="373"/>
      <c r="BI242" s="373"/>
      <c r="BJ242" s="373"/>
      <c r="BK242" s="373"/>
      <c r="BL242" s="373"/>
      <c r="BM242" s="373"/>
      <c r="BN242" s="373"/>
      <c r="BO242" s="373"/>
      <c r="BQ242" s="373"/>
      <c r="BR242" s="373"/>
      <c r="BS242" s="373"/>
      <c r="BT242" s="373"/>
      <c r="BU242" s="373"/>
      <c r="BV242" s="373"/>
      <c r="BW242" s="373"/>
      <c r="BX242" s="373"/>
      <c r="BY242" s="373"/>
      <c r="BZ242" s="373"/>
      <c r="CA242" s="373"/>
      <c r="CB242" s="373"/>
      <c r="CC242" s="373"/>
      <c r="CD242" s="373"/>
      <c r="CE242" s="373"/>
      <c r="CF242" s="373"/>
      <c r="CG242" s="373"/>
      <c r="CH242" s="373"/>
      <c r="CI242" s="373"/>
      <c r="CJ242" s="373"/>
      <c r="CK242" s="373"/>
      <c r="CL242" s="373"/>
      <c r="CM242" s="373"/>
      <c r="CN242" s="373"/>
      <c r="CO242" s="373"/>
      <c r="CP242" s="373"/>
      <c r="CQ242" s="373"/>
      <c r="CR242" s="373"/>
      <c r="CS242" s="373"/>
      <c r="CT242" s="373"/>
      <c r="CU242" s="373"/>
      <c r="CV242" s="373"/>
      <c r="CW242" s="373"/>
      <c r="CX242" s="373"/>
      <c r="CY242" s="373"/>
      <c r="CZ242" s="373"/>
      <c r="DA242" s="373"/>
      <c r="DB242" s="373"/>
      <c r="DC242" s="373"/>
      <c r="DD242" s="373"/>
      <c r="DE242" s="373"/>
      <c r="DF242" s="373"/>
      <c r="DG242" s="373"/>
      <c r="DH242" s="373"/>
      <c r="DI242" s="373"/>
      <c r="DJ242" s="373"/>
      <c r="DK242" s="373"/>
      <c r="DM242" s="373"/>
      <c r="DN242" s="373"/>
      <c r="DO242" s="373"/>
      <c r="DP242" s="373"/>
      <c r="DQ242" s="373"/>
      <c r="DS242" s="373"/>
      <c r="DT242" s="373"/>
      <c r="DV242" s="373"/>
      <c r="DW242" s="373"/>
      <c r="DY242" s="373"/>
      <c r="DZ242" s="373"/>
      <c r="EA242" s="373"/>
      <c r="EB242" s="373"/>
    </row>
    <row r="243" spans="1:132" x14ac:dyDescent="0.2">
      <c r="A243"/>
      <c r="B243" s="144"/>
      <c r="D243" s="341"/>
      <c r="F243" s="343"/>
      <c r="G243" s="343"/>
      <c r="H243" s="343"/>
      <c r="I243" s="343"/>
      <c r="J243" s="343"/>
      <c r="K243" s="343"/>
      <c r="L243" s="343"/>
      <c r="S243" s="373"/>
      <c r="T243" s="373"/>
      <c r="U243" s="373"/>
      <c r="V243" s="373"/>
      <c r="W243" s="373"/>
      <c r="X243" s="373"/>
      <c r="Y243" s="373"/>
      <c r="Z243" s="373"/>
      <c r="AA243" s="373"/>
      <c r="AB243" s="373"/>
      <c r="AC243" s="373"/>
      <c r="AD243" s="373"/>
      <c r="AE243" s="373"/>
      <c r="AF243" s="373"/>
      <c r="AG243" s="373"/>
      <c r="AH243" s="373"/>
      <c r="AI243" s="373"/>
      <c r="AJ243" s="373"/>
      <c r="AK243" s="373"/>
      <c r="AL243" s="373"/>
      <c r="AM243" s="373"/>
      <c r="AN243" s="373"/>
      <c r="AO243" s="373"/>
      <c r="AP243" s="373"/>
      <c r="AQ243" s="373"/>
      <c r="AR243" s="373"/>
      <c r="AS243" s="373"/>
      <c r="AT243" s="373"/>
      <c r="AU243" s="373"/>
      <c r="AV243" s="373"/>
      <c r="AW243" s="373"/>
      <c r="AX243" s="373"/>
      <c r="AY243" s="373"/>
      <c r="AZ243" s="373"/>
      <c r="BA243" s="373"/>
      <c r="BB243" s="373"/>
      <c r="BC243" s="373"/>
      <c r="BD243" s="373"/>
      <c r="BE243" s="373"/>
      <c r="BF243" s="373"/>
      <c r="BG243" s="373"/>
      <c r="BH243" s="373"/>
      <c r="BI243" s="373"/>
      <c r="BJ243" s="373"/>
      <c r="BK243" s="373"/>
      <c r="BL243" s="373"/>
      <c r="BM243" s="373"/>
      <c r="BN243" s="373"/>
      <c r="BO243" s="373"/>
      <c r="BQ243" s="373"/>
      <c r="BR243" s="373"/>
      <c r="BS243" s="373"/>
      <c r="BT243" s="373"/>
      <c r="BU243" s="373"/>
      <c r="BV243" s="373"/>
      <c r="BW243" s="373"/>
      <c r="BX243" s="373"/>
      <c r="BY243" s="373"/>
      <c r="BZ243" s="373"/>
      <c r="CA243" s="373"/>
      <c r="CB243" s="373"/>
      <c r="CC243" s="373"/>
      <c r="CD243" s="373"/>
      <c r="CE243" s="373"/>
      <c r="CF243" s="373"/>
      <c r="CG243" s="373"/>
      <c r="CH243" s="373"/>
      <c r="CI243" s="373"/>
      <c r="CJ243" s="373"/>
      <c r="CK243" s="373"/>
      <c r="CL243" s="373"/>
      <c r="CM243" s="373"/>
      <c r="CN243" s="373"/>
      <c r="CO243" s="373"/>
      <c r="CP243" s="373"/>
      <c r="CQ243" s="373"/>
      <c r="CR243" s="373"/>
      <c r="CS243" s="373"/>
      <c r="CT243" s="373"/>
      <c r="CU243" s="373"/>
      <c r="CV243" s="373"/>
      <c r="CW243" s="373"/>
      <c r="CX243" s="373"/>
      <c r="CY243" s="373"/>
      <c r="CZ243" s="373"/>
      <c r="DA243" s="373"/>
      <c r="DB243" s="373"/>
      <c r="DC243" s="373"/>
      <c r="DD243" s="373"/>
      <c r="DE243" s="373"/>
      <c r="DF243" s="373"/>
      <c r="DG243" s="373"/>
      <c r="DH243" s="373"/>
      <c r="DI243" s="373"/>
      <c r="DJ243" s="373"/>
      <c r="DK243" s="373"/>
      <c r="DL243" s="373"/>
      <c r="DM243" s="373"/>
      <c r="DN243" s="373"/>
      <c r="DO243" s="373"/>
      <c r="DP243" s="373"/>
      <c r="DQ243" s="373"/>
      <c r="DR243" s="373"/>
      <c r="DS243" s="373"/>
      <c r="DT243" s="373"/>
      <c r="DV243" s="373"/>
      <c r="DW243" s="373"/>
      <c r="DY243" s="373"/>
      <c r="DZ243" s="373"/>
      <c r="EA243" s="373"/>
      <c r="EB243" s="373"/>
    </row>
    <row r="244" spans="1:132" x14ac:dyDescent="0.2">
      <c r="A244"/>
      <c r="B244" s="144"/>
      <c r="D244" s="341"/>
      <c r="F244" s="343"/>
      <c r="G244" s="343"/>
      <c r="H244" s="343"/>
      <c r="I244" s="343"/>
      <c r="J244" s="343"/>
      <c r="K244" s="343"/>
      <c r="L244" s="343"/>
      <c r="S244" s="373"/>
      <c r="T244" s="373"/>
      <c r="U244" s="373"/>
      <c r="V244" s="373"/>
      <c r="W244" s="373"/>
      <c r="X244" s="373"/>
      <c r="Y244" s="373"/>
      <c r="Z244" s="373"/>
      <c r="AA244" s="373"/>
      <c r="AB244" s="373"/>
      <c r="AC244" s="373"/>
      <c r="AD244" s="373"/>
      <c r="AE244" s="373"/>
      <c r="AF244" s="373"/>
      <c r="AG244" s="373"/>
      <c r="AH244" s="373"/>
      <c r="AI244" s="373"/>
      <c r="AJ244" s="373"/>
      <c r="AK244" s="373"/>
      <c r="AL244" s="373"/>
      <c r="AM244" s="373"/>
      <c r="AN244" s="373"/>
      <c r="AO244" s="373"/>
      <c r="AP244" s="373"/>
      <c r="AQ244" s="373"/>
      <c r="AR244" s="373"/>
      <c r="AS244" s="373"/>
      <c r="AT244" s="373"/>
      <c r="AU244" s="373"/>
      <c r="AV244" s="373"/>
      <c r="AW244" s="373"/>
      <c r="AX244" s="373"/>
      <c r="AY244" s="373"/>
      <c r="AZ244" s="373"/>
      <c r="BA244" s="373"/>
      <c r="BB244" s="373"/>
      <c r="BC244" s="373"/>
      <c r="BD244" s="373"/>
      <c r="BE244" s="373"/>
      <c r="BF244" s="373"/>
      <c r="BG244" s="373"/>
      <c r="BH244" s="373"/>
      <c r="BI244" s="373"/>
      <c r="BJ244" s="373"/>
      <c r="BK244" s="373"/>
      <c r="BL244" s="373"/>
      <c r="BM244" s="373"/>
      <c r="BN244" s="373"/>
      <c r="BO244" s="373"/>
      <c r="BQ244" s="373"/>
      <c r="BS244" s="373"/>
      <c r="BT244" s="373"/>
      <c r="BU244" s="373"/>
      <c r="BW244" s="373"/>
      <c r="BX244" s="373"/>
      <c r="BY244" s="373"/>
      <c r="BZ244" s="373"/>
      <c r="CA244" s="373"/>
      <c r="CB244" s="373"/>
      <c r="CC244" s="373"/>
      <c r="CD244" s="373"/>
      <c r="CE244" s="373"/>
      <c r="CF244" s="373"/>
      <c r="CG244" s="373"/>
      <c r="CH244" s="373"/>
      <c r="CI244" s="373"/>
      <c r="CJ244" s="373"/>
      <c r="CK244" s="373"/>
      <c r="CL244" s="373"/>
      <c r="CM244" s="373"/>
      <c r="CN244" s="373"/>
      <c r="CO244" s="373"/>
      <c r="CP244" s="373"/>
      <c r="CQ244" s="373"/>
      <c r="CR244" s="373"/>
      <c r="CS244" s="373"/>
      <c r="CT244" s="373"/>
      <c r="CU244" s="373"/>
      <c r="CV244" s="373"/>
      <c r="CW244" s="373"/>
      <c r="CX244" s="373"/>
      <c r="CY244" s="373"/>
      <c r="CZ244" s="373"/>
      <c r="DA244" s="373"/>
      <c r="DB244" s="373"/>
      <c r="DC244" s="373"/>
      <c r="DD244" s="373"/>
      <c r="DE244" s="373"/>
      <c r="DF244" s="373"/>
      <c r="DG244" s="373"/>
      <c r="DH244" s="373"/>
      <c r="DI244" s="373"/>
      <c r="DJ244" s="373"/>
      <c r="DK244" s="373"/>
      <c r="DL244" s="373"/>
      <c r="DM244" s="373"/>
      <c r="DN244" s="373"/>
      <c r="DO244" s="373"/>
      <c r="DP244" s="373"/>
      <c r="DQ244" s="373"/>
      <c r="DR244" s="373"/>
      <c r="DS244" s="373"/>
      <c r="DT244" s="373"/>
      <c r="DV244" s="373"/>
      <c r="DW244" s="373"/>
      <c r="DY244" s="373"/>
      <c r="DZ244" s="373"/>
      <c r="EA244" s="373"/>
      <c r="EB244" s="373"/>
    </row>
    <row r="245" spans="1:132" x14ac:dyDescent="0.2">
      <c r="A245"/>
      <c r="B245" s="144"/>
      <c r="D245" s="341"/>
      <c r="F245" s="343"/>
      <c r="G245" s="343"/>
      <c r="H245" s="343"/>
      <c r="I245" s="343"/>
      <c r="J245" s="343"/>
      <c r="K245" s="343"/>
      <c r="L245" s="343"/>
      <c r="R245" s="373"/>
      <c r="S245" s="373"/>
      <c r="T245" s="373"/>
      <c r="U245" s="373"/>
      <c r="V245" s="373"/>
      <c r="W245" s="373"/>
      <c r="X245" s="373"/>
      <c r="Y245" s="373"/>
      <c r="Z245" s="373"/>
      <c r="AA245" s="373"/>
      <c r="AB245" s="373"/>
      <c r="AC245" s="373"/>
      <c r="AD245" s="373"/>
      <c r="AE245" s="373"/>
      <c r="AF245" s="373"/>
      <c r="AG245" s="373"/>
      <c r="AH245" s="373"/>
      <c r="AI245" s="373"/>
      <c r="AJ245" s="373"/>
      <c r="AK245" s="373"/>
      <c r="AL245" s="373"/>
      <c r="AM245" s="373"/>
      <c r="AN245" s="373"/>
      <c r="AO245" s="373"/>
      <c r="AQ245" s="373"/>
      <c r="AR245" s="373"/>
      <c r="AT245" s="373"/>
      <c r="AU245" s="373"/>
      <c r="AV245" s="373"/>
      <c r="AW245" s="373"/>
      <c r="AX245" s="373"/>
      <c r="AY245" s="373"/>
      <c r="AZ245" s="373"/>
      <c r="BA245" s="373"/>
      <c r="BB245" s="373"/>
      <c r="BC245" s="373"/>
      <c r="BD245" s="373"/>
      <c r="BE245" s="373"/>
      <c r="BF245" s="373"/>
      <c r="BG245" s="373"/>
      <c r="BH245" s="373"/>
      <c r="BJ245" s="373"/>
      <c r="BK245" s="373"/>
      <c r="BL245" s="373"/>
      <c r="BM245" s="373"/>
      <c r="BN245" s="373"/>
      <c r="BO245" s="373"/>
      <c r="BQ245" s="373"/>
      <c r="BS245" s="373"/>
      <c r="BT245" s="373"/>
      <c r="BU245" s="373"/>
      <c r="BW245" s="373"/>
      <c r="BX245" s="373"/>
      <c r="BY245" s="373"/>
      <c r="BZ245" s="373"/>
      <c r="CA245" s="373"/>
      <c r="CB245" s="373"/>
      <c r="CC245" s="373"/>
      <c r="CD245" s="373"/>
      <c r="CE245" s="373"/>
      <c r="CF245" s="373"/>
      <c r="CG245" s="373"/>
      <c r="CH245" s="373"/>
      <c r="CI245" s="373"/>
      <c r="CJ245" s="373"/>
      <c r="CK245" s="373"/>
      <c r="CL245" s="373"/>
      <c r="CM245" s="373"/>
      <c r="CN245" s="373"/>
      <c r="CO245" s="373"/>
      <c r="CP245" s="373"/>
      <c r="CQ245" s="373"/>
      <c r="CR245" s="373"/>
      <c r="CS245" s="373"/>
      <c r="CT245" s="373"/>
      <c r="CU245" s="373"/>
      <c r="CV245" s="373"/>
      <c r="CW245" s="373"/>
      <c r="CX245" s="373"/>
      <c r="CY245" s="373"/>
      <c r="CZ245" s="373"/>
      <c r="DA245" s="373"/>
      <c r="DB245" s="373"/>
      <c r="DC245" s="373"/>
      <c r="DD245" s="373"/>
      <c r="DE245" s="373"/>
      <c r="DF245" s="373"/>
      <c r="DG245" s="373"/>
      <c r="DH245" s="373"/>
      <c r="DI245" s="373"/>
      <c r="DJ245" s="373"/>
      <c r="DK245" s="373"/>
      <c r="DL245" s="373"/>
      <c r="DM245" s="373"/>
      <c r="DN245" s="373"/>
      <c r="DO245" s="373"/>
      <c r="DP245" s="373"/>
      <c r="DQ245" s="373"/>
      <c r="DR245" s="373"/>
      <c r="DS245" s="373"/>
      <c r="DT245" s="373"/>
      <c r="DV245" s="373"/>
      <c r="DW245" s="373"/>
      <c r="DY245" s="373"/>
      <c r="EA245" s="373"/>
    </row>
    <row r="246" spans="1:132" x14ac:dyDescent="0.2">
      <c r="A246"/>
      <c r="B246" s="144"/>
      <c r="D246" s="341"/>
      <c r="F246" s="343"/>
      <c r="G246" s="343"/>
      <c r="H246" s="343"/>
      <c r="I246" s="343"/>
      <c r="J246" s="343"/>
      <c r="K246" s="343"/>
      <c r="L246" s="343"/>
      <c r="R246" s="373"/>
      <c r="S246" s="373"/>
      <c r="T246" s="373"/>
      <c r="U246" s="373"/>
      <c r="V246" s="373"/>
      <c r="W246" s="373"/>
      <c r="X246" s="373"/>
      <c r="Y246" s="373"/>
      <c r="Z246" s="373"/>
      <c r="AA246" s="373"/>
      <c r="AB246" s="373"/>
      <c r="AC246" s="373"/>
      <c r="AD246" s="373"/>
      <c r="AE246" s="373"/>
      <c r="AF246" s="373"/>
      <c r="AG246" s="373"/>
      <c r="AH246" s="373"/>
      <c r="AI246" s="373"/>
      <c r="AJ246" s="373"/>
      <c r="AK246" s="373"/>
      <c r="AL246" s="373"/>
      <c r="AM246" s="373"/>
      <c r="AN246" s="373"/>
      <c r="AO246" s="373"/>
      <c r="AP246" s="373"/>
      <c r="AQ246" s="373"/>
      <c r="AR246" s="373"/>
      <c r="AT246" s="373"/>
      <c r="AU246" s="373"/>
      <c r="AV246" s="373"/>
      <c r="AW246" s="373"/>
      <c r="AX246" s="373"/>
      <c r="AY246" s="373"/>
      <c r="AZ246" s="373"/>
      <c r="BA246" s="373"/>
      <c r="BB246" s="373"/>
      <c r="BC246" s="373"/>
      <c r="BD246" s="373"/>
      <c r="BE246" s="373"/>
      <c r="BF246" s="373"/>
      <c r="BG246" s="373"/>
      <c r="BH246" s="373"/>
      <c r="BJ246" s="373"/>
      <c r="BK246" s="373"/>
      <c r="BL246" s="373"/>
      <c r="BM246" s="373"/>
      <c r="BN246" s="373"/>
      <c r="BO246" s="373"/>
      <c r="BQ246" s="373"/>
      <c r="BS246" s="373"/>
      <c r="BT246" s="373"/>
      <c r="BU246" s="373"/>
      <c r="BW246" s="373"/>
      <c r="BX246" s="373"/>
      <c r="BY246" s="373"/>
      <c r="BZ246" s="373"/>
      <c r="CA246" s="373"/>
      <c r="CB246" s="373"/>
      <c r="CC246" s="373"/>
      <c r="CD246" s="373"/>
      <c r="CE246" s="373"/>
      <c r="CF246" s="373"/>
      <c r="CG246" s="373"/>
      <c r="CH246" s="373"/>
      <c r="CI246" s="373"/>
      <c r="CJ246" s="373"/>
      <c r="CK246" s="373"/>
      <c r="CL246" s="373"/>
      <c r="CM246" s="373"/>
      <c r="CN246" s="373"/>
      <c r="CO246" s="373"/>
      <c r="CP246" s="373"/>
      <c r="CQ246" s="373"/>
      <c r="CR246" s="373"/>
      <c r="CS246" s="373"/>
      <c r="CT246" s="373"/>
      <c r="CU246" s="373"/>
      <c r="CV246" s="373"/>
      <c r="CW246" s="373"/>
      <c r="CX246" s="373"/>
      <c r="CY246" s="373"/>
      <c r="CZ246" s="373"/>
      <c r="DA246" s="373"/>
      <c r="DB246" s="373"/>
      <c r="DC246" s="373"/>
      <c r="DD246" s="373"/>
      <c r="DE246" s="373"/>
      <c r="DF246" s="373"/>
      <c r="DG246" s="373"/>
      <c r="DH246" s="373"/>
      <c r="DI246" s="373"/>
      <c r="DJ246" s="373"/>
      <c r="DK246" s="373"/>
      <c r="DL246" s="373"/>
      <c r="DM246" s="373"/>
      <c r="DN246" s="373"/>
      <c r="DO246" s="373"/>
      <c r="DP246" s="373"/>
      <c r="DQ246" s="373"/>
      <c r="DR246" s="373"/>
      <c r="DS246" s="373"/>
      <c r="DT246" s="373"/>
      <c r="DV246" s="373"/>
      <c r="DW246" s="373"/>
      <c r="DY246" s="373"/>
      <c r="EA246" s="373"/>
    </row>
    <row r="247" spans="1:132" x14ac:dyDescent="0.2">
      <c r="A247"/>
      <c r="B247" s="144"/>
      <c r="D247" s="341"/>
      <c r="F247" s="343"/>
      <c r="G247" s="343"/>
      <c r="H247" s="343"/>
      <c r="I247" s="343"/>
      <c r="J247" s="343"/>
      <c r="K247" s="343"/>
      <c r="L247" s="343"/>
      <c r="S247" s="373"/>
      <c r="T247" s="373"/>
      <c r="U247" s="373"/>
      <c r="V247" s="373"/>
      <c r="W247" s="373"/>
      <c r="X247" s="373"/>
      <c r="Y247" s="373"/>
      <c r="Z247" s="373"/>
      <c r="AA247" s="373"/>
      <c r="AB247" s="373"/>
      <c r="AC247" s="373"/>
      <c r="AD247" s="373"/>
      <c r="AE247" s="373"/>
      <c r="AF247" s="373"/>
      <c r="AG247" s="373"/>
      <c r="AH247" s="373"/>
      <c r="AI247" s="373"/>
      <c r="AJ247" s="373"/>
      <c r="AK247" s="373"/>
      <c r="AL247" s="373"/>
      <c r="AM247" s="373"/>
      <c r="AN247" s="373"/>
      <c r="AO247" s="373"/>
      <c r="AP247" s="373"/>
      <c r="AQ247" s="373"/>
      <c r="AT247" s="373"/>
      <c r="AV247" s="373"/>
      <c r="AX247" s="373"/>
      <c r="AY247" s="373"/>
      <c r="AZ247" s="373"/>
      <c r="BA247" s="373"/>
      <c r="BB247" s="373"/>
      <c r="BC247" s="373"/>
      <c r="BD247" s="373"/>
      <c r="BE247" s="373"/>
      <c r="BF247" s="373"/>
      <c r="BJ247" s="373"/>
      <c r="BK247" s="373"/>
      <c r="BM247" s="373"/>
      <c r="BO247" s="373"/>
      <c r="BQ247" s="373"/>
      <c r="BS247" s="373"/>
      <c r="BT247" s="373"/>
      <c r="BU247" s="373"/>
      <c r="CB247" s="373"/>
      <c r="CD247" s="373"/>
      <c r="CE247" s="373"/>
      <c r="CF247" s="373"/>
      <c r="CG247" s="373"/>
      <c r="CH247" s="373"/>
      <c r="CI247" s="373"/>
      <c r="CJ247" s="373"/>
      <c r="CK247" s="373"/>
      <c r="CL247" s="373"/>
      <c r="CM247" s="373"/>
      <c r="CN247" s="373"/>
      <c r="CO247" s="373"/>
      <c r="CQ247" s="373"/>
      <c r="CR247" s="373"/>
      <c r="CS247" s="373"/>
      <c r="CT247" s="373"/>
      <c r="CU247" s="373"/>
      <c r="CV247" s="373"/>
      <c r="CW247" s="373"/>
      <c r="CX247" s="373"/>
      <c r="CY247" s="373"/>
      <c r="CZ247" s="373"/>
      <c r="DA247" s="373"/>
      <c r="DB247" s="373"/>
      <c r="DC247" s="373"/>
      <c r="DD247" s="373"/>
      <c r="DE247" s="373"/>
      <c r="DF247" s="373"/>
      <c r="DG247" s="373"/>
      <c r="DH247" s="373"/>
      <c r="DI247" s="373"/>
      <c r="DL247" s="373"/>
      <c r="DM247" s="373"/>
      <c r="DN247" s="373"/>
      <c r="DO247" s="373"/>
      <c r="DP247" s="373"/>
      <c r="DR247" s="373"/>
      <c r="DS247" s="373"/>
      <c r="DT247" s="373"/>
      <c r="DY247" s="373"/>
      <c r="EA247" s="373"/>
    </row>
    <row r="248" spans="1:132" x14ac:dyDescent="0.2">
      <c r="A248"/>
      <c r="B248" s="144"/>
      <c r="D248" s="341"/>
      <c r="F248" s="343"/>
      <c r="G248" s="343"/>
      <c r="H248" s="343"/>
      <c r="I248" s="343"/>
      <c r="J248" s="343"/>
      <c r="K248" s="343"/>
      <c r="L248" s="343"/>
      <c r="S248" s="373"/>
      <c r="T248" s="373"/>
      <c r="U248" s="373"/>
      <c r="V248" s="373"/>
      <c r="W248" s="373"/>
      <c r="X248" s="373"/>
      <c r="Y248" s="373"/>
      <c r="Z248" s="373"/>
      <c r="AA248" s="373"/>
      <c r="AB248" s="373"/>
      <c r="AC248" s="373"/>
      <c r="AD248" s="373"/>
      <c r="AE248" s="373"/>
      <c r="AF248" s="373"/>
      <c r="AG248" s="373"/>
      <c r="AH248" s="373"/>
      <c r="AI248" s="373"/>
      <c r="AJ248" s="373"/>
      <c r="AK248" s="373"/>
      <c r="AL248" s="373"/>
      <c r="AM248" s="373"/>
      <c r="AN248" s="373"/>
      <c r="AO248" s="373"/>
      <c r="AP248" s="373"/>
      <c r="AQ248" s="373"/>
      <c r="AT248" s="373"/>
      <c r="AV248" s="373"/>
      <c r="AX248" s="373"/>
      <c r="AY248" s="373"/>
      <c r="AZ248" s="373"/>
      <c r="BA248" s="373"/>
      <c r="BB248" s="373"/>
      <c r="BC248" s="373"/>
      <c r="BD248" s="373"/>
      <c r="BE248" s="373"/>
      <c r="BF248" s="373"/>
      <c r="BJ248" s="373"/>
      <c r="BK248" s="373"/>
      <c r="BM248" s="373"/>
      <c r="BO248" s="373"/>
      <c r="BQ248" s="373"/>
      <c r="BS248" s="373"/>
      <c r="BT248" s="373"/>
      <c r="BU248" s="373"/>
      <c r="CB248" s="373"/>
      <c r="CD248" s="373"/>
      <c r="CE248" s="373"/>
      <c r="CF248" s="373"/>
      <c r="CG248" s="373"/>
      <c r="CH248" s="373"/>
      <c r="CI248" s="373"/>
      <c r="CJ248" s="373"/>
      <c r="CK248" s="373"/>
      <c r="CL248" s="373"/>
      <c r="CM248" s="373"/>
      <c r="CN248" s="373"/>
      <c r="CO248" s="373"/>
      <c r="CQ248" s="373"/>
      <c r="CR248" s="373"/>
      <c r="CS248" s="373"/>
      <c r="CT248" s="373"/>
      <c r="CU248" s="373"/>
      <c r="CV248" s="373"/>
      <c r="CW248" s="373"/>
      <c r="CX248" s="373"/>
      <c r="CY248" s="373"/>
      <c r="CZ248" s="373"/>
      <c r="DA248" s="373"/>
      <c r="DB248" s="373"/>
      <c r="DC248" s="373"/>
      <c r="DD248" s="373"/>
      <c r="DE248" s="373"/>
      <c r="DF248" s="373"/>
      <c r="DG248" s="373"/>
      <c r="DH248" s="373"/>
      <c r="DI248" s="373"/>
      <c r="DL248" s="373"/>
      <c r="DM248" s="373"/>
      <c r="DN248" s="373"/>
      <c r="DO248" s="373"/>
      <c r="DP248" s="373"/>
      <c r="DR248" s="373"/>
      <c r="DS248" s="373"/>
      <c r="DT248" s="373"/>
      <c r="DY248" s="373"/>
      <c r="EA248" s="373"/>
    </row>
    <row r="249" spans="1:132" x14ac:dyDescent="0.2">
      <c r="A249"/>
      <c r="B249" s="144"/>
      <c r="D249" s="341"/>
      <c r="F249" s="343"/>
      <c r="G249" s="343"/>
      <c r="H249" s="343"/>
      <c r="I249" s="343"/>
      <c r="J249" s="343"/>
      <c r="K249" s="343"/>
      <c r="L249" s="34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  <c r="AJ249" s="373"/>
      <c r="AK249" s="373"/>
      <c r="AL249" s="373"/>
      <c r="AM249" s="373"/>
      <c r="AN249" s="373"/>
      <c r="AQ249" s="373"/>
      <c r="AV249" s="373"/>
      <c r="AX249" s="373"/>
      <c r="AY249" s="373"/>
      <c r="AZ249" s="373"/>
      <c r="BA249" s="373"/>
      <c r="BB249" s="373"/>
      <c r="BC249" s="373"/>
      <c r="BD249" s="373"/>
      <c r="BE249" s="373"/>
      <c r="BF249" s="373"/>
      <c r="BJ249" s="373"/>
      <c r="BK249" s="373"/>
      <c r="BM249" s="373"/>
      <c r="BO249" s="373"/>
      <c r="BQ249" s="373"/>
      <c r="BS249" s="373"/>
      <c r="BT249" s="373"/>
      <c r="BU249" s="373"/>
      <c r="CG249" s="373"/>
      <c r="CI249" s="373"/>
      <c r="CJ249" s="373"/>
      <c r="CK249" s="373"/>
      <c r="CL249" s="373"/>
      <c r="CM249" s="373"/>
      <c r="CN249" s="373"/>
      <c r="CO249" s="373"/>
      <c r="CQ249" s="373"/>
      <c r="CR249" s="373"/>
      <c r="CS249" s="373"/>
      <c r="CT249" s="373"/>
      <c r="CU249" s="373"/>
      <c r="CV249" s="373"/>
      <c r="CW249" s="373"/>
      <c r="CX249" s="373"/>
      <c r="CY249" s="373"/>
      <c r="CZ249" s="373"/>
      <c r="DA249" s="373"/>
      <c r="DB249" s="373"/>
      <c r="DC249" s="373"/>
      <c r="DD249" s="373"/>
      <c r="DE249" s="373"/>
      <c r="DF249" s="373"/>
      <c r="DG249" s="373"/>
      <c r="DH249" s="373"/>
      <c r="DI249" s="373"/>
      <c r="DL249" s="373"/>
      <c r="DM249" s="373"/>
      <c r="DN249" s="373"/>
      <c r="DO249" s="373"/>
      <c r="DP249" s="373"/>
      <c r="DR249" s="373"/>
      <c r="DS249" s="373"/>
      <c r="DT249" s="373"/>
      <c r="DY249" s="373"/>
      <c r="EA249" s="373"/>
    </row>
    <row r="250" spans="1:132" x14ac:dyDescent="0.2">
      <c r="A250"/>
      <c r="B250" s="144"/>
      <c r="D250" s="341"/>
      <c r="F250" s="343"/>
      <c r="G250" s="343"/>
      <c r="H250" s="343"/>
      <c r="I250" s="343"/>
      <c r="J250" s="343"/>
      <c r="K250" s="343"/>
      <c r="L250" s="343"/>
      <c r="S250" s="373"/>
      <c r="T250" s="373"/>
      <c r="U250" s="373"/>
      <c r="V250" s="373"/>
      <c r="W250" s="373"/>
      <c r="X250" s="373"/>
      <c r="Y250" s="373"/>
      <c r="Z250" s="373"/>
      <c r="AA250" s="373"/>
      <c r="AB250" s="373"/>
      <c r="AC250" s="373"/>
      <c r="AD250" s="373"/>
      <c r="AE250" s="373"/>
      <c r="AF250" s="373"/>
      <c r="AG250" s="373"/>
      <c r="AH250" s="373"/>
      <c r="AI250" s="373"/>
      <c r="AJ250" s="373"/>
      <c r="AK250" s="373"/>
      <c r="AL250" s="373"/>
      <c r="AM250" s="373"/>
      <c r="AN250" s="373"/>
      <c r="AQ250" s="373"/>
      <c r="AV250" s="373"/>
      <c r="AX250" s="373"/>
      <c r="AY250" s="373"/>
      <c r="AZ250" s="373"/>
      <c r="BA250" s="373"/>
      <c r="BB250" s="373"/>
      <c r="BC250" s="373"/>
      <c r="BD250" s="373"/>
      <c r="BE250" s="373"/>
      <c r="BF250" s="373"/>
      <c r="BJ250" s="373"/>
      <c r="BK250" s="373"/>
      <c r="BM250" s="373"/>
      <c r="BO250" s="373"/>
      <c r="BQ250" s="373"/>
      <c r="BS250" s="373"/>
      <c r="BT250" s="373"/>
      <c r="BU250" s="373"/>
      <c r="CG250" s="373"/>
      <c r="CI250" s="373"/>
      <c r="CJ250" s="373"/>
      <c r="CK250" s="373"/>
      <c r="CL250" s="373"/>
      <c r="CM250" s="373"/>
      <c r="CN250" s="373"/>
      <c r="CO250" s="373"/>
      <c r="CQ250" s="373"/>
      <c r="CR250" s="373"/>
      <c r="CS250" s="373"/>
      <c r="CT250" s="373"/>
      <c r="CU250" s="373"/>
      <c r="CV250" s="373"/>
      <c r="CW250" s="373"/>
      <c r="CX250" s="373"/>
      <c r="CY250" s="373"/>
      <c r="CZ250" s="373"/>
      <c r="DA250" s="373"/>
      <c r="DB250" s="373"/>
      <c r="DC250" s="373"/>
      <c r="DD250" s="373"/>
      <c r="DE250" s="373"/>
      <c r="DF250" s="373"/>
      <c r="DG250" s="373"/>
      <c r="DH250" s="373"/>
      <c r="DI250" s="373"/>
      <c r="DL250" s="373"/>
      <c r="DM250" s="373"/>
      <c r="DN250" s="373"/>
      <c r="DO250" s="373"/>
      <c r="DP250" s="373"/>
      <c r="DR250" s="373"/>
      <c r="DS250" s="373"/>
      <c r="DT250" s="373"/>
      <c r="DY250" s="373"/>
      <c r="EA250" s="373"/>
    </row>
    <row r="251" spans="1:132" x14ac:dyDescent="0.2">
      <c r="A251"/>
      <c r="B251" s="144"/>
      <c r="D251" s="341"/>
      <c r="F251" s="343"/>
      <c r="G251" s="343"/>
      <c r="H251" s="343"/>
      <c r="I251" s="343"/>
      <c r="J251" s="343"/>
      <c r="K251" s="343"/>
      <c r="L251" s="343"/>
      <c r="S251" s="373"/>
      <c r="T251" s="373"/>
      <c r="U251" s="373"/>
      <c r="V251" s="373"/>
      <c r="W251" s="373"/>
      <c r="X251" s="373"/>
      <c r="Y251" s="373"/>
      <c r="Z251" s="373"/>
      <c r="AA251" s="373"/>
      <c r="AB251" s="373"/>
      <c r="AC251" s="373"/>
      <c r="AD251" s="373"/>
      <c r="AE251" s="373"/>
      <c r="AF251" s="373"/>
      <c r="AG251" s="373"/>
      <c r="AH251" s="373"/>
      <c r="AI251" s="373"/>
      <c r="AJ251" s="373"/>
      <c r="AK251" s="373"/>
      <c r="AL251" s="373"/>
      <c r="AM251" s="373"/>
      <c r="AN251" s="373"/>
      <c r="AQ251" s="373"/>
      <c r="AV251" s="373"/>
      <c r="AX251" s="373"/>
      <c r="AY251" s="373"/>
      <c r="AZ251" s="373"/>
      <c r="BA251" s="373"/>
      <c r="BB251" s="373"/>
      <c r="BC251" s="373"/>
      <c r="BD251" s="373"/>
      <c r="BE251" s="373"/>
      <c r="BF251" s="373"/>
      <c r="BJ251" s="373"/>
      <c r="BK251" s="373"/>
      <c r="BM251" s="373"/>
      <c r="BO251" s="373"/>
      <c r="BQ251" s="373"/>
      <c r="BS251" s="373"/>
      <c r="BT251" s="373"/>
      <c r="BU251" s="373"/>
      <c r="CG251" s="373"/>
      <c r="CI251" s="373"/>
      <c r="CJ251" s="373"/>
      <c r="CK251" s="373"/>
      <c r="CL251" s="373"/>
      <c r="CM251" s="373"/>
      <c r="CN251" s="373"/>
      <c r="CO251" s="373"/>
      <c r="CQ251" s="373"/>
      <c r="CR251" s="373"/>
      <c r="CS251" s="373"/>
      <c r="CT251" s="373"/>
      <c r="CU251" s="373"/>
      <c r="CV251" s="373"/>
      <c r="CW251" s="373"/>
      <c r="CX251" s="373"/>
      <c r="CY251" s="373"/>
      <c r="CZ251" s="373"/>
      <c r="DA251" s="373"/>
      <c r="DB251" s="373"/>
      <c r="DC251" s="373"/>
      <c r="DD251" s="373"/>
      <c r="DE251" s="373"/>
      <c r="DF251" s="373"/>
      <c r="DG251" s="373"/>
      <c r="DH251" s="373"/>
      <c r="DI251" s="373"/>
      <c r="DL251" s="373"/>
      <c r="DM251" s="373"/>
      <c r="DN251" s="373"/>
      <c r="DO251" s="373"/>
      <c r="DP251" s="373"/>
      <c r="DR251" s="373"/>
      <c r="DS251" s="373"/>
      <c r="DT251" s="373"/>
      <c r="DY251" s="373"/>
      <c r="EA251" s="373"/>
    </row>
    <row r="252" spans="1:132" x14ac:dyDescent="0.2">
      <c r="A252"/>
      <c r="B252" s="144"/>
      <c r="D252" s="341"/>
      <c r="F252" s="343"/>
      <c r="G252" s="343"/>
      <c r="H252" s="343"/>
      <c r="I252" s="343"/>
      <c r="J252" s="343"/>
      <c r="K252" s="343"/>
      <c r="L252" s="343"/>
      <c r="S252" s="373"/>
      <c r="T252" s="373"/>
      <c r="U252" s="373"/>
      <c r="V252" s="373"/>
      <c r="W252" s="373"/>
      <c r="X252" s="373"/>
      <c r="Y252" s="373"/>
      <c r="Z252" s="373"/>
      <c r="AA252" s="373"/>
      <c r="AB252" s="373"/>
      <c r="AC252" s="373"/>
      <c r="AD252" s="373"/>
      <c r="AE252" s="373"/>
      <c r="AF252" s="373"/>
      <c r="AG252" s="373"/>
      <c r="AH252" s="373"/>
      <c r="AI252" s="373"/>
      <c r="AJ252" s="373"/>
      <c r="AK252" s="373"/>
      <c r="AL252" s="373"/>
      <c r="AM252" s="373"/>
      <c r="AN252" s="373"/>
      <c r="AQ252" s="373"/>
      <c r="AV252" s="373"/>
      <c r="AX252" s="373"/>
      <c r="AY252" s="373"/>
      <c r="AZ252" s="373"/>
      <c r="BA252" s="373"/>
      <c r="BB252" s="373"/>
      <c r="BC252" s="373"/>
      <c r="BD252" s="373"/>
      <c r="BE252" s="373"/>
      <c r="BF252" s="373"/>
      <c r="BJ252" s="373"/>
      <c r="BK252" s="373"/>
      <c r="BM252" s="373"/>
      <c r="BO252" s="373"/>
      <c r="BQ252" s="373"/>
      <c r="BS252" s="373"/>
      <c r="BT252" s="373"/>
      <c r="BU252" s="373"/>
      <c r="CB252" s="373"/>
      <c r="CD252" s="373"/>
      <c r="CE252" s="373"/>
      <c r="CF252" s="373"/>
      <c r="CG252" s="373"/>
      <c r="CH252" s="373"/>
      <c r="CI252" s="373"/>
      <c r="CJ252" s="373"/>
      <c r="CK252" s="373"/>
      <c r="CL252" s="373"/>
      <c r="CM252" s="373"/>
      <c r="CN252" s="373"/>
      <c r="CO252" s="373"/>
      <c r="CQ252" s="373"/>
      <c r="CR252" s="373"/>
      <c r="CS252" s="373"/>
      <c r="CT252" s="373"/>
      <c r="CU252" s="373"/>
      <c r="CV252" s="373"/>
      <c r="CW252" s="373"/>
      <c r="CX252" s="373"/>
      <c r="CY252" s="373"/>
      <c r="CZ252" s="373"/>
      <c r="DA252" s="373"/>
      <c r="DB252" s="373"/>
      <c r="DC252" s="373"/>
      <c r="DD252" s="373"/>
      <c r="DE252" s="373"/>
      <c r="DF252" s="373"/>
      <c r="DG252" s="373"/>
      <c r="DH252" s="373"/>
      <c r="DI252" s="373"/>
      <c r="DL252" s="373"/>
      <c r="DM252" s="373"/>
      <c r="DN252" s="373"/>
      <c r="DO252" s="373"/>
      <c r="DP252" s="373"/>
      <c r="DR252" s="373"/>
      <c r="DS252" s="373"/>
      <c r="DT252" s="373"/>
      <c r="DY252" s="373"/>
      <c r="EA252" s="373"/>
    </row>
    <row r="253" spans="1:132" x14ac:dyDescent="0.2">
      <c r="A253"/>
      <c r="B253" s="144"/>
      <c r="D253" s="341"/>
      <c r="F253" s="343"/>
      <c r="G253" s="343"/>
      <c r="H253" s="343"/>
      <c r="I253" s="343"/>
      <c r="J253" s="343"/>
      <c r="K253" s="343"/>
      <c r="L253" s="343"/>
      <c r="S253" s="373"/>
      <c r="T253" s="373"/>
      <c r="U253" s="373"/>
      <c r="V253" s="373"/>
      <c r="W253" s="373"/>
      <c r="X253" s="373"/>
      <c r="Y253" s="373"/>
      <c r="Z253" s="373"/>
      <c r="AA253" s="373"/>
      <c r="AB253" s="373"/>
      <c r="AC253" s="373"/>
      <c r="AD253" s="373"/>
      <c r="AE253" s="373"/>
      <c r="AF253" s="373"/>
      <c r="AG253" s="373"/>
      <c r="AH253" s="373"/>
      <c r="AI253" s="373"/>
      <c r="AJ253" s="373"/>
      <c r="AK253" s="373"/>
      <c r="AL253" s="373"/>
      <c r="AM253" s="373"/>
      <c r="AN253" s="373"/>
      <c r="AQ253" s="373"/>
      <c r="AV253" s="373"/>
      <c r="AX253" s="373"/>
      <c r="AY253" s="373"/>
      <c r="AZ253" s="373"/>
      <c r="BA253" s="373"/>
      <c r="BB253" s="373"/>
      <c r="BC253" s="373"/>
      <c r="BD253" s="373"/>
      <c r="BE253" s="373"/>
      <c r="BF253" s="373"/>
      <c r="BJ253" s="373"/>
      <c r="BK253" s="373"/>
      <c r="BM253" s="373"/>
      <c r="BO253" s="373"/>
      <c r="BQ253" s="373"/>
      <c r="BS253" s="373"/>
      <c r="BT253" s="373"/>
      <c r="BU253" s="373"/>
      <c r="CB253" s="373"/>
      <c r="CD253" s="373"/>
      <c r="CE253" s="373"/>
      <c r="CF253" s="373"/>
      <c r="CG253" s="373"/>
      <c r="CH253" s="373"/>
      <c r="CI253" s="373"/>
      <c r="CJ253" s="373"/>
      <c r="CK253" s="373"/>
      <c r="CL253" s="373"/>
      <c r="CM253" s="373"/>
      <c r="CN253" s="373"/>
      <c r="CO253" s="373"/>
      <c r="CQ253" s="373"/>
      <c r="CR253" s="373"/>
      <c r="CS253" s="373"/>
      <c r="CT253" s="373"/>
      <c r="CU253" s="373"/>
      <c r="CV253" s="373"/>
      <c r="CW253" s="373"/>
      <c r="CX253" s="373"/>
      <c r="CY253" s="373"/>
      <c r="CZ253" s="373"/>
      <c r="DA253" s="373"/>
      <c r="DB253" s="373"/>
      <c r="DC253" s="373"/>
      <c r="DD253" s="373"/>
      <c r="DE253" s="373"/>
      <c r="DF253" s="373"/>
      <c r="DG253" s="373"/>
      <c r="DH253" s="373"/>
      <c r="DI253" s="373"/>
      <c r="DL253" s="373"/>
      <c r="DM253" s="373"/>
      <c r="DN253" s="373"/>
      <c r="DO253" s="373"/>
      <c r="DP253" s="373"/>
      <c r="DR253" s="373"/>
      <c r="DS253" s="373"/>
      <c r="DT253" s="373"/>
      <c r="DY253" s="373"/>
      <c r="EA253" s="373"/>
    </row>
    <row r="254" spans="1:132" x14ac:dyDescent="0.2">
      <c r="A254"/>
      <c r="B254" s="144"/>
      <c r="D254" s="341"/>
      <c r="F254" s="343"/>
      <c r="G254" s="343"/>
      <c r="H254" s="343"/>
      <c r="I254" s="343"/>
      <c r="J254" s="343"/>
      <c r="K254" s="343"/>
      <c r="L254" s="343"/>
      <c r="S254" s="373"/>
      <c r="T254" s="373"/>
      <c r="U254" s="373"/>
      <c r="V254" s="373"/>
      <c r="W254" s="373"/>
      <c r="X254" s="373"/>
      <c r="Y254" s="373"/>
      <c r="Z254" s="373"/>
      <c r="AA254" s="373"/>
      <c r="AB254" s="373"/>
      <c r="AC254" s="373"/>
      <c r="AD254" s="373"/>
      <c r="AE254" s="373"/>
      <c r="AF254" s="373"/>
      <c r="AG254" s="373"/>
      <c r="AH254" s="373"/>
      <c r="AI254" s="373"/>
      <c r="AJ254" s="373"/>
      <c r="AK254" s="373"/>
      <c r="AL254" s="373"/>
      <c r="AM254" s="373"/>
      <c r="AN254" s="373"/>
      <c r="AQ254" s="373"/>
      <c r="AV254" s="373"/>
      <c r="AX254" s="373"/>
      <c r="AY254" s="373"/>
      <c r="AZ254" s="373"/>
      <c r="BA254" s="373"/>
      <c r="BB254" s="373"/>
      <c r="BC254" s="373"/>
      <c r="BD254" s="373"/>
      <c r="BE254" s="373"/>
      <c r="BF254" s="373"/>
      <c r="BJ254" s="373"/>
      <c r="BK254" s="373"/>
      <c r="BM254" s="373"/>
      <c r="BO254" s="373"/>
      <c r="BQ254" s="373"/>
      <c r="BS254" s="373"/>
      <c r="BT254" s="373"/>
      <c r="BU254" s="373"/>
      <c r="CB254" s="373"/>
      <c r="CD254" s="373"/>
      <c r="CE254" s="373"/>
      <c r="CF254" s="373"/>
      <c r="CG254" s="373"/>
      <c r="CH254" s="373"/>
      <c r="CI254" s="373"/>
      <c r="CJ254" s="373"/>
      <c r="CK254" s="373"/>
      <c r="CL254" s="373"/>
      <c r="CM254" s="373"/>
      <c r="CN254" s="373"/>
      <c r="CO254" s="373"/>
      <c r="CQ254" s="373"/>
      <c r="CR254" s="373"/>
      <c r="CS254" s="373"/>
      <c r="CT254" s="373"/>
      <c r="CU254" s="373"/>
      <c r="CV254" s="373"/>
      <c r="CW254" s="373"/>
      <c r="CX254" s="373"/>
      <c r="CY254" s="373"/>
      <c r="CZ254" s="373"/>
      <c r="DA254" s="373"/>
      <c r="DB254" s="373"/>
      <c r="DC254" s="373"/>
      <c r="DD254" s="373"/>
      <c r="DE254" s="373"/>
      <c r="DF254" s="373"/>
      <c r="DG254" s="373"/>
      <c r="DH254" s="373"/>
      <c r="DI254" s="373"/>
      <c r="DL254" s="373"/>
      <c r="DM254" s="373"/>
      <c r="DN254" s="373"/>
      <c r="DO254" s="373"/>
      <c r="DP254" s="373"/>
      <c r="DR254" s="373"/>
      <c r="DS254" s="373"/>
      <c r="DT254" s="373"/>
      <c r="DY254" s="373"/>
      <c r="EA254" s="373"/>
    </row>
    <row r="255" spans="1:132" x14ac:dyDescent="0.2">
      <c r="A255"/>
      <c r="B255" s="144"/>
      <c r="D255" s="341"/>
      <c r="F255" s="343"/>
      <c r="G255" s="343"/>
      <c r="H255" s="343"/>
      <c r="I255" s="343"/>
      <c r="J255" s="343"/>
      <c r="K255" s="343"/>
      <c r="L255" s="343"/>
      <c r="S255" s="373"/>
      <c r="T255" s="373"/>
      <c r="U255" s="373"/>
      <c r="V255" s="373"/>
      <c r="W255" s="373"/>
      <c r="X255" s="373"/>
      <c r="Y255" s="373"/>
      <c r="Z255" s="373"/>
      <c r="AA255" s="373"/>
      <c r="AB255" s="373"/>
      <c r="AC255" s="373"/>
      <c r="AD255" s="373"/>
      <c r="AE255" s="373"/>
      <c r="AF255" s="373"/>
      <c r="AG255" s="373"/>
      <c r="AH255" s="373"/>
      <c r="AI255" s="373"/>
      <c r="AJ255" s="373"/>
      <c r="AK255" s="373"/>
      <c r="AL255" s="373"/>
      <c r="AM255" s="373"/>
      <c r="AN255" s="373"/>
      <c r="AQ255" s="373"/>
      <c r="AV255" s="373"/>
      <c r="AX255" s="373"/>
      <c r="AY255" s="373"/>
      <c r="AZ255" s="373"/>
      <c r="BA255" s="373"/>
      <c r="BB255" s="373"/>
      <c r="BC255" s="373"/>
      <c r="BD255" s="373"/>
      <c r="BE255" s="373"/>
      <c r="BF255" s="373"/>
      <c r="BJ255" s="373"/>
      <c r="BK255" s="373"/>
      <c r="BM255" s="373"/>
      <c r="BO255" s="373"/>
      <c r="BQ255" s="373"/>
      <c r="BS255" s="373"/>
      <c r="BT255" s="373"/>
      <c r="BU255" s="373"/>
      <c r="CB255" s="373"/>
      <c r="CD255" s="373"/>
      <c r="CE255" s="373"/>
      <c r="CF255" s="373"/>
      <c r="CG255" s="373"/>
      <c r="CH255" s="373"/>
      <c r="CI255" s="373"/>
      <c r="CJ255" s="373"/>
      <c r="CK255" s="373"/>
      <c r="CL255" s="373"/>
      <c r="CM255" s="373"/>
      <c r="CN255" s="373"/>
      <c r="CO255" s="373"/>
      <c r="CQ255" s="373"/>
      <c r="CR255" s="373"/>
      <c r="CS255" s="373"/>
      <c r="CT255" s="373"/>
      <c r="CU255" s="373"/>
      <c r="CV255" s="373"/>
      <c r="CW255" s="373"/>
      <c r="CX255" s="373"/>
      <c r="CY255" s="373"/>
      <c r="CZ255" s="373"/>
      <c r="DA255" s="373"/>
      <c r="DB255" s="373"/>
      <c r="DC255" s="373"/>
      <c r="DD255" s="373"/>
      <c r="DE255" s="373"/>
      <c r="DF255" s="373"/>
      <c r="DG255" s="373"/>
      <c r="DH255" s="373"/>
      <c r="DI255" s="373"/>
      <c r="DL255" s="373"/>
      <c r="DM255" s="373"/>
      <c r="DN255" s="373"/>
      <c r="DO255" s="373"/>
      <c r="DP255" s="373"/>
      <c r="DR255" s="373"/>
      <c r="DS255" s="373"/>
      <c r="DT255" s="373"/>
      <c r="DY255" s="373"/>
      <c r="EA255" s="373"/>
    </row>
    <row r="256" spans="1:132" x14ac:dyDescent="0.2">
      <c r="A256"/>
      <c r="B256" s="144"/>
      <c r="D256" s="341"/>
      <c r="F256" s="343"/>
      <c r="G256" s="343"/>
      <c r="H256" s="343"/>
      <c r="I256" s="343"/>
      <c r="J256" s="343"/>
      <c r="K256" s="343"/>
      <c r="L256" s="343"/>
      <c r="S256" s="373"/>
      <c r="T256" s="373"/>
      <c r="U256" s="373"/>
      <c r="V256" s="373"/>
      <c r="W256" s="373"/>
      <c r="X256" s="373"/>
      <c r="Y256" s="373"/>
      <c r="Z256" s="373"/>
      <c r="AA256" s="373"/>
      <c r="AB256" s="373"/>
      <c r="AC256" s="373"/>
      <c r="AD256" s="373"/>
      <c r="AE256" s="373"/>
      <c r="AF256" s="373"/>
      <c r="AG256" s="373"/>
      <c r="AH256" s="373"/>
      <c r="AI256" s="373"/>
      <c r="AJ256" s="373"/>
      <c r="AK256" s="373"/>
      <c r="AL256" s="373"/>
      <c r="AM256" s="373"/>
      <c r="AN256" s="373"/>
      <c r="AQ256" s="373"/>
      <c r="AV256" s="373"/>
      <c r="AX256" s="373"/>
      <c r="AY256" s="373"/>
      <c r="AZ256" s="373"/>
      <c r="BA256" s="373"/>
      <c r="BB256" s="373"/>
      <c r="BC256" s="373"/>
      <c r="BD256" s="373"/>
      <c r="BE256" s="373"/>
      <c r="BF256" s="373"/>
      <c r="BJ256" s="373"/>
      <c r="BK256" s="373"/>
      <c r="BM256" s="373"/>
      <c r="BO256" s="373"/>
      <c r="BQ256" s="373"/>
      <c r="BS256" s="373"/>
      <c r="BT256" s="373"/>
      <c r="BU256" s="373"/>
      <c r="CB256" s="373"/>
      <c r="CD256" s="373"/>
      <c r="CE256" s="373"/>
      <c r="CF256" s="373"/>
      <c r="CG256" s="373"/>
      <c r="CH256" s="373"/>
      <c r="CI256" s="373"/>
      <c r="CJ256" s="373"/>
      <c r="CK256" s="373"/>
      <c r="CL256" s="373"/>
      <c r="CM256" s="373"/>
      <c r="CN256" s="373"/>
      <c r="CO256" s="373"/>
      <c r="CQ256" s="373"/>
      <c r="CR256" s="373"/>
      <c r="CS256" s="373"/>
      <c r="CT256" s="373"/>
      <c r="CU256" s="373"/>
      <c r="CV256" s="373"/>
      <c r="CW256" s="373"/>
      <c r="CX256" s="373"/>
      <c r="CY256" s="373"/>
      <c r="CZ256" s="373"/>
      <c r="DA256" s="373"/>
      <c r="DB256" s="373"/>
      <c r="DC256" s="373"/>
      <c r="DD256" s="373"/>
      <c r="DE256" s="373"/>
      <c r="DF256" s="373"/>
      <c r="DG256" s="373"/>
      <c r="DH256" s="373"/>
      <c r="DI256" s="373"/>
      <c r="DL256" s="373"/>
      <c r="DM256" s="373"/>
      <c r="DN256" s="373"/>
      <c r="DO256" s="373"/>
      <c r="DP256" s="373"/>
      <c r="DR256" s="373"/>
      <c r="DS256" s="373"/>
      <c r="DT256" s="373"/>
      <c r="DY256" s="373"/>
      <c r="EA256" s="373"/>
    </row>
    <row r="257" spans="1:132" x14ac:dyDescent="0.2">
      <c r="A257"/>
      <c r="B257" s="144"/>
      <c r="D257" s="341"/>
      <c r="F257" s="343"/>
      <c r="G257" s="343"/>
      <c r="H257" s="343"/>
      <c r="I257" s="343"/>
      <c r="J257" s="343"/>
      <c r="K257" s="343"/>
      <c r="L257" s="343"/>
      <c r="S257" s="373"/>
      <c r="T257" s="373"/>
      <c r="V257" s="373"/>
      <c r="W257" s="373"/>
      <c r="X257" s="373"/>
      <c r="Y257" s="373"/>
      <c r="Z257" s="373"/>
      <c r="AA257" s="373"/>
      <c r="AB257" s="373"/>
      <c r="AC257" s="373"/>
      <c r="AD257" s="373"/>
      <c r="AE257" s="373"/>
      <c r="AF257" s="373"/>
      <c r="AG257" s="373"/>
      <c r="AH257" s="373"/>
      <c r="AI257" s="373"/>
      <c r="AJ257" s="373"/>
      <c r="AK257" s="373"/>
      <c r="AL257" s="373"/>
      <c r="AM257" s="373"/>
      <c r="AN257" s="373"/>
      <c r="AQ257" s="373"/>
      <c r="AV257" s="373"/>
      <c r="AX257" s="373"/>
      <c r="AY257" s="373"/>
      <c r="AZ257" s="373"/>
      <c r="BA257" s="373"/>
      <c r="BB257" s="373"/>
      <c r="BC257" s="373"/>
      <c r="BD257" s="373"/>
      <c r="BE257" s="373"/>
      <c r="BF257" s="373"/>
      <c r="BJ257" s="373"/>
      <c r="BK257" s="373"/>
      <c r="BM257" s="373"/>
      <c r="BO257" s="373"/>
      <c r="BQ257" s="373"/>
      <c r="BS257" s="373"/>
      <c r="BT257" s="373"/>
      <c r="BU257" s="373"/>
      <c r="CB257" s="373"/>
      <c r="CD257" s="373"/>
      <c r="CE257" s="373"/>
      <c r="CF257" s="373"/>
      <c r="CG257" s="373"/>
      <c r="CH257" s="373"/>
      <c r="CI257" s="373"/>
      <c r="CJ257" s="373"/>
      <c r="CK257" s="373"/>
      <c r="CL257" s="373"/>
      <c r="CM257" s="373"/>
      <c r="CN257" s="373"/>
      <c r="CO257" s="373"/>
      <c r="CQ257" s="373"/>
      <c r="CR257" s="373"/>
      <c r="CS257" s="373"/>
      <c r="CT257" s="373"/>
      <c r="CU257" s="373"/>
      <c r="CV257" s="373"/>
      <c r="CW257" s="373"/>
      <c r="CX257" s="373"/>
      <c r="CY257" s="373"/>
      <c r="CZ257" s="373"/>
      <c r="DA257" s="373"/>
      <c r="DB257" s="373"/>
      <c r="DC257" s="373"/>
      <c r="DD257" s="373"/>
      <c r="DE257" s="373"/>
      <c r="DF257" s="373"/>
      <c r="DG257" s="373"/>
      <c r="DH257" s="373"/>
      <c r="DI257" s="373"/>
      <c r="DL257" s="373"/>
      <c r="DM257" s="373"/>
      <c r="DN257" s="373"/>
      <c r="DO257" s="373"/>
      <c r="DP257" s="373"/>
      <c r="DR257" s="373"/>
      <c r="DS257" s="373"/>
      <c r="DT257" s="373"/>
      <c r="DY257" s="373"/>
      <c r="EA257" s="373"/>
    </row>
    <row r="258" spans="1:132" x14ac:dyDescent="0.2">
      <c r="A258"/>
      <c r="B258" s="144"/>
      <c r="D258" s="341"/>
      <c r="F258" s="343"/>
      <c r="G258" s="343"/>
      <c r="H258" s="343"/>
      <c r="I258" s="343"/>
      <c r="J258" s="343"/>
      <c r="K258" s="343"/>
      <c r="L258" s="343"/>
      <c r="S258" s="373"/>
      <c r="T258" s="373"/>
      <c r="V258" s="373"/>
      <c r="W258" s="373"/>
      <c r="X258" s="373"/>
      <c r="Y258" s="373"/>
      <c r="Z258" s="373"/>
      <c r="AA258" s="373"/>
      <c r="AB258" s="373"/>
      <c r="AC258" s="373"/>
      <c r="AD258" s="373"/>
      <c r="AE258" s="373"/>
      <c r="AF258" s="373"/>
      <c r="AG258" s="373"/>
      <c r="AH258" s="373"/>
      <c r="AI258" s="373"/>
      <c r="AJ258" s="373"/>
      <c r="AK258" s="373"/>
      <c r="AL258" s="373"/>
      <c r="AM258" s="373"/>
      <c r="AN258" s="373"/>
      <c r="AQ258" s="373"/>
      <c r="AV258" s="373"/>
      <c r="AX258" s="373"/>
      <c r="AY258" s="373"/>
      <c r="AZ258" s="373"/>
      <c r="BA258" s="373"/>
      <c r="BB258" s="373"/>
      <c r="BC258" s="373"/>
      <c r="BD258" s="373"/>
      <c r="BE258" s="373"/>
      <c r="BF258" s="373"/>
      <c r="BJ258" s="373"/>
      <c r="BK258" s="373"/>
      <c r="BM258" s="373"/>
      <c r="BO258" s="373"/>
      <c r="BQ258" s="373"/>
      <c r="BS258" s="373"/>
      <c r="BT258" s="373"/>
      <c r="BU258" s="373"/>
      <c r="CB258" s="373"/>
      <c r="CD258" s="373"/>
      <c r="CE258" s="373"/>
      <c r="CF258" s="373"/>
      <c r="CG258" s="373"/>
      <c r="CH258" s="373"/>
      <c r="CI258" s="373"/>
      <c r="CJ258" s="373"/>
      <c r="CK258" s="373"/>
      <c r="CL258" s="373"/>
      <c r="CM258" s="373"/>
      <c r="CN258" s="373"/>
      <c r="CO258" s="373"/>
      <c r="CQ258" s="373"/>
      <c r="CR258" s="373"/>
      <c r="CS258" s="373"/>
      <c r="CT258" s="373"/>
      <c r="CU258" s="373"/>
      <c r="CV258" s="373"/>
      <c r="CW258" s="373"/>
      <c r="CX258" s="373"/>
      <c r="CY258" s="373"/>
      <c r="CZ258" s="373"/>
      <c r="DA258" s="373"/>
      <c r="DB258" s="373"/>
      <c r="DC258" s="373"/>
      <c r="DD258" s="373"/>
      <c r="DE258" s="373"/>
      <c r="DF258" s="373"/>
      <c r="DG258" s="373"/>
      <c r="DH258" s="373"/>
      <c r="DI258" s="373"/>
      <c r="DL258" s="373"/>
      <c r="DM258" s="373"/>
      <c r="DN258" s="373"/>
      <c r="DO258" s="373"/>
      <c r="DP258" s="373"/>
      <c r="DR258" s="373"/>
      <c r="DS258" s="373"/>
      <c r="DT258" s="373"/>
      <c r="DY258" s="373"/>
      <c r="EA258" s="373"/>
    </row>
    <row r="259" spans="1:132" x14ac:dyDescent="0.2">
      <c r="A259"/>
      <c r="B259" s="144"/>
      <c r="D259" s="341"/>
      <c r="F259" s="343"/>
      <c r="G259" s="343"/>
      <c r="H259" s="343"/>
      <c r="I259" s="343"/>
      <c r="J259" s="343"/>
      <c r="K259" s="343"/>
      <c r="L259" s="343"/>
      <c r="S259" s="373"/>
      <c r="T259" s="373"/>
      <c r="V259" s="373"/>
      <c r="W259" s="373"/>
      <c r="X259" s="373"/>
      <c r="Y259" s="373"/>
      <c r="Z259" s="373"/>
      <c r="AA259" s="373"/>
      <c r="AB259" s="373"/>
      <c r="AC259" s="373"/>
      <c r="AD259" s="373"/>
      <c r="AE259" s="373"/>
      <c r="AF259" s="373"/>
      <c r="AG259" s="373"/>
      <c r="AH259" s="373"/>
      <c r="AI259" s="373"/>
      <c r="AJ259" s="373"/>
      <c r="AK259" s="373"/>
      <c r="AL259" s="373"/>
      <c r="AM259" s="373"/>
      <c r="AN259" s="373"/>
      <c r="AQ259" s="373"/>
      <c r="AV259" s="373"/>
      <c r="AX259" s="373"/>
      <c r="AY259" s="373"/>
      <c r="AZ259" s="373"/>
      <c r="BA259" s="373"/>
      <c r="BB259" s="373"/>
      <c r="BC259" s="373"/>
      <c r="BD259" s="373"/>
      <c r="BE259" s="373"/>
      <c r="BF259" s="373"/>
      <c r="BJ259" s="373"/>
      <c r="BK259" s="373"/>
      <c r="BM259" s="373"/>
      <c r="BO259" s="373"/>
      <c r="BQ259" s="373"/>
      <c r="BS259" s="373"/>
      <c r="BT259" s="373"/>
      <c r="BU259" s="373"/>
      <c r="CG259" s="373"/>
      <c r="CI259" s="373"/>
      <c r="CJ259" s="373"/>
      <c r="CK259" s="373"/>
      <c r="CL259" s="373"/>
      <c r="CM259" s="373"/>
      <c r="CN259" s="373"/>
      <c r="CO259" s="373"/>
      <c r="CQ259" s="373"/>
      <c r="CR259" s="373"/>
      <c r="CS259" s="373"/>
      <c r="CT259" s="373"/>
      <c r="CU259" s="373"/>
      <c r="CV259" s="373"/>
      <c r="CW259" s="373"/>
      <c r="CX259" s="373"/>
      <c r="CY259" s="373"/>
      <c r="CZ259" s="373"/>
      <c r="DA259" s="373"/>
      <c r="DB259" s="373"/>
      <c r="DC259" s="373"/>
      <c r="DD259" s="373"/>
      <c r="DE259" s="373"/>
      <c r="DF259" s="373"/>
      <c r="DG259" s="373"/>
      <c r="DH259" s="373"/>
      <c r="DI259" s="373"/>
      <c r="DL259" s="373"/>
      <c r="DM259" s="373"/>
      <c r="DN259" s="373"/>
      <c r="DO259" s="373"/>
      <c r="DP259" s="373"/>
      <c r="DR259" s="373"/>
      <c r="DS259" s="373"/>
      <c r="DT259" s="373"/>
      <c r="DY259" s="373"/>
      <c r="EA259" s="373"/>
    </row>
    <row r="260" spans="1:132" x14ac:dyDescent="0.2">
      <c r="A260"/>
      <c r="B260" s="144"/>
      <c r="D260" s="341"/>
      <c r="F260" s="343"/>
      <c r="G260" s="343"/>
      <c r="H260" s="343"/>
      <c r="I260" s="343"/>
      <c r="J260" s="343"/>
      <c r="K260" s="343"/>
      <c r="L260" s="343"/>
      <c r="S260" s="373"/>
      <c r="T260" s="373"/>
      <c r="V260" s="373"/>
      <c r="W260" s="373"/>
      <c r="X260" s="373"/>
      <c r="Y260" s="373"/>
      <c r="Z260" s="373"/>
      <c r="AA260" s="373"/>
      <c r="AB260" s="373"/>
      <c r="AC260" s="373"/>
      <c r="AD260" s="373"/>
      <c r="AE260" s="373"/>
      <c r="AF260" s="373"/>
      <c r="AG260" s="373"/>
      <c r="AH260" s="373"/>
      <c r="AI260" s="373"/>
      <c r="AJ260" s="373"/>
      <c r="AK260" s="373"/>
      <c r="AL260" s="373"/>
      <c r="AM260" s="373"/>
      <c r="AN260" s="373"/>
      <c r="AQ260" s="373"/>
      <c r="AV260" s="373"/>
      <c r="AX260" s="373"/>
      <c r="AY260" s="373"/>
      <c r="AZ260" s="373"/>
      <c r="BA260" s="373"/>
      <c r="BB260" s="373"/>
      <c r="BC260" s="373"/>
      <c r="BD260" s="373"/>
      <c r="BE260" s="373"/>
      <c r="BF260" s="373"/>
      <c r="BJ260" s="373"/>
      <c r="BK260" s="373"/>
      <c r="BM260" s="373"/>
      <c r="BO260" s="373"/>
      <c r="BQ260" s="373"/>
      <c r="BS260" s="373"/>
      <c r="BT260" s="373"/>
      <c r="BU260" s="373"/>
      <c r="CG260" s="373"/>
      <c r="CI260" s="373"/>
      <c r="CJ260" s="373"/>
      <c r="CK260" s="373"/>
      <c r="CL260" s="373"/>
      <c r="CM260" s="373"/>
      <c r="CN260" s="373"/>
      <c r="CO260" s="373"/>
      <c r="CQ260" s="373"/>
      <c r="CR260" s="373"/>
      <c r="CS260" s="373"/>
      <c r="CT260" s="373"/>
      <c r="CU260" s="373"/>
      <c r="CV260" s="373"/>
      <c r="CW260" s="373"/>
      <c r="CX260" s="373"/>
      <c r="CY260" s="373"/>
      <c r="CZ260" s="373"/>
      <c r="DA260" s="373"/>
      <c r="DB260" s="373"/>
      <c r="DC260" s="373"/>
      <c r="DD260" s="373"/>
      <c r="DE260" s="373"/>
      <c r="DF260" s="373"/>
      <c r="DG260" s="373"/>
      <c r="DH260" s="373"/>
      <c r="DI260" s="373"/>
      <c r="DL260" s="373"/>
      <c r="DM260" s="373"/>
      <c r="DN260" s="373"/>
      <c r="DO260" s="373"/>
      <c r="DP260" s="373"/>
      <c r="DR260" s="373"/>
      <c r="DS260" s="373"/>
      <c r="DT260" s="373"/>
      <c r="DY260" s="373"/>
      <c r="EA260" s="373"/>
    </row>
    <row r="261" spans="1:132" x14ac:dyDescent="0.2">
      <c r="A261"/>
      <c r="B261" s="144"/>
      <c r="D261" s="341"/>
      <c r="F261" s="343"/>
      <c r="G261" s="343"/>
      <c r="H261" s="343"/>
      <c r="I261" s="343"/>
      <c r="J261" s="343"/>
      <c r="K261" s="343"/>
      <c r="L261" s="343"/>
      <c r="S261" s="373"/>
      <c r="T261" s="373"/>
      <c r="V261" s="373"/>
      <c r="W261" s="373"/>
      <c r="X261" s="373"/>
      <c r="Y261" s="373"/>
      <c r="Z261" s="373"/>
      <c r="AA261" s="373"/>
      <c r="AB261" s="373"/>
      <c r="AC261" s="373"/>
      <c r="AD261" s="373"/>
      <c r="AE261" s="373"/>
      <c r="AF261" s="373"/>
      <c r="AG261" s="373"/>
      <c r="AH261" s="373"/>
      <c r="AI261" s="373"/>
      <c r="AJ261" s="373"/>
      <c r="AK261" s="373"/>
      <c r="AL261" s="373"/>
      <c r="AM261" s="373"/>
      <c r="AN261" s="373"/>
      <c r="AQ261" s="373"/>
      <c r="AV261" s="373"/>
      <c r="AX261" s="373"/>
      <c r="AY261" s="373"/>
      <c r="AZ261" s="373"/>
      <c r="BA261" s="373"/>
      <c r="BB261" s="373"/>
      <c r="BC261" s="373"/>
      <c r="BD261" s="373"/>
      <c r="BE261" s="373"/>
      <c r="BF261" s="373"/>
      <c r="BJ261" s="373"/>
      <c r="BK261" s="373"/>
      <c r="BM261" s="373"/>
      <c r="BO261" s="373"/>
      <c r="BQ261" s="373"/>
      <c r="BS261" s="373"/>
      <c r="BT261" s="373"/>
      <c r="BU261" s="373"/>
      <c r="CG261" s="373"/>
      <c r="CI261" s="373"/>
      <c r="CJ261" s="373"/>
      <c r="CK261" s="373"/>
      <c r="CL261" s="373"/>
      <c r="CM261" s="373"/>
      <c r="CN261" s="373"/>
      <c r="CO261" s="373"/>
      <c r="CQ261" s="373"/>
      <c r="CR261" s="373"/>
      <c r="CS261" s="373"/>
      <c r="CT261" s="373"/>
      <c r="CU261" s="373"/>
      <c r="CV261" s="373"/>
      <c r="CW261" s="373"/>
      <c r="CX261" s="373"/>
      <c r="CY261" s="373"/>
      <c r="CZ261" s="373"/>
      <c r="DA261" s="373"/>
      <c r="DB261" s="373"/>
      <c r="DC261" s="373"/>
      <c r="DD261" s="373"/>
      <c r="DE261" s="373"/>
      <c r="DF261" s="373"/>
      <c r="DG261" s="373"/>
      <c r="DH261" s="373"/>
      <c r="DI261" s="373"/>
      <c r="DL261" s="373"/>
      <c r="DM261" s="373"/>
      <c r="DN261" s="373"/>
      <c r="DO261" s="373"/>
      <c r="DP261" s="373"/>
      <c r="DR261" s="373"/>
      <c r="DS261" s="373"/>
      <c r="DT261" s="373"/>
      <c r="DY261" s="373"/>
      <c r="EA261" s="373"/>
    </row>
    <row r="262" spans="1:132" x14ac:dyDescent="0.2">
      <c r="A262"/>
      <c r="B262" s="144"/>
      <c r="D262" s="341"/>
      <c r="F262" s="343"/>
      <c r="G262" s="343"/>
      <c r="H262" s="343"/>
      <c r="I262" s="343"/>
      <c r="J262" s="343"/>
      <c r="K262" s="343"/>
      <c r="L262" s="343"/>
      <c r="S262" s="373"/>
      <c r="T262" s="373"/>
      <c r="V262" s="373"/>
      <c r="W262" s="373"/>
      <c r="X262" s="373"/>
      <c r="Y262" s="373"/>
      <c r="Z262" s="373"/>
      <c r="AA262" s="373"/>
      <c r="AB262" s="373"/>
      <c r="AC262" s="373"/>
      <c r="AD262" s="373"/>
      <c r="AE262" s="373"/>
      <c r="AF262" s="373"/>
      <c r="AG262" s="373"/>
      <c r="AH262" s="373"/>
      <c r="AI262" s="373"/>
      <c r="AJ262" s="373"/>
      <c r="AK262" s="373"/>
      <c r="AL262" s="373"/>
      <c r="AM262" s="373"/>
      <c r="AN262" s="373"/>
      <c r="AQ262" s="373"/>
      <c r="AV262" s="373"/>
      <c r="AX262" s="373"/>
      <c r="AY262" s="373"/>
      <c r="AZ262" s="373"/>
      <c r="BA262" s="373"/>
      <c r="BB262" s="373"/>
      <c r="BC262" s="373"/>
      <c r="BD262" s="373"/>
      <c r="BE262" s="373"/>
      <c r="BF262" s="373"/>
      <c r="BJ262" s="373"/>
      <c r="BK262" s="373"/>
      <c r="BM262" s="373"/>
      <c r="BO262" s="373"/>
      <c r="BQ262" s="373"/>
      <c r="BS262" s="373"/>
      <c r="BT262" s="373"/>
      <c r="BU262" s="373"/>
      <c r="CG262" s="373"/>
      <c r="CI262" s="373"/>
      <c r="CJ262" s="373"/>
      <c r="CK262" s="373"/>
      <c r="CL262" s="373"/>
      <c r="CM262" s="373"/>
      <c r="CN262" s="373"/>
      <c r="CO262" s="373"/>
      <c r="CQ262" s="373"/>
      <c r="CR262" s="373"/>
      <c r="CS262" s="373"/>
      <c r="CT262" s="373"/>
      <c r="CU262" s="373"/>
      <c r="CV262" s="373"/>
      <c r="CW262" s="373"/>
      <c r="CX262" s="373"/>
      <c r="CY262" s="373"/>
      <c r="CZ262" s="373"/>
      <c r="DA262" s="373"/>
      <c r="DB262" s="373"/>
      <c r="DC262" s="373"/>
      <c r="DD262" s="373"/>
      <c r="DE262" s="373"/>
      <c r="DF262" s="373"/>
      <c r="DG262" s="373"/>
      <c r="DH262" s="373"/>
      <c r="DI262" s="373"/>
      <c r="DL262" s="373"/>
      <c r="DM262" s="373"/>
      <c r="DN262" s="373"/>
      <c r="DO262" s="373"/>
      <c r="DP262" s="373"/>
      <c r="DR262" s="373"/>
      <c r="DS262" s="373"/>
      <c r="DT262" s="373"/>
      <c r="DY262" s="373"/>
      <c r="EA262" s="373"/>
    </row>
    <row r="263" spans="1:132" x14ac:dyDescent="0.2">
      <c r="A263"/>
      <c r="B263" s="144"/>
      <c r="D263" s="341"/>
      <c r="F263" s="343"/>
      <c r="G263" s="343"/>
      <c r="H263" s="343"/>
      <c r="I263" s="343"/>
      <c r="J263" s="343"/>
      <c r="K263" s="343"/>
      <c r="L263" s="343"/>
      <c r="S263" s="373"/>
      <c r="T263" s="373"/>
      <c r="V263" s="373"/>
      <c r="W263" s="373"/>
      <c r="X263" s="373"/>
      <c r="Y263" s="373"/>
      <c r="Z263" s="373"/>
      <c r="AA263" s="373"/>
      <c r="AB263" s="373"/>
      <c r="AC263" s="373"/>
      <c r="AD263" s="373"/>
      <c r="AE263" s="373"/>
      <c r="AF263" s="373"/>
      <c r="AG263" s="373"/>
      <c r="AH263" s="373"/>
      <c r="AI263" s="373"/>
      <c r="AJ263" s="373"/>
      <c r="AK263" s="373"/>
      <c r="AL263" s="373"/>
      <c r="AM263" s="373"/>
      <c r="AN263" s="373"/>
      <c r="AQ263" s="373"/>
      <c r="AV263" s="373"/>
      <c r="AX263" s="373"/>
      <c r="AY263" s="373"/>
      <c r="AZ263" s="373"/>
      <c r="BA263" s="373"/>
      <c r="BB263" s="373"/>
      <c r="BC263" s="373"/>
      <c r="BD263" s="373"/>
      <c r="BE263" s="373"/>
      <c r="BF263" s="373"/>
      <c r="BJ263" s="373"/>
      <c r="BK263" s="373"/>
      <c r="BM263" s="373"/>
      <c r="BO263" s="373"/>
      <c r="BQ263" s="373"/>
      <c r="BS263" s="373"/>
      <c r="BT263" s="373"/>
      <c r="BU263" s="373"/>
      <c r="CG263" s="373"/>
      <c r="CI263" s="373"/>
      <c r="CJ263" s="373"/>
      <c r="CK263" s="373"/>
      <c r="CL263" s="373"/>
      <c r="CM263" s="373"/>
      <c r="CN263" s="373"/>
      <c r="CO263" s="373"/>
      <c r="CQ263" s="373"/>
      <c r="CR263" s="373"/>
      <c r="CS263" s="373"/>
      <c r="CT263" s="373"/>
      <c r="CU263" s="373"/>
      <c r="CV263" s="373"/>
      <c r="CW263" s="373"/>
      <c r="CX263" s="373"/>
      <c r="CY263" s="373"/>
      <c r="CZ263" s="373"/>
      <c r="DA263" s="373"/>
      <c r="DB263" s="373"/>
      <c r="DC263" s="373"/>
      <c r="DD263" s="373"/>
      <c r="DE263" s="373"/>
      <c r="DF263" s="373"/>
      <c r="DG263" s="373"/>
      <c r="DH263" s="373"/>
      <c r="DI263" s="373"/>
      <c r="DL263" s="373"/>
      <c r="DM263" s="373"/>
      <c r="DN263" s="373"/>
      <c r="DO263" s="373"/>
      <c r="DP263" s="373"/>
      <c r="DR263" s="373"/>
      <c r="DS263" s="373"/>
      <c r="DT263" s="373"/>
      <c r="DY263" s="373"/>
      <c r="EA263" s="373"/>
    </row>
    <row r="264" spans="1:132" x14ac:dyDescent="0.2">
      <c r="A264"/>
      <c r="B264" s="144"/>
      <c r="D264" s="341"/>
      <c r="F264" s="343"/>
      <c r="G264" s="343"/>
      <c r="H264" s="343"/>
      <c r="I264" s="343"/>
      <c r="J264" s="343"/>
      <c r="K264" s="343"/>
      <c r="L264" s="343"/>
      <c r="S264" s="373"/>
      <c r="T264" s="373"/>
      <c r="V264" s="373"/>
      <c r="W264" s="373"/>
      <c r="X264" s="373"/>
      <c r="Y264" s="373"/>
      <c r="Z264" s="373"/>
      <c r="AA264" s="373"/>
      <c r="AB264" s="373"/>
      <c r="AC264" s="373"/>
      <c r="AD264" s="373"/>
      <c r="AE264" s="373"/>
      <c r="AF264" s="373"/>
      <c r="AG264" s="373"/>
      <c r="AH264" s="373"/>
      <c r="AI264" s="373"/>
      <c r="AJ264" s="373"/>
      <c r="AK264" s="373"/>
      <c r="AL264" s="373"/>
      <c r="AM264" s="373"/>
      <c r="AN264" s="373"/>
      <c r="AQ264" s="373"/>
      <c r="AS264" s="373"/>
      <c r="AU264" s="373"/>
      <c r="AV264" s="373"/>
      <c r="AX264" s="373"/>
      <c r="AY264" s="373"/>
      <c r="AZ264" s="373"/>
      <c r="BA264" s="373"/>
      <c r="BB264" s="373"/>
      <c r="BC264" s="373"/>
      <c r="BD264" s="373"/>
      <c r="BE264" s="373"/>
      <c r="BF264" s="373"/>
      <c r="BJ264" s="373"/>
      <c r="BK264" s="373"/>
      <c r="BM264" s="373"/>
      <c r="BO264" s="373"/>
      <c r="BQ264" s="373"/>
      <c r="BS264" s="373"/>
      <c r="BT264" s="373"/>
      <c r="BU264" s="373"/>
      <c r="BX264" s="373"/>
      <c r="BZ264" s="373"/>
      <c r="CA264" s="373"/>
      <c r="CB264" s="373"/>
      <c r="CC264" s="373"/>
      <c r="CD264" s="373"/>
      <c r="CE264" s="373"/>
      <c r="CF264" s="373"/>
      <c r="CG264" s="373"/>
      <c r="CI264" s="373"/>
      <c r="CJ264" s="373"/>
      <c r="CK264" s="373"/>
      <c r="CL264" s="373"/>
      <c r="CM264" s="373"/>
      <c r="CN264" s="373"/>
      <c r="CO264" s="373"/>
      <c r="CQ264" s="373"/>
      <c r="CR264" s="373"/>
      <c r="CS264" s="373"/>
      <c r="CT264" s="373"/>
      <c r="CU264" s="373"/>
      <c r="CV264" s="373"/>
      <c r="CW264" s="373"/>
      <c r="CX264" s="373"/>
      <c r="CY264" s="373"/>
      <c r="CZ264" s="373"/>
      <c r="DA264" s="373"/>
      <c r="DB264" s="373"/>
      <c r="DC264" s="373"/>
      <c r="DD264" s="373"/>
      <c r="DE264" s="373"/>
      <c r="DF264" s="373"/>
      <c r="DG264" s="373"/>
      <c r="DH264" s="373"/>
      <c r="DI264" s="373"/>
      <c r="DL264" s="373"/>
      <c r="DM264" s="373"/>
      <c r="DN264" s="373"/>
      <c r="DO264" s="373"/>
      <c r="DP264" s="373"/>
      <c r="DR264" s="373"/>
      <c r="DS264" s="373"/>
      <c r="DT264" s="373"/>
      <c r="DY264" s="373"/>
      <c r="EA264" s="373"/>
    </row>
    <row r="265" spans="1:132" x14ac:dyDescent="0.2">
      <c r="A265"/>
      <c r="B265" s="144"/>
      <c r="D265" s="341"/>
      <c r="F265" s="343"/>
      <c r="G265" s="343"/>
      <c r="H265" s="343"/>
      <c r="I265" s="343"/>
      <c r="J265" s="343"/>
      <c r="K265" s="343"/>
      <c r="L265" s="343"/>
      <c r="S265" s="373"/>
      <c r="T265" s="373"/>
      <c r="V265" s="373"/>
      <c r="W265" s="373"/>
      <c r="X265" s="373"/>
      <c r="Y265" s="373"/>
      <c r="Z265" s="373"/>
      <c r="AA265" s="373"/>
      <c r="AB265" s="373"/>
      <c r="AC265" s="373"/>
      <c r="AD265" s="373"/>
      <c r="AE265" s="373"/>
      <c r="AF265" s="373"/>
      <c r="AG265" s="373"/>
      <c r="AH265" s="373"/>
      <c r="AI265" s="373"/>
      <c r="AJ265" s="373"/>
      <c r="AK265" s="373"/>
      <c r="AL265" s="373"/>
      <c r="AM265" s="373"/>
      <c r="AN265" s="373"/>
      <c r="AQ265" s="373"/>
      <c r="AS265" s="373"/>
      <c r="AU265" s="373"/>
      <c r="AV265" s="373"/>
      <c r="AX265" s="373"/>
      <c r="AY265" s="373"/>
      <c r="AZ265" s="373"/>
      <c r="BA265" s="373"/>
      <c r="BB265" s="373"/>
      <c r="BC265" s="373"/>
      <c r="BD265" s="373"/>
      <c r="BE265" s="373"/>
      <c r="BF265" s="373"/>
      <c r="BJ265" s="373"/>
      <c r="BK265" s="373"/>
      <c r="BM265" s="373"/>
      <c r="BO265" s="373"/>
      <c r="BQ265" s="373"/>
      <c r="BS265" s="373"/>
      <c r="BT265" s="373"/>
      <c r="BU265" s="373"/>
      <c r="BX265" s="373"/>
      <c r="BZ265" s="373"/>
      <c r="CA265" s="373"/>
      <c r="CB265" s="373"/>
      <c r="CC265" s="373"/>
      <c r="CD265" s="373"/>
      <c r="CE265" s="373"/>
      <c r="CF265" s="373"/>
      <c r="CG265" s="373"/>
      <c r="CI265" s="373"/>
      <c r="CJ265" s="373"/>
      <c r="CK265" s="373"/>
      <c r="CL265" s="373"/>
      <c r="CM265" s="373"/>
      <c r="CN265" s="373"/>
      <c r="CO265" s="373"/>
      <c r="CQ265" s="373"/>
      <c r="CR265" s="373"/>
      <c r="CS265" s="373"/>
      <c r="CT265" s="373"/>
      <c r="CU265" s="373"/>
      <c r="CV265" s="373"/>
      <c r="CW265" s="373"/>
      <c r="CX265" s="373"/>
      <c r="CY265" s="373"/>
      <c r="CZ265" s="373"/>
      <c r="DA265" s="373"/>
      <c r="DB265" s="373"/>
      <c r="DC265" s="373"/>
      <c r="DD265" s="373"/>
      <c r="DE265" s="373"/>
      <c r="DF265" s="373"/>
      <c r="DG265" s="373"/>
      <c r="DH265" s="373"/>
      <c r="DI265" s="373"/>
      <c r="DL265" s="373"/>
      <c r="DM265" s="373"/>
      <c r="DN265" s="373"/>
      <c r="DO265" s="373"/>
      <c r="DP265" s="373"/>
      <c r="DR265" s="373"/>
      <c r="DS265" s="373"/>
      <c r="DT265" s="373"/>
      <c r="DY265" s="373"/>
      <c r="EA265" s="373"/>
    </row>
    <row r="266" spans="1:132" x14ac:dyDescent="0.2">
      <c r="A266"/>
      <c r="B266" s="144"/>
      <c r="D266" s="341"/>
      <c r="F266" s="343"/>
      <c r="G266" s="343"/>
      <c r="H266" s="343"/>
      <c r="I266" s="343"/>
      <c r="J266" s="343"/>
      <c r="K266" s="343"/>
      <c r="L266" s="343"/>
      <c r="S266" s="373"/>
      <c r="T266" s="373"/>
      <c r="U266" s="373"/>
      <c r="V266" s="373"/>
      <c r="W266" s="373"/>
      <c r="X266" s="373"/>
      <c r="Y266" s="373"/>
      <c r="Z266" s="373"/>
      <c r="AA266" s="373"/>
      <c r="AB266" s="373"/>
      <c r="AC266" s="373"/>
      <c r="AD266" s="373"/>
      <c r="AE266" s="373"/>
      <c r="AF266" s="373"/>
      <c r="AG266" s="373"/>
      <c r="AH266" s="373"/>
      <c r="AI266" s="373"/>
      <c r="AJ266" s="373"/>
      <c r="AK266" s="373"/>
      <c r="AL266" s="373"/>
      <c r="AM266" s="373"/>
      <c r="AN266" s="373"/>
      <c r="AO266" s="373"/>
      <c r="AQ266" s="373"/>
      <c r="AR266" s="373"/>
      <c r="AS266" s="373"/>
      <c r="AU266" s="373"/>
      <c r="AV266" s="373"/>
      <c r="AX266" s="373"/>
      <c r="AY266" s="373"/>
      <c r="AZ266" s="373"/>
      <c r="BA266" s="373"/>
      <c r="BB266" s="373"/>
      <c r="BC266" s="373"/>
      <c r="BD266" s="373"/>
      <c r="BE266" s="373"/>
      <c r="BF266" s="373"/>
      <c r="BJ266" s="373"/>
      <c r="BK266" s="373"/>
      <c r="BM266" s="373"/>
      <c r="BO266" s="373"/>
      <c r="BQ266" s="373"/>
      <c r="BS266" s="373"/>
      <c r="BT266" s="373"/>
      <c r="BU266" s="373"/>
      <c r="BX266" s="373"/>
      <c r="BZ266" s="373"/>
      <c r="CA266" s="373"/>
      <c r="CB266" s="373"/>
      <c r="CC266" s="373"/>
      <c r="CD266" s="373"/>
      <c r="CE266" s="373"/>
      <c r="CF266" s="373"/>
      <c r="CG266" s="373"/>
      <c r="CI266" s="373"/>
      <c r="CJ266" s="373"/>
      <c r="CK266" s="373"/>
      <c r="CL266" s="373"/>
      <c r="CM266" s="373"/>
      <c r="CN266" s="373"/>
      <c r="CO266" s="373"/>
      <c r="CQ266" s="373"/>
      <c r="CR266" s="373"/>
      <c r="CS266" s="373"/>
      <c r="CT266" s="373"/>
      <c r="CU266" s="373"/>
      <c r="CV266" s="373"/>
      <c r="CW266" s="373"/>
      <c r="CX266" s="373"/>
      <c r="CY266" s="373"/>
      <c r="CZ266" s="373"/>
      <c r="DA266" s="373"/>
      <c r="DB266" s="373"/>
      <c r="DC266" s="373"/>
      <c r="DD266" s="373"/>
      <c r="DE266" s="373"/>
      <c r="DF266" s="373"/>
      <c r="DG266" s="373"/>
      <c r="DH266" s="373"/>
      <c r="DI266" s="373"/>
      <c r="DL266" s="373"/>
      <c r="DM266" s="373"/>
      <c r="DN266" s="373"/>
      <c r="DO266" s="373"/>
      <c r="DP266" s="373"/>
      <c r="DR266" s="373"/>
      <c r="DS266" s="373"/>
      <c r="DT266" s="373"/>
      <c r="DY266" s="373"/>
      <c r="EA266" s="373"/>
    </row>
    <row r="267" spans="1:132" x14ac:dyDescent="0.2">
      <c r="A267"/>
      <c r="B267" s="144"/>
      <c r="D267" s="341"/>
      <c r="F267" s="343"/>
      <c r="G267" s="343"/>
      <c r="H267" s="343"/>
      <c r="I267" s="343"/>
      <c r="J267" s="343"/>
      <c r="K267" s="343"/>
      <c r="L267" s="343"/>
      <c r="S267" s="373"/>
      <c r="T267" s="373"/>
      <c r="U267" s="373"/>
      <c r="V267" s="373"/>
      <c r="W267" s="373"/>
      <c r="X267" s="373"/>
      <c r="Y267" s="373"/>
      <c r="Z267" s="373"/>
      <c r="AA267" s="373"/>
      <c r="AB267" s="373"/>
      <c r="AC267" s="373"/>
      <c r="AD267" s="373"/>
      <c r="AE267" s="373"/>
      <c r="AF267" s="373"/>
      <c r="AG267" s="373"/>
      <c r="AH267" s="373"/>
      <c r="AI267" s="373"/>
      <c r="AJ267" s="373"/>
      <c r="AK267" s="373"/>
      <c r="AL267" s="373"/>
      <c r="AM267" s="373"/>
      <c r="AN267" s="373"/>
      <c r="AO267" s="373"/>
      <c r="AQ267" s="373"/>
      <c r="AR267" s="373"/>
      <c r="AS267" s="373"/>
      <c r="AU267" s="373"/>
      <c r="AV267" s="373"/>
      <c r="AX267" s="373"/>
      <c r="AY267" s="373"/>
      <c r="AZ267" s="373"/>
      <c r="BA267" s="373"/>
      <c r="BB267" s="373"/>
      <c r="BC267" s="373"/>
      <c r="BD267" s="373"/>
      <c r="BE267" s="373"/>
      <c r="BF267" s="373"/>
      <c r="BJ267" s="373"/>
      <c r="BK267" s="373"/>
      <c r="BM267" s="373"/>
      <c r="BO267" s="373"/>
      <c r="BQ267" s="373"/>
      <c r="BS267" s="373"/>
      <c r="BT267" s="373"/>
      <c r="BU267" s="373"/>
      <c r="BX267" s="373"/>
      <c r="BZ267" s="373"/>
      <c r="CA267" s="373"/>
      <c r="CB267" s="373"/>
      <c r="CC267" s="373"/>
      <c r="CD267" s="373"/>
      <c r="CE267" s="373"/>
      <c r="CF267" s="373"/>
      <c r="CG267" s="373"/>
      <c r="CI267" s="373"/>
      <c r="CJ267" s="373"/>
      <c r="CK267" s="373"/>
      <c r="CL267" s="373"/>
      <c r="CM267" s="373"/>
      <c r="CN267" s="373"/>
      <c r="CO267" s="373"/>
      <c r="CQ267" s="373"/>
      <c r="CR267" s="373"/>
      <c r="CS267" s="373"/>
      <c r="CT267" s="373"/>
      <c r="CU267" s="373"/>
      <c r="CV267" s="373"/>
      <c r="CW267" s="373"/>
      <c r="CX267" s="373"/>
      <c r="CY267" s="373"/>
      <c r="CZ267" s="373"/>
      <c r="DA267" s="373"/>
      <c r="DB267" s="373"/>
      <c r="DC267" s="373"/>
      <c r="DD267" s="373"/>
      <c r="DE267" s="373"/>
      <c r="DF267" s="373"/>
      <c r="DG267" s="373"/>
      <c r="DH267" s="373"/>
      <c r="DI267" s="373"/>
      <c r="DL267" s="373"/>
      <c r="DM267" s="373"/>
      <c r="DN267" s="373"/>
      <c r="DO267" s="373"/>
      <c r="DP267" s="373"/>
      <c r="DR267" s="373"/>
      <c r="DS267" s="373"/>
      <c r="DT267" s="373"/>
      <c r="DY267" s="373"/>
      <c r="EA267" s="373"/>
    </row>
    <row r="268" spans="1:132" x14ac:dyDescent="0.2">
      <c r="A268"/>
      <c r="B268" s="144"/>
      <c r="D268" s="341"/>
      <c r="F268" s="343"/>
      <c r="G268" s="343"/>
      <c r="H268" s="343"/>
      <c r="I268" s="343"/>
      <c r="J268" s="343"/>
      <c r="K268" s="343"/>
      <c r="L268" s="343"/>
      <c r="S268" s="373"/>
      <c r="T268" s="373"/>
      <c r="U268" s="373"/>
      <c r="V268" s="373"/>
      <c r="W268" s="373"/>
      <c r="X268" s="373"/>
      <c r="Y268" s="373"/>
      <c r="Z268" s="373"/>
      <c r="AA268" s="373"/>
      <c r="AB268" s="373"/>
      <c r="AC268" s="373"/>
      <c r="AD268" s="373"/>
      <c r="AE268" s="373"/>
      <c r="AF268" s="373"/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U268" s="373"/>
      <c r="AV268" s="373"/>
      <c r="AW268" s="373"/>
      <c r="AX268" s="373"/>
      <c r="AY268" s="373"/>
      <c r="AZ268" s="373"/>
      <c r="BA268" s="373"/>
      <c r="BB268" s="373"/>
      <c r="BC268" s="373"/>
      <c r="BD268" s="373"/>
      <c r="BE268" s="373"/>
      <c r="BF268" s="373"/>
      <c r="BI268" s="373"/>
      <c r="BJ268" s="373"/>
      <c r="BK268" s="373"/>
      <c r="BM268" s="373"/>
      <c r="BO268" s="373"/>
      <c r="BQ268" s="373"/>
      <c r="BS268" s="373"/>
      <c r="BT268" s="373"/>
      <c r="BU268" s="373"/>
      <c r="BX268" s="373"/>
      <c r="BY268" s="373"/>
      <c r="BZ268" s="373"/>
      <c r="CA268" s="373"/>
      <c r="CB268" s="373"/>
      <c r="CC268" s="373"/>
      <c r="CD268" s="373"/>
      <c r="CE268" s="373"/>
      <c r="CF268" s="373"/>
      <c r="CG268" s="373"/>
      <c r="CI268" s="373"/>
      <c r="CJ268" s="373"/>
      <c r="CK268" s="373"/>
      <c r="CL268" s="373"/>
      <c r="CM268" s="373"/>
      <c r="CN268" s="373"/>
      <c r="CO268" s="373"/>
      <c r="CQ268" s="373"/>
      <c r="CR268" s="373"/>
      <c r="CS268" s="373"/>
      <c r="CT268" s="373"/>
      <c r="CU268" s="373"/>
      <c r="CV268" s="373"/>
      <c r="CW268" s="373"/>
      <c r="CX268" s="373"/>
      <c r="CY268" s="373"/>
      <c r="CZ268" s="373"/>
      <c r="DA268" s="373"/>
      <c r="DB268" s="373"/>
      <c r="DC268" s="373"/>
      <c r="DD268" s="373"/>
      <c r="DE268" s="373"/>
      <c r="DF268" s="373"/>
      <c r="DG268" s="373"/>
      <c r="DH268" s="373"/>
      <c r="DI268" s="373"/>
      <c r="DJ268" s="373"/>
      <c r="DL268" s="373"/>
      <c r="DM268" s="373"/>
      <c r="DN268" s="373"/>
      <c r="DO268" s="373"/>
      <c r="DP268" s="373"/>
      <c r="DR268" s="373"/>
      <c r="DS268" s="373"/>
      <c r="DT268" s="373"/>
      <c r="DY268" s="373"/>
      <c r="DZ268" s="373"/>
      <c r="EA268" s="373"/>
      <c r="EB268" s="373"/>
    </row>
    <row r="269" spans="1:132" x14ac:dyDescent="0.2">
      <c r="A269"/>
      <c r="B269" s="144"/>
      <c r="D269" s="341"/>
      <c r="F269" s="343"/>
      <c r="G269" s="343"/>
      <c r="H269" s="343"/>
      <c r="I269" s="343"/>
      <c r="J269" s="343"/>
      <c r="K269" s="343"/>
      <c r="L269" s="343"/>
      <c r="S269" s="373"/>
      <c r="T269" s="373"/>
      <c r="U269" s="373"/>
      <c r="V269" s="373"/>
      <c r="W269" s="373"/>
      <c r="X269" s="373"/>
      <c r="Y269" s="373"/>
      <c r="Z269" s="373"/>
      <c r="AA269" s="373"/>
      <c r="AB269" s="373"/>
      <c r="AC269" s="373"/>
      <c r="AD269" s="373"/>
      <c r="AE269" s="373"/>
      <c r="AF269" s="373"/>
      <c r="AG269" s="373"/>
      <c r="AH269" s="373"/>
      <c r="AI269" s="373"/>
      <c r="AJ269" s="373"/>
      <c r="AK269" s="373"/>
      <c r="AL269" s="373"/>
      <c r="AM269" s="373"/>
      <c r="AN269" s="373"/>
      <c r="AO269" s="373"/>
      <c r="AP269" s="373"/>
      <c r="AQ269" s="373"/>
      <c r="AR269" s="373"/>
      <c r="AS269" s="373"/>
      <c r="AU269" s="373"/>
      <c r="AV269" s="373"/>
      <c r="AW269" s="373"/>
      <c r="AX269" s="373"/>
      <c r="AY269" s="373"/>
      <c r="AZ269" s="373"/>
      <c r="BA269" s="373"/>
      <c r="BB269" s="373"/>
      <c r="BC269" s="373"/>
      <c r="BD269" s="373"/>
      <c r="BE269" s="373"/>
      <c r="BF269" s="373"/>
      <c r="BI269" s="373"/>
      <c r="BJ269" s="373"/>
      <c r="BK269" s="373"/>
      <c r="BM269" s="373"/>
      <c r="BO269" s="373"/>
      <c r="BQ269" s="373"/>
      <c r="BS269" s="373"/>
      <c r="BT269" s="373"/>
      <c r="BU269" s="373"/>
      <c r="BX269" s="373"/>
      <c r="BY269" s="373"/>
      <c r="BZ269" s="373"/>
      <c r="CA269" s="373"/>
      <c r="CB269" s="373"/>
      <c r="CC269" s="373"/>
      <c r="CD269" s="373"/>
      <c r="CE269" s="373"/>
      <c r="CF269" s="373"/>
      <c r="CG269" s="373"/>
      <c r="CI269" s="373"/>
      <c r="CJ269" s="373"/>
      <c r="CK269" s="373"/>
      <c r="CL269" s="373"/>
      <c r="CM269" s="373"/>
      <c r="CN269" s="373"/>
      <c r="CO269" s="373"/>
      <c r="CQ269" s="373"/>
      <c r="CR269" s="373"/>
      <c r="CS269" s="373"/>
      <c r="CT269" s="373"/>
      <c r="CU269" s="373"/>
      <c r="CV269" s="373"/>
      <c r="CW269" s="373"/>
      <c r="CX269" s="373"/>
      <c r="CY269" s="373"/>
      <c r="CZ269" s="373"/>
      <c r="DA269" s="373"/>
      <c r="DB269" s="373"/>
      <c r="DC269" s="373"/>
      <c r="DD269" s="373"/>
      <c r="DE269" s="373"/>
      <c r="DF269" s="373"/>
      <c r="DG269" s="373"/>
      <c r="DH269" s="373"/>
      <c r="DI269" s="373"/>
      <c r="DJ269" s="373"/>
      <c r="DL269" s="373"/>
      <c r="DM269" s="373"/>
      <c r="DN269" s="373"/>
      <c r="DO269" s="373"/>
      <c r="DP269" s="373"/>
      <c r="DR269" s="373"/>
      <c r="DS269" s="373"/>
      <c r="DT269" s="373"/>
      <c r="DY269" s="373"/>
      <c r="DZ269" s="373"/>
      <c r="EA269" s="373"/>
      <c r="EB269" s="373"/>
    </row>
    <row r="270" spans="1:132" x14ac:dyDescent="0.2">
      <c r="A270"/>
      <c r="B270" s="144"/>
      <c r="D270" s="341"/>
      <c r="F270" s="343"/>
      <c r="G270" s="343"/>
      <c r="H270" s="343"/>
      <c r="I270" s="343"/>
      <c r="J270" s="343"/>
      <c r="K270" s="343"/>
      <c r="L270" s="343"/>
      <c r="S270" s="373"/>
      <c r="T270" s="373"/>
      <c r="U270" s="373"/>
      <c r="V270" s="373"/>
      <c r="W270" s="373"/>
      <c r="X270" s="373"/>
      <c r="Y270" s="373"/>
      <c r="Z270" s="373"/>
      <c r="AA270" s="373"/>
      <c r="AB270" s="373"/>
      <c r="AC270" s="373"/>
      <c r="AD270" s="373"/>
      <c r="AE270" s="373"/>
      <c r="AF270" s="373"/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U270" s="373"/>
      <c r="AV270" s="373"/>
      <c r="AW270" s="373"/>
      <c r="AX270" s="373"/>
      <c r="AY270" s="373"/>
      <c r="AZ270" s="373"/>
      <c r="BA270" s="373"/>
      <c r="BB270" s="373"/>
      <c r="BC270" s="373"/>
      <c r="BD270" s="373"/>
      <c r="BE270" s="373"/>
      <c r="BF270" s="373"/>
      <c r="BI270" s="373"/>
      <c r="BJ270" s="373"/>
      <c r="BK270" s="373"/>
      <c r="BM270" s="373"/>
      <c r="BO270" s="373"/>
      <c r="BQ270" s="373"/>
      <c r="BS270" s="373"/>
      <c r="BT270" s="373"/>
      <c r="BU270" s="373"/>
      <c r="BX270" s="373"/>
      <c r="BY270" s="373"/>
      <c r="BZ270" s="373"/>
      <c r="CA270" s="373"/>
      <c r="CB270" s="373"/>
      <c r="CC270" s="373"/>
      <c r="CD270" s="373"/>
      <c r="CE270" s="373"/>
      <c r="CF270" s="373"/>
      <c r="CG270" s="373"/>
      <c r="CI270" s="373"/>
      <c r="CJ270" s="373"/>
      <c r="CK270" s="373"/>
      <c r="CL270" s="373"/>
      <c r="CM270" s="373"/>
      <c r="CN270" s="373"/>
      <c r="CO270" s="373"/>
      <c r="CQ270" s="373"/>
      <c r="CR270" s="373"/>
      <c r="CS270" s="373"/>
      <c r="CT270" s="373"/>
      <c r="CU270" s="373"/>
      <c r="CV270" s="373"/>
      <c r="CW270" s="373"/>
      <c r="CX270" s="373"/>
      <c r="CY270" s="373"/>
      <c r="CZ270" s="373"/>
      <c r="DA270" s="373"/>
      <c r="DB270" s="373"/>
      <c r="DC270" s="373"/>
      <c r="DD270" s="373"/>
      <c r="DE270" s="373"/>
      <c r="DF270" s="373"/>
      <c r="DG270" s="373"/>
      <c r="DH270" s="373"/>
      <c r="DI270" s="373"/>
      <c r="DJ270" s="373"/>
      <c r="DL270" s="373"/>
      <c r="DM270" s="373"/>
      <c r="DN270" s="373"/>
      <c r="DO270" s="373"/>
      <c r="DP270" s="373"/>
      <c r="DR270" s="373"/>
      <c r="DS270" s="373"/>
      <c r="DT270" s="373"/>
      <c r="DY270" s="373"/>
      <c r="DZ270" s="373"/>
      <c r="EA270" s="373"/>
      <c r="EB270" s="373"/>
    </row>
    <row r="271" spans="1:132" x14ac:dyDescent="0.2">
      <c r="A271"/>
      <c r="B271" s="144"/>
      <c r="D271" s="341"/>
      <c r="F271" s="343"/>
      <c r="G271" s="343"/>
      <c r="H271" s="343"/>
      <c r="I271" s="343"/>
      <c r="J271" s="343"/>
      <c r="K271" s="343"/>
      <c r="L271" s="343"/>
      <c r="S271" s="373"/>
      <c r="T271" s="373"/>
      <c r="U271" s="373"/>
      <c r="V271" s="373"/>
      <c r="W271" s="373"/>
      <c r="X271" s="373"/>
      <c r="Y271" s="373"/>
      <c r="Z271" s="373"/>
      <c r="AA271" s="373"/>
      <c r="AB271" s="373"/>
      <c r="AC271" s="373"/>
      <c r="AD271" s="373"/>
      <c r="AE271" s="373"/>
      <c r="AF271" s="373"/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U271" s="373"/>
      <c r="AV271" s="373"/>
      <c r="AW271" s="373"/>
      <c r="AX271" s="373"/>
      <c r="AY271" s="373"/>
      <c r="AZ271" s="373"/>
      <c r="BA271" s="373"/>
      <c r="BB271" s="373"/>
      <c r="BC271" s="373"/>
      <c r="BD271" s="373"/>
      <c r="BE271" s="373"/>
      <c r="BF271" s="373"/>
      <c r="BI271" s="373"/>
      <c r="BJ271" s="373"/>
      <c r="BK271" s="373"/>
      <c r="BM271" s="373"/>
      <c r="BO271" s="373"/>
      <c r="BQ271" s="373"/>
      <c r="BS271" s="373"/>
      <c r="BT271" s="373"/>
      <c r="BU271" s="373"/>
      <c r="BX271" s="373"/>
      <c r="BY271" s="373"/>
      <c r="BZ271" s="373"/>
      <c r="CA271" s="373"/>
      <c r="CB271" s="373"/>
      <c r="CC271" s="373"/>
      <c r="CD271" s="373"/>
      <c r="CE271" s="373"/>
      <c r="CF271" s="373"/>
      <c r="CG271" s="373"/>
      <c r="CH271" s="373"/>
      <c r="CI271" s="373"/>
      <c r="CJ271" s="373"/>
      <c r="CK271" s="373"/>
      <c r="CL271" s="373"/>
      <c r="CM271" s="373"/>
      <c r="CN271" s="373"/>
      <c r="CO271" s="373"/>
      <c r="CP271" s="373"/>
      <c r="CQ271" s="373"/>
      <c r="CR271" s="373"/>
      <c r="CS271" s="373"/>
      <c r="CT271" s="373"/>
      <c r="CU271" s="373"/>
      <c r="CV271" s="373"/>
      <c r="CW271" s="373"/>
      <c r="CX271" s="373"/>
      <c r="CY271" s="373"/>
      <c r="CZ271" s="373"/>
      <c r="DA271" s="373"/>
      <c r="DB271" s="373"/>
      <c r="DC271" s="373"/>
      <c r="DD271" s="373"/>
      <c r="DE271" s="373"/>
      <c r="DF271" s="373"/>
      <c r="DG271" s="373"/>
      <c r="DH271" s="373"/>
      <c r="DI271" s="373"/>
      <c r="DJ271" s="373"/>
      <c r="DL271" s="373"/>
      <c r="DM271" s="373"/>
      <c r="DN271" s="373"/>
      <c r="DO271" s="373"/>
      <c r="DP271" s="373"/>
      <c r="DR271" s="373"/>
      <c r="DS271" s="373"/>
      <c r="DT271" s="373"/>
      <c r="DY271" s="373"/>
      <c r="DZ271" s="373"/>
      <c r="EA271" s="373"/>
      <c r="EB271" s="373"/>
    </row>
    <row r="272" spans="1:132" x14ac:dyDescent="0.2">
      <c r="A272"/>
      <c r="B272" s="144"/>
      <c r="D272" s="341"/>
      <c r="F272" s="343"/>
      <c r="G272" s="343"/>
      <c r="H272" s="343"/>
      <c r="I272" s="343"/>
      <c r="J272" s="343"/>
      <c r="K272" s="343"/>
      <c r="L272" s="343"/>
      <c r="S272" s="373"/>
      <c r="T272" s="373"/>
      <c r="U272" s="373"/>
      <c r="V272" s="373"/>
      <c r="W272" s="373"/>
      <c r="X272" s="373"/>
      <c r="Y272" s="373"/>
      <c r="Z272" s="373"/>
      <c r="AA272" s="373"/>
      <c r="AB272" s="373"/>
      <c r="AC272" s="373"/>
      <c r="AD272" s="373"/>
      <c r="AE272" s="373"/>
      <c r="AF272" s="373"/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U272" s="373"/>
      <c r="AV272" s="373"/>
      <c r="AW272" s="373"/>
      <c r="AX272" s="373"/>
      <c r="AY272" s="373"/>
      <c r="AZ272" s="373"/>
      <c r="BA272" s="373"/>
      <c r="BB272" s="373"/>
      <c r="BC272" s="373"/>
      <c r="BD272" s="373"/>
      <c r="BE272" s="373"/>
      <c r="BF272" s="373"/>
      <c r="BI272" s="373"/>
      <c r="BJ272" s="373"/>
      <c r="BK272" s="373"/>
      <c r="BM272" s="373"/>
      <c r="BO272" s="373"/>
      <c r="BQ272" s="373"/>
      <c r="BS272" s="373"/>
      <c r="BT272" s="373"/>
      <c r="BU272" s="373"/>
      <c r="BX272" s="373"/>
      <c r="BY272" s="373"/>
      <c r="BZ272" s="373"/>
      <c r="CA272" s="373"/>
      <c r="CB272" s="373"/>
      <c r="CC272" s="373"/>
      <c r="CD272" s="373"/>
      <c r="CE272" s="373"/>
      <c r="CF272" s="373"/>
      <c r="CG272" s="373"/>
      <c r="CH272" s="373"/>
      <c r="CI272" s="373"/>
      <c r="CJ272" s="373"/>
      <c r="CK272" s="373"/>
      <c r="CL272" s="373"/>
      <c r="CM272" s="373"/>
      <c r="CN272" s="373"/>
      <c r="CO272" s="373"/>
      <c r="CP272" s="373"/>
      <c r="CQ272" s="373"/>
      <c r="CR272" s="373"/>
      <c r="CS272" s="373"/>
      <c r="CT272" s="373"/>
      <c r="CU272" s="373"/>
      <c r="CV272" s="373"/>
      <c r="CW272" s="373"/>
      <c r="CX272" s="373"/>
      <c r="CY272" s="373"/>
      <c r="CZ272" s="373"/>
      <c r="DA272" s="373"/>
      <c r="DB272" s="373"/>
      <c r="DC272" s="373"/>
      <c r="DD272" s="373"/>
      <c r="DE272" s="373"/>
      <c r="DF272" s="373"/>
      <c r="DG272" s="373"/>
      <c r="DH272" s="373"/>
      <c r="DI272" s="373"/>
      <c r="DJ272" s="373"/>
      <c r="DL272" s="373"/>
      <c r="DM272" s="373"/>
      <c r="DN272" s="373"/>
      <c r="DO272" s="373"/>
      <c r="DP272" s="373"/>
      <c r="DR272" s="373"/>
      <c r="DS272" s="373"/>
      <c r="DT272" s="373"/>
      <c r="DY272" s="373"/>
      <c r="DZ272" s="373"/>
      <c r="EA272" s="373"/>
      <c r="EB272" s="373"/>
    </row>
    <row r="273" spans="1:132" x14ac:dyDescent="0.2">
      <c r="A273"/>
      <c r="B273" s="144"/>
      <c r="D273" s="341"/>
      <c r="F273" s="343"/>
      <c r="G273" s="343"/>
      <c r="H273" s="343"/>
      <c r="I273" s="343"/>
      <c r="J273" s="343"/>
      <c r="K273" s="343"/>
      <c r="L273" s="343"/>
      <c r="S273" s="373"/>
      <c r="T273" s="373"/>
      <c r="U273" s="373"/>
      <c r="V273" s="373"/>
      <c r="W273" s="373"/>
      <c r="X273" s="373"/>
      <c r="Y273" s="373"/>
      <c r="Z273" s="373"/>
      <c r="AA273" s="373"/>
      <c r="AB273" s="373"/>
      <c r="AC273" s="373"/>
      <c r="AD273" s="373"/>
      <c r="AE273" s="373"/>
      <c r="AF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U273" s="373"/>
      <c r="AV273" s="373"/>
      <c r="AW273" s="373"/>
      <c r="AX273" s="373"/>
      <c r="AY273" s="373"/>
      <c r="AZ273" s="373"/>
      <c r="BA273" s="373"/>
      <c r="BB273" s="373"/>
      <c r="BC273" s="373"/>
      <c r="BD273" s="373"/>
      <c r="BE273" s="373"/>
      <c r="BF273" s="373"/>
      <c r="BI273" s="373"/>
      <c r="BJ273" s="373"/>
      <c r="BK273" s="373"/>
      <c r="BM273" s="373"/>
      <c r="BO273" s="373"/>
      <c r="BQ273" s="373"/>
      <c r="BS273" s="373"/>
      <c r="BT273" s="373"/>
      <c r="BU273" s="373"/>
      <c r="BX273" s="373"/>
      <c r="BY273" s="373"/>
      <c r="BZ273" s="373"/>
      <c r="CA273" s="373"/>
      <c r="CB273" s="373"/>
      <c r="CC273" s="373"/>
      <c r="CD273" s="373"/>
      <c r="CE273" s="373"/>
      <c r="CF273" s="373"/>
      <c r="CG273" s="373"/>
      <c r="CH273" s="373"/>
      <c r="CI273" s="373"/>
      <c r="CJ273" s="373"/>
      <c r="CK273" s="373"/>
      <c r="CL273" s="373"/>
      <c r="CM273" s="373"/>
      <c r="CN273" s="373"/>
      <c r="CO273" s="373"/>
      <c r="CP273" s="373"/>
      <c r="CQ273" s="373"/>
      <c r="CR273" s="373"/>
      <c r="CS273" s="373"/>
      <c r="CT273" s="373"/>
      <c r="CU273" s="373"/>
      <c r="CV273" s="373"/>
      <c r="CW273" s="373"/>
      <c r="CX273" s="373"/>
      <c r="CY273" s="373"/>
      <c r="CZ273" s="373"/>
      <c r="DA273" s="373"/>
      <c r="DB273" s="373"/>
      <c r="DC273" s="373"/>
      <c r="DD273" s="373"/>
      <c r="DE273" s="373"/>
      <c r="DF273" s="373"/>
      <c r="DG273" s="373"/>
      <c r="DH273" s="373"/>
      <c r="DI273" s="373"/>
      <c r="DJ273" s="373"/>
      <c r="DL273" s="373"/>
      <c r="DM273" s="373"/>
      <c r="DN273" s="373"/>
      <c r="DO273" s="373"/>
      <c r="DP273" s="373"/>
      <c r="DR273" s="373"/>
      <c r="DS273" s="373"/>
      <c r="DT273" s="373"/>
      <c r="DY273" s="373"/>
      <c r="DZ273" s="373"/>
      <c r="EA273" s="373"/>
      <c r="EB273" s="373"/>
    </row>
    <row r="274" spans="1:132" x14ac:dyDescent="0.2">
      <c r="A274"/>
      <c r="B274" s="144"/>
      <c r="D274" s="341"/>
      <c r="F274" s="343"/>
      <c r="G274" s="343"/>
      <c r="H274" s="343"/>
      <c r="I274" s="343"/>
      <c r="J274" s="343"/>
      <c r="K274" s="343"/>
      <c r="L274" s="343"/>
      <c r="S274" s="373"/>
      <c r="T274" s="373"/>
      <c r="U274" s="373"/>
      <c r="V274" s="373"/>
      <c r="W274" s="373"/>
      <c r="X274" s="373"/>
      <c r="Y274" s="373"/>
      <c r="Z274" s="373"/>
      <c r="AA274" s="373"/>
      <c r="AB274" s="373"/>
      <c r="AC274" s="373"/>
      <c r="AD274" s="373"/>
      <c r="AE274" s="373"/>
      <c r="AF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U274" s="373"/>
      <c r="AV274" s="373"/>
      <c r="AW274" s="373"/>
      <c r="AX274" s="373"/>
      <c r="AY274" s="373"/>
      <c r="AZ274" s="373"/>
      <c r="BA274" s="373"/>
      <c r="BB274" s="373"/>
      <c r="BC274" s="373"/>
      <c r="BD274" s="373"/>
      <c r="BE274" s="373"/>
      <c r="BF274" s="373"/>
      <c r="BI274" s="373"/>
      <c r="BJ274" s="373"/>
      <c r="BK274" s="373"/>
      <c r="BM274" s="373"/>
      <c r="BO274" s="373"/>
      <c r="BQ274" s="373"/>
      <c r="BS274" s="373"/>
      <c r="BT274" s="373"/>
      <c r="BU274" s="373"/>
      <c r="BX274" s="373"/>
      <c r="BY274" s="373"/>
      <c r="BZ274" s="373"/>
      <c r="CA274" s="373"/>
      <c r="CB274" s="373"/>
      <c r="CC274" s="373"/>
      <c r="CD274" s="373"/>
      <c r="CE274" s="373"/>
      <c r="CF274" s="373"/>
      <c r="CG274" s="373"/>
      <c r="CH274" s="373"/>
      <c r="CI274" s="373"/>
      <c r="CJ274" s="373"/>
      <c r="CK274" s="373"/>
      <c r="CL274" s="373"/>
      <c r="CM274" s="373"/>
      <c r="CN274" s="373"/>
      <c r="CO274" s="373"/>
      <c r="CP274" s="373"/>
      <c r="CQ274" s="373"/>
      <c r="CR274" s="373"/>
      <c r="CS274" s="373"/>
      <c r="CT274" s="373"/>
      <c r="CU274" s="373"/>
      <c r="CV274" s="373"/>
      <c r="CW274" s="373"/>
      <c r="CX274" s="373"/>
      <c r="CY274" s="373"/>
      <c r="CZ274" s="373"/>
      <c r="DA274" s="373"/>
      <c r="DB274" s="373"/>
      <c r="DC274" s="373"/>
      <c r="DD274" s="373"/>
      <c r="DE274" s="373"/>
      <c r="DF274" s="373"/>
      <c r="DG274" s="373"/>
      <c r="DH274" s="373"/>
      <c r="DI274" s="373"/>
      <c r="DJ274" s="373"/>
      <c r="DL274" s="373"/>
      <c r="DM274" s="373"/>
      <c r="DN274" s="373"/>
      <c r="DO274" s="373"/>
      <c r="DP274" s="373"/>
      <c r="DR274" s="373"/>
      <c r="DS274" s="373"/>
      <c r="DT274" s="373"/>
      <c r="DY274" s="373"/>
      <c r="DZ274" s="373"/>
      <c r="EA274" s="373"/>
      <c r="EB274" s="373"/>
    </row>
    <row r="275" spans="1:132" x14ac:dyDescent="0.2">
      <c r="A275"/>
      <c r="B275" s="144"/>
      <c r="D275" s="341"/>
      <c r="F275" s="343"/>
      <c r="G275" s="343"/>
      <c r="H275" s="343"/>
      <c r="I275" s="343"/>
      <c r="J275" s="343"/>
      <c r="K275" s="343"/>
      <c r="L275" s="343"/>
      <c r="S275" s="373"/>
      <c r="T275" s="373"/>
      <c r="U275" s="373"/>
      <c r="V275" s="373"/>
      <c r="W275" s="373"/>
      <c r="X275" s="373"/>
      <c r="Y275" s="373"/>
      <c r="Z275" s="373"/>
      <c r="AA275" s="373"/>
      <c r="AB275" s="373"/>
      <c r="AC275" s="373"/>
      <c r="AD275" s="373"/>
      <c r="AE275" s="373"/>
      <c r="AF275" s="373"/>
      <c r="AH275" s="373"/>
      <c r="AI275" s="373"/>
      <c r="AJ275" s="373"/>
      <c r="AK275" s="373"/>
      <c r="AL275" s="373"/>
      <c r="AM275" s="373"/>
      <c r="AN275" s="373"/>
      <c r="AO275" s="373"/>
      <c r="AP275" s="373"/>
      <c r="AQ275" s="373"/>
      <c r="AR275" s="373"/>
      <c r="AS275" s="373"/>
      <c r="AU275" s="373"/>
      <c r="AV275" s="373"/>
      <c r="AW275" s="373"/>
      <c r="AX275" s="373"/>
      <c r="AY275" s="373"/>
      <c r="AZ275" s="373"/>
      <c r="BA275" s="373"/>
      <c r="BB275" s="373"/>
      <c r="BC275" s="373"/>
      <c r="BD275" s="373"/>
      <c r="BE275" s="373"/>
      <c r="BF275" s="373"/>
      <c r="BI275" s="373"/>
      <c r="BJ275" s="373"/>
      <c r="BK275" s="373"/>
      <c r="BM275" s="373"/>
      <c r="BO275" s="373"/>
      <c r="BQ275" s="373"/>
      <c r="BS275" s="373"/>
      <c r="BT275" s="373"/>
      <c r="BU275" s="373"/>
      <c r="BX275" s="373"/>
      <c r="BY275" s="373"/>
      <c r="BZ275" s="373"/>
      <c r="CA275" s="373"/>
      <c r="CB275" s="373"/>
      <c r="CC275" s="373"/>
      <c r="CD275" s="373"/>
      <c r="CE275" s="373"/>
      <c r="CF275" s="373"/>
      <c r="CG275" s="373"/>
      <c r="CH275" s="373"/>
      <c r="CI275" s="373"/>
      <c r="CJ275" s="373"/>
      <c r="CK275" s="373"/>
      <c r="CL275" s="373"/>
      <c r="CM275" s="373"/>
      <c r="CN275" s="373"/>
      <c r="CO275" s="373"/>
      <c r="CP275" s="373"/>
      <c r="CQ275" s="373"/>
      <c r="CR275" s="373"/>
      <c r="CS275" s="373"/>
      <c r="CT275" s="373"/>
      <c r="CU275" s="373"/>
      <c r="CV275" s="373"/>
      <c r="CW275" s="373"/>
      <c r="CX275" s="373"/>
      <c r="CY275" s="373"/>
      <c r="CZ275" s="373"/>
      <c r="DA275" s="373"/>
      <c r="DB275" s="373"/>
      <c r="DC275" s="373"/>
      <c r="DD275" s="373"/>
      <c r="DE275" s="373"/>
      <c r="DF275" s="373"/>
      <c r="DG275" s="373"/>
      <c r="DH275" s="373"/>
      <c r="DI275" s="373"/>
      <c r="DJ275" s="373"/>
      <c r="DL275" s="373"/>
      <c r="DM275" s="373"/>
      <c r="DN275" s="373"/>
      <c r="DO275" s="373"/>
      <c r="DP275" s="373"/>
      <c r="DR275" s="373"/>
      <c r="DS275" s="373"/>
      <c r="DT275" s="373"/>
      <c r="DY275" s="373"/>
      <c r="DZ275" s="373"/>
      <c r="EA275" s="373"/>
      <c r="EB275" s="373"/>
    </row>
    <row r="276" spans="1:132" x14ac:dyDescent="0.2">
      <c r="A276"/>
      <c r="B276" s="144"/>
      <c r="D276" s="341"/>
      <c r="F276" s="343"/>
      <c r="G276" s="343"/>
      <c r="H276" s="343"/>
      <c r="I276" s="343"/>
      <c r="J276" s="343"/>
      <c r="K276" s="343"/>
      <c r="L276" s="343"/>
      <c r="S276" s="373"/>
      <c r="T276" s="373"/>
      <c r="U276" s="373"/>
      <c r="V276" s="373"/>
      <c r="W276" s="373"/>
      <c r="X276" s="373"/>
      <c r="Y276" s="373"/>
      <c r="Z276" s="373"/>
      <c r="AA276" s="373"/>
      <c r="AB276" s="373"/>
      <c r="AC276" s="373"/>
      <c r="AD276" s="373"/>
      <c r="AE276" s="373"/>
      <c r="AF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U276" s="373"/>
      <c r="AV276" s="373"/>
      <c r="AW276" s="373"/>
      <c r="AX276" s="373"/>
      <c r="AY276" s="373"/>
      <c r="AZ276" s="373"/>
      <c r="BA276" s="373"/>
      <c r="BB276" s="373"/>
      <c r="BC276" s="373"/>
      <c r="BD276" s="373"/>
      <c r="BE276" s="373"/>
      <c r="BF276" s="373"/>
      <c r="BI276" s="373"/>
      <c r="BJ276" s="373"/>
      <c r="BK276" s="373"/>
      <c r="BM276" s="373"/>
      <c r="BO276" s="373"/>
      <c r="BQ276" s="373"/>
      <c r="BS276" s="373"/>
      <c r="BT276" s="373"/>
      <c r="BU276" s="373"/>
      <c r="BX276" s="373"/>
      <c r="BY276" s="373"/>
      <c r="BZ276" s="373"/>
      <c r="CA276" s="373"/>
      <c r="CB276" s="373"/>
      <c r="CC276" s="373"/>
      <c r="CD276" s="373"/>
      <c r="CE276" s="373"/>
      <c r="CF276" s="373"/>
      <c r="CG276" s="373"/>
      <c r="CH276" s="373"/>
      <c r="CI276" s="373"/>
      <c r="CJ276" s="373"/>
      <c r="CK276" s="373"/>
      <c r="CL276" s="373"/>
      <c r="CM276" s="373"/>
      <c r="CN276" s="373"/>
      <c r="CO276" s="373"/>
      <c r="CP276" s="373"/>
      <c r="CQ276" s="373"/>
      <c r="CR276" s="373"/>
      <c r="CS276" s="373"/>
      <c r="CT276" s="373"/>
      <c r="CU276" s="373"/>
      <c r="CV276" s="373"/>
      <c r="CW276" s="373"/>
      <c r="CX276" s="373"/>
      <c r="CY276" s="373"/>
      <c r="CZ276" s="373"/>
      <c r="DA276" s="373"/>
      <c r="DB276" s="373"/>
      <c r="DC276" s="373"/>
      <c r="DD276" s="373"/>
      <c r="DE276" s="373"/>
      <c r="DF276" s="373"/>
      <c r="DG276" s="373"/>
      <c r="DH276" s="373"/>
      <c r="DI276" s="373"/>
      <c r="DJ276" s="373"/>
      <c r="DL276" s="373"/>
      <c r="DM276" s="373"/>
      <c r="DN276" s="373"/>
      <c r="DO276" s="373"/>
      <c r="DP276" s="373"/>
      <c r="DR276" s="373"/>
      <c r="DS276" s="373"/>
      <c r="DT276" s="373"/>
      <c r="DY276" s="373"/>
      <c r="DZ276" s="373"/>
      <c r="EA276" s="373"/>
      <c r="EB276" s="373"/>
    </row>
    <row r="277" spans="1:132" x14ac:dyDescent="0.2">
      <c r="A277"/>
      <c r="B277" s="144"/>
      <c r="D277" s="341"/>
      <c r="F277" s="343"/>
      <c r="G277" s="343"/>
      <c r="H277" s="343"/>
      <c r="I277" s="343"/>
      <c r="J277" s="343"/>
      <c r="K277" s="343"/>
      <c r="L277" s="343"/>
      <c r="S277" s="373"/>
      <c r="T277" s="373"/>
      <c r="U277" s="373"/>
      <c r="V277" s="373"/>
      <c r="W277" s="373"/>
      <c r="X277" s="373"/>
      <c r="Y277" s="373"/>
      <c r="Z277" s="373"/>
      <c r="AA277" s="373"/>
      <c r="AB277" s="373"/>
      <c r="AC277" s="373"/>
      <c r="AD277" s="373"/>
      <c r="AE277" s="373"/>
      <c r="AF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U277" s="373"/>
      <c r="AV277" s="373"/>
      <c r="AW277" s="373"/>
      <c r="AX277" s="373"/>
      <c r="AY277" s="373"/>
      <c r="AZ277" s="373"/>
      <c r="BA277" s="373"/>
      <c r="BB277" s="373"/>
      <c r="BC277" s="373"/>
      <c r="BD277" s="373"/>
      <c r="BE277" s="373"/>
      <c r="BF277" s="373"/>
      <c r="BI277" s="373"/>
      <c r="BJ277" s="373"/>
      <c r="BK277" s="373"/>
      <c r="BM277" s="373"/>
      <c r="BO277" s="373"/>
      <c r="BQ277" s="373"/>
      <c r="BS277" s="373"/>
      <c r="BT277" s="373"/>
      <c r="BU277" s="373"/>
      <c r="BX277" s="373"/>
      <c r="BY277" s="373"/>
      <c r="BZ277" s="373"/>
      <c r="CA277" s="373"/>
      <c r="CB277" s="373"/>
      <c r="CC277" s="373"/>
      <c r="CD277" s="373"/>
      <c r="CE277" s="373"/>
      <c r="CF277" s="373"/>
      <c r="CG277" s="373"/>
      <c r="CH277" s="373"/>
      <c r="CI277" s="373"/>
      <c r="CJ277" s="373"/>
      <c r="CK277" s="373"/>
      <c r="CL277" s="373"/>
      <c r="CM277" s="373"/>
      <c r="CN277" s="373"/>
      <c r="CO277" s="373"/>
      <c r="CP277" s="373"/>
      <c r="CQ277" s="373"/>
      <c r="CR277" s="373"/>
      <c r="CS277" s="373"/>
      <c r="CT277" s="373"/>
      <c r="CU277" s="373"/>
      <c r="CV277" s="373"/>
      <c r="CW277" s="373"/>
      <c r="CX277" s="373"/>
      <c r="CY277" s="373"/>
      <c r="CZ277" s="373"/>
      <c r="DA277" s="373"/>
      <c r="DB277" s="373"/>
      <c r="DC277" s="373"/>
      <c r="DD277" s="373"/>
      <c r="DE277" s="373"/>
      <c r="DF277" s="373"/>
      <c r="DG277" s="373"/>
      <c r="DH277" s="373"/>
      <c r="DI277" s="373"/>
      <c r="DJ277" s="373"/>
      <c r="DL277" s="373"/>
      <c r="DM277" s="373"/>
      <c r="DN277" s="373"/>
      <c r="DO277" s="373"/>
      <c r="DP277" s="373"/>
      <c r="DR277" s="373"/>
      <c r="DS277" s="373"/>
      <c r="DT277" s="373"/>
      <c r="DY277" s="373"/>
      <c r="DZ277" s="373"/>
      <c r="EA277" s="373"/>
      <c r="EB277" s="373"/>
    </row>
    <row r="278" spans="1:132" x14ac:dyDescent="0.2">
      <c r="A278"/>
      <c r="B278" s="144"/>
      <c r="D278" s="341"/>
      <c r="F278" s="343"/>
      <c r="G278" s="343"/>
      <c r="H278" s="343"/>
      <c r="I278" s="343"/>
      <c r="J278" s="343"/>
      <c r="K278" s="343"/>
      <c r="L278" s="343"/>
      <c r="S278" s="373"/>
      <c r="T278" s="373"/>
      <c r="U278" s="373"/>
      <c r="V278" s="373"/>
      <c r="W278" s="373"/>
      <c r="X278" s="373"/>
      <c r="Y278" s="373"/>
      <c r="Z278" s="373"/>
      <c r="AA278" s="373"/>
      <c r="AB278" s="373"/>
      <c r="AC278" s="373"/>
      <c r="AD278" s="373"/>
      <c r="AE278" s="373"/>
      <c r="AF278" s="373"/>
      <c r="AH278" s="373"/>
      <c r="AI278" s="373"/>
      <c r="AJ278" s="373"/>
      <c r="AK278" s="373"/>
      <c r="AL278" s="373"/>
      <c r="AM278" s="373"/>
      <c r="AN278" s="373"/>
      <c r="AO278" s="373"/>
      <c r="AP278" s="373"/>
      <c r="AQ278" s="373"/>
      <c r="AR278" s="373"/>
      <c r="AS278" s="373"/>
      <c r="AU278" s="373"/>
      <c r="AV278" s="373"/>
      <c r="AW278" s="373"/>
      <c r="AX278" s="373"/>
      <c r="AY278" s="373"/>
      <c r="AZ278" s="373"/>
      <c r="BA278" s="373"/>
      <c r="BB278" s="373"/>
      <c r="BC278" s="373"/>
      <c r="BD278" s="373"/>
      <c r="BE278" s="373"/>
      <c r="BF278" s="373"/>
      <c r="BI278" s="373"/>
      <c r="BJ278" s="373"/>
      <c r="BK278" s="373"/>
      <c r="BM278" s="373"/>
      <c r="BO278" s="373"/>
      <c r="BQ278" s="373"/>
      <c r="BS278" s="373"/>
      <c r="BT278" s="373"/>
      <c r="BU278" s="373"/>
      <c r="BX278" s="373"/>
      <c r="BY278" s="373"/>
      <c r="BZ278" s="373"/>
      <c r="CA278" s="373"/>
      <c r="CB278" s="373"/>
      <c r="CC278" s="373"/>
      <c r="CD278" s="373"/>
      <c r="CE278" s="373"/>
      <c r="CF278" s="373"/>
      <c r="CG278" s="373"/>
      <c r="CH278" s="373"/>
      <c r="CI278" s="373"/>
      <c r="CJ278" s="373"/>
      <c r="CK278" s="373"/>
      <c r="CL278" s="373"/>
      <c r="CM278" s="373"/>
      <c r="CN278" s="373"/>
      <c r="CO278" s="373"/>
      <c r="CP278" s="373"/>
      <c r="CQ278" s="373"/>
      <c r="CR278" s="373"/>
      <c r="CS278" s="373"/>
      <c r="CT278" s="373"/>
      <c r="CU278" s="373"/>
      <c r="CV278" s="373"/>
      <c r="CW278" s="373"/>
      <c r="CX278" s="373"/>
      <c r="CY278" s="373"/>
      <c r="CZ278" s="373"/>
      <c r="DA278" s="373"/>
      <c r="DB278" s="373"/>
      <c r="DC278" s="373"/>
      <c r="DD278" s="373"/>
      <c r="DE278" s="373"/>
      <c r="DF278" s="373"/>
      <c r="DG278" s="373"/>
      <c r="DH278" s="373"/>
      <c r="DI278" s="373"/>
      <c r="DJ278" s="373"/>
      <c r="DL278" s="373"/>
      <c r="DM278" s="373"/>
      <c r="DN278" s="373"/>
      <c r="DO278" s="373"/>
      <c r="DP278" s="373"/>
      <c r="DR278" s="373"/>
      <c r="DS278" s="373"/>
      <c r="DT278" s="373"/>
      <c r="DY278" s="373"/>
      <c r="DZ278" s="373"/>
      <c r="EA278" s="373"/>
      <c r="EB278" s="373"/>
    </row>
    <row r="279" spans="1:132" x14ac:dyDescent="0.2">
      <c r="A279"/>
      <c r="B279" s="144"/>
      <c r="D279" s="341"/>
      <c r="F279" s="343"/>
      <c r="G279" s="343"/>
      <c r="H279" s="343"/>
      <c r="I279" s="343"/>
      <c r="J279" s="343"/>
      <c r="K279" s="343"/>
      <c r="L279" s="343"/>
      <c r="S279" s="373"/>
      <c r="T279" s="373"/>
      <c r="U279" s="373"/>
      <c r="V279" s="373"/>
      <c r="W279" s="373"/>
      <c r="X279" s="373"/>
      <c r="Y279" s="373"/>
      <c r="Z279" s="373"/>
      <c r="AA279" s="373"/>
      <c r="AB279" s="373"/>
      <c r="AC279" s="373"/>
      <c r="AD279" s="373"/>
      <c r="AE279" s="373"/>
      <c r="AF279" s="373"/>
      <c r="AH279" s="373"/>
      <c r="AI279" s="373"/>
      <c r="AJ279" s="373"/>
      <c r="AK279" s="373"/>
      <c r="AL279" s="373"/>
      <c r="AM279" s="373"/>
      <c r="AN279" s="373"/>
      <c r="AO279" s="373"/>
      <c r="AQ279" s="373"/>
      <c r="AR279" s="373"/>
      <c r="AS279" s="373"/>
      <c r="AU279" s="373"/>
      <c r="AV279" s="373"/>
      <c r="AX279" s="373"/>
      <c r="AY279" s="373"/>
      <c r="AZ279" s="373"/>
      <c r="BA279" s="373"/>
      <c r="BB279" s="373"/>
      <c r="BC279" s="373"/>
      <c r="BD279" s="373"/>
      <c r="BE279" s="373"/>
      <c r="BF279" s="373"/>
      <c r="BJ279" s="373"/>
      <c r="BK279" s="373"/>
      <c r="BM279" s="373"/>
      <c r="BO279" s="373"/>
      <c r="BQ279" s="373"/>
      <c r="BS279" s="373"/>
      <c r="BT279" s="373"/>
      <c r="BU279" s="373"/>
      <c r="BX279" s="373"/>
      <c r="BZ279" s="373"/>
      <c r="CA279" s="373"/>
      <c r="CB279" s="373"/>
      <c r="CC279" s="373"/>
      <c r="CD279" s="373"/>
      <c r="CE279" s="373"/>
      <c r="CF279" s="373"/>
      <c r="CG279" s="373"/>
      <c r="CH279" s="373"/>
      <c r="CI279" s="373"/>
      <c r="CJ279" s="373"/>
      <c r="CK279" s="373"/>
      <c r="CL279" s="373"/>
      <c r="CM279" s="373"/>
      <c r="CN279" s="373"/>
      <c r="CO279" s="373"/>
      <c r="CP279" s="373"/>
      <c r="CQ279" s="373"/>
      <c r="CR279" s="373"/>
      <c r="CS279" s="373"/>
      <c r="CT279" s="373"/>
      <c r="CU279" s="373"/>
      <c r="CV279" s="373"/>
      <c r="CW279" s="373"/>
      <c r="CX279" s="373"/>
      <c r="CY279" s="373"/>
      <c r="CZ279" s="373"/>
      <c r="DA279" s="373"/>
      <c r="DB279" s="373"/>
      <c r="DC279" s="373"/>
      <c r="DD279" s="373"/>
      <c r="DE279" s="373"/>
      <c r="DF279" s="373"/>
      <c r="DG279" s="373"/>
      <c r="DH279" s="373"/>
      <c r="DI279" s="373"/>
      <c r="DL279" s="373"/>
      <c r="DM279" s="373"/>
      <c r="DN279" s="373"/>
      <c r="DO279" s="373"/>
      <c r="DP279" s="373"/>
      <c r="DR279" s="373"/>
      <c r="DS279" s="373"/>
      <c r="DT279" s="373"/>
      <c r="DY279" s="373"/>
      <c r="EA279" s="373"/>
    </row>
    <row r="280" spans="1:132" x14ac:dyDescent="0.2">
      <c r="A280"/>
      <c r="B280" s="144"/>
      <c r="D280" s="341"/>
      <c r="F280" s="343"/>
      <c r="G280" s="343"/>
      <c r="H280" s="343"/>
      <c r="I280" s="343"/>
      <c r="J280" s="343"/>
      <c r="K280" s="343"/>
      <c r="L280" s="343"/>
      <c r="S280" s="373"/>
      <c r="T280" s="373"/>
      <c r="U280" s="373"/>
      <c r="V280" s="373"/>
      <c r="W280" s="373"/>
      <c r="X280" s="373"/>
      <c r="Y280" s="373"/>
      <c r="Z280" s="373"/>
      <c r="AA280" s="373"/>
      <c r="AB280" s="373"/>
      <c r="AC280" s="373"/>
      <c r="AD280" s="373"/>
      <c r="AE280" s="373"/>
      <c r="AF280" s="373"/>
      <c r="AH280" s="373"/>
      <c r="AI280" s="373"/>
      <c r="AJ280" s="373"/>
      <c r="AK280" s="373"/>
      <c r="AL280" s="373"/>
      <c r="AM280" s="373"/>
      <c r="AN280" s="373"/>
      <c r="AO280" s="373"/>
      <c r="AQ280" s="373"/>
      <c r="AR280" s="373"/>
      <c r="AS280" s="373"/>
      <c r="AU280" s="373"/>
      <c r="AV280" s="373"/>
      <c r="AX280" s="373"/>
      <c r="AY280" s="373"/>
      <c r="AZ280" s="373"/>
      <c r="BA280" s="373"/>
      <c r="BB280" s="373"/>
      <c r="BC280" s="373"/>
      <c r="BD280" s="373"/>
      <c r="BE280" s="373"/>
      <c r="BF280" s="373"/>
      <c r="BJ280" s="373"/>
      <c r="BK280" s="373"/>
      <c r="BM280" s="373"/>
      <c r="BO280" s="373"/>
      <c r="BQ280" s="373"/>
      <c r="BS280" s="373"/>
      <c r="BT280" s="373"/>
      <c r="BU280" s="373"/>
      <c r="BX280" s="373"/>
      <c r="BZ280" s="373"/>
      <c r="CA280" s="373"/>
      <c r="CB280" s="373"/>
      <c r="CC280" s="373"/>
      <c r="CD280" s="373"/>
      <c r="CE280" s="373"/>
      <c r="CF280" s="373"/>
      <c r="CG280" s="373"/>
      <c r="CH280" s="373"/>
      <c r="CI280" s="373"/>
      <c r="CJ280" s="373"/>
      <c r="CK280" s="373"/>
      <c r="CL280" s="373"/>
      <c r="CM280" s="373"/>
      <c r="CN280" s="373"/>
      <c r="CO280" s="373"/>
      <c r="CP280" s="373"/>
      <c r="CQ280" s="373"/>
      <c r="CR280" s="373"/>
      <c r="CS280" s="373"/>
      <c r="CT280" s="373"/>
      <c r="CU280" s="373"/>
      <c r="CV280" s="373"/>
      <c r="CW280" s="373"/>
      <c r="CX280" s="373"/>
      <c r="CY280" s="373"/>
      <c r="CZ280" s="373"/>
      <c r="DA280" s="373"/>
      <c r="DB280" s="373"/>
      <c r="DC280" s="373"/>
      <c r="DD280" s="373"/>
      <c r="DE280" s="373"/>
      <c r="DF280" s="373"/>
      <c r="DG280" s="373"/>
      <c r="DH280" s="373"/>
      <c r="DI280" s="373"/>
      <c r="DL280" s="373"/>
      <c r="DM280" s="373"/>
      <c r="DN280" s="373"/>
      <c r="DO280" s="373"/>
      <c r="DP280" s="373"/>
      <c r="DR280" s="373"/>
      <c r="DS280" s="373"/>
      <c r="DT280" s="373"/>
      <c r="DY280" s="373"/>
      <c r="EA280" s="373"/>
    </row>
    <row r="281" spans="1:132" x14ac:dyDescent="0.2">
      <c r="A281"/>
      <c r="B281" s="144"/>
      <c r="D281" s="341"/>
      <c r="F281" s="343"/>
      <c r="G281" s="343"/>
      <c r="H281" s="343"/>
      <c r="I281" s="343"/>
      <c r="J281" s="343"/>
      <c r="K281" s="343"/>
      <c r="L281" s="343"/>
      <c r="S281" s="373"/>
      <c r="T281" s="373"/>
      <c r="U281" s="373"/>
      <c r="V281" s="373"/>
      <c r="W281" s="373"/>
      <c r="X281" s="373"/>
      <c r="Y281" s="373"/>
      <c r="Z281" s="373"/>
      <c r="AA281" s="373"/>
      <c r="AB281" s="373"/>
      <c r="AC281" s="373"/>
      <c r="AD281" s="373"/>
      <c r="AE281" s="373"/>
      <c r="AF281" s="373"/>
      <c r="AH281" s="373"/>
      <c r="AI281" s="373"/>
      <c r="AJ281" s="373"/>
      <c r="AK281" s="373"/>
      <c r="AL281" s="373"/>
      <c r="AM281" s="373"/>
      <c r="AN281" s="373"/>
      <c r="AO281" s="373"/>
      <c r="AQ281" s="373"/>
      <c r="AR281" s="373"/>
      <c r="AS281" s="373"/>
      <c r="AU281" s="373"/>
      <c r="AV281" s="373"/>
      <c r="AX281" s="373"/>
      <c r="AY281" s="373"/>
      <c r="AZ281" s="373"/>
      <c r="BA281" s="373"/>
      <c r="BB281" s="373"/>
      <c r="BC281" s="373"/>
      <c r="BD281" s="373"/>
      <c r="BE281" s="373"/>
      <c r="BF281" s="373"/>
      <c r="BJ281" s="373"/>
      <c r="BK281" s="373"/>
      <c r="BM281" s="373"/>
      <c r="BO281" s="373"/>
      <c r="BQ281" s="373"/>
      <c r="BS281" s="373"/>
      <c r="BT281" s="373"/>
      <c r="BU281" s="373"/>
      <c r="BX281" s="373"/>
      <c r="BZ281" s="373"/>
      <c r="CA281" s="373"/>
      <c r="CB281" s="373"/>
      <c r="CC281" s="373"/>
      <c r="CD281" s="373"/>
      <c r="CE281" s="373"/>
      <c r="CF281" s="373"/>
      <c r="CG281" s="373"/>
      <c r="CH281" s="373"/>
      <c r="CI281" s="373"/>
      <c r="CJ281" s="373"/>
      <c r="CK281" s="373"/>
      <c r="CL281" s="373"/>
      <c r="CM281" s="373"/>
      <c r="CN281" s="373"/>
      <c r="CO281" s="373"/>
      <c r="CP281" s="373"/>
      <c r="CQ281" s="373"/>
      <c r="CR281" s="373"/>
      <c r="CS281" s="373"/>
      <c r="CT281" s="373"/>
      <c r="CU281" s="373"/>
      <c r="CV281" s="373"/>
      <c r="CW281" s="373"/>
      <c r="CX281" s="373"/>
      <c r="CY281" s="373"/>
      <c r="CZ281" s="373"/>
      <c r="DA281" s="373"/>
      <c r="DB281" s="373"/>
      <c r="DC281" s="373"/>
      <c r="DD281" s="373"/>
      <c r="DE281" s="373"/>
      <c r="DF281" s="373"/>
      <c r="DG281" s="373"/>
      <c r="DH281" s="373"/>
      <c r="DI281" s="373"/>
      <c r="DL281" s="373"/>
      <c r="DM281" s="373"/>
      <c r="DN281" s="373"/>
      <c r="DO281" s="373"/>
      <c r="DP281" s="373"/>
      <c r="DR281" s="373"/>
      <c r="DS281" s="373"/>
      <c r="DT281" s="373"/>
      <c r="DY281" s="373"/>
      <c r="EA281" s="373"/>
    </row>
    <row r="282" spans="1:132" x14ac:dyDescent="0.2">
      <c r="A282"/>
      <c r="B282" s="144"/>
      <c r="D282" s="341"/>
      <c r="F282" s="343"/>
      <c r="G282" s="343"/>
      <c r="H282" s="343"/>
      <c r="I282" s="343"/>
      <c r="J282" s="343"/>
      <c r="K282" s="343"/>
      <c r="L282" s="343"/>
      <c r="S282" s="373"/>
      <c r="T282" s="373"/>
      <c r="U282" s="373"/>
      <c r="V282" s="373"/>
      <c r="W282" s="373"/>
      <c r="X282" s="373"/>
      <c r="Y282" s="373"/>
      <c r="Z282" s="373"/>
      <c r="AA282" s="373"/>
      <c r="AB282" s="373"/>
      <c r="AC282" s="373"/>
      <c r="AD282" s="373"/>
      <c r="AE282" s="373"/>
      <c r="AF282" s="373"/>
      <c r="AH282" s="373"/>
      <c r="AI282" s="373"/>
      <c r="AJ282" s="373"/>
      <c r="AK282" s="373"/>
      <c r="AL282" s="373"/>
      <c r="AM282" s="373"/>
      <c r="AN282" s="373"/>
      <c r="AO282" s="373"/>
      <c r="AQ282" s="373"/>
      <c r="AR282" s="373"/>
      <c r="AS282" s="373"/>
      <c r="AU282" s="373"/>
      <c r="AV282" s="373"/>
      <c r="AX282" s="373"/>
      <c r="AY282" s="373"/>
      <c r="AZ282" s="373"/>
      <c r="BA282" s="373"/>
      <c r="BB282" s="373"/>
      <c r="BC282" s="373"/>
      <c r="BD282" s="373"/>
      <c r="BE282" s="373"/>
      <c r="BF282" s="373"/>
      <c r="BJ282" s="373"/>
      <c r="BK282" s="373"/>
      <c r="BM282" s="373"/>
      <c r="BO282" s="373"/>
      <c r="BQ282" s="373"/>
      <c r="BS282" s="373"/>
      <c r="BT282" s="373"/>
      <c r="BU282" s="373"/>
      <c r="BX282" s="373"/>
      <c r="BZ282" s="373"/>
      <c r="CA282" s="373"/>
      <c r="CB282" s="373"/>
      <c r="CC282" s="373"/>
      <c r="CD282" s="373"/>
      <c r="CE282" s="373"/>
      <c r="CF282" s="373"/>
      <c r="CG282" s="373"/>
      <c r="CH282" s="373"/>
      <c r="CI282" s="373"/>
      <c r="CJ282" s="373"/>
      <c r="CK282" s="373"/>
      <c r="CL282" s="373"/>
      <c r="CM282" s="373"/>
      <c r="CN282" s="373"/>
      <c r="CO282" s="373"/>
      <c r="CP282" s="373"/>
      <c r="CQ282" s="373"/>
      <c r="CR282" s="373"/>
      <c r="CS282" s="373"/>
      <c r="CT282" s="373"/>
      <c r="CU282" s="373"/>
      <c r="CV282" s="373"/>
      <c r="CW282" s="373"/>
      <c r="CX282" s="373"/>
      <c r="CY282" s="373"/>
      <c r="CZ282" s="373"/>
      <c r="DA282" s="373"/>
      <c r="DB282" s="373"/>
      <c r="DC282" s="373"/>
      <c r="DD282" s="373"/>
      <c r="DE282" s="373"/>
      <c r="DF282" s="373"/>
      <c r="DG282" s="373"/>
      <c r="DH282" s="373"/>
      <c r="DI282" s="373"/>
      <c r="DL282" s="373"/>
      <c r="DM282" s="373"/>
      <c r="DN282" s="373"/>
      <c r="DO282" s="373"/>
      <c r="DP282" s="373"/>
      <c r="DR282" s="373"/>
      <c r="DS282" s="373"/>
      <c r="DT282" s="373"/>
      <c r="DY282" s="373"/>
      <c r="EA282" s="373"/>
    </row>
    <row r="283" spans="1:132" x14ac:dyDescent="0.2">
      <c r="A283"/>
      <c r="B283" s="144"/>
      <c r="D283" s="341"/>
      <c r="F283" s="343"/>
      <c r="G283" s="343"/>
      <c r="H283" s="343"/>
      <c r="I283" s="343"/>
      <c r="J283" s="343"/>
      <c r="K283" s="343"/>
      <c r="L283" s="343"/>
      <c r="S283" s="373"/>
      <c r="T283" s="373"/>
      <c r="V283" s="373"/>
      <c r="W283" s="373"/>
      <c r="X283" s="373"/>
      <c r="Y283" s="373"/>
      <c r="Z283" s="373"/>
      <c r="AA283" s="373"/>
      <c r="AB283" s="373"/>
      <c r="AC283" s="373"/>
      <c r="AD283" s="373"/>
      <c r="AE283" s="373"/>
      <c r="AK283" s="373"/>
      <c r="AL283" s="373"/>
      <c r="AM283" s="373"/>
      <c r="AN283" s="373"/>
      <c r="AO283" s="373"/>
      <c r="AQ283" s="373"/>
      <c r="AR283" s="373"/>
      <c r="AS283" s="373"/>
      <c r="AU283" s="373"/>
      <c r="AV283" s="373"/>
      <c r="AX283" s="373"/>
      <c r="AY283" s="373"/>
      <c r="AZ283" s="373"/>
      <c r="BA283" s="373"/>
      <c r="BB283" s="373"/>
      <c r="BC283" s="373"/>
      <c r="BD283" s="373"/>
      <c r="BE283" s="373"/>
      <c r="BF283" s="373"/>
      <c r="BJ283" s="373"/>
      <c r="BK283" s="373"/>
      <c r="BM283" s="373"/>
      <c r="BO283" s="373"/>
      <c r="BQ283" s="373"/>
      <c r="BS283" s="373"/>
      <c r="BT283" s="373"/>
      <c r="BU283" s="373"/>
      <c r="BX283" s="373"/>
      <c r="BZ283" s="373"/>
      <c r="CA283" s="373"/>
      <c r="CB283" s="373"/>
      <c r="CC283" s="373"/>
      <c r="CD283" s="373"/>
      <c r="CE283" s="373"/>
      <c r="CF283" s="373"/>
      <c r="CG283" s="373"/>
      <c r="CH283" s="373"/>
      <c r="CI283" s="373"/>
      <c r="CJ283" s="373"/>
      <c r="CK283" s="373"/>
      <c r="CL283" s="373"/>
      <c r="CM283" s="373"/>
      <c r="CN283" s="373"/>
      <c r="CO283" s="373"/>
      <c r="CP283" s="373"/>
      <c r="CQ283" s="373"/>
      <c r="CR283" s="373"/>
      <c r="CS283" s="373"/>
      <c r="CT283" s="373"/>
      <c r="CU283" s="373"/>
      <c r="CV283" s="373"/>
      <c r="CW283" s="373"/>
      <c r="CX283" s="373"/>
      <c r="CY283" s="373"/>
      <c r="CZ283" s="373"/>
      <c r="DA283" s="373"/>
      <c r="DB283" s="373"/>
      <c r="DC283" s="373"/>
      <c r="DD283" s="373"/>
      <c r="DE283" s="373"/>
      <c r="DF283" s="373"/>
      <c r="DG283" s="373"/>
      <c r="DH283" s="373"/>
      <c r="DI283" s="373"/>
      <c r="DL283" s="373"/>
      <c r="DM283" s="373"/>
      <c r="DN283" s="373"/>
      <c r="DO283" s="373"/>
      <c r="DP283" s="373"/>
      <c r="DR283" s="373"/>
      <c r="DS283" s="373"/>
      <c r="DT283" s="373"/>
      <c r="DY283" s="373"/>
      <c r="EA283" s="373"/>
    </row>
    <row r="284" spans="1:132" x14ac:dyDescent="0.2">
      <c r="A284"/>
      <c r="B284" s="144"/>
      <c r="D284" s="341"/>
      <c r="F284" s="343"/>
      <c r="G284" s="343"/>
      <c r="H284" s="343"/>
      <c r="I284" s="343"/>
      <c r="J284" s="343"/>
      <c r="K284" s="343"/>
      <c r="L284" s="343"/>
      <c r="S284" s="373"/>
      <c r="T284" s="373"/>
      <c r="V284" s="373"/>
      <c r="W284" s="373"/>
      <c r="X284" s="373"/>
      <c r="Y284" s="373"/>
      <c r="Z284" s="373"/>
      <c r="AA284" s="373"/>
      <c r="AB284" s="373"/>
      <c r="AC284" s="373"/>
      <c r="AD284" s="373"/>
      <c r="AE284" s="373"/>
      <c r="AF284" s="373"/>
      <c r="AH284" s="373"/>
      <c r="AJ284" s="373"/>
      <c r="AK284" s="373"/>
      <c r="AL284" s="373"/>
      <c r="AM284" s="373"/>
      <c r="AN284" s="373"/>
      <c r="AO284" s="373"/>
      <c r="AQ284" s="373"/>
      <c r="AR284" s="373"/>
      <c r="AS284" s="373"/>
      <c r="AU284" s="373"/>
      <c r="AV284" s="373"/>
      <c r="AW284" s="373"/>
      <c r="AX284" s="373"/>
      <c r="AY284" s="373"/>
      <c r="AZ284" s="373"/>
      <c r="BA284" s="373"/>
      <c r="BB284" s="373"/>
      <c r="BC284" s="373"/>
      <c r="BD284" s="373"/>
      <c r="BE284" s="373"/>
      <c r="BF284" s="373"/>
      <c r="BJ284" s="373"/>
      <c r="BK284" s="373"/>
      <c r="BM284" s="373"/>
      <c r="BO284" s="373"/>
      <c r="BQ284" s="373"/>
      <c r="BS284" s="373"/>
      <c r="BT284" s="373"/>
      <c r="BU284" s="373"/>
      <c r="BX284" s="373"/>
      <c r="BZ284" s="373"/>
      <c r="CA284" s="373"/>
      <c r="CB284" s="373"/>
      <c r="CC284" s="373"/>
      <c r="CD284" s="373"/>
      <c r="CE284" s="373"/>
      <c r="CF284" s="373"/>
      <c r="CG284" s="373"/>
      <c r="CH284" s="373"/>
      <c r="CI284" s="373"/>
      <c r="CJ284" s="373"/>
      <c r="CK284" s="373"/>
      <c r="CL284" s="373"/>
      <c r="CM284" s="373"/>
      <c r="CN284" s="373"/>
      <c r="CO284" s="373"/>
      <c r="CP284" s="373"/>
      <c r="CQ284" s="373"/>
      <c r="CR284" s="373"/>
      <c r="CS284" s="373"/>
      <c r="CT284" s="373"/>
      <c r="CU284" s="373"/>
      <c r="CV284" s="373"/>
      <c r="CW284" s="373"/>
      <c r="CX284" s="373"/>
      <c r="CY284" s="373"/>
      <c r="CZ284" s="373"/>
      <c r="DA284" s="373"/>
      <c r="DB284" s="373"/>
      <c r="DC284" s="373"/>
      <c r="DD284" s="373"/>
      <c r="DE284" s="373"/>
      <c r="DF284" s="373"/>
      <c r="DG284" s="373"/>
      <c r="DH284" s="373"/>
      <c r="DI284" s="373"/>
      <c r="DL284" s="373"/>
      <c r="DM284" s="373"/>
      <c r="DN284" s="373"/>
      <c r="DO284" s="373"/>
      <c r="DP284" s="373"/>
      <c r="DR284" s="373"/>
      <c r="DS284" s="373"/>
      <c r="DT284" s="373"/>
      <c r="DY284" s="373"/>
      <c r="EA284" s="373"/>
    </row>
    <row r="285" spans="1:132" x14ac:dyDescent="0.2">
      <c r="A285"/>
      <c r="B285" s="144"/>
      <c r="D285" s="341"/>
      <c r="F285" s="343"/>
      <c r="G285" s="343"/>
      <c r="H285" s="343"/>
      <c r="I285" s="343"/>
      <c r="J285" s="343"/>
      <c r="K285" s="343"/>
      <c r="L285" s="343"/>
      <c r="T285" s="373"/>
      <c r="V285" s="373"/>
      <c r="W285" s="373"/>
      <c r="X285" s="373"/>
      <c r="Y285" s="373"/>
      <c r="Z285" s="373"/>
      <c r="AA285" s="373"/>
      <c r="AB285" s="373"/>
      <c r="AC285" s="373"/>
      <c r="AD285" s="373"/>
      <c r="AE285" s="373"/>
      <c r="AF285" s="373"/>
      <c r="AH285" s="373"/>
      <c r="AJ285" s="373"/>
      <c r="AK285" s="373"/>
      <c r="AL285" s="373"/>
      <c r="AM285" s="373"/>
      <c r="AN285" s="373"/>
      <c r="AO285" s="373"/>
      <c r="AQ285" s="373"/>
      <c r="AR285" s="373"/>
      <c r="AS285" s="373"/>
      <c r="AU285" s="373"/>
      <c r="AV285" s="373"/>
      <c r="AW285" s="373"/>
      <c r="AX285" s="373"/>
      <c r="AY285" s="373"/>
      <c r="BC285" s="373"/>
      <c r="BD285" s="373"/>
      <c r="BE285" s="373"/>
      <c r="BF285" s="373"/>
      <c r="BJ285" s="373"/>
      <c r="BO285" s="373"/>
      <c r="BQ285" s="373"/>
      <c r="BS285" s="373"/>
      <c r="BT285" s="373"/>
      <c r="BU285" s="373"/>
      <c r="BX285" s="373"/>
      <c r="BZ285" s="373"/>
      <c r="CA285" s="373"/>
      <c r="CB285" s="373"/>
      <c r="CC285" s="373"/>
      <c r="CD285" s="373"/>
      <c r="CE285" s="373"/>
      <c r="CF285" s="373"/>
      <c r="CG285" s="373"/>
      <c r="CH285" s="373"/>
      <c r="CI285" s="373"/>
      <c r="CJ285" s="373"/>
      <c r="CK285" s="373"/>
      <c r="CL285" s="373"/>
      <c r="CM285" s="373"/>
      <c r="CN285" s="373"/>
      <c r="CO285" s="373"/>
      <c r="CP285" s="373"/>
      <c r="CQ285" s="373"/>
      <c r="CR285" s="373"/>
      <c r="CS285" s="373"/>
      <c r="CT285" s="373"/>
      <c r="CU285" s="373"/>
      <c r="CV285" s="373"/>
      <c r="CW285" s="373"/>
      <c r="CX285" s="373"/>
      <c r="CY285" s="373"/>
      <c r="CZ285" s="373"/>
      <c r="DA285" s="373"/>
      <c r="DB285" s="373"/>
      <c r="DC285" s="373"/>
      <c r="DD285" s="373"/>
      <c r="DE285" s="373"/>
      <c r="DF285" s="373"/>
      <c r="DG285" s="373"/>
      <c r="DH285" s="373"/>
      <c r="DI285" s="373"/>
      <c r="DL285" s="373"/>
      <c r="DM285" s="373"/>
      <c r="DN285" s="373"/>
      <c r="DO285" s="373"/>
      <c r="DP285" s="373"/>
      <c r="DR285" s="373"/>
      <c r="DT285" s="373"/>
    </row>
    <row r="286" spans="1:132" x14ac:dyDescent="0.2">
      <c r="A286"/>
      <c r="B286" s="144"/>
      <c r="D286" s="341"/>
      <c r="F286" s="343"/>
      <c r="G286" s="343"/>
      <c r="H286" s="343"/>
      <c r="I286" s="343"/>
      <c r="J286" s="343"/>
      <c r="K286" s="343"/>
      <c r="L286" s="343"/>
      <c r="T286" s="373"/>
      <c r="V286" s="373"/>
      <c r="W286" s="373"/>
      <c r="X286" s="373"/>
      <c r="Y286" s="373"/>
      <c r="Z286" s="373"/>
      <c r="AA286" s="373"/>
      <c r="AB286" s="373"/>
      <c r="AC286" s="373"/>
      <c r="AD286" s="373"/>
      <c r="AE286" s="373"/>
      <c r="AF286" s="373"/>
      <c r="AG286" s="373"/>
      <c r="AH286" s="373"/>
      <c r="AI286" s="373"/>
      <c r="AJ286" s="373"/>
      <c r="AK286" s="373"/>
      <c r="AL286" s="373"/>
      <c r="AM286" s="373"/>
      <c r="AN286" s="373"/>
      <c r="AO286" s="373"/>
      <c r="AQ286" s="373"/>
      <c r="AR286" s="373"/>
      <c r="AS286" s="373"/>
      <c r="AU286" s="373"/>
      <c r="AV286" s="373"/>
      <c r="AW286" s="373"/>
      <c r="AX286" s="373"/>
      <c r="AY286" s="373"/>
      <c r="BB286" s="373"/>
      <c r="BC286" s="373"/>
      <c r="BD286" s="373"/>
      <c r="BE286" s="373"/>
      <c r="BF286" s="373"/>
      <c r="BI286" s="373"/>
      <c r="BJ286" s="373"/>
      <c r="BN286" s="373"/>
      <c r="BO286" s="373"/>
      <c r="BP286" s="373"/>
      <c r="BQ286" s="373"/>
      <c r="BS286" s="373"/>
      <c r="BT286" s="373"/>
      <c r="BU286" s="373"/>
      <c r="BV286" s="373"/>
      <c r="BW286" s="373"/>
      <c r="BX286" s="373"/>
      <c r="BY286" s="373"/>
      <c r="BZ286" s="373"/>
      <c r="CA286" s="373"/>
      <c r="CB286" s="373"/>
      <c r="CC286" s="373"/>
      <c r="CD286" s="373"/>
      <c r="CE286" s="373"/>
      <c r="CF286" s="373"/>
      <c r="CG286" s="373"/>
      <c r="CH286" s="373"/>
      <c r="CI286" s="373"/>
      <c r="CJ286" s="373"/>
      <c r="CK286" s="373"/>
      <c r="CL286" s="373"/>
      <c r="CM286" s="373"/>
      <c r="CN286" s="373"/>
      <c r="CO286" s="373"/>
      <c r="CP286" s="373"/>
      <c r="CQ286" s="373"/>
      <c r="CR286" s="373"/>
      <c r="CS286" s="373"/>
      <c r="CT286" s="373"/>
      <c r="CU286" s="373"/>
      <c r="CV286" s="373"/>
      <c r="CW286" s="373"/>
      <c r="CX286" s="373"/>
      <c r="CY286" s="373"/>
      <c r="CZ286" s="373"/>
      <c r="DA286" s="373"/>
      <c r="DB286" s="373"/>
      <c r="DC286" s="373"/>
      <c r="DD286" s="373"/>
      <c r="DE286" s="373"/>
      <c r="DF286" s="373"/>
      <c r="DG286" s="373"/>
      <c r="DH286" s="373"/>
      <c r="DI286" s="373"/>
      <c r="DL286" s="373"/>
      <c r="DM286" s="373"/>
      <c r="DN286" s="373"/>
      <c r="DO286" s="373"/>
      <c r="DP286" s="373"/>
      <c r="DR286" s="373"/>
      <c r="DT286" s="373"/>
    </row>
    <row r="287" spans="1:132" x14ac:dyDescent="0.2">
      <c r="A287"/>
      <c r="B287" s="144"/>
      <c r="D287" s="341"/>
      <c r="F287" s="343"/>
      <c r="G287" s="343"/>
      <c r="H287" s="343"/>
      <c r="I287" s="343"/>
      <c r="J287" s="343"/>
      <c r="K287" s="343"/>
      <c r="L287" s="343"/>
      <c r="T287" s="373"/>
      <c r="V287" s="373"/>
      <c r="W287" s="373"/>
      <c r="X287" s="373"/>
      <c r="Y287" s="373"/>
      <c r="Z287" s="373"/>
      <c r="AA287" s="373"/>
      <c r="AB287" s="373"/>
      <c r="AC287" s="373"/>
      <c r="AD287" s="373"/>
      <c r="AE287" s="373"/>
      <c r="AG287" s="373"/>
      <c r="AI287" s="373"/>
      <c r="AK287" s="373"/>
      <c r="AL287" s="373"/>
      <c r="AM287" s="373"/>
      <c r="AN287" s="373"/>
      <c r="AO287" s="373"/>
      <c r="AQ287" s="373"/>
      <c r="AR287" s="373"/>
      <c r="AS287" s="373"/>
      <c r="AU287" s="373"/>
      <c r="AV287" s="373"/>
      <c r="AW287" s="373"/>
      <c r="AX287" s="373"/>
      <c r="AY287" s="373"/>
      <c r="BB287" s="373"/>
      <c r="BC287" s="373"/>
      <c r="BD287" s="373"/>
      <c r="BE287" s="373"/>
      <c r="BF287" s="373"/>
      <c r="BI287" s="373"/>
      <c r="BJ287" s="373"/>
      <c r="BN287" s="373"/>
      <c r="BO287" s="373"/>
      <c r="BP287" s="373"/>
      <c r="BQ287" s="373"/>
      <c r="BS287" s="373"/>
      <c r="BT287" s="373"/>
      <c r="BU287" s="373"/>
      <c r="BV287" s="373"/>
      <c r="BW287" s="373"/>
      <c r="BX287" s="373"/>
      <c r="BY287" s="373"/>
      <c r="BZ287" s="373"/>
      <c r="CA287" s="373"/>
      <c r="CB287" s="373"/>
      <c r="CC287" s="373"/>
      <c r="CD287" s="373"/>
      <c r="CE287" s="373"/>
      <c r="CF287" s="373"/>
      <c r="CG287" s="373"/>
      <c r="CH287" s="373"/>
      <c r="CI287" s="373"/>
      <c r="CJ287" s="373"/>
      <c r="CK287" s="373"/>
      <c r="CL287" s="373"/>
      <c r="CM287" s="373"/>
      <c r="CN287" s="373"/>
      <c r="CO287" s="373"/>
      <c r="CP287" s="373"/>
      <c r="CQ287" s="373"/>
      <c r="CR287" s="373"/>
      <c r="CS287" s="373"/>
      <c r="CT287" s="373"/>
      <c r="CU287" s="373"/>
      <c r="CV287" s="373"/>
      <c r="CW287" s="373"/>
      <c r="CX287" s="373"/>
      <c r="CY287" s="373"/>
      <c r="CZ287" s="373"/>
      <c r="DA287" s="373"/>
      <c r="DB287" s="373"/>
      <c r="DC287" s="373"/>
      <c r="DD287" s="373"/>
      <c r="DE287" s="373"/>
      <c r="DF287" s="373"/>
      <c r="DG287" s="373"/>
      <c r="DH287" s="373"/>
      <c r="DI287" s="373"/>
      <c r="DL287" s="373"/>
      <c r="DM287" s="373"/>
      <c r="DN287" s="373"/>
      <c r="DO287" s="373"/>
      <c r="DP287" s="373"/>
      <c r="DR287" s="373"/>
      <c r="DT287" s="373"/>
    </row>
    <row r="288" spans="1:132" x14ac:dyDescent="0.2">
      <c r="A288"/>
      <c r="B288" s="144"/>
      <c r="D288" s="341"/>
      <c r="F288" s="343"/>
      <c r="G288" s="343"/>
      <c r="H288" s="343"/>
      <c r="I288" s="343"/>
      <c r="J288" s="343"/>
      <c r="K288" s="343"/>
      <c r="L288" s="343"/>
      <c r="T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3"/>
      <c r="AG288" s="373"/>
      <c r="AH288" s="373"/>
      <c r="AI288" s="373"/>
      <c r="AJ288" s="373"/>
      <c r="AK288" s="373"/>
      <c r="AL288" s="373"/>
      <c r="AM288" s="373"/>
      <c r="AN288" s="373"/>
      <c r="AO288" s="373"/>
      <c r="AQ288" s="373"/>
      <c r="AR288" s="373"/>
      <c r="AS288" s="373"/>
      <c r="AU288" s="373"/>
      <c r="AV288" s="373"/>
      <c r="AW288" s="373"/>
      <c r="AX288" s="373"/>
      <c r="AY288" s="373"/>
      <c r="BB288" s="373"/>
      <c r="BC288" s="373"/>
      <c r="BD288" s="373"/>
      <c r="BE288" s="373"/>
      <c r="BF288" s="373"/>
      <c r="BI288" s="373"/>
      <c r="BJ288" s="373"/>
      <c r="BN288" s="373"/>
      <c r="BO288" s="373"/>
      <c r="BP288" s="373"/>
      <c r="BQ288" s="373"/>
      <c r="BS288" s="373"/>
      <c r="BT288" s="373"/>
      <c r="BU288" s="373"/>
      <c r="BV288" s="373"/>
      <c r="BW288" s="373"/>
      <c r="BX288" s="373"/>
      <c r="BY288" s="373"/>
      <c r="BZ288" s="373"/>
      <c r="CA288" s="373"/>
      <c r="CB288" s="373"/>
      <c r="CC288" s="373"/>
      <c r="CD288" s="373"/>
      <c r="CE288" s="373"/>
      <c r="CF288" s="373"/>
      <c r="CG288" s="373"/>
      <c r="CH288" s="373"/>
      <c r="CI288" s="373"/>
      <c r="CJ288" s="373"/>
      <c r="CK288" s="373"/>
      <c r="CL288" s="373"/>
      <c r="CM288" s="373"/>
      <c r="CN288" s="373"/>
      <c r="CO288" s="373"/>
      <c r="CP288" s="373"/>
      <c r="CQ288" s="373"/>
      <c r="CR288" s="373"/>
      <c r="CS288" s="373"/>
      <c r="CT288" s="373"/>
      <c r="CU288" s="373"/>
      <c r="CV288" s="373"/>
      <c r="CW288" s="373"/>
      <c r="CX288" s="373"/>
      <c r="CY288" s="373"/>
      <c r="CZ288" s="373"/>
      <c r="DA288" s="373"/>
      <c r="DB288" s="373"/>
      <c r="DC288" s="373"/>
      <c r="DD288" s="373"/>
      <c r="DE288" s="373"/>
      <c r="DF288" s="373"/>
      <c r="DG288" s="373"/>
      <c r="DH288" s="373"/>
      <c r="DI288" s="373"/>
      <c r="DL288" s="373"/>
      <c r="DM288" s="373"/>
      <c r="DN288" s="373"/>
      <c r="DO288" s="373"/>
      <c r="DP288" s="373"/>
      <c r="DR288" s="373"/>
      <c r="DT288" s="373"/>
    </row>
    <row r="289" spans="1:124" x14ac:dyDescent="0.2">
      <c r="A289"/>
      <c r="B289" s="144"/>
      <c r="D289" s="341"/>
      <c r="F289" s="343"/>
      <c r="G289" s="343"/>
      <c r="H289" s="343"/>
      <c r="I289" s="343"/>
      <c r="J289" s="343"/>
      <c r="K289" s="343"/>
      <c r="L289" s="343"/>
      <c r="T289" s="373"/>
      <c r="V289" s="373"/>
      <c r="W289" s="373"/>
      <c r="X289" s="373"/>
      <c r="Y289" s="373"/>
      <c r="Z289" s="373"/>
      <c r="AA289" s="373"/>
      <c r="AB289" s="373"/>
      <c r="AC289" s="373"/>
      <c r="AD289" s="373"/>
      <c r="AE289" s="373"/>
      <c r="AF289" s="373"/>
      <c r="AG289" s="373"/>
      <c r="AH289" s="373"/>
      <c r="AI289" s="373"/>
      <c r="AJ289" s="373"/>
      <c r="AK289" s="373"/>
      <c r="AL289" s="373"/>
      <c r="AM289" s="373"/>
      <c r="AN289" s="373"/>
      <c r="AO289" s="373"/>
      <c r="AQ289" s="373"/>
      <c r="AR289" s="373"/>
      <c r="AU289" s="373"/>
      <c r="AV289" s="373"/>
      <c r="AW289" s="373"/>
      <c r="AX289" s="373"/>
      <c r="AY289" s="373"/>
      <c r="BB289" s="373"/>
      <c r="BC289" s="373"/>
      <c r="BD289" s="373"/>
      <c r="BE289" s="373"/>
      <c r="BF289" s="373"/>
      <c r="BI289" s="373"/>
      <c r="BJ289" s="373"/>
      <c r="BN289" s="373"/>
      <c r="BO289" s="373"/>
      <c r="BP289" s="373"/>
      <c r="BQ289" s="373"/>
      <c r="BS289" s="373"/>
      <c r="BT289" s="373"/>
      <c r="BU289" s="373"/>
      <c r="BV289" s="373"/>
      <c r="BW289" s="373"/>
      <c r="BX289" s="373"/>
      <c r="BY289" s="373"/>
      <c r="CB289" s="373"/>
      <c r="CD289" s="373"/>
      <c r="CE289" s="373"/>
      <c r="CF289" s="373"/>
      <c r="CG289" s="373"/>
      <c r="CH289" s="373"/>
      <c r="CI289" s="373"/>
      <c r="CJ289" s="373"/>
      <c r="CK289" s="373"/>
      <c r="CL289" s="373"/>
      <c r="CM289" s="373"/>
      <c r="CN289" s="373"/>
      <c r="CO289" s="373"/>
      <c r="CP289" s="373"/>
      <c r="CQ289" s="373"/>
      <c r="CR289" s="373"/>
      <c r="CS289" s="373"/>
      <c r="CT289" s="373"/>
      <c r="CU289" s="373"/>
      <c r="CV289" s="373"/>
      <c r="CW289" s="373"/>
      <c r="CX289" s="373"/>
      <c r="CY289" s="373"/>
      <c r="CZ289" s="373"/>
      <c r="DA289" s="373"/>
      <c r="DB289" s="373"/>
      <c r="DC289" s="373"/>
      <c r="DD289" s="373"/>
      <c r="DE289" s="373"/>
      <c r="DF289" s="373"/>
      <c r="DG289" s="373"/>
      <c r="DH289" s="373"/>
      <c r="DI289" s="373"/>
      <c r="DL289" s="373"/>
      <c r="DM289" s="373"/>
      <c r="DN289" s="373"/>
      <c r="DO289" s="373"/>
      <c r="DP289" s="373"/>
      <c r="DR289" s="373"/>
      <c r="DT289" s="373"/>
    </row>
    <row r="290" spans="1:124" x14ac:dyDescent="0.2">
      <c r="A290"/>
      <c r="B290" s="144"/>
      <c r="D290" s="341"/>
      <c r="F290" s="343"/>
      <c r="G290" s="343"/>
      <c r="H290" s="343"/>
      <c r="I290" s="343"/>
      <c r="J290" s="343"/>
      <c r="K290" s="343"/>
      <c r="L290" s="343"/>
      <c r="T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G290" s="373"/>
      <c r="AI290" s="373"/>
      <c r="AL290" s="373"/>
      <c r="AM290" s="373"/>
      <c r="AN290" s="373"/>
      <c r="AO290" s="373"/>
      <c r="AR290" s="373"/>
      <c r="AU290" s="373"/>
      <c r="AV290" s="373"/>
      <c r="AW290" s="373"/>
      <c r="AX290" s="373"/>
      <c r="AY290" s="373"/>
      <c r="BB290" s="373"/>
      <c r="BC290" s="373"/>
      <c r="BD290" s="373"/>
      <c r="BE290" s="373"/>
      <c r="BF290" s="373"/>
      <c r="BI290" s="373"/>
      <c r="BJ290" s="373"/>
      <c r="BN290" s="373"/>
      <c r="BO290" s="373"/>
      <c r="BP290" s="373"/>
      <c r="BQ290" s="373"/>
      <c r="BS290" s="373"/>
      <c r="BT290" s="373"/>
      <c r="BU290" s="373"/>
      <c r="BV290" s="373"/>
      <c r="BW290" s="373"/>
      <c r="BX290" s="373"/>
      <c r="BY290" s="373"/>
      <c r="CB290" s="373"/>
      <c r="CD290" s="373"/>
      <c r="CE290" s="373"/>
      <c r="CF290" s="373"/>
      <c r="CG290" s="373"/>
      <c r="CH290" s="373"/>
      <c r="CI290" s="373"/>
      <c r="CJ290" s="373"/>
      <c r="CK290" s="373"/>
      <c r="CL290" s="373"/>
      <c r="CM290" s="373"/>
      <c r="CN290" s="373"/>
      <c r="CO290" s="373"/>
      <c r="CP290" s="373"/>
      <c r="CQ290" s="373"/>
      <c r="CR290" s="373"/>
      <c r="CS290" s="373"/>
      <c r="CT290" s="373"/>
      <c r="CU290" s="373"/>
      <c r="CV290" s="373"/>
      <c r="CW290" s="373"/>
      <c r="CX290" s="373"/>
      <c r="CY290" s="373"/>
      <c r="CZ290" s="373"/>
      <c r="DA290" s="373"/>
      <c r="DB290" s="373"/>
      <c r="DC290" s="373"/>
      <c r="DD290" s="373"/>
      <c r="DE290" s="373"/>
      <c r="DF290" s="373"/>
      <c r="DG290" s="373"/>
      <c r="DH290" s="373"/>
      <c r="DI290" s="373"/>
      <c r="DL290" s="373"/>
      <c r="DM290" s="373"/>
      <c r="DN290" s="373"/>
      <c r="DO290" s="373"/>
      <c r="DP290" s="373"/>
      <c r="DR290" s="373"/>
      <c r="DT290" s="373"/>
    </row>
    <row r="291" spans="1:124" x14ac:dyDescent="0.2">
      <c r="A291"/>
      <c r="B291" s="144"/>
      <c r="D291" s="341"/>
      <c r="F291" s="343"/>
      <c r="G291" s="343"/>
      <c r="H291" s="343"/>
      <c r="I291" s="343"/>
      <c r="J291" s="343"/>
      <c r="K291" s="343"/>
      <c r="L291" s="343"/>
      <c r="T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F291" s="373"/>
      <c r="AG291" s="373"/>
      <c r="AH291" s="373"/>
      <c r="AI291" s="373"/>
      <c r="AJ291" s="373"/>
      <c r="AL291" s="373"/>
      <c r="AM291" s="373"/>
      <c r="AN291" s="373"/>
      <c r="AO291" s="373"/>
      <c r="AR291" s="373"/>
      <c r="AU291" s="373"/>
      <c r="AV291" s="373"/>
      <c r="AW291" s="373"/>
      <c r="AX291" s="373"/>
      <c r="AY291" s="373"/>
      <c r="BB291" s="373"/>
      <c r="BC291" s="373"/>
      <c r="BD291" s="373"/>
      <c r="BE291" s="373"/>
      <c r="BF291" s="373"/>
      <c r="BI291" s="373"/>
      <c r="BJ291" s="373"/>
      <c r="BN291" s="373"/>
      <c r="BO291" s="373"/>
      <c r="BP291" s="373"/>
      <c r="BQ291" s="373"/>
      <c r="BS291" s="373"/>
      <c r="BT291" s="373"/>
      <c r="BU291" s="373"/>
      <c r="BV291" s="373"/>
      <c r="BW291" s="373"/>
      <c r="BX291" s="373"/>
      <c r="BY291" s="373"/>
      <c r="CB291" s="373"/>
      <c r="CD291" s="373"/>
      <c r="CE291" s="373"/>
      <c r="CF291" s="373"/>
      <c r="CG291" s="373"/>
      <c r="CH291" s="373"/>
      <c r="CI291" s="373"/>
      <c r="CJ291" s="373"/>
      <c r="CK291" s="373"/>
      <c r="CL291" s="373"/>
      <c r="CM291" s="373"/>
      <c r="CN291" s="373"/>
      <c r="CO291" s="373"/>
      <c r="CP291" s="373"/>
      <c r="CQ291" s="373"/>
      <c r="CR291" s="373"/>
      <c r="CS291" s="373"/>
      <c r="CT291" s="373"/>
      <c r="CU291" s="373"/>
      <c r="CV291" s="373"/>
      <c r="CW291" s="373"/>
      <c r="CX291" s="373"/>
      <c r="CY291" s="373"/>
      <c r="CZ291" s="373"/>
      <c r="DA291" s="373"/>
      <c r="DB291" s="373"/>
      <c r="DC291" s="373"/>
      <c r="DD291" s="373"/>
      <c r="DE291" s="373"/>
      <c r="DF291" s="373"/>
      <c r="DG291" s="373"/>
      <c r="DH291" s="373"/>
      <c r="DI291" s="373"/>
      <c r="DL291" s="373"/>
      <c r="DM291" s="373"/>
      <c r="DN291" s="373"/>
      <c r="DO291" s="373"/>
      <c r="DP291" s="373"/>
      <c r="DR291" s="373"/>
      <c r="DT291" s="373"/>
    </row>
    <row r="292" spans="1:124" x14ac:dyDescent="0.2">
      <c r="A292"/>
      <c r="B292" s="144"/>
      <c r="D292" s="341"/>
      <c r="F292" s="343"/>
      <c r="G292" s="343"/>
      <c r="H292" s="343"/>
      <c r="I292" s="343"/>
      <c r="J292" s="343"/>
      <c r="K292" s="343"/>
      <c r="L292" s="343"/>
      <c r="T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G292" s="373"/>
      <c r="AI292" s="373"/>
      <c r="AL292" s="373"/>
      <c r="AM292" s="373"/>
      <c r="AN292" s="373"/>
      <c r="AO292" s="373"/>
      <c r="AR292" s="373"/>
      <c r="AU292" s="373"/>
      <c r="AV292" s="373"/>
      <c r="AW292" s="373"/>
      <c r="AX292" s="373"/>
      <c r="AY292" s="373"/>
      <c r="BB292" s="373"/>
      <c r="BC292" s="373"/>
      <c r="BD292" s="373"/>
      <c r="BE292" s="373"/>
      <c r="BF292" s="373"/>
      <c r="BI292" s="373"/>
      <c r="BJ292" s="373"/>
      <c r="BN292" s="373"/>
      <c r="BO292" s="373"/>
      <c r="BP292" s="373"/>
      <c r="BQ292" s="373"/>
      <c r="BS292" s="373"/>
      <c r="BT292" s="373"/>
      <c r="BU292" s="373"/>
      <c r="BV292" s="373"/>
      <c r="BW292" s="373"/>
      <c r="BX292" s="373"/>
      <c r="BY292" s="373"/>
      <c r="CB292" s="373"/>
      <c r="CD292" s="373"/>
      <c r="CE292" s="373"/>
      <c r="CF292" s="373"/>
      <c r="CG292" s="373"/>
      <c r="CH292" s="373"/>
      <c r="CI292" s="373"/>
      <c r="CJ292" s="373"/>
      <c r="CK292" s="373"/>
      <c r="CL292" s="373"/>
      <c r="CM292" s="373"/>
      <c r="CN292" s="373"/>
      <c r="CO292" s="373"/>
      <c r="CP292" s="373"/>
      <c r="CQ292" s="373"/>
      <c r="CR292" s="373"/>
      <c r="CS292" s="373"/>
      <c r="CT292" s="373"/>
      <c r="CU292" s="373"/>
      <c r="CV292" s="373"/>
      <c r="CW292" s="373"/>
      <c r="CX292" s="373"/>
      <c r="CY292" s="373"/>
      <c r="CZ292" s="373"/>
      <c r="DA292" s="373"/>
      <c r="DB292" s="373"/>
      <c r="DC292" s="373"/>
      <c r="DD292" s="373"/>
      <c r="DE292" s="373"/>
      <c r="DF292" s="373"/>
      <c r="DG292" s="373"/>
      <c r="DH292" s="373"/>
      <c r="DI292" s="373"/>
      <c r="DL292" s="373"/>
      <c r="DM292" s="373"/>
      <c r="DN292" s="373"/>
      <c r="DO292" s="373"/>
      <c r="DP292" s="373"/>
      <c r="DR292" s="373"/>
      <c r="DT292" s="373"/>
    </row>
    <row r="293" spans="1:124" x14ac:dyDescent="0.2">
      <c r="A293"/>
      <c r="B293" s="144"/>
      <c r="D293" s="341"/>
      <c r="F293" s="343"/>
      <c r="G293" s="343"/>
      <c r="H293" s="343"/>
      <c r="I293" s="343"/>
      <c r="J293" s="343"/>
      <c r="K293" s="343"/>
      <c r="L293" s="343"/>
      <c r="T293" s="373"/>
      <c r="V293" s="373"/>
      <c r="W293" s="373"/>
      <c r="X293" s="373"/>
      <c r="Y293" s="373"/>
      <c r="Z293" s="373"/>
      <c r="AA293" s="373"/>
      <c r="AB293" s="373"/>
      <c r="AC293" s="373"/>
      <c r="AD293" s="373"/>
      <c r="AE293" s="373"/>
      <c r="AG293" s="373"/>
      <c r="AI293" s="373"/>
      <c r="AL293" s="373"/>
      <c r="AM293" s="373"/>
      <c r="AN293" s="373"/>
      <c r="AO293" s="373"/>
      <c r="AR293" s="373"/>
      <c r="AU293" s="373"/>
      <c r="AV293" s="373"/>
      <c r="AW293" s="373"/>
      <c r="AX293" s="373"/>
      <c r="AY293" s="373"/>
      <c r="BB293" s="373"/>
      <c r="BC293" s="373"/>
      <c r="BD293" s="373"/>
      <c r="BE293" s="373"/>
      <c r="BF293" s="373"/>
      <c r="BI293" s="373"/>
      <c r="BJ293" s="373"/>
      <c r="BN293" s="373"/>
      <c r="BO293" s="373"/>
      <c r="BP293" s="373"/>
      <c r="BQ293" s="373"/>
      <c r="BS293" s="373"/>
      <c r="BT293" s="373"/>
      <c r="BU293" s="373"/>
      <c r="BV293" s="373"/>
      <c r="BW293" s="373"/>
      <c r="BX293" s="373"/>
      <c r="BY293" s="373"/>
      <c r="CB293" s="373"/>
      <c r="CD293" s="373"/>
      <c r="CE293" s="373"/>
      <c r="CF293" s="373"/>
      <c r="CG293" s="373"/>
      <c r="CH293" s="373"/>
      <c r="CI293" s="373"/>
      <c r="CJ293" s="373"/>
      <c r="CK293" s="373"/>
      <c r="CL293" s="373"/>
      <c r="CM293" s="373"/>
      <c r="CN293" s="373"/>
      <c r="CO293" s="373"/>
      <c r="CP293" s="373"/>
      <c r="CQ293" s="373"/>
      <c r="CR293" s="373"/>
      <c r="CS293" s="373"/>
      <c r="CT293" s="373"/>
      <c r="CU293" s="373"/>
      <c r="CV293" s="373"/>
      <c r="CW293" s="373"/>
      <c r="CX293" s="373"/>
      <c r="CY293" s="373"/>
      <c r="CZ293" s="373"/>
      <c r="DA293" s="373"/>
      <c r="DB293" s="373"/>
      <c r="DC293" s="373"/>
      <c r="DD293" s="373"/>
      <c r="DE293" s="373"/>
      <c r="DF293" s="373"/>
      <c r="DG293" s="373"/>
      <c r="DH293" s="373"/>
      <c r="DI293" s="373"/>
      <c r="DL293" s="373"/>
      <c r="DM293" s="373"/>
      <c r="DN293" s="373"/>
      <c r="DO293" s="373"/>
      <c r="DP293" s="373"/>
      <c r="DR293" s="373"/>
      <c r="DT293" s="373"/>
    </row>
    <row r="294" spans="1:124" x14ac:dyDescent="0.2">
      <c r="A294"/>
      <c r="B294" s="144"/>
      <c r="D294" s="341"/>
      <c r="F294" s="343"/>
      <c r="G294" s="343"/>
      <c r="H294" s="343"/>
      <c r="I294" s="343"/>
      <c r="J294" s="343"/>
      <c r="K294" s="343"/>
      <c r="L294" s="343"/>
      <c r="T294" s="373"/>
      <c r="V294" s="373"/>
      <c r="W294" s="373"/>
      <c r="X294" s="373"/>
      <c r="Y294" s="373"/>
      <c r="Z294" s="373"/>
      <c r="AA294" s="373"/>
      <c r="AB294" s="373"/>
      <c r="AC294" s="373"/>
      <c r="AD294" s="373"/>
      <c r="AE294" s="373"/>
      <c r="AG294" s="373"/>
      <c r="AI294" s="373"/>
      <c r="AL294" s="373"/>
      <c r="AM294" s="373"/>
      <c r="AN294" s="373"/>
      <c r="AO294" s="373"/>
      <c r="AR294" s="373"/>
      <c r="AU294" s="373"/>
      <c r="AV294" s="373"/>
      <c r="AW294" s="373"/>
      <c r="AX294" s="373"/>
      <c r="AY294" s="373"/>
      <c r="BB294" s="373"/>
      <c r="BC294" s="373"/>
      <c r="BD294" s="373"/>
      <c r="BE294" s="373"/>
      <c r="BF294" s="373"/>
      <c r="BI294" s="373"/>
      <c r="BJ294" s="373"/>
      <c r="BN294" s="373"/>
      <c r="BO294" s="373"/>
      <c r="BP294" s="373"/>
      <c r="BQ294" s="373"/>
      <c r="BS294" s="373"/>
      <c r="BT294" s="373"/>
      <c r="BU294" s="373"/>
      <c r="BV294" s="373"/>
      <c r="BW294" s="373"/>
      <c r="BX294" s="373"/>
      <c r="BY294" s="373"/>
      <c r="CB294" s="373"/>
      <c r="CD294" s="373"/>
      <c r="CE294" s="373"/>
      <c r="CF294" s="373"/>
      <c r="CG294" s="373"/>
      <c r="CH294" s="373"/>
      <c r="CI294" s="373"/>
      <c r="CJ294" s="373"/>
      <c r="CK294" s="373"/>
      <c r="CL294" s="373"/>
      <c r="CM294" s="373"/>
      <c r="CN294" s="373"/>
      <c r="CO294" s="373"/>
      <c r="CP294" s="373"/>
      <c r="CQ294" s="373"/>
      <c r="CR294" s="373"/>
      <c r="CS294" s="373"/>
      <c r="CT294" s="373"/>
      <c r="CU294" s="373"/>
      <c r="CV294" s="373"/>
      <c r="CW294" s="373"/>
      <c r="CX294" s="373"/>
      <c r="CY294" s="373"/>
      <c r="CZ294" s="373"/>
      <c r="DA294" s="373"/>
      <c r="DB294" s="373"/>
      <c r="DC294" s="373"/>
      <c r="DD294" s="373"/>
      <c r="DE294" s="373"/>
      <c r="DF294" s="373"/>
      <c r="DG294" s="373"/>
      <c r="DH294" s="373"/>
      <c r="DI294" s="373"/>
      <c r="DL294" s="373"/>
      <c r="DM294" s="373"/>
      <c r="DN294" s="373"/>
      <c r="DO294" s="373"/>
      <c r="DP294" s="373"/>
      <c r="DR294" s="373"/>
      <c r="DT294" s="373"/>
    </row>
    <row r="295" spans="1:124" x14ac:dyDescent="0.2">
      <c r="A295"/>
      <c r="B295" s="144"/>
      <c r="D295" s="341"/>
      <c r="F295" s="343"/>
      <c r="G295" s="343"/>
      <c r="H295" s="343"/>
      <c r="I295" s="343"/>
      <c r="J295" s="343"/>
      <c r="K295" s="343"/>
      <c r="L295" s="343"/>
      <c r="T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G295" s="373"/>
      <c r="AI295" s="373"/>
      <c r="AL295" s="373"/>
      <c r="AM295" s="373"/>
      <c r="AN295" s="373"/>
      <c r="AO295" s="373"/>
      <c r="AR295" s="373"/>
      <c r="AU295" s="373"/>
      <c r="AV295" s="373"/>
      <c r="AW295" s="373"/>
      <c r="AX295" s="373"/>
      <c r="AY295" s="373"/>
      <c r="BB295" s="373"/>
      <c r="BC295" s="373"/>
      <c r="BD295" s="373"/>
      <c r="BE295" s="373"/>
      <c r="BF295" s="373"/>
      <c r="BI295" s="373"/>
      <c r="BJ295" s="373"/>
      <c r="BN295" s="373"/>
      <c r="BO295" s="373"/>
      <c r="BP295" s="373"/>
      <c r="BQ295" s="373"/>
      <c r="BS295" s="373"/>
      <c r="BT295" s="373"/>
      <c r="BU295" s="373"/>
      <c r="BV295" s="373"/>
      <c r="BW295" s="373"/>
      <c r="BX295" s="373"/>
      <c r="BY295" s="373"/>
      <c r="CB295" s="373"/>
      <c r="CD295" s="373"/>
      <c r="CE295" s="373"/>
      <c r="CF295" s="373"/>
      <c r="CG295" s="373"/>
      <c r="CH295" s="373"/>
      <c r="CI295" s="373"/>
      <c r="CJ295" s="373"/>
      <c r="CK295" s="373"/>
      <c r="CL295" s="373"/>
      <c r="CM295" s="373"/>
      <c r="CN295" s="373"/>
      <c r="CO295" s="373"/>
      <c r="CP295" s="373"/>
      <c r="CQ295" s="373"/>
      <c r="CR295" s="373"/>
      <c r="CS295" s="373"/>
      <c r="CT295" s="373"/>
      <c r="CU295" s="373"/>
      <c r="CV295" s="373"/>
      <c r="CW295" s="373"/>
      <c r="CX295" s="373"/>
      <c r="CY295" s="373"/>
      <c r="CZ295" s="373"/>
      <c r="DA295" s="373"/>
      <c r="DB295" s="373"/>
      <c r="DC295" s="373"/>
      <c r="DD295" s="373"/>
      <c r="DE295" s="373"/>
      <c r="DF295" s="373"/>
      <c r="DG295" s="373"/>
      <c r="DH295" s="373"/>
      <c r="DI295" s="373"/>
      <c r="DL295" s="373"/>
      <c r="DM295" s="373"/>
      <c r="DN295" s="373"/>
      <c r="DO295" s="373"/>
      <c r="DP295" s="373"/>
      <c r="DR295" s="373"/>
      <c r="DT295" s="373"/>
    </row>
    <row r="296" spans="1:124" x14ac:dyDescent="0.2">
      <c r="A296"/>
      <c r="B296" s="144"/>
      <c r="D296" s="341"/>
      <c r="F296" s="343"/>
      <c r="G296" s="343"/>
      <c r="H296" s="343"/>
      <c r="I296" s="343"/>
      <c r="J296" s="343"/>
      <c r="K296" s="343"/>
      <c r="L296" s="343"/>
      <c r="T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G296" s="373"/>
      <c r="AH296" s="373"/>
      <c r="AI296" s="373"/>
      <c r="AJ296" s="373"/>
      <c r="AK296" s="373"/>
      <c r="AL296" s="373"/>
      <c r="AM296" s="373"/>
      <c r="AN296" s="373"/>
      <c r="AO296" s="373"/>
      <c r="AR296" s="373"/>
      <c r="AU296" s="373"/>
      <c r="AV296" s="373"/>
      <c r="AW296" s="373"/>
      <c r="AX296" s="373"/>
      <c r="AY296" s="373"/>
      <c r="AZ296" s="373"/>
      <c r="BA296" s="373"/>
      <c r="BB296" s="373"/>
      <c r="BC296" s="373"/>
      <c r="BD296" s="373"/>
      <c r="BE296" s="373"/>
      <c r="BF296" s="373"/>
      <c r="BI296" s="373"/>
      <c r="BJ296" s="373"/>
      <c r="BL296" s="373"/>
      <c r="BN296" s="373"/>
      <c r="BO296" s="373"/>
      <c r="BP296" s="373"/>
      <c r="BQ296" s="373"/>
      <c r="BR296" s="373"/>
      <c r="BS296" s="373"/>
      <c r="BT296" s="373"/>
      <c r="BU296" s="373"/>
      <c r="BV296" s="373"/>
      <c r="BW296" s="373"/>
      <c r="BX296" s="373"/>
      <c r="BY296" s="373"/>
      <c r="BZ296" s="373"/>
      <c r="CB296" s="373"/>
      <c r="CD296" s="373"/>
      <c r="CE296" s="373"/>
      <c r="CF296" s="373"/>
      <c r="CG296" s="373"/>
      <c r="CH296" s="373"/>
      <c r="CI296" s="373"/>
      <c r="CJ296" s="373"/>
      <c r="CK296" s="373"/>
      <c r="CL296" s="373"/>
      <c r="CM296" s="373"/>
      <c r="CN296" s="373"/>
      <c r="CO296" s="373"/>
      <c r="CP296" s="373"/>
      <c r="CQ296" s="373"/>
      <c r="CR296" s="373"/>
      <c r="CS296" s="373"/>
      <c r="CT296" s="373"/>
      <c r="CU296" s="373"/>
      <c r="CV296" s="373"/>
      <c r="CW296" s="373"/>
      <c r="CX296" s="373"/>
      <c r="CY296" s="373"/>
      <c r="CZ296" s="373"/>
      <c r="DA296" s="373"/>
      <c r="DB296" s="373"/>
      <c r="DC296" s="373"/>
      <c r="DD296" s="373"/>
      <c r="DE296" s="373"/>
      <c r="DF296" s="373"/>
      <c r="DG296" s="373"/>
      <c r="DH296" s="373"/>
      <c r="DI296" s="373"/>
      <c r="DL296" s="373"/>
      <c r="DM296" s="373"/>
      <c r="DN296" s="373"/>
      <c r="DO296" s="373"/>
      <c r="DP296" s="373"/>
      <c r="DR296" s="373"/>
      <c r="DT296" s="373"/>
    </row>
    <row r="297" spans="1:124" x14ac:dyDescent="0.2">
      <c r="A297"/>
      <c r="B297" s="144"/>
      <c r="D297" s="341"/>
      <c r="F297" s="343"/>
      <c r="G297" s="343"/>
      <c r="H297" s="343"/>
      <c r="I297" s="343"/>
      <c r="J297" s="343"/>
      <c r="K297" s="343"/>
      <c r="L297" s="343"/>
      <c r="T297" s="373"/>
      <c r="V297" s="373"/>
      <c r="W297" s="373"/>
      <c r="X297" s="373"/>
      <c r="Y297" s="373"/>
      <c r="Z297" s="373"/>
      <c r="AA297" s="373"/>
      <c r="AB297" s="373"/>
      <c r="AC297" s="373"/>
      <c r="AD297" s="373"/>
      <c r="AE297" s="373"/>
      <c r="AG297" s="373"/>
      <c r="AH297" s="373"/>
      <c r="AI297" s="373"/>
      <c r="AJ297" s="373"/>
      <c r="AK297" s="373"/>
      <c r="AL297" s="373"/>
      <c r="AM297" s="373"/>
      <c r="AN297" s="373"/>
      <c r="AO297" s="373"/>
      <c r="AR297" s="373"/>
      <c r="AU297" s="373"/>
      <c r="AV297" s="373"/>
      <c r="AW297" s="373"/>
      <c r="AX297" s="373"/>
      <c r="AY297" s="373"/>
      <c r="AZ297" s="373"/>
      <c r="BA297" s="373"/>
      <c r="BB297" s="373"/>
      <c r="BC297" s="373"/>
      <c r="BD297" s="373"/>
      <c r="BE297" s="373"/>
      <c r="BF297" s="373"/>
      <c r="BI297" s="373"/>
      <c r="BJ297" s="373"/>
      <c r="BL297" s="373"/>
      <c r="BN297" s="373"/>
      <c r="BO297" s="373"/>
      <c r="BP297" s="373"/>
      <c r="BQ297" s="373"/>
      <c r="BR297" s="373"/>
      <c r="BS297" s="373"/>
      <c r="BT297" s="373"/>
      <c r="BU297" s="373"/>
      <c r="BV297" s="373"/>
      <c r="BW297" s="373"/>
      <c r="BX297" s="373"/>
      <c r="BY297" s="373"/>
      <c r="BZ297" s="373"/>
      <c r="CB297" s="373"/>
      <c r="CD297" s="373"/>
      <c r="CE297" s="373"/>
      <c r="CF297" s="373"/>
      <c r="CG297" s="373"/>
      <c r="CH297" s="373"/>
      <c r="CI297" s="373"/>
      <c r="CJ297" s="373"/>
      <c r="CK297" s="373"/>
      <c r="CL297" s="373"/>
      <c r="CM297" s="373"/>
      <c r="CN297" s="373"/>
      <c r="CO297" s="373"/>
      <c r="CP297" s="373"/>
      <c r="CQ297" s="373"/>
      <c r="CR297" s="373"/>
      <c r="CS297" s="373"/>
      <c r="CT297" s="373"/>
      <c r="CU297" s="373"/>
      <c r="CV297" s="373"/>
      <c r="CW297" s="373"/>
      <c r="CX297" s="373"/>
      <c r="CY297" s="373"/>
      <c r="CZ297" s="373"/>
      <c r="DA297" s="373"/>
      <c r="DB297" s="373"/>
      <c r="DC297" s="373"/>
      <c r="DD297" s="373"/>
      <c r="DE297" s="373"/>
      <c r="DF297" s="373"/>
      <c r="DG297" s="373"/>
      <c r="DH297" s="373"/>
      <c r="DI297" s="373"/>
      <c r="DL297" s="373"/>
      <c r="DM297" s="373"/>
      <c r="DN297" s="373"/>
      <c r="DO297" s="373"/>
      <c r="DP297" s="373"/>
      <c r="DR297" s="373"/>
      <c r="DT297" s="373"/>
    </row>
    <row r="298" spans="1:124" x14ac:dyDescent="0.2">
      <c r="A298"/>
      <c r="B298" s="144"/>
      <c r="D298" s="341"/>
      <c r="F298" s="343"/>
      <c r="G298" s="343"/>
      <c r="H298" s="343"/>
      <c r="I298" s="343"/>
      <c r="J298" s="343"/>
      <c r="K298" s="343"/>
      <c r="L298" s="343"/>
      <c r="T298" s="373"/>
      <c r="V298" s="373"/>
      <c r="W298" s="373"/>
      <c r="X298" s="373"/>
      <c r="Y298" s="373"/>
      <c r="Z298" s="373"/>
      <c r="AA298" s="373"/>
      <c r="AB298" s="373"/>
      <c r="AC298" s="373"/>
      <c r="AD298" s="373"/>
      <c r="AE298" s="373"/>
      <c r="AG298" s="373"/>
      <c r="AH298" s="373"/>
      <c r="AI298" s="373"/>
      <c r="AJ298" s="373"/>
      <c r="AK298" s="373"/>
      <c r="AL298" s="373"/>
      <c r="AM298" s="373"/>
      <c r="AN298" s="373"/>
      <c r="AO298" s="373"/>
      <c r="AR298" s="373"/>
      <c r="AU298" s="373"/>
      <c r="AV298" s="373"/>
      <c r="AW298" s="373"/>
      <c r="AX298" s="373"/>
      <c r="AY298" s="373"/>
      <c r="AZ298" s="373"/>
      <c r="BA298" s="373"/>
      <c r="BB298" s="373"/>
      <c r="BC298" s="373"/>
      <c r="BD298" s="373"/>
      <c r="BE298" s="373"/>
      <c r="BF298" s="373"/>
      <c r="BI298" s="373"/>
      <c r="BJ298" s="373"/>
      <c r="BL298" s="373"/>
      <c r="BN298" s="373"/>
      <c r="BO298" s="373"/>
      <c r="BP298" s="373"/>
      <c r="BQ298" s="373"/>
      <c r="BR298" s="373"/>
      <c r="BS298" s="373"/>
      <c r="BT298" s="373"/>
      <c r="BU298" s="373"/>
      <c r="BV298" s="373"/>
      <c r="BW298" s="373"/>
      <c r="BX298" s="373"/>
      <c r="BY298" s="373"/>
      <c r="BZ298" s="373"/>
      <c r="CB298" s="373"/>
      <c r="CD298" s="373"/>
      <c r="CE298" s="373"/>
      <c r="CF298" s="373"/>
      <c r="CG298" s="373"/>
      <c r="CH298" s="373"/>
      <c r="CI298" s="373"/>
      <c r="CJ298" s="373"/>
      <c r="CK298" s="373"/>
      <c r="CL298" s="373"/>
      <c r="CM298" s="373"/>
      <c r="CN298" s="373"/>
      <c r="CO298" s="373"/>
      <c r="CP298" s="373"/>
      <c r="CQ298" s="373"/>
      <c r="CR298" s="373"/>
      <c r="CS298" s="373"/>
      <c r="CT298" s="373"/>
      <c r="CU298" s="373"/>
      <c r="CV298" s="373"/>
      <c r="CW298" s="373"/>
      <c r="CX298" s="373"/>
      <c r="CY298" s="373"/>
      <c r="CZ298" s="373"/>
      <c r="DA298" s="373"/>
      <c r="DB298" s="373"/>
      <c r="DC298" s="373"/>
      <c r="DD298" s="373"/>
      <c r="DE298" s="373"/>
      <c r="DF298" s="373"/>
      <c r="DG298" s="373"/>
      <c r="DH298" s="373"/>
      <c r="DI298" s="373"/>
      <c r="DL298" s="373"/>
      <c r="DM298" s="373"/>
      <c r="DN298" s="373"/>
      <c r="DO298" s="373"/>
      <c r="DP298" s="373"/>
      <c r="DR298" s="373"/>
      <c r="DT298" s="373"/>
    </row>
    <row r="299" spans="1:124" x14ac:dyDescent="0.2">
      <c r="A299"/>
      <c r="B299" s="144"/>
      <c r="D299" s="341"/>
      <c r="F299" s="343"/>
      <c r="G299" s="343"/>
      <c r="H299" s="343"/>
      <c r="I299" s="343"/>
      <c r="J299" s="343"/>
      <c r="K299" s="343"/>
      <c r="L299" s="343"/>
      <c r="R299" s="373"/>
      <c r="T299" s="373"/>
      <c r="U299" s="373"/>
      <c r="V299" s="373"/>
      <c r="W299" s="373"/>
      <c r="X299" s="373"/>
      <c r="Y299" s="373"/>
      <c r="Z299" s="373"/>
      <c r="AA299" s="373"/>
      <c r="AB299" s="373"/>
      <c r="AC299" s="373"/>
      <c r="AD299" s="373"/>
      <c r="AE299" s="373"/>
      <c r="AG299" s="373"/>
      <c r="AH299" s="373"/>
      <c r="AI299" s="373"/>
      <c r="AJ299" s="373"/>
      <c r="AK299" s="373"/>
      <c r="AL299" s="373"/>
      <c r="AM299" s="373"/>
      <c r="AN299" s="373"/>
      <c r="AO299" s="373"/>
      <c r="AR299" s="373"/>
      <c r="AU299" s="373"/>
      <c r="AV299" s="373"/>
      <c r="AW299" s="373"/>
      <c r="AX299" s="373"/>
      <c r="AY299" s="373"/>
      <c r="AZ299" s="373"/>
      <c r="BA299" s="373"/>
      <c r="BB299" s="373"/>
      <c r="BC299" s="373"/>
      <c r="BD299" s="373"/>
      <c r="BE299" s="373"/>
      <c r="BF299" s="373"/>
      <c r="BI299" s="373"/>
      <c r="BJ299" s="373"/>
      <c r="BL299" s="373"/>
      <c r="BN299" s="373"/>
      <c r="BO299" s="373"/>
      <c r="BP299" s="373"/>
      <c r="BQ299" s="373"/>
      <c r="BR299" s="373"/>
      <c r="BS299" s="373"/>
      <c r="BT299" s="373"/>
      <c r="BU299" s="373"/>
      <c r="BV299" s="373"/>
      <c r="BW299" s="373"/>
      <c r="BX299" s="373"/>
      <c r="BY299" s="373"/>
      <c r="BZ299" s="373"/>
      <c r="CB299" s="373"/>
      <c r="CD299" s="373"/>
      <c r="CE299" s="373"/>
      <c r="CF299" s="373"/>
      <c r="CG299" s="373"/>
      <c r="CH299" s="373"/>
      <c r="CI299" s="373"/>
      <c r="CJ299" s="373"/>
      <c r="CK299" s="373"/>
      <c r="CL299" s="373"/>
      <c r="CM299" s="373"/>
      <c r="CN299" s="373"/>
      <c r="CO299" s="373"/>
      <c r="CP299" s="373"/>
      <c r="CQ299" s="373"/>
      <c r="CR299" s="373"/>
      <c r="CS299" s="373"/>
      <c r="CT299" s="373"/>
      <c r="CU299" s="373"/>
      <c r="CV299" s="373"/>
      <c r="CW299" s="373"/>
      <c r="CX299" s="373"/>
      <c r="CY299" s="373"/>
      <c r="CZ299" s="373"/>
      <c r="DA299" s="373"/>
      <c r="DB299" s="373"/>
      <c r="DC299" s="373"/>
      <c r="DD299" s="373"/>
      <c r="DE299" s="373"/>
      <c r="DF299" s="373"/>
      <c r="DG299" s="373"/>
      <c r="DH299" s="373"/>
      <c r="DI299" s="373"/>
      <c r="DL299" s="373"/>
      <c r="DM299" s="373"/>
      <c r="DN299" s="373"/>
      <c r="DO299" s="373"/>
      <c r="DP299" s="373"/>
      <c r="DR299" s="373"/>
      <c r="DT299" s="373"/>
    </row>
    <row r="300" spans="1:124" x14ac:dyDescent="0.2">
      <c r="A300"/>
      <c r="B300" s="144"/>
      <c r="D300" s="341"/>
      <c r="F300" s="343"/>
      <c r="G300" s="343"/>
      <c r="H300" s="343"/>
      <c r="I300" s="343"/>
      <c r="J300" s="343"/>
      <c r="K300" s="343"/>
      <c r="L300" s="343"/>
      <c r="R300" s="373"/>
      <c r="T300" s="373"/>
      <c r="U300" s="373"/>
      <c r="V300" s="373"/>
      <c r="W300" s="373"/>
      <c r="X300" s="373"/>
      <c r="Y300" s="373"/>
      <c r="Z300" s="373"/>
      <c r="AA300" s="373"/>
      <c r="AB300" s="373"/>
      <c r="AC300" s="373"/>
      <c r="AD300" s="373"/>
      <c r="AE300" s="373"/>
      <c r="AG300" s="373"/>
      <c r="AI300" s="373"/>
      <c r="AL300" s="373"/>
      <c r="AM300" s="373"/>
      <c r="AN300" s="373"/>
      <c r="AO300" s="373"/>
      <c r="AR300" s="373"/>
      <c r="AU300" s="373"/>
      <c r="AV300" s="373"/>
      <c r="AW300" s="373"/>
      <c r="AX300" s="373"/>
      <c r="AY300" s="373"/>
      <c r="BB300" s="373"/>
      <c r="BC300" s="373"/>
      <c r="BD300" s="373"/>
      <c r="BE300" s="373"/>
      <c r="BF300" s="373"/>
      <c r="BI300" s="373"/>
      <c r="BJ300" s="373"/>
      <c r="BN300" s="373"/>
      <c r="BO300" s="373"/>
      <c r="BP300" s="373"/>
      <c r="BQ300" s="373"/>
      <c r="BS300" s="373"/>
      <c r="BT300" s="373"/>
      <c r="BU300" s="373"/>
      <c r="BV300" s="373"/>
      <c r="BW300" s="373"/>
      <c r="BX300" s="373"/>
      <c r="BY300" s="373"/>
      <c r="CB300" s="373"/>
      <c r="CD300" s="373"/>
      <c r="CE300" s="373"/>
      <c r="CF300" s="373"/>
      <c r="CG300" s="373"/>
      <c r="CH300" s="373"/>
      <c r="CI300" s="373"/>
      <c r="CJ300" s="373"/>
      <c r="CK300" s="373"/>
      <c r="CL300" s="373"/>
      <c r="CM300" s="373"/>
      <c r="CN300" s="373"/>
      <c r="CO300" s="373"/>
      <c r="CP300" s="373"/>
      <c r="CQ300" s="373"/>
      <c r="CR300" s="373"/>
      <c r="CS300" s="373"/>
      <c r="CT300" s="373"/>
      <c r="CU300" s="373"/>
      <c r="CV300" s="373"/>
      <c r="CW300" s="373"/>
      <c r="CX300" s="373"/>
      <c r="CY300" s="373"/>
      <c r="CZ300" s="373"/>
      <c r="DA300" s="373"/>
      <c r="DB300" s="373"/>
      <c r="DC300" s="373"/>
      <c r="DD300" s="373"/>
      <c r="DE300" s="373"/>
      <c r="DF300" s="373"/>
      <c r="DG300" s="373"/>
      <c r="DH300" s="373"/>
      <c r="DI300" s="373"/>
      <c r="DL300" s="373"/>
      <c r="DM300" s="373"/>
      <c r="DN300" s="373"/>
      <c r="DO300" s="373"/>
      <c r="DP300" s="373"/>
      <c r="DR300" s="373"/>
      <c r="DT300" s="373"/>
    </row>
    <row r="301" spans="1:124" x14ac:dyDescent="0.2">
      <c r="A301"/>
      <c r="B301" s="144"/>
      <c r="D301" s="341"/>
      <c r="F301" s="343"/>
      <c r="G301" s="343"/>
      <c r="H301" s="343"/>
      <c r="I301" s="343"/>
      <c r="J301" s="343"/>
      <c r="K301" s="343"/>
      <c r="L301" s="343"/>
      <c r="R301" s="373"/>
      <c r="T301" s="373"/>
      <c r="U301" s="373"/>
      <c r="V301" s="373"/>
      <c r="W301" s="373"/>
      <c r="X301" s="373"/>
      <c r="Y301" s="373"/>
      <c r="Z301" s="373"/>
      <c r="AA301" s="373"/>
      <c r="AB301" s="373"/>
      <c r="AC301" s="373"/>
      <c r="AD301" s="373"/>
      <c r="AE301" s="373"/>
      <c r="AG301" s="373"/>
      <c r="AI301" s="373"/>
      <c r="AL301" s="373"/>
      <c r="AM301" s="373"/>
      <c r="AN301" s="373"/>
      <c r="AO301" s="373"/>
      <c r="AR301" s="373"/>
      <c r="AU301" s="373"/>
      <c r="AV301" s="373"/>
      <c r="AW301" s="373"/>
      <c r="AX301" s="373"/>
      <c r="AY301" s="373"/>
      <c r="BB301" s="373"/>
      <c r="BC301" s="373"/>
      <c r="BD301" s="373"/>
      <c r="BE301" s="373"/>
      <c r="BF301" s="373"/>
      <c r="BI301" s="373"/>
      <c r="BJ301" s="373"/>
      <c r="BN301" s="373"/>
      <c r="BO301" s="373"/>
      <c r="BP301" s="373"/>
      <c r="BQ301" s="373"/>
      <c r="BS301" s="373"/>
      <c r="BT301" s="373"/>
      <c r="BU301" s="373"/>
      <c r="BV301" s="373"/>
      <c r="BW301" s="373"/>
      <c r="BX301" s="373"/>
      <c r="BY301" s="373"/>
      <c r="CB301" s="373"/>
      <c r="CD301" s="373"/>
      <c r="CE301" s="373"/>
      <c r="CF301" s="373"/>
      <c r="CG301" s="373"/>
      <c r="CH301" s="373"/>
      <c r="CI301" s="373"/>
      <c r="CJ301" s="373"/>
      <c r="CK301" s="373"/>
      <c r="CL301" s="373"/>
      <c r="CM301" s="373"/>
      <c r="CN301" s="373"/>
      <c r="CO301" s="373"/>
      <c r="CP301" s="373"/>
      <c r="CQ301" s="373"/>
      <c r="CR301" s="373"/>
      <c r="CS301" s="373"/>
      <c r="CT301" s="373"/>
      <c r="CU301" s="373"/>
      <c r="CV301" s="373"/>
      <c r="CW301" s="373"/>
      <c r="CX301" s="373"/>
      <c r="CY301" s="373"/>
      <c r="CZ301" s="373"/>
      <c r="DA301" s="373"/>
      <c r="DB301" s="373"/>
      <c r="DC301" s="373"/>
      <c r="DD301" s="373"/>
      <c r="DE301" s="373"/>
      <c r="DF301" s="373"/>
      <c r="DG301" s="373"/>
      <c r="DH301" s="373"/>
      <c r="DI301" s="373"/>
      <c r="DL301" s="373"/>
      <c r="DM301" s="373"/>
      <c r="DN301" s="373"/>
      <c r="DO301" s="373"/>
      <c r="DP301" s="373"/>
      <c r="DR301" s="373"/>
      <c r="DT301" s="373"/>
    </row>
    <row r="302" spans="1:124" x14ac:dyDescent="0.2">
      <c r="A302"/>
      <c r="B302" s="144"/>
      <c r="D302" s="341"/>
      <c r="F302" s="343"/>
      <c r="G302" s="343"/>
      <c r="H302" s="343"/>
      <c r="I302" s="343"/>
      <c r="J302" s="343"/>
      <c r="K302" s="343"/>
      <c r="L302" s="343"/>
      <c r="R302" s="373"/>
      <c r="T302" s="373"/>
      <c r="U302" s="373"/>
      <c r="V302" s="373"/>
      <c r="W302" s="373"/>
      <c r="X302" s="373"/>
      <c r="Y302" s="373"/>
      <c r="Z302" s="373"/>
      <c r="AA302" s="373"/>
      <c r="AB302" s="373"/>
      <c r="AC302" s="373"/>
      <c r="AD302" s="373"/>
      <c r="AE302" s="373"/>
      <c r="AG302" s="373"/>
      <c r="AI302" s="373"/>
      <c r="AL302" s="373"/>
      <c r="AM302" s="373"/>
      <c r="AN302" s="373"/>
      <c r="AO302" s="373"/>
      <c r="AR302" s="373"/>
      <c r="AU302" s="373"/>
      <c r="AV302" s="373"/>
      <c r="AW302" s="373"/>
      <c r="AX302" s="373"/>
      <c r="AY302" s="373"/>
      <c r="BB302" s="373"/>
      <c r="BC302" s="373"/>
      <c r="BD302" s="373"/>
      <c r="BE302" s="373"/>
      <c r="BF302" s="373"/>
      <c r="BI302" s="373"/>
      <c r="BJ302" s="373"/>
      <c r="BN302" s="373"/>
      <c r="BO302" s="373"/>
      <c r="BP302" s="373"/>
      <c r="BQ302" s="373"/>
      <c r="BS302" s="373"/>
      <c r="BT302" s="373"/>
      <c r="BU302" s="373"/>
      <c r="BV302" s="373"/>
      <c r="BW302" s="373"/>
      <c r="BX302" s="373"/>
      <c r="BY302" s="373"/>
      <c r="CB302" s="373"/>
      <c r="CD302" s="373"/>
      <c r="CE302" s="373"/>
      <c r="CF302" s="373"/>
      <c r="CG302" s="373"/>
      <c r="CH302" s="373"/>
      <c r="CI302" s="373"/>
      <c r="CJ302" s="373"/>
      <c r="CK302" s="373"/>
      <c r="CL302" s="373"/>
      <c r="CM302" s="373"/>
      <c r="CN302" s="373"/>
      <c r="CO302" s="373"/>
      <c r="CP302" s="373"/>
      <c r="CQ302" s="373"/>
      <c r="CR302" s="373"/>
      <c r="CS302" s="373"/>
      <c r="CT302" s="373"/>
      <c r="CU302" s="373"/>
      <c r="CV302" s="373"/>
      <c r="CW302" s="373"/>
      <c r="CX302" s="373"/>
      <c r="CY302" s="373"/>
      <c r="CZ302" s="373"/>
      <c r="DA302" s="373"/>
      <c r="DB302" s="373"/>
      <c r="DC302" s="373"/>
      <c r="DD302" s="373"/>
      <c r="DE302" s="373"/>
      <c r="DF302" s="373"/>
      <c r="DG302" s="373"/>
      <c r="DH302" s="373"/>
      <c r="DI302" s="373"/>
      <c r="DL302" s="373"/>
      <c r="DM302" s="373"/>
      <c r="DN302" s="373"/>
      <c r="DO302" s="373"/>
      <c r="DP302" s="373"/>
      <c r="DR302" s="373"/>
      <c r="DT302" s="373"/>
    </row>
    <row r="303" spans="1:124" x14ac:dyDescent="0.2">
      <c r="A303"/>
      <c r="B303" s="144"/>
      <c r="D303" s="341"/>
      <c r="F303" s="343"/>
      <c r="G303" s="343"/>
      <c r="H303" s="343"/>
      <c r="I303" s="343"/>
      <c r="J303" s="343"/>
      <c r="K303" s="343"/>
      <c r="L303" s="343"/>
      <c r="R303" s="373"/>
      <c r="T303" s="373"/>
      <c r="U303" s="373"/>
      <c r="V303" s="373"/>
      <c r="W303" s="373"/>
      <c r="X303" s="373"/>
      <c r="Y303" s="373"/>
      <c r="Z303" s="373"/>
      <c r="AA303" s="373"/>
      <c r="AB303" s="373"/>
      <c r="AC303" s="373"/>
      <c r="AD303" s="373"/>
      <c r="AE303" s="373"/>
      <c r="AG303" s="373"/>
      <c r="AI303" s="373"/>
      <c r="AL303" s="373"/>
      <c r="AM303" s="373"/>
      <c r="AN303" s="373"/>
      <c r="AO303" s="373"/>
      <c r="AR303" s="373"/>
      <c r="AU303" s="373"/>
      <c r="AV303" s="373"/>
      <c r="AW303" s="373"/>
      <c r="AX303" s="373"/>
      <c r="AY303" s="373"/>
      <c r="BB303" s="373"/>
      <c r="BC303" s="373"/>
      <c r="BD303" s="373"/>
      <c r="BE303" s="373"/>
      <c r="BF303" s="373"/>
      <c r="BI303" s="373"/>
      <c r="BJ303" s="373"/>
      <c r="BN303" s="373"/>
      <c r="BO303" s="373"/>
      <c r="BP303" s="373"/>
      <c r="BQ303" s="373"/>
      <c r="BS303" s="373"/>
      <c r="BT303" s="373"/>
      <c r="BU303" s="373"/>
      <c r="BV303" s="373"/>
      <c r="BW303" s="373"/>
      <c r="BX303" s="373"/>
      <c r="BY303" s="373"/>
      <c r="CB303" s="373"/>
      <c r="CD303" s="373"/>
      <c r="CE303" s="373"/>
      <c r="CF303" s="373"/>
      <c r="CG303" s="373"/>
      <c r="CH303" s="373"/>
      <c r="CI303" s="373"/>
      <c r="CJ303" s="373"/>
      <c r="CK303" s="373"/>
      <c r="CL303" s="373"/>
      <c r="CM303" s="373"/>
      <c r="CN303" s="373"/>
      <c r="CO303" s="373"/>
      <c r="CP303" s="373"/>
      <c r="CQ303" s="373"/>
      <c r="CR303" s="373"/>
      <c r="CS303" s="373"/>
      <c r="CT303" s="373"/>
      <c r="CU303" s="373"/>
      <c r="CV303" s="373"/>
      <c r="CW303" s="373"/>
      <c r="CX303" s="373"/>
      <c r="CY303" s="373"/>
      <c r="CZ303" s="373"/>
      <c r="DA303" s="373"/>
      <c r="DB303" s="373"/>
      <c r="DC303" s="373"/>
      <c r="DD303" s="373"/>
      <c r="DE303" s="373"/>
      <c r="DF303" s="373"/>
      <c r="DG303" s="373"/>
      <c r="DH303" s="373"/>
      <c r="DI303" s="373"/>
      <c r="DL303" s="373"/>
      <c r="DM303" s="373"/>
      <c r="DN303" s="373"/>
      <c r="DO303" s="373"/>
      <c r="DP303" s="373"/>
      <c r="DR303" s="373"/>
      <c r="DT303" s="373"/>
    </row>
    <row r="304" spans="1:124" x14ac:dyDescent="0.2">
      <c r="A304"/>
      <c r="B304" s="144"/>
      <c r="D304" s="341"/>
      <c r="F304" s="343"/>
      <c r="G304" s="343"/>
      <c r="H304" s="343"/>
      <c r="I304" s="343"/>
      <c r="J304" s="343"/>
      <c r="K304" s="343"/>
      <c r="L304" s="343"/>
      <c r="R304" s="373"/>
      <c r="T304" s="373"/>
      <c r="U304" s="373"/>
      <c r="V304" s="373"/>
      <c r="W304" s="373"/>
      <c r="X304" s="373"/>
      <c r="Y304" s="373"/>
      <c r="Z304" s="373"/>
      <c r="AA304" s="373"/>
      <c r="AB304" s="373"/>
      <c r="AC304" s="373"/>
      <c r="AD304" s="373"/>
      <c r="AE304" s="373"/>
      <c r="AG304" s="373"/>
      <c r="AI304" s="373"/>
      <c r="AL304" s="373"/>
      <c r="AM304" s="373"/>
      <c r="AN304" s="373"/>
      <c r="AO304" s="373"/>
      <c r="AR304" s="373"/>
      <c r="AU304" s="373"/>
      <c r="AV304" s="373"/>
      <c r="AW304" s="373"/>
      <c r="AX304" s="373"/>
      <c r="AY304" s="373"/>
      <c r="BB304" s="373"/>
      <c r="BC304" s="373"/>
      <c r="BD304" s="373"/>
      <c r="BE304" s="373"/>
      <c r="BF304" s="373"/>
      <c r="BI304" s="373"/>
      <c r="BJ304" s="373"/>
      <c r="BN304" s="373"/>
      <c r="BO304" s="373"/>
      <c r="BP304" s="373"/>
      <c r="BQ304" s="373"/>
      <c r="BS304" s="373"/>
      <c r="BT304" s="373"/>
      <c r="BU304" s="373"/>
      <c r="BV304" s="373"/>
      <c r="BW304" s="373"/>
      <c r="BX304" s="373"/>
      <c r="BY304" s="373"/>
      <c r="CB304" s="373"/>
      <c r="CD304" s="373"/>
      <c r="CE304" s="373"/>
      <c r="CF304" s="373"/>
      <c r="CG304" s="373"/>
      <c r="CH304" s="373"/>
      <c r="CI304" s="373"/>
      <c r="CJ304" s="373"/>
      <c r="CK304" s="373"/>
      <c r="CL304" s="373"/>
      <c r="CM304" s="373"/>
      <c r="CN304" s="373"/>
      <c r="CO304" s="373"/>
      <c r="CP304" s="373"/>
      <c r="CQ304" s="373"/>
      <c r="CR304" s="373"/>
      <c r="CS304" s="373"/>
      <c r="CT304" s="373"/>
      <c r="CU304" s="373"/>
      <c r="CV304" s="373"/>
      <c r="CW304" s="373"/>
      <c r="CX304" s="373"/>
      <c r="CY304" s="373"/>
      <c r="CZ304" s="373"/>
      <c r="DA304" s="373"/>
      <c r="DB304" s="373"/>
      <c r="DC304" s="373"/>
      <c r="DD304" s="373"/>
      <c r="DE304" s="373"/>
      <c r="DF304" s="373"/>
      <c r="DG304" s="373"/>
      <c r="DH304" s="373"/>
      <c r="DI304" s="373"/>
      <c r="DL304" s="373"/>
      <c r="DM304" s="373"/>
      <c r="DN304" s="373"/>
      <c r="DO304" s="373"/>
      <c r="DP304" s="373"/>
      <c r="DR304" s="373"/>
      <c r="DT304" s="373"/>
    </row>
    <row r="305" spans="1:124" x14ac:dyDescent="0.2">
      <c r="A305"/>
      <c r="B305" s="144"/>
      <c r="D305" s="341"/>
      <c r="F305" s="343"/>
      <c r="G305" s="343"/>
      <c r="H305" s="343"/>
      <c r="I305" s="343"/>
      <c r="J305" s="343"/>
      <c r="K305" s="343"/>
      <c r="L305" s="343"/>
      <c r="R305" s="373"/>
      <c r="T305" s="373"/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F305" s="373"/>
      <c r="AG305" s="373"/>
      <c r="AH305" s="373"/>
      <c r="AI305" s="373"/>
      <c r="AJ305" s="373"/>
      <c r="AL305" s="373"/>
      <c r="AM305" s="373"/>
      <c r="AN305" s="373"/>
      <c r="AO305" s="373"/>
      <c r="AR305" s="373"/>
      <c r="AU305" s="373"/>
      <c r="AV305" s="373"/>
      <c r="AW305" s="373"/>
      <c r="AX305" s="373"/>
      <c r="AY305" s="373"/>
      <c r="BB305" s="373"/>
      <c r="BC305" s="373"/>
      <c r="BD305" s="373"/>
      <c r="BE305" s="373"/>
      <c r="BF305" s="373"/>
      <c r="BI305" s="373"/>
      <c r="BJ305" s="373"/>
      <c r="BN305" s="373"/>
      <c r="BO305" s="373"/>
      <c r="BP305" s="373"/>
      <c r="BQ305" s="373"/>
      <c r="BS305" s="373"/>
      <c r="BT305" s="373"/>
      <c r="BU305" s="373"/>
      <c r="BV305" s="373"/>
      <c r="BW305" s="373"/>
      <c r="BX305" s="373"/>
      <c r="BY305" s="373"/>
      <c r="CB305" s="373"/>
      <c r="CD305" s="373"/>
      <c r="CE305" s="373"/>
      <c r="CF305" s="373"/>
      <c r="CG305" s="373"/>
      <c r="CH305" s="373"/>
      <c r="CI305" s="373"/>
      <c r="CJ305" s="373"/>
      <c r="CK305" s="373"/>
      <c r="CL305" s="373"/>
      <c r="CM305" s="373"/>
      <c r="CN305" s="373"/>
      <c r="CO305" s="373"/>
      <c r="CP305" s="373"/>
      <c r="CQ305" s="373"/>
      <c r="CR305" s="373"/>
      <c r="CS305" s="373"/>
      <c r="CT305" s="373"/>
      <c r="CU305" s="373"/>
      <c r="CV305" s="373"/>
      <c r="CW305" s="373"/>
      <c r="CX305" s="373"/>
      <c r="CY305" s="373"/>
      <c r="CZ305" s="373"/>
      <c r="DA305" s="373"/>
      <c r="DB305" s="373"/>
      <c r="DC305" s="373"/>
      <c r="DD305" s="373"/>
      <c r="DE305" s="373"/>
      <c r="DF305" s="373"/>
      <c r="DG305" s="373"/>
      <c r="DH305" s="373"/>
      <c r="DI305" s="373"/>
      <c r="DL305" s="373"/>
      <c r="DM305" s="373"/>
      <c r="DN305" s="373"/>
      <c r="DO305" s="373"/>
      <c r="DP305" s="373"/>
      <c r="DR305" s="373"/>
      <c r="DT305" s="373"/>
    </row>
    <row r="306" spans="1:124" x14ac:dyDescent="0.2">
      <c r="A306"/>
      <c r="B306" s="144"/>
      <c r="D306" s="341"/>
      <c r="F306" s="343"/>
      <c r="G306" s="343"/>
      <c r="H306" s="343"/>
      <c r="I306" s="343"/>
      <c r="J306" s="343"/>
      <c r="K306" s="343"/>
      <c r="L306" s="343"/>
      <c r="R306" s="373"/>
      <c r="T306" s="373"/>
      <c r="U306" s="373"/>
      <c r="V306" s="373"/>
      <c r="W306" s="373"/>
      <c r="X306" s="373"/>
      <c r="Y306" s="373"/>
      <c r="Z306" s="373"/>
      <c r="AA306" s="373"/>
      <c r="AB306" s="373"/>
      <c r="AC306" s="373"/>
      <c r="AD306" s="373"/>
      <c r="AE306" s="373"/>
      <c r="AF306" s="373"/>
      <c r="AG306" s="373"/>
      <c r="AH306" s="373"/>
      <c r="AI306" s="373"/>
      <c r="AJ306" s="373"/>
      <c r="AL306" s="373"/>
      <c r="AM306" s="373"/>
      <c r="AN306" s="373"/>
      <c r="AO306" s="373"/>
      <c r="AR306" s="373"/>
      <c r="AU306" s="373"/>
      <c r="AV306" s="373"/>
      <c r="AW306" s="373"/>
      <c r="AX306" s="373"/>
      <c r="AY306" s="373"/>
      <c r="BB306" s="373"/>
      <c r="BC306" s="373"/>
      <c r="BD306" s="373"/>
      <c r="BE306" s="373"/>
      <c r="BF306" s="373"/>
      <c r="BI306" s="373"/>
      <c r="BJ306" s="373"/>
      <c r="BN306" s="373"/>
      <c r="BO306" s="373"/>
      <c r="BP306" s="373"/>
      <c r="BQ306" s="373"/>
      <c r="BS306" s="373"/>
      <c r="BT306" s="373"/>
      <c r="BU306" s="373"/>
      <c r="BV306" s="373"/>
      <c r="BW306" s="373"/>
      <c r="BX306" s="373"/>
      <c r="BY306" s="373"/>
      <c r="CD306" s="373"/>
      <c r="CF306" s="373"/>
      <c r="CH306" s="373"/>
      <c r="CJ306" s="373"/>
      <c r="CK306" s="373"/>
      <c r="CL306" s="373"/>
      <c r="CM306" s="373"/>
      <c r="CN306" s="373"/>
      <c r="CO306" s="373"/>
      <c r="CP306" s="373"/>
      <c r="CQ306" s="373"/>
      <c r="CR306" s="373"/>
      <c r="CS306" s="373"/>
      <c r="CT306" s="373"/>
      <c r="CU306" s="373"/>
      <c r="CV306" s="373"/>
      <c r="CW306" s="373"/>
      <c r="CX306" s="373"/>
      <c r="CY306" s="373"/>
      <c r="CZ306" s="373"/>
      <c r="DA306" s="373"/>
      <c r="DB306" s="373"/>
      <c r="DC306" s="373"/>
      <c r="DD306" s="373"/>
      <c r="DE306" s="373"/>
      <c r="DF306" s="373"/>
      <c r="DG306" s="373"/>
      <c r="DH306" s="373"/>
      <c r="DI306" s="373"/>
      <c r="DL306" s="373"/>
      <c r="DM306" s="373"/>
      <c r="DN306" s="373"/>
      <c r="DO306" s="373"/>
      <c r="DP306" s="373"/>
      <c r="DR306" s="373"/>
      <c r="DT306" s="373"/>
    </row>
    <row r="307" spans="1:124" x14ac:dyDescent="0.2">
      <c r="A307"/>
      <c r="B307" s="144"/>
      <c r="D307" s="341"/>
      <c r="F307" s="343"/>
      <c r="G307" s="343"/>
      <c r="H307" s="343"/>
      <c r="I307" s="343"/>
      <c r="J307" s="343"/>
      <c r="K307" s="343"/>
      <c r="L307" s="343"/>
      <c r="R307" s="373"/>
      <c r="T307" s="373"/>
      <c r="U307" s="373"/>
      <c r="V307" s="373"/>
      <c r="W307" s="373"/>
      <c r="X307" s="373"/>
      <c r="Y307" s="373"/>
      <c r="Z307" s="373"/>
      <c r="AA307" s="373"/>
      <c r="AB307" s="373"/>
      <c r="AC307" s="373"/>
      <c r="AD307" s="373"/>
      <c r="AE307" s="373"/>
      <c r="AF307" s="373"/>
      <c r="AG307" s="373"/>
      <c r="AH307" s="373"/>
      <c r="AI307" s="373"/>
      <c r="AJ307" s="373"/>
      <c r="AL307" s="373"/>
      <c r="AM307" s="373"/>
      <c r="AN307" s="373"/>
      <c r="AO307" s="373"/>
      <c r="AR307" s="373"/>
      <c r="AU307" s="373"/>
      <c r="AV307" s="373"/>
      <c r="AW307" s="373"/>
      <c r="AX307" s="373"/>
      <c r="AY307" s="373"/>
      <c r="BB307" s="373"/>
      <c r="BC307" s="373"/>
      <c r="BD307" s="373"/>
      <c r="BE307" s="373"/>
      <c r="BF307" s="373"/>
      <c r="BI307" s="373"/>
      <c r="BJ307" s="373"/>
      <c r="BN307" s="373"/>
      <c r="BO307" s="373"/>
      <c r="BP307" s="373"/>
      <c r="BQ307" s="373"/>
      <c r="BS307" s="373"/>
      <c r="BT307" s="373"/>
      <c r="BU307" s="373"/>
      <c r="BV307" s="373"/>
      <c r="BW307" s="373"/>
      <c r="BX307" s="373"/>
      <c r="BY307" s="373"/>
      <c r="CD307" s="373"/>
      <c r="CF307" s="373"/>
      <c r="CH307" s="373"/>
      <c r="CJ307" s="373"/>
      <c r="CK307" s="373"/>
      <c r="CL307" s="373"/>
      <c r="CM307" s="373"/>
      <c r="CN307" s="373"/>
      <c r="CO307" s="373"/>
      <c r="CP307" s="373"/>
      <c r="CQ307" s="373"/>
      <c r="CR307" s="373"/>
      <c r="CS307" s="373"/>
      <c r="CT307" s="373"/>
      <c r="CU307" s="373"/>
      <c r="CV307" s="373"/>
      <c r="CW307" s="373"/>
      <c r="CX307" s="373"/>
      <c r="CY307" s="373"/>
      <c r="CZ307" s="373"/>
      <c r="DA307" s="373"/>
      <c r="DB307" s="373"/>
      <c r="DC307" s="373"/>
      <c r="DD307" s="373"/>
      <c r="DE307" s="373"/>
      <c r="DF307" s="373"/>
      <c r="DG307" s="373"/>
      <c r="DH307" s="373"/>
      <c r="DI307" s="373"/>
      <c r="DL307" s="373"/>
      <c r="DM307" s="373"/>
      <c r="DN307" s="373"/>
      <c r="DO307" s="373"/>
      <c r="DP307" s="373"/>
      <c r="DR307" s="373"/>
      <c r="DT307" s="373"/>
    </row>
    <row r="308" spans="1:124" x14ac:dyDescent="0.2">
      <c r="A308"/>
      <c r="B308" s="144"/>
      <c r="D308" s="341"/>
      <c r="F308" s="343"/>
      <c r="G308" s="343"/>
      <c r="H308" s="343"/>
      <c r="I308" s="343"/>
      <c r="J308" s="343"/>
      <c r="K308" s="343"/>
      <c r="L308" s="343"/>
      <c r="R308" s="373"/>
      <c r="T308" s="373"/>
      <c r="U308" s="373"/>
      <c r="V308" s="373"/>
      <c r="W308" s="373"/>
      <c r="X308" s="373"/>
      <c r="Y308" s="373"/>
      <c r="Z308" s="373"/>
      <c r="AA308" s="373"/>
      <c r="AB308" s="373"/>
      <c r="AC308" s="373"/>
      <c r="AD308" s="373"/>
      <c r="AE308" s="373"/>
      <c r="AF308" s="373"/>
      <c r="AG308" s="373"/>
      <c r="AH308" s="373"/>
      <c r="AI308" s="373"/>
      <c r="AJ308" s="373"/>
      <c r="AL308" s="373"/>
      <c r="AM308" s="373"/>
      <c r="AN308" s="373"/>
      <c r="AO308" s="373"/>
      <c r="AR308" s="373"/>
      <c r="AU308" s="373"/>
      <c r="AV308" s="373"/>
      <c r="AW308" s="373"/>
      <c r="AX308" s="373"/>
      <c r="AY308" s="373"/>
      <c r="BB308" s="373"/>
      <c r="BC308" s="373"/>
      <c r="BD308" s="373"/>
      <c r="BE308" s="373"/>
      <c r="BF308" s="373"/>
      <c r="BI308" s="373"/>
      <c r="BJ308" s="373"/>
      <c r="BN308" s="373"/>
      <c r="BO308" s="373"/>
      <c r="BP308" s="373"/>
      <c r="BQ308" s="373"/>
      <c r="BS308" s="373"/>
      <c r="BT308" s="373"/>
      <c r="BU308" s="373"/>
      <c r="BV308" s="373"/>
      <c r="BW308" s="373"/>
      <c r="BX308" s="373"/>
      <c r="BY308" s="373"/>
      <c r="CD308" s="373"/>
      <c r="CF308" s="373"/>
      <c r="CH308" s="373"/>
      <c r="CJ308" s="373"/>
      <c r="CK308" s="373"/>
      <c r="CL308" s="373"/>
      <c r="CM308" s="373"/>
      <c r="CN308" s="373"/>
      <c r="CO308" s="373"/>
      <c r="CP308" s="373"/>
      <c r="CQ308" s="373"/>
      <c r="CR308" s="373"/>
      <c r="CS308" s="373"/>
      <c r="CT308" s="373"/>
      <c r="CU308" s="373"/>
      <c r="CV308" s="373"/>
      <c r="CW308" s="373"/>
      <c r="CX308" s="373"/>
      <c r="CY308" s="373"/>
      <c r="CZ308" s="373"/>
      <c r="DA308" s="373"/>
      <c r="DB308" s="373"/>
      <c r="DC308" s="373"/>
      <c r="DD308" s="373"/>
      <c r="DE308" s="373"/>
      <c r="DF308" s="373"/>
      <c r="DG308" s="373"/>
      <c r="DH308" s="373"/>
      <c r="DI308" s="373"/>
      <c r="DL308" s="373"/>
      <c r="DM308" s="373"/>
      <c r="DN308" s="373"/>
      <c r="DO308" s="373"/>
      <c r="DP308" s="373"/>
      <c r="DR308" s="373"/>
      <c r="DT308" s="373"/>
    </row>
    <row r="309" spans="1:124" x14ac:dyDescent="0.2">
      <c r="A309"/>
      <c r="B309" s="144"/>
      <c r="D309" s="341"/>
      <c r="F309" s="343"/>
      <c r="G309" s="343"/>
      <c r="H309" s="343"/>
      <c r="I309" s="343"/>
      <c r="J309" s="343"/>
      <c r="K309" s="343"/>
      <c r="L309" s="343"/>
      <c r="R309" s="373"/>
      <c r="T309" s="373"/>
      <c r="U309" s="373"/>
      <c r="V309" s="373"/>
      <c r="W309" s="373"/>
      <c r="X309" s="373"/>
      <c r="Y309" s="373"/>
      <c r="Z309" s="373"/>
      <c r="AA309" s="373"/>
      <c r="AB309" s="373"/>
      <c r="AC309" s="373"/>
      <c r="AD309" s="373"/>
      <c r="AE309" s="373"/>
      <c r="AF309" s="373"/>
      <c r="AG309" s="373"/>
      <c r="AH309" s="373"/>
      <c r="AI309" s="373"/>
      <c r="AJ309" s="373"/>
      <c r="AL309" s="373"/>
      <c r="AM309" s="373"/>
      <c r="AN309" s="373"/>
      <c r="AO309" s="373"/>
      <c r="AR309" s="373"/>
      <c r="AU309" s="373"/>
      <c r="AV309" s="373"/>
      <c r="AW309" s="373"/>
      <c r="AX309" s="373"/>
      <c r="AY309" s="373"/>
      <c r="BB309" s="373"/>
      <c r="BC309" s="373"/>
      <c r="BD309" s="373"/>
      <c r="BE309" s="373"/>
      <c r="BF309" s="373"/>
      <c r="BI309" s="373"/>
      <c r="BJ309" s="373"/>
      <c r="BN309" s="373"/>
      <c r="BO309" s="373"/>
      <c r="BP309" s="373"/>
      <c r="BQ309" s="373"/>
      <c r="BS309" s="373"/>
      <c r="BT309" s="373"/>
      <c r="BU309" s="373"/>
      <c r="BV309" s="373"/>
      <c r="BW309" s="373"/>
      <c r="BX309" s="373"/>
      <c r="BY309" s="373"/>
      <c r="CD309" s="373"/>
      <c r="CF309" s="373"/>
      <c r="CH309" s="373"/>
      <c r="CJ309" s="373"/>
      <c r="CK309" s="373"/>
      <c r="CL309" s="373"/>
      <c r="CM309" s="373"/>
      <c r="CN309" s="373"/>
      <c r="CO309" s="373"/>
      <c r="CP309" s="373"/>
      <c r="CQ309" s="373"/>
      <c r="CR309" s="373"/>
      <c r="CS309" s="373"/>
      <c r="CT309" s="373"/>
      <c r="CU309" s="373"/>
      <c r="CV309" s="373"/>
      <c r="CW309" s="373"/>
      <c r="CX309" s="373"/>
      <c r="CY309" s="373"/>
      <c r="CZ309" s="373"/>
      <c r="DA309" s="373"/>
      <c r="DB309" s="373"/>
      <c r="DC309" s="373"/>
      <c r="DD309" s="373"/>
      <c r="DE309" s="373"/>
      <c r="DF309" s="373"/>
      <c r="DG309" s="373"/>
      <c r="DH309" s="373"/>
      <c r="DI309" s="373"/>
      <c r="DL309" s="373"/>
      <c r="DM309" s="373"/>
      <c r="DN309" s="373"/>
      <c r="DO309" s="373"/>
      <c r="DP309" s="373"/>
      <c r="DR309" s="373"/>
      <c r="DT309" s="373"/>
    </row>
    <row r="310" spans="1:124" x14ac:dyDescent="0.2">
      <c r="A310"/>
      <c r="B310" s="144"/>
      <c r="D310" s="341"/>
      <c r="F310" s="343"/>
      <c r="G310" s="343"/>
      <c r="H310" s="343"/>
      <c r="I310" s="343"/>
      <c r="J310" s="343"/>
      <c r="K310" s="343"/>
      <c r="L310" s="343"/>
      <c r="R310" s="373"/>
      <c r="T310" s="373"/>
      <c r="U310" s="373"/>
      <c r="V310" s="373"/>
      <c r="W310" s="373"/>
      <c r="X310" s="373"/>
      <c r="Y310" s="373"/>
      <c r="Z310" s="373"/>
      <c r="AA310" s="373"/>
      <c r="AB310" s="373"/>
      <c r="AC310" s="373"/>
      <c r="AD310" s="373"/>
      <c r="AE310" s="373"/>
      <c r="AG310" s="373"/>
      <c r="AI310" s="373"/>
      <c r="AL310" s="373"/>
      <c r="AM310" s="373"/>
      <c r="AN310" s="373"/>
      <c r="AO310" s="373"/>
      <c r="AR310" s="373"/>
      <c r="AU310" s="373"/>
      <c r="AV310" s="373"/>
      <c r="AW310" s="373"/>
      <c r="AX310" s="373"/>
      <c r="AY310" s="373"/>
      <c r="BB310" s="373"/>
      <c r="BC310" s="373"/>
      <c r="BD310" s="373"/>
      <c r="BE310" s="373"/>
      <c r="BF310" s="373"/>
      <c r="BI310" s="373"/>
      <c r="BJ310" s="373"/>
      <c r="BN310" s="373"/>
      <c r="BO310" s="373"/>
      <c r="BP310" s="373"/>
      <c r="BQ310" s="373"/>
      <c r="BS310" s="373"/>
      <c r="BT310" s="373"/>
      <c r="BU310" s="373"/>
      <c r="BV310" s="373"/>
      <c r="BW310" s="373"/>
      <c r="BX310" s="373"/>
      <c r="BY310" s="373"/>
      <c r="CD310" s="373"/>
      <c r="CF310" s="373"/>
      <c r="CH310" s="373"/>
      <c r="CJ310" s="373"/>
      <c r="CK310" s="373"/>
      <c r="CL310" s="373"/>
      <c r="CM310" s="373"/>
      <c r="CN310" s="373"/>
      <c r="CO310" s="373"/>
      <c r="CP310" s="373"/>
      <c r="CQ310" s="373"/>
      <c r="CR310" s="373"/>
      <c r="CS310" s="373"/>
      <c r="CT310" s="373"/>
      <c r="CU310" s="373"/>
      <c r="CV310" s="373"/>
      <c r="CW310" s="373"/>
      <c r="CX310" s="373"/>
      <c r="CY310" s="373"/>
      <c r="CZ310" s="373"/>
      <c r="DA310" s="373"/>
      <c r="DB310" s="373"/>
      <c r="DC310" s="373"/>
      <c r="DD310" s="373"/>
      <c r="DE310" s="373"/>
      <c r="DF310" s="373"/>
      <c r="DG310" s="373"/>
      <c r="DH310" s="373"/>
      <c r="DI310" s="373"/>
      <c r="DL310" s="373"/>
      <c r="DM310" s="373"/>
      <c r="DN310" s="373"/>
      <c r="DO310" s="373"/>
      <c r="DP310" s="373"/>
      <c r="DR310" s="373"/>
      <c r="DT310" s="373"/>
    </row>
    <row r="311" spans="1:124" x14ac:dyDescent="0.2">
      <c r="A311"/>
      <c r="B311" s="144"/>
      <c r="D311" s="341"/>
      <c r="F311" s="343"/>
      <c r="G311" s="343"/>
      <c r="H311" s="343"/>
      <c r="I311" s="343"/>
      <c r="J311" s="343"/>
      <c r="K311" s="343"/>
      <c r="L311" s="343"/>
      <c r="R311" s="373"/>
      <c r="T311" s="373"/>
      <c r="U311" s="373"/>
      <c r="V311" s="373"/>
      <c r="W311" s="373"/>
      <c r="X311" s="373"/>
      <c r="Y311" s="373"/>
      <c r="Z311" s="373"/>
      <c r="AA311" s="373"/>
      <c r="AB311" s="373"/>
      <c r="AC311" s="373"/>
      <c r="AD311" s="373"/>
      <c r="AE311" s="373"/>
      <c r="AG311" s="373"/>
      <c r="AI311" s="373"/>
      <c r="AL311" s="373"/>
      <c r="AM311" s="373"/>
      <c r="AN311" s="373"/>
      <c r="AO311" s="373"/>
      <c r="AR311" s="373"/>
      <c r="AU311" s="373"/>
      <c r="AV311" s="373"/>
      <c r="AW311" s="373"/>
      <c r="AX311" s="373"/>
      <c r="AY311" s="373"/>
      <c r="BB311" s="373"/>
      <c r="BC311" s="373"/>
      <c r="BD311" s="373"/>
      <c r="BE311" s="373"/>
      <c r="BF311" s="373"/>
      <c r="BI311" s="373"/>
      <c r="BJ311" s="373"/>
      <c r="BN311" s="373"/>
      <c r="BO311" s="373"/>
      <c r="BP311" s="373"/>
      <c r="BQ311" s="373"/>
      <c r="BS311" s="373"/>
      <c r="BT311" s="373"/>
      <c r="BU311" s="373"/>
      <c r="BV311" s="373"/>
      <c r="BW311" s="373"/>
      <c r="BX311" s="373"/>
      <c r="BY311" s="373"/>
      <c r="CD311" s="373"/>
      <c r="CF311" s="373"/>
      <c r="CH311" s="373"/>
      <c r="CJ311" s="373"/>
      <c r="CK311" s="373"/>
      <c r="CL311" s="373"/>
      <c r="CM311" s="373"/>
      <c r="CN311" s="373"/>
      <c r="CO311" s="373"/>
      <c r="CP311" s="373"/>
      <c r="CQ311" s="373"/>
      <c r="CR311" s="373"/>
      <c r="CS311" s="373"/>
      <c r="CT311" s="373"/>
      <c r="CU311" s="373"/>
      <c r="CV311" s="373"/>
      <c r="CW311" s="373"/>
      <c r="CX311" s="373"/>
      <c r="CY311" s="373"/>
      <c r="CZ311" s="373"/>
      <c r="DA311" s="373"/>
      <c r="DB311" s="373"/>
      <c r="DC311" s="373"/>
      <c r="DD311" s="373"/>
      <c r="DE311" s="373"/>
      <c r="DF311" s="373"/>
      <c r="DG311" s="373"/>
      <c r="DH311" s="373"/>
      <c r="DI311" s="373"/>
      <c r="DL311" s="373"/>
      <c r="DM311" s="373"/>
      <c r="DN311" s="373"/>
      <c r="DO311" s="373"/>
      <c r="DP311" s="373"/>
      <c r="DR311" s="373"/>
      <c r="DT311" s="373"/>
    </row>
    <row r="312" spans="1:124" x14ac:dyDescent="0.2">
      <c r="A312"/>
      <c r="B312" s="144"/>
      <c r="D312" s="341"/>
      <c r="F312" s="343"/>
      <c r="G312" s="343"/>
      <c r="H312" s="343"/>
      <c r="I312" s="343"/>
      <c r="J312" s="343"/>
      <c r="K312" s="343"/>
      <c r="L312" s="343"/>
      <c r="R312" s="373"/>
      <c r="T312" s="373"/>
      <c r="U312" s="373"/>
      <c r="V312" s="373"/>
      <c r="W312" s="373"/>
      <c r="X312" s="373"/>
      <c r="Y312" s="373"/>
      <c r="Z312" s="373"/>
      <c r="AA312" s="373"/>
      <c r="AB312" s="373"/>
      <c r="AC312" s="373"/>
      <c r="AD312" s="373"/>
      <c r="AE312" s="373"/>
      <c r="AG312" s="373"/>
      <c r="AI312" s="373"/>
      <c r="AL312" s="373"/>
      <c r="AM312" s="373"/>
      <c r="AN312" s="373"/>
      <c r="AO312" s="373"/>
      <c r="AR312" s="373"/>
      <c r="AU312" s="373"/>
      <c r="AV312" s="373"/>
      <c r="AW312" s="373"/>
      <c r="AX312" s="373"/>
      <c r="AY312" s="373"/>
      <c r="BB312" s="373"/>
      <c r="BC312" s="373"/>
      <c r="BD312" s="373"/>
      <c r="BE312" s="373"/>
      <c r="BF312" s="373"/>
      <c r="BI312" s="373"/>
      <c r="BJ312" s="373"/>
      <c r="BN312" s="373"/>
      <c r="BO312" s="373"/>
      <c r="BP312" s="373"/>
      <c r="BQ312" s="373"/>
      <c r="BS312" s="373"/>
      <c r="BT312" s="373"/>
      <c r="BU312" s="373"/>
      <c r="BV312" s="373"/>
      <c r="BW312" s="373"/>
      <c r="BX312" s="373"/>
      <c r="BY312" s="373"/>
      <c r="CD312" s="373"/>
      <c r="CF312" s="373"/>
      <c r="CH312" s="373"/>
      <c r="CJ312" s="373"/>
      <c r="CK312" s="373"/>
      <c r="CL312" s="373"/>
      <c r="CM312" s="373"/>
      <c r="CN312" s="373"/>
      <c r="CO312" s="373"/>
      <c r="CP312" s="373"/>
      <c r="CQ312" s="373"/>
      <c r="CR312" s="373"/>
      <c r="CS312" s="373"/>
      <c r="CT312" s="373"/>
      <c r="CU312" s="373"/>
      <c r="CV312" s="373"/>
      <c r="CW312" s="373"/>
      <c r="CX312" s="373"/>
      <c r="CY312" s="373"/>
      <c r="CZ312" s="373"/>
      <c r="DA312" s="373"/>
      <c r="DB312" s="373"/>
      <c r="DC312" s="373"/>
      <c r="DD312" s="373"/>
      <c r="DE312" s="373"/>
      <c r="DF312" s="373"/>
      <c r="DG312" s="373"/>
      <c r="DH312" s="373"/>
      <c r="DI312" s="373"/>
      <c r="DL312" s="373"/>
      <c r="DM312" s="373"/>
      <c r="DN312" s="373"/>
      <c r="DO312" s="373"/>
      <c r="DP312" s="373"/>
      <c r="DR312" s="373"/>
      <c r="DT312" s="373"/>
    </row>
    <row r="313" spans="1:124" x14ac:dyDescent="0.2">
      <c r="A313"/>
      <c r="B313" s="144"/>
      <c r="D313" s="341"/>
      <c r="F313" s="343"/>
      <c r="G313" s="343"/>
      <c r="H313" s="343"/>
      <c r="I313" s="343"/>
      <c r="J313" s="343"/>
      <c r="K313" s="343"/>
      <c r="L313" s="343"/>
      <c r="R313" s="373"/>
      <c r="T313" s="373"/>
      <c r="U313" s="373"/>
      <c r="V313" s="373"/>
      <c r="W313" s="373"/>
      <c r="X313" s="373"/>
      <c r="Y313" s="373"/>
      <c r="Z313" s="373"/>
      <c r="AA313" s="373"/>
      <c r="AB313" s="373"/>
      <c r="AC313" s="373"/>
      <c r="AD313" s="373"/>
      <c r="AE313" s="373"/>
      <c r="AF313" s="373"/>
      <c r="AG313" s="373"/>
      <c r="AH313" s="373"/>
      <c r="AI313" s="373"/>
      <c r="AJ313" s="373"/>
      <c r="AK313" s="373"/>
      <c r="AL313" s="373"/>
      <c r="AM313" s="373"/>
      <c r="AN313" s="373"/>
      <c r="AO313" s="373"/>
      <c r="AR313" s="373"/>
      <c r="AU313" s="373"/>
      <c r="AV313" s="373"/>
      <c r="AW313" s="373"/>
      <c r="AX313" s="373"/>
      <c r="AY313" s="373"/>
      <c r="AZ313" s="373"/>
      <c r="BA313" s="373"/>
      <c r="BB313" s="373"/>
      <c r="BC313" s="373"/>
      <c r="BD313" s="373"/>
      <c r="BE313" s="373"/>
      <c r="BF313" s="373"/>
      <c r="BI313" s="373"/>
      <c r="BJ313" s="373"/>
      <c r="BL313" s="373"/>
      <c r="BN313" s="373"/>
      <c r="BO313" s="373"/>
      <c r="BP313" s="373"/>
      <c r="BQ313" s="373"/>
      <c r="BR313" s="373"/>
      <c r="BS313" s="373"/>
      <c r="BT313" s="373"/>
      <c r="BU313" s="373"/>
      <c r="BV313" s="373"/>
      <c r="BW313" s="373"/>
      <c r="BX313" s="373"/>
      <c r="BY313" s="373"/>
      <c r="BZ313" s="373"/>
      <c r="CB313" s="373"/>
      <c r="CD313" s="373"/>
      <c r="CE313" s="373"/>
      <c r="CF313" s="373"/>
      <c r="CG313" s="373"/>
      <c r="CH313" s="373"/>
      <c r="CI313" s="373"/>
      <c r="CJ313" s="373"/>
      <c r="CK313" s="373"/>
      <c r="CL313" s="373"/>
      <c r="CM313" s="373"/>
      <c r="CN313" s="373"/>
      <c r="CO313" s="373"/>
      <c r="CP313" s="373"/>
      <c r="CQ313" s="373"/>
      <c r="CR313" s="373"/>
      <c r="CS313" s="373"/>
      <c r="CT313" s="373"/>
      <c r="CU313" s="373"/>
      <c r="CV313" s="373"/>
      <c r="CW313" s="373"/>
      <c r="CX313" s="373"/>
      <c r="CY313" s="373"/>
      <c r="CZ313" s="373"/>
      <c r="DA313" s="373"/>
      <c r="DB313" s="373"/>
      <c r="DC313" s="373"/>
      <c r="DD313" s="373"/>
      <c r="DE313" s="373"/>
      <c r="DF313" s="373"/>
      <c r="DG313" s="373"/>
      <c r="DH313" s="373"/>
      <c r="DI313" s="373"/>
      <c r="DL313" s="373"/>
      <c r="DM313" s="373"/>
      <c r="DN313" s="373"/>
      <c r="DO313" s="373"/>
      <c r="DP313" s="373"/>
      <c r="DR313" s="373"/>
      <c r="DT313" s="373"/>
    </row>
    <row r="314" spans="1:124" x14ac:dyDescent="0.2">
      <c r="A314"/>
      <c r="B314" s="144"/>
      <c r="D314" s="341"/>
      <c r="F314" s="343"/>
      <c r="G314" s="343"/>
      <c r="H314" s="343"/>
      <c r="I314" s="343"/>
      <c r="J314" s="343"/>
      <c r="K314" s="343"/>
      <c r="L314" s="343"/>
      <c r="T314" s="373"/>
      <c r="U314" s="373"/>
      <c r="V314" s="373"/>
      <c r="W314" s="373"/>
      <c r="X314" s="373"/>
      <c r="Y314" s="373"/>
      <c r="Z314" s="373"/>
      <c r="AA314" s="373"/>
      <c r="AB314" s="373"/>
      <c r="AC314" s="373"/>
      <c r="AG314" s="373"/>
      <c r="AI314" s="373"/>
      <c r="AL314" s="373"/>
      <c r="AM314" s="373"/>
      <c r="AN314" s="373"/>
      <c r="AO314" s="373"/>
      <c r="AP314" s="373"/>
      <c r="AQ314" s="373"/>
      <c r="AR314" s="373"/>
      <c r="AS314" s="373"/>
      <c r="AU314" s="373"/>
      <c r="AV314" s="373"/>
      <c r="AW314" s="373"/>
      <c r="AX314" s="373"/>
      <c r="AY314" s="373"/>
      <c r="BB314" s="373"/>
      <c r="BC314" s="373"/>
      <c r="BD314" s="373"/>
      <c r="BE314" s="373"/>
      <c r="BI314" s="373"/>
      <c r="BN314" s="373"/>
      <c r="BP314" s="373"/>
      <c r="BQ314" s="373"/>
      <c r="BS314" s="373"/>
      <c r="BT314" s="373"/>
      <c r="BU314" s="373"/>
      <c r="BV314" s="373"/>
      <c r="BW314" s="373"/>
      <c r="BX314" s="373"/>
      <c r="BY314" s="373"/>
      <c r="CD314" s="373"/>
      <c r="CF314" s="373"/>
      <c r="CH314" s="373"/>
      <c r="CJ314" s="373"/>
      <c r="CK314" s="373"/>
      <c r="CL314" s="373"/>
      <c r="CM314" s="373"/>
      <c r="CN314" s="373"/>
      <c r="CO314" s="373"/>
      <c r="CP314" s="373"/>
      <c r="CQ314" s="373"/>
      <c r="CR314" s="373"/>
      <c r="CS314" s="373"/>
      <c r="CT314" s="373"/>
      <c r="CU314" s="373"/>
      <c r="CV314" s="373"/>
      <c r="CW314" s="373"/>
      <c r="CX314" s="373"/>
      <c r="CY314" s="373"/>
      <c r="CZ314" s="373"/>
      <c r="DA314" s="373"/>
      <c r="DB314" s="373"/>
      <c r="DC314" s="373"/>
      <c r="DD314" s="373"/>
      <c r="DE314" s="373"/>
      <c r="DF314" s="373"/>
      <c r="DG314" s="373"/>
      <c r="DH314" s="373"/>
      <c r="DI314" s="373"/>
      <c r="DL314" s="373"/>
      <c r="DM314" s="373"/>
      <c r="DN314" s="373"/>
      <c r="DO314" s="373"/>
      <c r="DP314" s="373"/>
      <c r="DR314" s="373"/>
      <c r="DT314" s="373"/>
    </row>
    <row r="315" spans="1:124" x14ac:dyDescent="0.2">
      <c r="A315"/>
      <c r="B315" s="144"/>
      <c r="D315" s="341"/>
      <c r="F315" s="343"/>
      <c r="G315" s="343"/>
      <c r="H315" s="343"/>
      <c r="I315" s="343"/>
      <c r="J315" s="343"/>
      <c r="K315" s="343"/>
      <c r="L315" s="343"/>
      <c r="T315" s="373"/>
      <c r="U315" s="373"/>
      <c r="V315" s="373"/>
      <c r="W315" s="373"/>
      <c r="X315" s="373"/>
      <c r="Y315" s="373"/>
      <c r="Z315" s="373"/>
      <c r="AA315" s="373"/>
      <c r="AB315" s="373"/>
      <c r="AC315" s="373"/>
      <c r="AG315" s="373"/>
      <c r="AI315" s="373"/>
      <c r="AL315" s="373"/>
      <c r="AM315" s="373"/>
      <c r="AN315" s="373"/>
      <c r="AO315" s="373"/>
      <c r="AP315" s="373"/>
      <c r="AQ315" s="373"/>
      <c r="AR315" s="373"/>
      <c r="AS315" s="373"/>
      <c r="AT315" s="373"/>
      <c r="AU315" s="373"/>
      <c r="AV315" s="373"/>
      <c r="AW315" s="373"/>
      <c r="AX315" s="373"/>
      <c r="AY315" s="373"/>
      <c r="BB315" s="373"/>
      <c r="BC315" s="373"/>
      <c r="BD315" s="373"/>
      <c r="BE315" s="373"/>
      <c r="BI315" s="373"/>
      <c r="BN315" s="373"/>
      <c r="BP315" s="373"/>
      <c r="BQ315" s="373"/>
      <c r="BS315" s="373"/>
      <c r="BT315" s="373"/>
      <c r="BU315" s="373"/>
      <c r="BV315" s="373"/>
      <c r="BW315" s="373"/>
      <c r="BX315" s="373"/>
      <c r="BY315" s="373"/>
      <c r="CC315" s="373"/>
      <c r="CD315" s="373"/>
      <c r="CE315" s="373"/>
      <c r="CF315" s="373"/>
      <c r="CG315" s="373"/>
      <c r="CH315" s="373"/>
      <c r="CI315" s="373"/>
      <c r="CJ315" s="373"/>
      <c r="CK315" s="373"/>
      <c r="CL315" s="373"/>
      <c r="CM315" s="373"/>
      <c r="CN315" s="373"/>
      <c r="CO315" s="373"/>
      <c r="CP315" s="373"/>
      <c r="CQ315" s="373"/>
      <c r="CR315" s="373"/>
      <c r="CS315" s="373"/>
      <c r="CT315" s="373"/>
      <c r="CU315" s="373"/>
      <c r="CV315" s="373"/>
      <c r="CW315" s="373"/>
      <c r="CX315" s="373"/>
      <c r="CY315" s="373"/>
      <c r="CZ315" s="373"/>
      <c r="DA315" s="373"/>
      <c r="DB315" s="373"/>
      <c r="DC315" s="373"/>
      <c r="DD315" s="373"/>
      <c r="DE315" s="373"/>
      <c r="DF315" s="373"/>
      <c r="DG315" s="373"/>
      <c r="DH315" s="373"/>
      <c r="DI315" s="373"/>
      <c r="DL315" s="373"/>
      <c r="DM315" s="373"/>
      <c r="DN315" s="373"/>
      <c r="DO315" s="373"/>
      <c r="DP315" s="373"/>
      <c r="DR315" s="373"/>
      <c r="DT315" s="373"/>
    </row>
    <row r="316" spans="1:124" x14ac:dyDescent="0.2">
      <c r="A316"/>
      <c r="B316" s="144"/>
      <c r="D316" s="341"/>
      <c r="F316" s="343"/>
      <c r="G316" s="343"/>
      <c r="H316" s="343"/>
      <c r="I316" s="343"/>
      <c r="J316" s="343"/>
      <c r="K316" s="343"/>
      <c r="L316" s="343"/>
      <c r="T316" s="373"/>
      <c r="U316" s="373"/>
      <c r="V316" s="373"/>
      <c r="W316" s="373"/>
      <c r="X316" s="373"/>
      <c r="Y316" s="373"/>
      <c r="Z316" s="373"/>
      <c r="AA316" s="373"/>
      <c r="AB316" s="373"/>
      <c r="AC316" s="373"/>
      <c r="AE316" s="373"/>
      <c r="AG316" s="373"/>
      <c r="AI316" s="373"/>
      <c r="AL316" s="373"/>
      <c r="AM316" s="373"/>
      <c r="AN316" s="373"/>
      <c r="AO316" s="373"/>
      <c r="AP316" s="373"/>
      <c r="AQ316" s="373"/>
      <c r="AR316" s="373"/>
      <c r="AS316" s="373"/>
      <c r="AT316" s="373"/>
      <c r="AU316" s="373"/>
      <c r="AV316" s="373"/>
      <c r="AW316" s="373"/>
      <c r="AX316" s="373"/>
      <c r="AY316" s="373"/>
      <c r="BB316" s="373"/>
      <c r="BC316" s="373"/>
      <c r="BD316" s="373"/>
      <c r="BE316" s="373"/>
      <c r="BI316" s="373"/>
      <c r="BN316" s="373"/>
      <c r="BP316" s="373"/>
      <c r="BQ316" s="373"/>
      <c r="BS316" s="373"/>
      <c r="BT316" s="373"/>
      <c r="BU316" s="373"/>
      <c r="BV316" s="373"/>
      <c r="BW316" s="373"/>
      <c r="BX316" s="373"/>
      <c r="BY316" s="373"/>
      <c r="CC316" s="373"/>
      <c r="CD316" s="373"/>
      <c r="CE316" s="373"/>
      <c r="CF316" s="373"/>
      <c r="CG316" s="373"/>
      <c r="CH316" s="373"/>
      <c r="CI316" s="373"/>
      <c r="CJ316" s="373"/>
      <c r="CK316" s="373"/>
      <c r="CL316" s="373"/>
      <c r="CM316" s="373"/>
      <c r="CN316" s="373"/>
      <c r="CO316" s="373"/>
      <c r="CP316" s="373"/>
      <c r="CQ316" s="373"/>
      <c r="CR316" s="373"/>
      <c r="CS316" s="373"/>
      <c r="CT316" s="373"/>
      <c r="CU316" s="373"/>
      <c r="CV316" s="373"/>
      <c r="CW316" s="373"/>
      <c r="CX316" s="373"/>
      <c r="CY316" s="373"/>
      <c r="CZ316" s="373"/>
      <c r="DA316" s="373"/>
      <c r="DB316" s="373"/>
      <c r="DC316" s="373"/>
      <c r="DD316" s="373"/>
      <c r="DE316" s="373"/>
      <c r="DF316" s="373"/>
      <c r="DG316" s="373"/>
      <c r="DH316" s="373"/>
      <c r="DI316" s="373"/>
      <c r="DL316" s="373"/>
      <c r="DM316" s="373"/>
      <c r="DN316" s="373"/>
      <c r="DO316" s="373"/>
      <c r="DP316" s="373"/>
      <c r="DR316" s="373"/>
      <c r="DT316" s="373"/>
    </row>
    <row r="317" spans="1:124" x14ac:dyDescent="0.2">
      <c r="A317"/>
      <c r="B317" s="144"/>
      <c r="D317" s="341"/>
      <c r="F317" s="343"/>
      <c r="G317" s="343"/>
      <c r="H317" s="343"/>
      <c r="I317" s="343"/>
      <c r="J317" s="343"/>
      <c r="K317" s="343"/>
      <c r="L317" s="343"/>
      <c r="T317" s="373"/>
      <c r="U317" s="373"/>
      <c r="V317" s="373"/>
      <c r="W317" s="373"/>
      <c r="X317" s="373"/>
      <c r="Y317" s="373"/>
      <c r="Z317" s="373"/>
      <c r="AA317" s="373"/>
      <c r="AB317" s="373"/>
      <c r="AC317" s="373"/>
      <c r="AE317" s="373"/>
      <c r="AF317" s="373"/>
      <c r="AG317" s="373"/>
      <c r="AH317" s="373"/>
      <c r="AI317" s="373"/>
      <c r="AJ317" s="373"/>
      <c r="AL317" s="373"/>
      <c r="AM317" s="373"/>
      <c r="AN317" s="373"/>
      <c r="AO317" s="373"/>
      <c r="AP317" s="373"/>
      <c r="AQ317" s="373"/>
      <c r="AR317" s="373"/>
      <c r="AS317" s="373"/>
      <c r="AT317" s="373"/>
      <c r="AU317" s="373"/>
      <c r="AV317" s="373"/>
      <c r="AW317" s="373"/>
      <c r="AX317" s="373"/>
      <c r="AY317" s="373"/>
      <c r="BB317" s="373"/>
      <c r="BC317" s="373"/>
      <c r="BD317" s="373"/>
      <c r="BE317" s="373"/>
      <c r="BI317" s="373"/>
      <c r="BN317" s="373"/>
      <c r="BP317" s="373"/>
      <c r="BQ317" s="373"/>
      <c r="BS317" s="373"/>
      <c r="BT317" s="373"/>
      <c r="BU317" s="373"/>
      <c r="BV317" s="373"/>
      <c r="BW317" s="373"/>
      <c r="BX317" s="373"/>
      <c r="BY317" s="373"/>
      <c r="CC317" s="373"/>
      <c r="CD317" s="373"/>
      <c r="CE317" s="373"/>
      <c r="CF317" s="373"/>
      <c r="CG317" s="373"/>
      <c r="CH317" s="373"/>
      <c r="CI317" s="373"/>
      <c r="CJ317" s="373"/>
      <c r="CK317" s="373"/>
      <c r="CL317" s="373"/>
      <c r="CM317" s="373"/>
      <c r="CN317" s="373"/>
      <c r="CO317" s="373"/>
      <c r="CP317" s="373"/>
      <c r="CQ317" s="373"/>
      <c r="CR317" s="373"/>
      <c r="CS317" s="373"/>
      <c r="CT317" s="373"/>
      <c r="CU317" s="373"/>
      <c r="CV317" s="373"/>
      <c r="CW317" s="373"/>
      <c r="CX317" s="373"/>
      <c r="CY317" s="373"/>
      <c r="CZ317" s="373"/>
      <c r="DA317" s="373"/>
      <c r="DB317" s="373"/>
      <c r="DC317" s="373"/>
      <c r="DD317" s="373"/>
      <c r="DE317" s="373"/>
      <c r="DF317" s="373"/>
      <c r="DG317" s="373"/>
      <c r="DH317" s="373"/>
      <c r="DI317" s="373"/>
      <c r="DL317" s="373"/>
      <c r="DM317" s="373"/>
      <c r="DN317" s="373"/>
      <c r="DO317" s="373"/>
      <c r="DP317" s="373"/>
      <c r="DR317" s="373"/>
      <c r="DT317" s="373"/>
    </row>
    <row r="318" spans="1:124" x14ac:dyDescent="0.2">
      <c r="A318"/>
      <c r="B318" s="144"/>
      <c r="D318" s="341"/>
      <c r="F318" s="343"/>
      <c r="G318" s="343"/>
      <c r="H318" s="343"/>
      <c r="I318" s="343"/>
      <c r="J318" s="343"/>
      <c r="K318" s="343"/>
      <c r="L318" s="343"/>
      <c r="T318" s="373"/>
      <c r="U318" s="373"/>
      <c r="V318" s="373"/>
      <c r="W318" s="373"/>
      <c r="X318" s="373"/>
      <c r="Y318" s="373"/>
      <c r="Z318" s="373"/>
      <c r="AA318" s="373"/>
      <c r="AB318" s="373"/>
      <c r="AC318" s="373"/>
      <c r="AE318" s="373"/>
      <c r="AF318" s="373"/>
      <c r="AG318" s="373"/>
      <c r="AH318" s="373"/>
      <c r="AI318" s="373"/>
      <c r="AJ318" s="373"/>
      <c r="AL318" s="373"/>
      <c r="AM318" s="373"/>
      <c r="AN318" s="373"/>
      <c r="AO318" s="373"/>
      <c r="AP318" s="373"/>
      <c r="AQ318" s="373"/>
      <c r="AR318" s="373"/>
      <c r="AS318" s="373"/>
      <c r="AT318" s="373"/>
      <c r="AU318" s="373"/>
      <c r="AV318" s="373"/>
      <c r="AW318" s="373"/>
      <c r="AX318" s="373"/>
      <c r="AY318" s="373"/>
      <c r="BB318" s="373"/>
      <c r="BC318" s="373"/>
      <c r="BD318" s="373"/>
      <c r="BE318" s="373"/>
      <c r="BI318" s="373"/>
      <c r="BN318" s="373"/>
      <c r="BP318" s="373"/>
      <c r="BQ318" s="373"/>
      <c r="BS318" s="373"/>
      <c r="BT318" s="373"/>
      <c r="BU318" s="373"/>
      <c r="BV318" s="373"/>
      <c r="BW318" s="373"/>
      <c r="BX318" s="373"/>
      <c r="BY318" s="373"/>
      <c r="CC318" s="373"/>
      <c r="CD318" s="373"/>
      <c r="CE318" s="373"/>
      <c r="CF318" s="373"/>
      <c r="CG318" s="373"/>
      <c r="CH318" s="373"/>
      <c r="CI318" s="373"/>
      <c r="CJ318" s="373"/>
      <c r="CK318" s="373"/>
      <c r="CL318" s="373"/>
      <c r="CM318" s="373"/>
      <c r="CN318" s="373"/>
      <c r="CO318" s="373"/>
      <c r="CP318" s="373"/>
      <c r="CQ318" s="373"/>
      <c r="CR318" s="373"/>
      <c r="CS318" s="373"/>
      <c r="CT318" s="373"/>
      <c r="CU318" s="373"/>
      <c r="CV318" s="373"/>
      <c r="CW318" s="373"/>
      <c r="CX318" s="373"/>
      <c r="CY318" s="373"/>
      <c r="CZ318" s="373"/>
      <c r="DA318" s="373"/>
      <c r="DB318" s="373"/>
      <c r="DC318" s="373"/>
      <c r="DD318" s="373"/>
      <c r="DE318" s="373"/>
      <c r="DF318" s="373"/>
      <c r="DG318" s="373"/>
      <c r="DH318" s="373"/>
      <c r="DI318" s="373"/>
      <c r="DL318" s="373"/>
      <c r="DM318" s="373"/>
      <c r="DN318" s="373"/>
      <c r="DO318" s="373"/>
      <c r="DP318" s="373"/>
      <c r="DR318" s="373"/>
      <c r="DT318" s="373"/>
    </row>
    <row r="319" spans="1:124" x14ac:dyDescent="0.2">
      <c r="A319"/>
      <c r="B319" s="144"/>
      <c r="D319" s="341"/>
      <c r="F319" s="343"/>
      <c r="G319" s="343"/>
      <c r="H319" s="343"/>
      <c r="I319" s="343"/>
      <c r="J319" s="343"/>
      <c r="K319" s="343"/>
      <c r="L319" s="343"/>
      <c r="T319" s="373"/>
      <c r="U319" s="373"/>
      <c r="V319" s="373"/>
      <c r="W319" s="373"/>
      <c r="X319" s="373"/>
      <c r="Y319" s="373"/>
      <c r="Z319" s="373"/>
      <c r="AA319" s="373"/>
      <c r="AB319" s="373"/>
      <c r="AC319" s="373"/>
      <c r="AE319" s="373"/>
      <c r="AG319" s="373"/>
      <c r="AI319" s="373"/>
      <c r="AL319" s="373"/>
      <c r="AM319" s="373"/>
      <c r="AN319" s="373"/>
      <c r="AO319" s="373"/>
      <c r="AP319" s="373"/>
      <c r="AQ319" s="373"/>
      <c r="AR319" s="373"/>
      <c r="AS319" s="373"/>
      <c r="AT319" s="373"/>
      <c r="AU319" s="373"/>
      <c r="AV319" s="373"/>
      <c r="AW319" s="373"/>
      <c r="AX319" s="373"/>
      <c r="AY319" s="373"/>
      <c r="BB319" s="373"/>
      <c r="BC319" s="373"/>
      <c r="BD319" s="373"/>
      <c r="BE319" s="373"/>
      <c r="BI319" s="373"/>
      <c r="BN319" s="373"/>
      <c r="BP319" s="373"/>
      <c r="BQ319" s="373"/>
      <c r="BS319" s="373"/>
      <c r="BT319" s="373"/>
      <c r="BU319" s="373"/>
      <c r="BV319" s="373"/>
      <c r="BW319" s="373"/>
      <c r="BX319" s="373"/>
      <c r="BY319" s="373"/>
      <c r="CC319" s="373"/>
      <c r="CD319" s="373"/>
      <c r="CE319" s="373"/>
      <c r="CF319" s="373"/>
      <c r="CG319" s="373"/>
      <c r="CH319" s="373"/>
      <c r="CI319" s="373"/>
      <c r="CJ319" s="373"/>
      <c r="CK319" s="373"/>
      <c r="CL319" s="373"/>
      <c r="CM319" s="373"/>
      <c r="CN319" s="373"/>
      <c r="CO319" s="373"/>
      <c r="CP319" s="373"/>
      <c r="CQ319" s="373"/>
      <c r="CR319" s="373"/>
      <c r="CS319" s="373"/>
      <c r="CT319" s="373"/>
      <c r="CU319" s="373"/>
      <c r="CV319" s="373"/>
      <c r="CW319" s="373"/>
      <c r="CX319" s="373"/>
      <c r="CY319" s="373"/>
      <c r="CZ319" s="373"/>
      <c r="DA319" s="373"/>
      <c r="DB319" s="373"/>
      <c r="DC319" s="373"/>
      <c r="DD319" s="373"/>
      <c r="DE319" s="373"/>
      <c r="DF319" s="373"/>
      <c r="DG319" s="373"/>
      <c r="DH319" s="373"/>
      <c r="DI319" s="373"/>
      <c r="DL319" s="373"/>
      <c r="DM319" s="373"/>
      <c r="DN319" s="373"/>
      <c r="DO319" s="373"/>
      <c r="DP319" s="373"/>
      <c r="DR319" s="373"/>
      <c r="DT319" s="373"/>
    </row>
    <row r="320" spans="1:124" x14ac:dyDescent="0.2">
      <c r="A320"/>
      <c r="B320" s="144"/>
      <c r="D320" s="341"/>
      <c r="F320" s="343"/>
      <c r="G320" s="343"/>
      <c r="H320" s="343"/>
      <c r="I320" s="343"/>
      <c r="J320" s="343"/>
      <c r="K320" s="343"/>
      <c r="L320" s="343"/>
      <c r="T320" s="373"/>
      <c r="U320" s="373"/>
      <c r="V320" s="373"/>
      <c r="W320" s="373"/>
      <c r="X320" s="373"/>
      <c r="Y320" s="373"/>
      <c r="Z320" s="373"/>
      <c r="AA320" s="373"/>
      <c r="AB320" s="373"/>
      <c r="AC320" s="373"/>
      <c r="AE320" s="373"/>
      <c r="AG320" s="373"/>
      <c r="AI320" s="373"/>
      <c r="AL320" s="373"/>
      <c r="AM320" s="373"/>
      <c r="AN320" s="373"/>
      <c r="AO320" s="373"/>
      <c r="AP320" s="373"/>
      <c r="AQ320" s="373"/>
      <c r="AR320" s="373"/>
      <c r="AS320" s="373"/>
      <c r="AT320" s="373"/>
      <c r="AU320" s="373"/>
      <c r="AV320" s="373"/>
      <c r="AW320" s="373"/>
      <c r="AX320" s="373"/>
      <c r="AY320" s="373"/>
      <c r="BB320" s="373"/>
      <c r="BC320" s="373"/>
      <c r="BD320" s="373"/>
      <c r="BE320" s="373"/>
      <c r="BI320" s="373"/>
      <c r="BN320" s="373"/>
      <c r="BP320" s="373"/>
      <c r="BQ320" s="373"/>
      <c r="BS320" s="373"/>
      <c r="BT320" s="373"/>
      <c r="BU320" s="373"/>
      <c r="BV320" s="373"/>
      <c r="BW320" s="373"/>
      <c r="BX320" s="373"/>
      <c r="BY320" s="373"/>
      <c r="CC320" s="373"/>
      <c r="CD320" s="373"/>
      <c r="CE320" s="373"/>
      <c r="CF320" s="373"/>
      <c r="CG320" s="373"/>
      <c r="CH320" s="373"/>
      <c r="CI320" s="373"/>
      <c r="CJ320" s="373"/>
      <c r="CK320" s="373"/>
      <c r="CL320" s="373"/>
      <c r="CM320" s="373"/>
      <c r="CN320" s="373"/>
      <c r="CO320" s="373"/>
      <c r="CP320" s="373"/>
      <c r="CQ320" s="373"/>
      <c r="CR320" s="373"/>
      <c r="CS320" s="373"/>
      <c r="CT320" s="373"/>
      <c r="CU320" s="373"/>
      <c r="CV320" s="373"/>
      <c r="CW320" s="373"/>
      <c r="CX320" s="373"/>
      <c r="CY320" s="373"/>
      <c r="CZ320" s="373"/>
      <c r="DA320" s="373"/>
      <c r="DB320" s="373"/>
      <c r="DC320" s="373"/>
      <c r="DD320" s="373"/>
      <c r="DE320" s="373"/>
      <c r="DF320" s="373"/>
      <c r="DG320" s="373"/>
      <c r="DH320" s="373"/>
      <c r="DI320" s="373"/>
      <c r="DL320" s="373"/>
      <c r="DM320" s="373"/>
      <c r="DN320" s="373"/>
      <c r="DO320" s="373"/>
      <c r="DP320" s="373"/>
      <c r="DR320" s="373"/>
      <c r="DT320" s="373"/>
    </row>
    <row r="321" spans="1:131" x14ac:dyDescent="0.2">
      <c r="A321"/>
      <c r="B321" s="144"/>
      <c r="D321" s="341"/>
      <c r="F321" s="343"/>
      <c r="G321" s="343"/>
      <c r="H321" s="343"/>
      <c r="I321" s="343"/>
      <c r="J321" s="343"/>
      <c r="K321" s="343"/>
      <c r="L321" s="343"/>
      <c r="T321" s="373"/>
      <c r="U321" s="373"/>
      <c r="V321" s="373"/>
      <c r="W321" s="373"/>
      <c r="X321" s="373"/>
      <c r="Y321" s="373"/>
      <c r="Z321" s="373"/>
      <c r="AA321" s="373"/>
      <c r="AB321" s="373"/>
      <c r="AC321" s="373"/>
      <c r="AE321" s="373"/>
      <c r="AF321" s="373"/>
      <c r="AG321" s="373"/>
      <c r="AH321" s="373"/>
      <c r="AI321" s="373"/>
      <c r="AJ321" s="373"/>
      <c r="AL321" s="373"/>
      <c r="AM321" s="373"/>
      <c r="AN321" s="373"/>
      <c r="AO321" s="373"/>
      <c r="AP321" s="373"/>
      <c r="AQ321" s="373"/>
      <c r="AR321" s="373"/>
      <c r="AS321" s="373"/>
      <c r="AT321" s="373"/>
      <c r="AU321" s="373"/>
      <c r="AV321" s="373"/>
      <c r="AW321" s="373"/>
      <c r="AX321" s="373"/>
      <c r="AY321" s="373"/>
      <c r="BB321" s="373"/>
      <c r="BC321" s="373"/>
      <c r="BD321" s="373"/>
      <c r="BE321" s="373"/>
      <c r="BI321" s="373"/>
      <c r="BN321" s="373"/>
      <c r="BP321" s="373"/>
      <c r="BQ321" s="373"/>
      <c r="BS321" s="373"/>
      <c r="BT321" s="373"/>
      <c r="BU321" s="373"/>
      <c r="BV321" s="373"/>
      <c r="BW321" s="373"/>
      <c r="BX321" s="373"/>
      <c r="BY321" s="373"/>
      <c r="CC321" s="373"/>
      <c r="CD321" s="373"/>
      <c r="CE321" s="373"/>
      <c r="CF321" s="373"/>
      <c r="CG321" s="373"/>
      <c r="CH321" s="373"/>
      <c r="CI321" s="373"/>
      <c r="CJ321" s="373"/>
      <c r="CK321" s="373"/>
      <c r="CL321" s="373"/>
      <c r="CM321" s="373"/>
      <c r="CN321" s="373"/>
      <c r="CO321" s="373"/>
      <c r="CP321" s="373"/>
      <c r="CQ321" s="373"/>
      <c r="CR321" s="373"/>
      <c r="CS321" s="373"/>
      <c r="CT321" s="373"/>
      <c r="CU321" s="373"/>
      <c r="CV321" s="373"/>
      <c r="CW321" s="373"/>
      <c r="CX321" s="373"/>
      <c r="CY321" s="373"/>
      <c r="CZ321" s="373"/>
      <c r="DA321" s="373"/>
      <c r="DB321" s="373"/>
      <c r="DC321" s="373"/>
      <c r="DD321" s="373"/>
      <c r="DE321" s="373"/>
      <c r="DF321" s="373"/>
      <c r="DG321" s="373"/>
      <c r="DH321" s="373"/>
      <c r="DI321" s="373"/>
      <c r="DL321" s="373"/>
      <c r="DM321" s="373"/>
      <c r="DN321" s="373"/>
      <c r="DO321" s="373"/>
      <c r="DP321" s="373"/>
      <c r="DR321" s="373"/>
      <c r="DT321" s="373"/>
    </row>
    <row r="322" spans="1:131" x14ac:dyDescent="0.2">
      <c r="A322"/>
      <c r="B322" s="144"/>
      <c r="D322" s="341"/>
      <c r="F322" s="343"/>
      <c r="G322" s="343"/>
      <c r="H322" s="343"/>
      <c r="I322" s="343"/>
      <c r="J322" s="343"/>
      <c r="K322" s="343"/>
      <c r="L322" s="343"/>
      <c r="S322" s="373"/>
      <c r="T322" s="373"/>
      <c r="U322" s="373"/>
      <c r="V322" s="373"/>
      <c r="W322" s="373"/>
      <c r="X322" s="373"/>
      <c r="Y322" s="373"/>
      <c r="Z322" s="373"/>
      <c r="AA322" s="373"/>
      <c r="AB322" s="373"/>
      <c r="AC322" s="373"/>
      <c r="AE322" s="373"/>
      <c r="AF322" s="373"/>
      <c r="AG322" s="373"/>
      <c r="AH322" s="373"/>
      <c r="AI322" s="373"/>
      <c r="AJ322" s="373"/>
      <c r="AL322" s="373"/>
      <c r="AM322" s="373"/>
      <c r="AN322" s="373"/>
      <c r="AO322" s="373"/>
      <c r="AP322" s="373"/>
      <c r="AQ322" s="373"/>
      <c r="AR322" s="373"/>
      <c r="AS322" s="373"/>
      <c r="AT322" s="373"/>
      <c r="AU322" s="373"/>
      <c r="AV322" s="373"/>
      <c r="AW322" s="373"/>
      <c r="AX322" s="373"/>
      <c r="AY322" s="373"/>
      <c r="BB322" s="373"/>
      <c r="BC322" s="373"/>
      <c r="BD322" s="373"/>
      <c r="BE322" s="373"/>
      <c r="BI322" s="373"/>
      <c r="BN322" s="373"/>
      <c r="BP322" s="373"/>
      <c r="BQ322" s="373"/>
      <c r="BS322" s="373"/>
      <c r="BT322" s="373"/>
      <c r="BU322" s="373"/>
      <c r="BV322" s="373"/>
      <c r="BW322" s="373"/>
      <c r="BX322" s="373"/>
      <c r="BY322" s="373"/>
      <c r="CC322" s="373"/>
      <c r="CD322" s="373"/>
      <c r="CE322" s="373"/>
      <c r="CF322" s="373"/>
      <c r="CG322" s="373"/>
      <c r="CH322" s="373"/>
      <c r="CI322" s="373"/>
      <c r="CJ322" s="373"/>
      <c r="CK322" s="373"/>
      <c r="CL322" s="373"/>
      <c r="CM322" s="373"/>
      <c r="CN322" s="373"/>
      <c r="CO322" s="373"/>
      <c r="CP322" s="373"/>
      <c r="CQ322" s="373"/>
      <c r="CR322" s="373"/>
      <c r="CS322" s="373"/>
      <c r="CT322" s="373"/>
      <c r="CU322" s="373"/>
      <c r="CV322" s="373"/>
      <c r="CW322" s="373"/>
      <c r="CX322" s="373"/>
      <c r="CY322" s="373"/>
      <c r="CZ322" s="373"/>
      <c r="DA322" s="373"/>
      <c r="DB322" s="373"/>
      <c r="DC322" s="373"/>
      <c r="DD322" s="373"/>
      <c r="DE322" s="373"/>
      <c r="DF322" s="373"/>
      <c r="DG322" s="373"/>
      <c r="DH322" s="373"/>
      <c r="DI322" s="373"/>
      <c r="DL322" s="373"/>
      <c r="DM322" s="373"/>
      <c r="DN322" s="373"/>
      <c r="DO322" s="373"/>
      <c r="DP322" s="373"/>
      <c r="DR322" s="373"/>
      <c r="DS322" s="373"/>
      <c r="DT322" s="373"/>
      <c r="DY322" s="373"/>
      <c r="EA322" s="373"/>
    </row>
    <row r="323" spans="1:131" x14ac:dyDescent="0.2">
      <c r="B323" s="144"/>
      <c r="D323" s="341"/>
      <c r="F323" s="343"/>
      <c r="G323" s="343"/>
      <c r="H323" s="343"/>
      <c r="I323" s="343"/>
      <c r="J323" s="343"/>
      <c r="K323" s="343"/>
      <c r="L323" s="343"/>
      <c r="S323" s="373"/>
      <c r="T323" s="373"/>
      <c r="U323" s="373"/>
      <c r="V323" s="373"/>
      <c r="W323" s="373"/>
      <c r="X323" s="373"/>
      <c r="Y323" s="373"/>
      <c r="Z323" s="373"/>
      <c r="AA323" s="373"/>
      <c r="AB323" s="373"/>
      <c r="AC323" s="373"/>
      <c r="AE323" s="373"/>
      <c r="AG323" s="373"/>
      <c r="AI323" s="373"/>
      <c r="AL323" s="373"/>
      <c r="AM323" s="373"/>
      <c r="AN323" s="373"/>
      <c r="AO323" s="373"/>
      <c r="AP323" s="373"/>
      <c r="AQ323" s="373"/>
      <c r="AR323" s="373"/>
      <c r="AS323" s="373"/>
      <c r="AT323" s="373"/>
      <c r="AU323" s="373"/>
      <c r="AV323" s="373"/>
      <c r="AW323" s="373"/>
      <c r="AX323" s="373"/>
      <c r="AY323" s="373"/>
      <c r="BB323" s="373"/>
      <c r="BC323" s="373"/>
      <c r="BD323" s="373"/>
      <c r="BE323" s="373"/>
      <c r="BI323" s="373"/>
      <c r="BN323" s="373"/>
      <c r="BP323" s="373"/>
      <c r="BQ323" s="373"/>
      <c r="BS323" s="373"/>
      <c r="BT323" s="373"/>
      <c r="BU323" s="373"/>
      <c r="BV323" s="373"/>
      <c r="BW323" s="373"/>
      <c r="BX323" s="373"/>
      <c r="BY323" s="373"/>
      <c r="CC323" s="373"/>
      <c r="CD323" s="373"/>
      <c r="CE323" s="373"/>
      <c r="CF323" s="373"/>
      <c r="CG323" s="373"/>
      <c r="CH323" s="373"/>
      <c r="CI323" s="373"/>
      <c r="CJ323" s="373"/>
      <c r="CK323" s="373"/>
      <c r="CL323" s="373"/>
      <c r="CM323" s="373"/>
      <c r="CN323" s="373"/>
      <c r="CO323" s="373"/>
      <c r="CP323" s="373"/>
      <c r="CQ323" s="373"/>
      <c r="CR323" s="373"/>
      <c r="CS323" s="373"/>
      <c r="CT323" s="373"/>
      <c r="CU323" s="373"/>
      <c r="CV323" s="373"/>
      <c r="CW323" s="373"/>
      <c r="CX323" s="373"/>
      <c r="CY323" s="373"/>
      <c r="CZ323" s="373"/>
      <c r="DA323" s="373"/>
      <c r="DB323" s="373"/>
      <c r="DC323" s="373"/>
      <c r="DD323" s="373"/>
      <c r="DE323" s="373"/>
      <c r="DF323" s="373"/>
      <c r="DG323" s="373"/>
      <c r="DH323" s="373"/>
      <c r="DI323" s="373"/>
      <c r="DL323" s="373"/>
      <c r="DM323" s="373"/>
      <c r="DN323" s="373"/>
      <c r="DO323" s="373"/>
      <c r="DP323" s="373"/>
      <c r="DR323" s="373"/>
      <c r="DS323" s="373"/>
      <c r="DT323" s="373"/>
      <c r="DY323" s="373"/>
      <c r="EA323" s="373"/>
    </row>
    <row r="324" spans="1:131" x14ac:dyDescent="0.2">
      <c r="B324" s="144"/>
      <c r="D324" s="341"/>
      <c r="F324" s="343"/>
      <c r="G324" s="343"/>
      <c r="H324" s="343"/>
      <c r="I324" s="343"/>
      <c r="J324" s="343"/>
      <c r="K324" s="343"/>
      <c r="L324" s="343"/>
    </row>
    <row r="325" spans="1:131" x14ac:dyDescent="0.2">
      <c r="B325" s="144"/>
      <c r="D325" s="341"/>
      <c r="F325" s="343"/>
      <c r="G325" s="343"/>
      <c r="H325" s="343"/>
      <c r="I325" s="343"/>
      <c r="J325" s="343"/>
      <c r="K325" s="343"/>
      <c r="L325" s="343"/>
    </row>
    <row r="326" spans="1:131" x14ac:dyDescent="0.2">
      <c r="B326" s="144"/>
      <c r="D326" s="341"/>
      <c r="F326" s="343"/>
      <c r="G326" s="343"/>
      <c r="H326" s="343"/>
      <c r="I326" s="343"/>
      <c r="J326" s="343"/>
      <c r="K326" s="343"/>
      <c r="L326" s="343"/>
    </row>
    <row r="327" spans="1:131" x14ac:dyDescent="0.2">
      <c r="B327" s="144"/>
      <c r="D327" s="341"/>
      <c r="F327" s="343"/>
      <c r="G327" s="343"/>
      <c r="H327" s="343"/>
      <c r="I327" s="343"/>
      <c r="J327" s="343"/>
      <c r="K327" s="343"/>
      <c r="L327" s="343"/>
    </row>
    <row r="328" spans="1:131" x14ac:dyDescent="0.2">
      <c r="B328" s="144"/>
      <c r="D328" s="341"/>
      <c r="F328" s="343"/>
      <c r="G328" s="343"/>
      <c r="H328" s="343"/>
      <c r="I328" s="343"/>
      <c r="J328" s="343"/>
      <c r="K328" s="343"/>
      <c r="L328" s="343"/>
    </row>
    <row r="329" spans="1:131" x14ac:dyDescent="0.2">
      <c r="B329" s="144"/>
      <c r="D329" s="341"/>
      <c r="F329" s="343"/>
      <c r="G329" s="343"/>
      <c r="H329" s="343"/>
      <c r="I329" s="343"/>
      <c r="J329" s="343"/>
      <c r="K329" s="343"/>
      <c r="L329" s="343"/>
    </row>
    <row r="330" spans="1:131" x14ac:dyDescent="0.2">
      <c r="B330" s="144"/>
      <c r="D330" s="341"/>
      <c r="F330" s="343"/>
      <c r="G330" s="343"/>
      <c r="H330" s="343"/>
      <c r="I330" s="343"/>
      <c r="J330" s="343"/>
      <c r="K330" s="343"/>
      <c r="L330" s="343"/>
    </row>
    <row r="331" spans="1:131" x14ac:dyDescent="0.2">
      <c r="B331" s="144"/>
      <c r="D331" s="341"/>
      <c r="F331" s="343"/>
      <c r="G331" s="343"/>
      <c r="H331" s="343"/>
      <c r="I331" s="343"/>
      <c r="J331" s="343"/>
      <c r="K331" s="343"/>
      <c r="L331" s="343"/>
    </row>
    <row r="332" spans="1:131" x14ac:dyDescent="0.2">
      <c r="B332" s="144"/>
      <c r="D332" s="341"/>
      <c r="F332" s="343"/>
      <c r="G332" s="343"/>
      <c r="H332" s="343"/>
      <c r="I332" s="343"/>
      <c r="J332" s="343"/>
      <c r="K332" s="343"/>
      <c r="L332" s="343"/>
    </row>
    <row r="333" spans="1:131" x14ac:dyDescent="0.2">
      <c r="B333" s="144"/>
      <c r="D333" s="341"/>
      <c r="F333" s="343"/>
      <c r="G333" s="343"/>
      <c r="H333" s="343"/>
      <c r="I333" s="343"/>
      <c r="J333" s="343"/>
      <c r="K333" s="343"/>
      <c r="L333" s="343"/>
    </row>
    <row r="334" spans="1:131" x14ac:dyDescent="0.2">
      <c r="B334" s="144"/>
      <c r="D334" s="341"/>
      <c r="F334" s="343"/>
      <c r="G334" s="343"/>
      <c r="H334" s="343"/>
      <c r="I334" s="343"/>
      <c r="J334" s="343"/>
      <c r="K334" s="343"/>
      <c r="L334" s="343"/>
    </row>
    <row r="335" spans="1:131" x14ac:dyDescent="0.2">
      <c r="B335" s="144"/>
      <c r="D335" s="341"/>
      <c r="F335" s="343"/>
      <c r="G335" s="343"/>
      <c r="H335" s="343"/>
      <c r="I335" s="343"/>
      <c r="J335" s="343"/>
      <c r="K335" s="343"/>
      <c r="L335" s="343"/>
    </row>
    <row r="336" spans="1:131" x14ac:dyDescent="0.2">
      <c r="B336" s="144"/>
      <c r="D336" s="341"/>
      <c r="F336" s="343"/>
      <c r="G336" s="343"/>
      <c r="H336" s="343"/>
      <c r="I336" s="343"/>
      <c r="J336" s="343"/>
      <c r="K336" s="343"/>
      <c r="L336" s="343"/>
    </row>
    <row r="337" spans="2:12" x14ac:dyDescent="0.2">
      <c r="B337" s="144"/>
      <c r="D337" s="341"/>
      <c r="F337" s="343"/>
      <c r="G337" s="343"/>
      <c r="H337" s="343"/>
      <c r="I337" s="343"/>
      <c r="J337" s="343"/>
      <c r="K337" s="343"/>
      <c r="L337" s="343"/>
    </row>
    <row r="338" spans="2:12" x14ac:dyDescent="0.2">
      <c r="B338" s="144"/>
      <c r="D338" s="341"/>
      <c r="F338" s="343"/>
      <c r="G338" s="343"/>
      <c r="H338" s="343"/>
      <c r="I338" s="343"/>
      <c r="J338" s="343"/>
      <c r="K338" s="343"/>
      <c r="L338" s="343"/>
    </row>
    <row r="339" spans="2:12" x14ac:dyDescent="0.2">
      <c r="B339" s="144"/>
      <c r="D339" s="341"/>
      <c r="F339" s="343"/>
      <c r="G339" s="343"/>
      <c r="H339" s="343"/>
      <c r="I339" s="343"/>
      <c r="J339" s="343"/>
      <c r="K339" s="343"/>
      <c r="L339" s="343"/>
    </row>
    <row r="340" spans="2:12" x14ac:dyDescent="0.2">
      <c r="B340" s="144"/>
      <c r="D340" s="341"/>
      <c r="F340" s="343"/>
      <c r="G340" s="343"/>
      <c r="H340" s="343"/>
      <c r="I340" s="343"/>
      <c r="J340" s="343"/>
      <c r="K340" s="343"/>
      <c r="L340" s="343"/>
    </row>
    <row r="341" spans="2:12" x14ac:dyDescent="0.2">
      <c r="B341" s="144"/>
      <c r="D341" s="341"/>
      <c r="F341" s="343"/>
      <c r="G341" s="343"/>
      <c r="H341" s="343"/>
      <c r="I341" s="343"/>
      <c r="J341" s="343"/>
      <c r="K341" s="343"/>
      <c r="L341" s="343"/>
    </row>
    <row r="342" spans="2:12" x14ac:dyDescent="0.2">
      <c r="B342" s="144"/>
      <c r="D342" s="341"/>
      <c r="F342" s="343"/>
      <c r="G342" s="343"/>
      <c r="H342" s="343"/>
      <c r="I342" s="343"/>
      <c r="J342" s="343"/>
      <c r="K342" s="343"/>
      <c r="L342" s="343"/>
    </row>
    <row r="343" spans="2:12" x14ac:dyDescent="0.2">
      <c r="B343" s="144"/>
      <c r="D343" s="341"/>
      <c r="F343" s="343"/>
      <c r="G343" s="343"/>
      <c r="H343" s="343"/>
      <c r="I343" s="343"/>
      <c r="J343" s="343"/>
      <c r="K343" s="343"/>
      <c r="L343" s="343"/>
    </row>
    <row r="344" spans="2:12" x14ac:dyDescent="0.2">
      <c r="B344" s="144"/>
      <c r="D344" s="341"/>
      <c r="F344" s="343"/>
      <c r="G344" s="343"/>
      <c r="H344" s="343"/>
      <c r="I344" s="343"/>
      <c r="J344" s="343"/>
      <c r="K344" s="343"/>
      <c r="L344" s="343"/>
    </row>
    <row r="345" spans="2:12" x14ac:dyDescent="0.2">
      <c r="B345" s="144"/>
      <c r="D345" s="341"/>
      <c r="F345" s="343"/>
      <c r="G345" s="343"/>
      <c r="H345" s="343"/>
      <c r="I345" s="343"/>
      <c r="J345" s="343"/>
      <c r="K345" s="343"/>
      <c r="L345" s="343"/>
    </row>
    <row r="346" spans="2:12" x14ac:dyDescent="0.2">
      <c r="B346" s="144"/>
      <c r="D346" s="341"/>
      <c r="F346" s="343"/>
      <c r="G346" s="343"/>
      <c r="H346" s="343"/>
      <c r="I346" s="343"/>
      <c r="J346" s="343"/>
      <c r="K346" s="343"/>
      <c r="L346" s="343"/>
    </row>
    <row r="347" spans="2:12" x14ac:dyDescent="0.2">
      <c r="B347" s="144"/>
      <c r="D347" s="341"/>
      <c r="F347" s="343"/>
      <c r="G347" s="343"/>
      <c r="H347" s="343"/>
      <c r="I347" s="343"/>
      <c r="J347" s="343"/>
      <c r="K347" s="343"/>
      <c r="L347" s="343"/>
    </row>
    <row r="348" spans="2:12" x14ac:dyDescent="0.2">
      <c r="B348" s="144"/>
      <c r="D348" s="341"/>
      <c r="F348" s="343"/>
      <c r="G348" s="343"/>
      <c r="H348" s="343"/>
      <c r="I348" s="343"/>
      <c r="J348" s="343"/>
      <c r="K348" s="343"/>
      <c r="L348" s="343"/>
    </row>
    <row r="349" spans="2:12" x14ac:dyDescent="0.2">
      <c r="B349" s="144"/>
      <c r="D349" s="341"/>
      <c r="F349" s="343"/>
      <c r="G349" s="343"/>
      <c r="H349" s="343"/>
      <c r="I349" s="343"/>
      <c r="J349" s="343"/>
      <c r="K349" s="343"/>
      <c r="L349" s="343"/>
    </row>
    <row r="350" spans="2:12" x14ac:dyDescent="0.2">
      <c r="B350" s="144"/>
      <c r="D350" s="341"/>
      <c r="F350" s="343"/>
      <c r="G350" s="343"/>
      <c r="H350" s="343"/>
      <c r="I350" s="343"/>
      <c r="J350" s="343"/>
      <c r="K350" s="343"/>
      <c r="L350" s="343"/>
    </row>
    <row r="351" spans="2:12" x14ac:dyDescent="0.2">
      <c r="B351" s="144"/>
      <c r="D351" s="341"/>
      <c r="F351" s="343"/>
      <c r="G351" s="343"/>
      <c r="H351" s="343"/>
      <c r="I351" s="343"/>
      <c r="J351" s="343"/>
      <c r="K351" s="343"/>
      <c r="L351" s="343"/>
    </row>
    <row r="352" spans="2:12" x14ac:dyDescent="0.2">
      <c r="B352" s="144"/>
      <c r="D352" s="341"/>
      <c r="F352" s="343"/>
      <c r="G352" s="343"/>
      <c r="H352" s="343"/>
      <c r="I352" s="343"/>
      <c r="J352" s="343"/>
      <c r="K352" s="343"/>
      <c r="L352" s="343"/>
    </row>
    <row r="353" spans="2:12" x14ac:dyDescent="0.2">
      <c r="B353" s="144"/>
      <c r="D353" s="341"/>
      <c r="F353" s="343"/>
      <c r="G353" s="343"/>
      <c r="H353" s="343"/>
      <c r="I353" s="343"/>
      <c r="J353" s="343"/>
      <c r="K353" s="343"/>
      <c r="L353" s="343"/>
    </row>
    <row r="354" spans="2:12" x14ac:dyDescent="0.2">
      <c r="B354" s="144"/>
      <c r="D354" s="341"/>
      <c r="F354" s="343"/>
      <c r="G354" s="343"/>
      <c r="H354" s="343"/>
      <c r="I354" s="343"/>
      <c r="J354" s="343"/>
      <c r="K354" s="343"/>
      <c r="L354" s="343"/>
    </row>
    <row r="355" spans="2:12" x14ac:dyDescent="0.2">
      <c r="B355" s="144"/>
      <c r="D355" s="341"/>
      <c r="F355" s="343"/>
      <c r="G355" s="343"/>
      <c r="H355" s="343"/>
      <c r="I355" s="343"/>
      <c r="J355" s="343"/>
      <c r="K355" s="343"/>
      <c r="L355" s="343"/>
    </row>
    <row r="356" spans="2:12" x14ac:dyDescent="0.2">
      <c r="B356" s="144"/>
      <c r="D356" s="341"/>
      <c r="F356" s="343"/>
      <c r="G356" s="343"/>
      <c r="H356" s="343"/>
      <c r="I356" s="343"/>
      <c r="J356" s="343"/>
      <c r="K356" s="343"/>
      <c r="L356" s="343"/>
    </row>
    <row r="357" spans="2:12" x14ac:dyDescent="0.2">
      <c r="B357" s="144"/>
      <c r="D357" s="341"/>
      <c r="F357" s="343"/>
      <c r="G357" s="343"/>
      <c r="H357" s="343"/>
      <c r="I357" s="343"/>
      <c r="J357" s="343"/>
      <c r="K357" s="343"/>
      <c r="L357" s="343"/>
    </row>
    <row r="358" spans="2:12" x14ac:dyDescent="0.2">
      <c r="B358" s="144"/>
      <c r="D358" s="341"/>
      <c r="F358" s="343"/>
      <c r="G358" s="343"/>
      <c r="H358" s="343"/>
      <c r="I358" s="343"/>
      <c r="J358" s="343"/>
      <c r="K358" s="343"/>
      <c r="L358" s="343"/>
    </row>
    <row r="359" spans="2:12" x14ac:dyDescent="0.2">
      <c r="B359" s="144"/>
      <c r="D359" s="341"/>
      <c r="F359" s="343"/>
      <c r="G359" s="343"/>
      <c r="H359" s="343"/>
      <c r="I359" s="343"/>
      <c r="J359" s="343"/>
      <c r="K359" s="343"/>
      <c r="L359" s="343"/>
    </row>
    <row r="360" spans="2:12" x14ac:dyDescent="0.2">
      <c r="B360" s="144"/>
      <c r="D360" s="341"/>
      <c r="F360" s="343"/>
      <c r="G360" s="343"/>
      <c r="H360" s="343"/>
      <c r="I360" s="343"/>
      <c r="J360" s="343"/>
      <c r="K360" s="343"/>
      <c r="L360" s="343"/>
    </row>
    <row r="361" spans="2:12" x14ac:dyDescent="0.2">
      <c r="B361" s="144"/>
      <c r="D361" s="341"/>
      <c r="F361" s="343"/>
      <c r="G361" s="343"/>
      <c r="H361" s="343"/>
      <c r="I361" s="343"/>
      <c r="J361" s="343"/>
      <c r="K361" s="343"/>
      <c r="L361" s="343"/>
    </row>
    <row r="362" spans="2:12" x14ac:dyDescent="0.2">
      <c r="B362" s="144"/>
      <c r="D362" s="341"/>
      <c r="F362" s="343"/>
      <c r="G362" s="343"/>
      <c r="H362" s="343"/>
      <c r="I362" s="343"/>
      <c r="J362" s="343"/>
      <c r="K362" s="343"/>
      <c r="L362" s="343"/>
    </row>
    <row r="363" spans="2:12" x14ac:dyDescent="0.2">
      <c r="B363" s="144"/>
      <c r="D363" s="341"/>
      <c r="F363" s="343"/>
      <c r="G363" s="343"/>
      <c r="H363" s="343"/>
      <c r="I363" s="343"/>
      <c r="J363" s="343"/>
      <c r="K363" s="343"/>
      <c r="L363" s="343"/>
    </row>
    <row r="364" spans="2:12" x14ac:dyDescent="0.2">
      <c r="B364" s="144"/>
      <c r="D364" s="341"/>
      <c r="F364" s="343"/>
      <c r="G364" s="343"/>
      <c r="H364" s="343"/>
      <c r="I364" s="343"/>
      <c r="J364" s="343"/>
      <c r="K364" s="343"/>
      <c r="L364" s="343"/>
    </row>
    <row r="365" spans="2:12" x14ac:dyDescent="0.2">
      <c r="B365" s="144"/>
      <c r="D365" s="341"/>
      <c r="F365" s="343"/>
      <c r="G365" s="343"/>
      <c r="H365" s="343"/>
      <c r="I365" s="343"/>
      <c r="J365" s="343"/>
      <c r="K365" s="343"/>
      <c r="L365" s="343"/>
    </row>
    <row r="366" spans="2:12" x14ac:dyDescent="0.2">
      <c r="B366" s="144"/>
      <c r="D366" s="341"/>
      <c r="F366" s="343"/>
      <c r="G366" s="343"/>
      <c r="H366" s="343"/>
      <c r="I366" s="343"/>
      <c r="J366" s="343"/>
      <c r="K366" s="343"/>
      <c r="L366" s="343"/>
    </row>
    <row r="367" spans="2:12" x14ac:dyDescent="0.2">
      <c r="B367" s="144"/>
      <c r="D367" s="341"/>
      <c r="F367" s="343"/>
      <c r="G367" s="343"/>
      <c r="H367" s="343"/>
      <c r="I367" s="343"/>
      <c r="J367" s="343"/>
      <c r="K367" s="343"/>
      <c r="L367" s="343"/>
    </row>
    <row r="368" spans="2:12" x14ac:dyDescent="0.2">
      <c r="B368" s="144"/>
      <c r="D368" s="341"/>
      <c r="F368" s="343"/>
      <c r="G368" s="343"/>
      <c r="H368" s="343"/>
      <c r="I368" s="343"/>
      <c r="J368" s="343"/>
      <c r="K368" s="343"/>
      <c r="L368" s="343"/>
    </row>
    <row r="369" spans="2:12" x14ac:dyDescent="0.2">
      <c r="B369" s="144"/>
      <c r="D369" s="341"/>
      <c r="F369" s="343"/>
      <c r="G369" s="343"/>
      <c r="H369" s="343"/>
      <c r="I369" s="343"/>
      <c r="J369" s="343"/>
      <c r="K369" s="343"/>
      <c r="L369" s="343"/>
    </row>
    <row r="370" spans="2:12" x14ac:dyDescent="0.2">
      <c r="B370" s="144"/>
      <c r="D370" s="341"/>
      <c r="F370" s="343"/>
      <c r="G370" s="343"/>
      <c r="H370" s="343"/>
      <c r="I370" s="343"/>
      <c r="J370" s="343"/>
      <c r="K370" s="343"/>
      <c r="L370" s="343"/>
    </row>
    <row r="371" spans="2:12" x14ac:dyDescent="0.2">
      <c r="B371" s="144"/>
      <c r="D371" s="341"/>
      <c r="F371" s="343"/>
      <c r="G371" s="343"/>
      <c r="H371" s="343"/>
      <c r="I371" s="343"/>
      <c r="J371" s="343"/>
      <c r="K371" s="343"/>
      <c r="L371" s="343"/>
    </row>
    <row r="372" spans="2:12" x14ac:dyDescent="0.2">
      <c r="B372" s="144"/>
      <c r="D372" s="341"/>
      <c r="F372" s="343"/>
      <c r="G372" s="343"/>
      <c r="H372" s="343"/>
      <c r="I372" s="343"/>
      <c r="J372" s="343"/>
      <c r="K372" s="343"/>
      <c r="L372" s="343"/>
    </row>
    <row r="373" spans="2:12" x14ac:dyDescent="0.2">
      <c r="B373" s="144"/>
      <c r="D373" s="341"/>
      <c r="F373" s="343"/>
      <c r="G373" s="343"/>
      <c r="H373" s="343"/>
      <c r="I373" s="343"/>
      <c r="J373" s="343"/>
      <c r="K373" s="343"/>
      <c r="L373" s="343"/>
    </row>
    <row r="374" spans="2:12" x14ac:dyDescent="0.2">
      <c r="B374" s="144"/>
      <c r="D374" s="341"/>
      <c r="F374" s="343"/>
      <c r="G374" s="343"/>
      <c r="H374" s="343"/>
      <c r="I374" s="343"/>
      <c r="J374" s="343"/>
      <c r="K374" s="343"/>
      <c r="L374" s="343"/>
    </row>
    <row r="375" spans="2:12" x14ac:dyDescent="0.2">
      <c r="B375" s="144"/>
      <c r="D375" s="341"/>
      <c r="F375" s="343"/>
      <c r="G375" s="343"/>
      <c r="H375" s="343"/>
      <c r="I375" s="343"/>
      <c r="J375" s="343"/>
      <c r="K375" s="343"/>
      <c r="L375" s="343"/>
    </row>
    <row r="376" spans="2:12" x14ac:dyDescent="0.2">
      <c r="B376" s="144"/>
      <c r="D376" s="341"/>
      <c r="F376" s="343"/>
      <c r="G376" s="343"/>
      <c r="H376" s="343"/>
      <c r="I376" s="343"/>
      <c r="J376" s="343"/>
      <c r="K376" s="343"/>
      <c r="L376" s="343"/>
    </row>
    <row r="377" spans="2:12" x14ac:dyDescent="0.2">
      <c r="B377" s="144"/>
      <c r="D377" s="341"/>
      <c r="F377" s="343"/>
      <c r="G377" s="343"/>
      <c r="H377" s="343"/>
      <c r="I377" s="343"/>
      <c r="J377" s="343"/>
      <c r="K377" s="343"/>
      <c r="L377" s="343"/>
    </row>
    <row r="378" spans="2:12" x14ac:dyDescent="0.2">
      <c r="B378" s="144"/>
      <c r="D378" s="341"/>
      <c r="F378" s="343"/>
      <c r="G378" s="343"/>
      <c r="H378" s="343"/>
      <c r="I378" s="343"/>
      <c r="J378" s="343"/>
      <c r="K378" s="343"/>
      <c r="L378" s="343"/>
    </row>
    <row r="379" spans="2:12" x14ac:dyDescent="0.2">
      <c r="B379" s="144"/>
      <c r="D379" s="341"/>
      <c r="F379" s="343"/>
      <c r="G379" s="343"/>
      <c r="H379" s="343"/>
      <c r="I379" s="343"/>
      <c r="J379" s="343"/>
      <c r="K379" s="343"/>
      <c r="L379" s="343"/>
    </row>
    <row r="380" spans="2:12" x14ac:dyDescent="0.2">
      <c r="B380" s="144"/>
      <c r="D380" s="341"/>
      <c r="F380" s="343"/>
      <c r="G380" s="343"/>
      <c r="H380" s="343"/>
      <c r="I380" s="343"/>
      <c r="J380" s="343"/>
      <c r="K380" s="343"/>
      <c r="L380" s="343"/>
    </row>
    <row r="381" spans="2:12" x14ac:dyDescent="0.2">
      <c r="B381" s="144"/>
      <c r="D381" s="341"/>
      <c r="F381" s="343"/>
      <c r="G381" s="343"/>
      <c r="H381" s="343"/>
      <c r="I381" s="343"/>
      <c r="J381" s="343"/>
      <c r="K381" s="343"/>
      <c r="L381" s="343"/>
    </row>
    <row r="382" spans="2:12" x14ac:dyDescent="0.2">
      <c r="B382" s="144"/>
      <c r="D382" s="341"/>
      <c r="F382" s="343"/>
      <c r="G382" s="343"/>
      <c r="H382" s="343"/>
      <c r="I382" s="343"/>
      <c r="J382" s="343"/>
      <c r="K382" s="343"/>
      <c r="L382" s="343"/>
    </row>
    <row r="383" spans="2:12" x14ac:dyDescent="0.2">
      <c r="B383" s="144"/>
      <c r="D383" s="341"/>
      <c r="F383" s="343"/>
      <c r="G383" s="343"/>
      <c r="H383" s="343"/>
      <c r="I383" s="343"/>
      <c r="J383" s="343"/>
      <c r="K383" s="343"/>
      <c r="L383" s="343"/>
    </row>
    <row r="384" spans="2:12" x14ac:dyDescent="0.2">
      <c r="B384" s="144"/>
      <c r="D384" s="341"/>
      <c r="F384" s="343"/>
      <c r="G384" s="343"/>
      <c r="H384" s="343"/>
      <c r="I384" s="343"/>
      <c r="J384" s="343"/>
      <c r="K384" s="343"/>
      <c r="L384" s="343"/>
    </row>
    <row r="385" spans="2:12" x14ac:dyDescent="0.2">
      <c r="B385" s="144"/>
      <c r="D385" s="341"/>
      <c r="F385" s="343"/>
      <c r="G385" s="343"/>
      <c r="H385" s="343"/>
      <c r="I385" s="343"/>
      <c r="J385" s="343"/>
      <c r="K385" s="343"/>
      <c r="L385" s="343"/>
    </row>
    <row r="386" spans="2:12" x14ac:dyDescent="0.2">
      <c r="B386" s="144"/>
      <c r="D386" s="341"/>
      <c r="F386" s="343"/>
      <c r="G386" s="343"/>
      <c r="H386" s="343"/>
      <c r="I386" s="343"/>
      <c r="J386" s="343"/>
      <c r="K386" s="343"/>
      <c r="L386" s="343"/>
    </row>
    <row r="387" spans="2:12" x14ac:dyDescent="0.2">
      <c r="B387" s="144"/>
      <c r="D387" s="341"/>
      <c r="F387" s="343"/>
      <c r="G387" s="343"/>
      <c r="H387" s="343"/>
      <c r="I387" s="343"/>
      <c r="J387" s="343"/>
      <c r="K387" s="343"/>
      <c r="L387" s="343"/>
    </row>
    <row r="388" spans="2:12" x14ac:dyDescent="0.2">
      <c r="B388" s="144"/>
      <c r="D388" s="341"/>
      <c r="F388" s="343"/>
      <c r="G388" s="343"/>
      <c r="H388" s="343"/>
      <c r="I388" s="343"/>
      <c r="J388" s="343"/>
      <c r="K388" s="343"/>
      <c r="L388" s="343"/>
    </row>
    <row r="389" spans="2:12" x14ac:dyDescent="0.2">
      <c r="B389" s="144"/>
      <c r="D389" s="341"/>
      <c r="F389" s="343"/>
      <c r="G389" s="343"/>
      <c r="H389" s="343"/>
      <c r="I389" s="343"/>
      <c r="J389" s="343"/>
      <c r="K389" s="343"/>
      <c r="L389" s="343"/>
    </row>
    <row r="390" spans="2:12" x14ac:dyDescent="0.2">
      <c r="B390" s="144"/>
      <c r="D390" s="341"/>
      <c r="F390" s="343"/>
      <c r="G390" s="343"/>
      <c r="H390" s="343"/>
      <c r="I390" s="343"/>
      <c r="J390" s="343"/>
      <c r="K390" s="343"/>
      <c r="L390" s="343"/>
    </row>
    <row r="391" spans="2:12" x14ac:dyDescent="0.2">
      <c r="B391" s="144"/>
      <c r="D391" s="341"/>
      <c r="F391" s="343"/>
      <c r="G391" s="343"/>
      <c r="H391" s="343"/>
      <c r="I391" s="343"/>
      <c r="J391" s="343"/>
      <c r="K391" s="343"/>
      <c r="L391" s="343"/>
    </row>
    <row r="392" spans="2:12" x14ac:dyDescent="0.2">
      <c r="B392" s="144"/>
      <c r="D392" s="341"/>
      <c r="F392" s="343"/>
      <c r="G392" s="343"/>
      <c r="H392" s="343"/>
      <c r="I392" s="343"/>
      <c r="J392" s="343"/>
      <c r="K392" s="343"/>
      <c r="L392" s="343"/>
    </row>
    <row r="393" spans="2:12" x14ac:dyDescent="0.2">
      <c r="B393" s="144"/>
      <c r="D393" s="341"/>
      <c r="F393" s="343"/>
      <c r="G393" s="343"/>
      <c r="H393" s="343"/>
      <c r="I393" s="343"/>
      <c r="J393" s="343"/>
      <c r="K393" s="343"/>
      <c r="L393" s="343"/>
    </row>
    <row r="394" spans="2:12" x14ac:dyDescent="0.2">
      <c r="B394" s="144"/>
      <c r="D394" s="341"/>
      <c r="F394" s="343"/>
      <c r="G394" s="343"/>
      <c r="H394" s="343"/>
      <c r="I394" s="343"/>
      <c r="J394" s="343"/>
      <c r="K394" s="343"/>
      <c r="L394" s="343"/>
    </row>
    <row r="395" spans="2:12" x14ac:dyDescent="0.2">
      <c r="B395" s="144"/>
      <c r="D395" s="341"/>
      <c r="F395" s="343"/>
      <c r="G395" s="343"/>
      <c r="H395" s="343"/>
      <c r="I395" s="343"/>
      <c r="J395" s="343"/>
      <c r="K395" s="343"/>
      <c r="L395" s="343"/>
    </row>
    <row r="396" spans="2:12" x14ac:dyDescent="0.2">
      <c r="B396" s="144"/>
      <c r="D396" s="341"/>
      <c r="F396" s="343"/>
      <c r="G396" s="343"/>
      <c r="H396" s="343"/>
      <c r="I396" s="343"/>
      <c r="J396" s="343"/>
      <c r="K396" s="343"/>
      <c r="L396" s="343"/>
    </row>
    <row r="397" spans="2:12" x14ac:dyDescent="0.2">
      <c r="B397" s="144"/>
      <c r="D397" s="341"/>
      <c r="F397" s="343"/>
      <c r="G397" s="343"/>
      <c r="H397" s="343"/>
      <c r="I397" s="343"/>
      <c r="J397" s="343"/>
      <c r="K397" s="343"/>
      <c r="L397" s="343"/>
    </row>
    <row r="398" spans="2:12" x14ac:dyDescent="0.2">
      <c r="B398" s="144"/>
      <c r="D398" s="341"/>
      <c r="F398" s="343"/>
      <c r="G398" s="343"/>
      <c r="H398" s="343"/>
      <c r="I398" s="343"/>
      <c r="J398" s="343"/>
      <c r="K398" s="343"/>
      <c r="L398" s="343"/>
    </row>
    <row r="399" spans="2:12" x14ac:dyDescent="0.2">
      <c r="B399" s="144"/>
      <c r="D399" s="341"/>
      <c r="F399" s="343"/>
      <c r="G399" s="343"/>
      <c r="H399" s="343"/>
      <c r="I399" s="343"/>
      <c r="J399" s="343"/>
      <c r="K399" s="343"/>
      <c r="L399" s="343"/>
    </row>
    <row r="400" spans="2:12" x14ac:dyDescent="0.2">
      <c r="B400" s="144"/>
      <c r="D400" s="341"/>
      <c r="F400" s="343"/>
      <c r="G400" s="343"/>
      <c r="H400" s="343"/>
      <c r="I400" s="343"/>
      <c r="J400" s="343"/>
      <c r="K400" s="343"/>
      <c r="L400" s="343"/>
    </row>
    <row r="401" spans="2:12" x14ac:dyDescent="0.2">
      <c r="B401" s="144"/>
      <c r="D401" s="341"/>
      <c r="F401" s="343"/>
      <c r="G401" s="343"/>
      <c r="H401" s="343"/>
      <c r="I401" s="343"/>
      <c r="J401" s="343"/>
      <c r="K401" s="343"/>
      <c r="L401" s="343"/>
    </row>
    <row r="402" spans="2:12" x14ac:dyDescent="0.2">
      <c r="B402" s="144"/>
      <c r="D402" s="341"/>
      <c r="F402" s="343"/>
      <c r="G402" s="343"/>
      <c r="H402" s="343"/>
      <c r="I402" s="343"/>
      <c r="J402" s="343"/>
      <c r="K402" s="343"/>
      <c r="L402" s="343"/>
    </row>
    <row r="403" spans="2:12" x14ac:dyDescent="0.2">
      <c r="B403" s="144"/>
      <c r="D403" s="341"/>
      <c r="F403" s="343"/>
      <c r="G403" s="343"/>
      <c r="H403" s="343"/>
      <c r="I403" s="343"/>
      <c r="J403" s="343"/>
      <c r="K403" s="343"/>
      <c r="L403" s="343"/>
    </row>
    <row r="404" spans="2:12" x14ac:dyDescent="0.2">
      <c r="B404" s="144"/>
      <c r="D404" s="341"/>
      <c r="F404" s="343"/>
      <c r="G404" s="343"/>
      <c r="H404" s="343"/>
      <c r="I404" s="343"/>
      <c r="J404" s="343"/>
      <c r="K404" s="343"/>
      <c r="L404" s="343"/>
    </row>
    <row r="405" spans="2:12" x14ac:dyDescent="0.2">
      <c r="B405" s="144"/>
      <c r="D405" s="341"/>
      <c r="F405" s="343"/>
      <c r="G405" s="343"/>
      <c r="H405" s="343"/>
      <c r="I405" s="343"/>
      <c r="J405" s="343"/>
      <c r="K405" s="343"/>
      <c r="L405" s="343"/>
    </row>
    <row r="406" spans="2:12" x14ac:dyDescent="0.2">
      <c r="B406" s="144"/>
      <c r="D406" s="341"/>
      <c r="F406" s="343"/>
      <c r="G406" s="343"/>
      <c r="H406" s="343"/>
      <c r="I406" s="343"/>
      <c r="J406" s="343"/>
      <c r="K406" s="343"/>
      <c r="L406" s="343"/>
    </row>
    <row r="407" spans="2:12" x14ac:dyDescent="0.2">
      <c r="B407" s="144"/>
      <c r="D407" s="341"/>
      <c r="F407" s="343"/>
      <c r="G407" s="343"/>
      <c r="H407" s="343"/>
      <c r="I407" s="343"/>
      <c r="J407" s="343"/>
      <c r="K407" s="343"/>
      <c r="L407" s="343"/>
    </row>
    <row r="408" spans="2:12" x14ac:dyDescent="0.2">
      <c r="B408" s="144"/>
      <c r="D408" s="341"/>
      <c r="F408" s="343"/>
      <c r="G408" s="343"/>
      <c r="H408" s="343"/>
      <c r="I408" s="343"/>
      <c r="J408" s="343"/>
      <c r="K408" s="343"/>
      <c r="L408" s="343"/>
    </row>
    <row r="409" spans="2:12" x14ac:dyDescent="0.2">
      <c r="B409" s="144"/>
      <c r="D409" s="341"/>
      <c r="F409" s="343"/>
      <c r="G409" s="343"/>
      <c r="H409" s="343"/>
      <c r="I409" s="343"/>
      <c r="J409" s="343"/>
      <c r="K409" s="343"/>
      <c r="L409" s="343"/>
    </row>
    <row r="410" spans="2:12" x14ac:dyDescent="0.2">
      <c r="B410" s="144"/>
      <c r="D410" s="341"/>
      <c r="F410" s="343"/>
      <c r="G410" s="343"/>
      <c r="H410" s="343"/>
      <c r="I410" s="343"/>
      <c r="J410" s="343"/>
      <c r="K410" s="343"/>
      <c r="L410" s="343"/>
    </row>
    <row r="411" spans="2:12" x14ac:dyDescent="0.2">
      <c r="B411" s="144"/>
      <c r="D411" s="341"/>
      <c r="F411" s="343"/>
      <c r="G411" s="343"/>
      <c r="H411" s="343"/>
      <c r="I411" s="343"/>
      <c r="J411" s="343"/>
      <c r="K411" s="343"/>
      <c r="L411" s="343"/>
    </row>
    <row r="412" spans="2:12" x14ac:dyDescent="0.2">
      <c r="B412" s="144"/>
      <c r="D412" s="341"/>
      <c r="F412" s="343"/>
      <c r="G412" s="343"/>
      <c r="H412" s="343"/>
      <c r="I412" s="343"/>
      <c r="J412" s="343"/>
      <c r="K412" s="343"/>
      <c r="L412" s="343"/>
    </row>
    <row r="413" spans="2:12" x14ac:dyDescent="0.2">
      <c r="B413" s="144"/>
      <c r="D413" s="341"/>
      <c r="F413" s="343"/>
      <c r="G413" s="343"/>
      <c r="H413" s="343"/>
      <c r="I413" s="343"/>
      <c r="J413" s="343"/>
      <c r="K413" s="343"/>
      <c r="L413" s="343"/>
    </row>
    <row r="414" spans="2:12" x14ac:dyDescent="0.2">
      <c r="B414" s="144"/>
      <c r="D414" s="341"/>
      <c r="F414" s="343"/>
      <c r="G414" s="343"/>
      <c r="H414" s="343"/>
      <c r="I414" s="343"/>
      <c r="J414" s="343"/>
      <c r="K414" s="343"/>
      <c r="L414" s="343"/>
    </row>
    <row r="415" spans="2:12" x14ac:dyDescent="0.2">
      <c r="B415" s="144"/>
      <c r="D415" s="341"/>
      <c r="F415" s="343"/>
      <c r="G415" s="343"/>
      <c r="H415" s="343"/>
      <c r="I415" s="343"/>
      <c r="J415" s="343"/>
      <c r="K415" s="343"/>
      <c r="L415" s="343"/>
    </row>
    <row r="416" spans="2:12" x14ac:dyDescent="0.2">
      <c r="B416" s="144"/>
      <c r="D416" s="341"/>
      <c r="F416" s="343"/>
      <c r="G416" s="343"/>
      <c r="H416" s="343"/>
      <c r="I416" s="343"/>
      <c r="J416" s="343"/>
      <c r="K416" s="343"/>
      <c r="L416" s="343"/>
    </row>
    <row r="417" spans="2:12" x14ac:dyDescent="0.2">
      <c r="B417" s="144"/>
      <c r="D417" s="341"/>
      <c r="F417" s="343"/>
      <c r="G417" s="343"/>
      <c r="H417" s="343"/>
      <c r="I417" s="343"/>
      <c r="J417" s="343"/>
      <c r="K417" s="343"/>
      <c r="L417" s="343"/>
    </row>
    <row r="418" spans="2:12" x14ac:dyDescent="0.2">
      <c r="B418" s="144"/>
      <c r="D418" s="341"/>
      <c r="F418" s="343"/>
      <c r="G418" s="343"/>
      <c r="H418" s="343"/>
      <c r="I418" s="343"/>
      <c r="J418" s="343"/>
      <c r="K418" s="343"/>
      <c r="L418" s="343"/>
    </row>
    <row r="419" spans="2:12" x14ac:dyDescent="0.2">
      <c r="B419" s="144"/>
      <c r="D419" s="341"/>
      <c r="F419" s="343"/>
      <c r="G419" s="343"/>
      <c r="H419" s="343"/>
      <c r="I419" s="343"/>
      <c r="J419" s="343"/>
      <c r="K419" s="343"/>
      <c r="L419" s="343"/>
    </row>
    <row r="420" spans="2:12" x14ac:dyDescent="0.2">
      <c r="B420" s="144"/>
      <c r="D420" s="341"/>
      <c r="F420" s="343"/>
      <c r="G420" s="343"/>
      <c r="H420" s="343"/>
      <c r="I420" s="343"/>
      <c r="J420" s="343"/>
      <c r="K420" s="343"/>
      <c r="L420" s="343"/>
    </row>
    <row r="421" spans="2:12" x14ac:dyDescent="0.2">
      <c r="B421" s="144"/>
      <c r="D421" s="341"/>
      <c r="F421" s="343"/>
      <c r="G421" s="343"/>
      <c r="H421" s="343"/>
      <c r="I421" s="343"/>
      <c r="J421" s="343"/>
      <c r="K421" s="343"/>
      <c r="L421" s="343"/>
    </row>
    <row r="422" spans="2:12" x14ac:dyDescent="0.2">
      <c r="B422" s="144"/>
      <c r="D422" s="341"/>
      <c r="F422" s="343"/>
      <c r="G422" s="343"/>
      <c r="H422" s="343"/>
      <c r="I422" s="343"/>
      <c r="J422" s="343"/>
      <c r="K422" s="343"/>
      <c r="L422" s="343"/>
    </row>
    <row r="423" spans="2:12" x14ac:dyDescent="0.2">
      <c r="B423" s="144"/>
      <c r="D423" s="341"/>
      <c r="F423" s="343"/>
      <c r="G423" s="343"/>
      <c r="H423" s="343"/>
      <c r="I423" s="343"/>
      <c r="J423" s="343"/>
      <c r="K423" s="343"/>
      <c r="L423" s="343"/>
    </row>
    <row r="424" spans="2:12" x14ac:dyDescent="0.2">
      <c r="B424" s="144"/>
      <c r="D424" s="341"/>
      <c r="F424" s="343"/>
      <c r="G424" s="343"/>
      <c r="H424" s="343"/>
      <c r="I424" s="343"/>
      <c r="J424" s="343"/>
      <c r="K424" s="343"/>
      <c r="L424" s="343"/>
    </row>
    <row r="425" spans="2:12" x14ac:dyDescent="0.2">
      <c r="B425" s="144"/>
      <c r="D425" s="341"/>
      <c r="F425" s="343"/>
      <c r="G425" s="343"/>
      <c r="H425" s="343"/>
      <c r="I425" s="343"/>
      <c r="J425" s="343"/>
      <c r="K425" s="343"/>
      <c r="L425" s="343"/>
    </row>
    <row r="426" spans="2:12" x14ac:dyDescent="0.2">
      <c r="B426" s="144"/>
      <c r="D426" s="341"/>
      <c r="F426" s="343"/>
      <c r="G426" s="343"/>
      <c r="H426" s="343"/>
      <c r="I426" s="343"/>
      <c r="J426" s="343"/>
      <c r="K426" s="343"/>
      <c r="L426" s="343"/>
    </row>
    <row r="427" spans="2:12" x14ac:dyDescent="0.2">
      <c r="B427" s="144"/>
      <c r="D427" s="341"/>
      <c r="F427" s="343"/>
      <c r="G427" s="343"/>
      <c r="H427" s="343"/>
      <c r="I427" s="343"/>
      <c r="J427" s="343"/>
      <c r="K427" s="343"/>
      <c r="L427" s="343"/>
    </row>
    <row r="428" spans="2:12" x14ac:dyDescent="0.2">
      <c r="B428" s="144"/>
      <c r="D428" s="341"/>
      <c r="F428" s="343"/>
      <c r="G428" s="343"/>
      <c r="H428" s="343"/>
      <c r="I428" s="343"/>
      <c r="J428" s="343"/>
      <c r="K428" s="343"/>
      <c r="L428" s="343"/>
    </row>
    <row r="429" spans="2:12" x14ac:dyDescent="0.2">
      <c r="B429" s="144"/>
      <c r="D429" s="341"/>
      <c r="F429" s="343"/>
      <c r="G429" s="343"/>
      <c r="H429" s="343"/>
      <c r="I429" s="343"/>
      <c r="J429" s="343"/>
      <c r="K429" s="343"/>
      <c r="L429" s="343"/>
    </row>
    <row r="430" spans="2:12" x14ac:dyDescent="0.2">
      <c r="B430" s="144"/>
      <c r="D430" s="341"/>
      <c r="F430" s="343"/>
      <c r="G430" s="343"/>
      <c r="H430" s="343"/>
      <c r="I430" s="343"/>
      <c r="J430" s="343"/>
      <c r="K430" s="343"/>
      <c r="L430" s="343"/>
    </row>
    <row r="431" spans="2:12" x14ac:dyDescent="0.2">
      <c r="B431" s="144"/>
      <c r="D431" s="341"/>
      <c r="F431" s="343"/>
      <c r="G431" s="343"/>
      <c r="H431" s="343"/>
      <c r="I431" s="343"/>
      <c r="J431" s="343"/>
      <c r="K431" s="343"/>
      <c r="L431" s="343"/>
    </row>
    <row r="432" spans="2:12" x14ac:dyDescent="0.2">
      <c r="B432" s="144"/>
      <c r="D432" s="341"/>
      <c r="F432" s="343"/>
      <c r="G432" s="343"/>
      <c r="H432" s="343"/>
      <c r="I432" s="343"/>
      <c r="J432" s="343"/>
      <c r="K432" s="343"/>
      <c r="L432" s="343"/>
    </row>
    <row r="433" spans="2:12" x14ac:dyDescent="0.2">
      <c r="B433" s="144"/>
      <c r="D433" s="341"/>
      <c r="F433" s="343"/>
      <c r="G433" s="343"/>
      <c r="H433" s="343"/>
      <c r="I433" s="343"/>
      <c r="J433" s="343"/>
      <c r="K433" s="343"/>
      <c r="L433" s="343"/>
    </row>
    <row r="434" spans="2:12" x14ac:dyDescent="0.2">
      <c r="B434" s="144"/>
      <c r="D434" s="341"/>
      <c r="F434" s="343"/>
      <c r="G434" s="343"/>
      <c r="H434" s="343"/>
      <c r="I434" s="343"/>
      <c r="J434" s="343"/>
      <c r="K434" s="343"/>
      <c r="L434" s="343"/>
    </row>
    <row r="435" spans="2:12" x14ac:dyDescent="0.2">
      <c r="B435" s="144"/>
      <c r="D435" s="341"/>
      <c r="F435" s="343"/>
      <c r="G435" s="343"/>
      <c r="H435" s="343"/>
      <c r="I435" s="343"/>
      <c r="J435" s="343"/>
      <c r="K435" s="343"/>
      <c r="L435" s="343"/>
    </row>
    <row r="436" spans="2:12" x14ac:dyDescent="0.2">
      <c r="B436" s="144"/>
      <c r="D436" s="341"/>
      <c r="F436" s="343"/>
      <c r="G436" s="343"/>
      <c r="H436" s="343"/>
      <c r="I436" s="343"/>
      <c r="J436" s="343"/>
      <c r="K436" s="343"/>
      <c r="L436" s="343"/>
    </row>
    <row r="437" spans="2:12" x14ac:dyDescent="0.2">
      <c r="B437" s="144"/>
      <c r="D437" s="341"/>
      <c r="F437" s="343"/>
      <c r="G437" s="343"/>
      <c r="H437" s="343"/>
      <c r="I437" s="343"/>
      <c r="J437" s="343"/>
      <c r="K437" s="343"/>
      <c r="L437" s="343"/>
    </row>
    <row r="438" spans="2:12" x14ac:dyDescent="0.2">
      <c r="B438" s="144"/>
      <c r="D438" s="341"/>
      <c r="F438" s="343"/>
      <c r="G438" s="343"/>
      <c r="H438" s="343"/>
      <c r="I438" s="343"/>
      <c r="J438" s="343"/>
      <c r="K438" s="343"/>
      <c r="L438" s="343"/>
    </row>
    <row r="439" spans="2:12" x14ac:dyDescent="0.2">
      <c r="B439" s="144"/>
      <c r="D439" s="341"/>
      <c r="F439" s="343"/>
      <c r="G439" s="343"/>
      <c r="H439" s="343"/>
      <c r="I439" s="343"/>
      <c r="J439" s="343"/>
      <c r="K439" s="343"/>
      <c r="L439" s="343"/>
    </row>
    <row r="440" spans="2:12" x14ac:dyDescent="0.2">
      <c r="B440" s="144"/>
      <c r="D440" s="341"/>
      <c r="F440" s="343"/>
      <c r="G440" s="343"/>
      <c r="H440" s="343"/>
      <c r="I440" s="343"/>
      <c r="J440" s="343"/>
      <c r="K440" s="343"/>
      <c r="L440" s="343"/>
    </row>
    <row r="441" spans="2:12" x14ac:dyDescent="0.2">
      <c r="B441" s="144"/>
      <c r="D441" s="341"/>
      <c r="F441" s="343"/>
      <c r="G441" s="343"/>
      <c r="H441" s="343"/>
      <c r="I441" s="343"/>
      <c r="J441" s="343"/>
      <c r="K441" s="343"/>
      <c r="L441" s="343"/>
    </row>
    <row r="442" spans="2:12" x14ac:dyDescent="0.2">
      <c r="B442" s="144"/>
      <c r="D442" s="341"/>
      <c r="F442" s="343"/>
      <c r="G442" s="343"/>
      <c r="H442" s="343"/>
      <c r="I442" s="343"/>
      <c r="J442" s="343"/>
      <c r="K442" s="343"/>
      <c r="L442" s="343"/>
    </row>
    <row r="443" spans="2:12" x14ac:dyDescent="0.2">
      <c r="B443" s="144"/>
      <c r="D443" s="341"/>
      <c r="F443" s="343"/>
      <c r="G443" s="343"/>
      <c r="H443" s="343"/>
      <c r="I443" s="343"/>
      <c r="J443" s="343"/>
      <c r="K443" s="343"/>
      <c r="L443" s="343"/>
    </row>
    <row r="444" spans="2:12" x14ac:dyDescent="0.2">
      <c r="B444" s="144"/>
      <c r="D444" s="341"/>
      <c r="F444" s="343"/>
      <c r="G444" s="343"/>
      <c r="H444" s="343"/>
      <c r="I444" s="343"/>
      <c r="J444" s="343"/>
      <c r="K444" s="343"/>
      <c r="L444" s="343"/>
    </row>
    <row r="445" spans="2:12" x14ac:dyDescent="0.2">
      <c r="B445" s="144"/>
      <c r="D445" s="341"/>
      <c r="F445" s="343"/>
      <c r="G445" s="343"/>
      <c r="H445" s="343"/>
      <c r="I445" s="343"/>
      <c r="J445" s="343"/>
      <c r="K445" s="343"/>
      <c r="L445" s="343"/>
    </row>
    <row r="446" spans="2:12" x14ac:dyDescent="0.2">
      <c r="B446" s="144"/>
      <c r="D446" s="341"/>
      <c r="F446" s="343"/>
      <c r="G446" s="343"/>
      <c r="H446" s="343"/>
      <c r="I446" s="343"/>
      <c r="J446" s="343"/>
      <c r="K446" s="343"/>
      <c r="L446" s="343"/>
    </row>
    <row r="447" spans="2:12" x14ac:dyDescent="0.2">
      <c r="B447" s="144"/>
      <c r="D447" s="341"/>
      <c r="F447" s="343"/>
      <c r="G447" s="343"/>
      <c r="H447" s="343"/>
      <c r="I447" s="343"/>
      <c r="J447" s="343"/>
      <c r="K447" s="343"/>
      <c r="L447" s="343"/>
    </row>
    <row r="448" spans="2:12" x14ac:dyDescent="0.2">
      <c r="B448" s="144"/>
      <c r="D448" s="341"/>
      <c r="F448" s="343"/>
      <c r="G448" s="343"/>
      <c r="H448" s="343"/>
      <c r="I448" s="343"/>
      <c r="J448" s="343"/>
      <c r="K448" s="343"/>
      <c r="L448" s="343"/>
    </row>
    <row r="449" spans="2:12" x14ac:dyDescent="0.2">
      <c r="B449" s="144"/>
      <c r="D449" s="341"/>
      <c r="F449" s="343"/>
      <c r="G449" s="343"/>
      <c r="H449" s="343"/>
      <c r="I449" s="343"/>
      <c r="J449" s="343"/>
      <c r="K449" s="343"/>
      <c r="L449" s="343"/>
    </row>
    <row r="450" spans="2:12" x14ac:dyDescent="0.2">
      <c r="B450" s="144"/>
      <c r="D450" s="341"/>
      <c r="F450" s="343"/>
      <c r="G450" s="343"/>
      <c r="H450" s="343"/>
      <c r="I450" s="343"/>
      <c r="J450" s="343"/>
      <c r="K450" s="343"/>
      <c r="L450" s="343"/>
    </row>
    <row r="451" spans="2:12" x14ac:dyDescent="0.2">
      <c r="B451" s="144"/>
      <c r="D451" s="341"/>
      <c r="F451" s="343"/>
      <c r="G451" s="343"/>
      <c r="H451" s="343"/>
      <c r="I451" s="343"/>
      <c r="J451" s="343"/>
      <c r="K451" s="343"/>
      <c r="L451" s="343"/>
    </row>
    <row r="452" spans="2:12" x14ac:dyDescent="0.2">
      <c r="B452" s="144"/>
      <c r="D452" s="341"/>
      <c r="F452" s="343"/>
      <c r="G452" s="343"/>
      <c r="H452" s="343"/>
      <c r="I452" s="343"/>
      <c r="J452" s="343"/>
      <c r="K452" s="343"/>
      <c r="L452" s="343"/>
    </row>
    <row r="453" spans="2:12" x14ac:dyDescent="0.2">
      <c r="B453" s="144"/>
      <c r="D453" s="341"/>
      <c r="F453" s="343"/>
      <c r="G453" s="343"/>
      <c r="H453" s="343"/>
      <c r="I453" s="343"/>
      <c r="J453" s="343"/>
      <c r="K453" s="343"/>
      <c r="L453" s="343"/>
    </row>
    <row r="454" spans="2:12" x14ac:dyDescent="0.2">
      <c r="B454" s="144"/>
      <c r="D454" s="341"/>
      <c r="F454" s="343"/>
      <c r="G454" s="343"/>
      <c r="H454" s="343"/>
      <c r="I454" s="343"/>
      <c r="J454" s="343"/>
      <c r="K454" s="343"/>
      <c r="L454" s="343"/>
    </row>
    <row r="455" spans="2:12" x14ac:dyDescent="0.2">
      <c r="B455" s="144"/>
      <c r="D455" s="341"/>
      <c r="F455" s="343"/>
      <c r="G455" s="343"/>
      <c r="H455" s="343"/>
      <c r="I455" s="343"/>
      <c r="J455" s="343"/>
      <c r="K455" s="343"/>
      <c r="L455" s="343"/>
    </row>
    <row r="456" spans="2:12" x14ac:dyDescent="0.2">
      <c r="B456" s="144"/>
      <c r="D456" s="341"/>
      <c r="F456" s="343"/>
      <c r="G456" s="343"/>
      <c r="H456" s="343"/>
      <c r="I456" s="343"/>
      <c r="J456" s="343"/>
      <c r="K456" s="343"/>
      <c r="L456" s="343"/>
    </row>
    <row r="457" spans="2:12" x14ac:dyDescent="0.2">
      <c r="B457" s="144"/>
      <c r="D457" s="341"/>
      <c r="F457" s="343"/>
      <c r="G457" s="343"/>
      <c r="H457" s="343"/>
      <c r="I457" s="343"/>
      <c r="J457" s="343"/>
      <c r="K457" s="343"/>
      <c r="L457" s="343"/>
    </row>
    <row r="458" spans="2:12" x14ac:dyDescent="0.2">
      <c r="B458" s="144"/>
      <c r="D458" s="341"/>
      <c r="F458" s="343"/>
      <c r="G458" s="343"/>
      <c r="H458" s="343"/>
      <c r="I458" s="343"/>
      <c r="J458" s="343"/>
      <c r="K458" s="343"/>
      <c r="L458" s="343"/>
    </row>
    <row r="459" spans="2:12" x14ac:dyDescent="0.2">
      <c r="B459" s="144"/>
      <c r="D459" s="341"/>
      <c r="F459" s="343"/>
      <c r="G459" s="343"/>
      <c r="H459" s="343"/>
      <c r="I459" s="343"/>
      <c r="J459" s="343"/>
      <c r="K459" s="343"/>
      <c r="L459" s="343"/>
    </row>
    <row r="460" spans="2:12" x14ac:dyDescent="0.2">
      <c r="B460" s="144"/>
      <c r="D460" s="341"/>
      <c r="F460" s="343"/>
      <c r="G460" s="343"/>
      <c r="H460" s="343"/>
      <c r="I460" s="343"/>
      <c r="J460" s="343"/>
      <c r="K460" s="343"/>
      <c r="L460" s="343"/>
    </row>
    <row r="461" spans="2:12" x14ac:dyDescent="0.2">
      <c r="B461" s="144"/>
      <c r="D461" s="341"/>
      <c r="F461" s="343"/>
      <c r="G461" s="343"/>
      <c r="H461" s="343"/>
      <c r="I461" s="343"/>
      <c r="J461" s="343"/>
      <c r="K461" s="343"/>
      <c r="L461" s="343"/>
    </row>
    <row r="462" spans="2:12" x14ac:dyDescent="0.2">
      <c r="B462" s="144"/>
      <c r="D462" s="341"/>
      <c r="F462" s="343"/>
      <c r="G462" s="343"/>
      <c r="H462" s="343"/>
      <c r="I462" s="343"/>
      <c r="J462" s="343"/>
      <c r="K462" s="343"/>
      <c r="L462" s="343"/>
    </row>
    <row r="463" spans="2:12" x14ac:dyDescent="0.2">
      <c r="B463" s="144"/>
      <c r="D463" s="341"/>
      <c r="F463" s="343"/>
      <c r="G463" s="343"/>
      <c r="H463" s="343"/>
      <c r="I463" s="343"/>
      <c r="J463" s="343"/>
      <c r="K463" s="343"/>
      <c r="L463" s="343"/>
    </row>
    <row r="464" spans="2:12" x14ac:dyDescent="0.2">
      <c r="B464" s="144"/>
      <c r="D464" s="341"/>
      <c r="F464" s="343"/>
      <c r="G464" s="343"/>
      <c r="H464" s="343"/>
      <c r="I464" s="343"/>
      <c r="J464" s="343"/>
      <c r="K464" s="343"/>
      <c r="L464" s="343"/>
    </row>
    <row r="465" spans="2:12" x14ac:dyDescent="0.2">
      <c r="B465" s="144"/>
      <c r="D465" s="341"/>
      <c r="F465" s="343"/>
      <c r="G465" s="343"/>
      <c r="H465" s="343"/>
      <c r="I465" s="343"/>
      <c r="J465" s="343"/>
      <c r="K465" s="343"/>
      <c r="L465" s="343"/>
    </row>
    <row r="466" spans="2:12" x14ac:dyDescent="0.2">
      <c r="B466" s="144"/>
      <c r="D466" s="341"/>
      <c r="F466" s="343"/>
      <c r="G466" s="343"/>
      <c r="H466" s="343"/>
      <c r="I466" s="343"/>
      <c r="J466" s="343"/>
      <c r="K466" s="343"/>
      <c r="L466" s="343"/>
    </row>
    <row r="467" spans="2:12" x14ac:dyDescent="0.2">
      <c r="B467" s="144"/>
      <c r="D467" s="341"/>
      <c r="F467" s="343"/>
      <c r="G467" s="343"/>
      <c r="H467" s="343"/>
      <c r="I467" s="343"/>
      <c r="J467" s="343"/>
      <c r="K467" s="343"/>
      <c r="L467" s="343"/>
    </row>
    <row r="468" spans="2:12" x14ac:dyDescent="0.2">
      <c r="B468" s="144"/>
      <c r="D468" s="341"/>
      <c r="F468" s="343"/>
      <c r="G468" s="343"/>
      <c r="H468" s="343"/>
      <c r="I468" s="343"/>
      <c r="J468" s="343"/>
      <c r="K468" s="343"/>
      <c r="L468" s="343"/>
    </row>
    <row r="469" spans="2:12" x14ac:dyDescent="0.2">
      <c r="B469" s="144"/>
      <c r="D469" s="341"/>
      <c r="F469" s="343"/>
      <c r="G469" s="343"/>
      <c r="H469" s="343"/>
      <c r="I469" s="343"/>
      <c r="J469" s="343"/>
      <c r="K469" s="343"/>
      <c r="L469" s="343"/>
    </row>
    <row r="470" spans="2:12" x14ac:dyDescent="0.2">
      <c r="B470" s="144"/>
      <c r="D470" s="341"/>
      <c r="F470" s="343"/>
      <c r="G470" s="343"/>
      <c r="H470" s="343"/>
      <c r="I470" s="343"/>
      <c r="J470" s="343"/>
      <c r="K470" s="343"/>
      <c r="L470" s="343"/>
    </row>
    <row r="471" spans="2:12" x14ac:dyDescent="0.2">
      <c r="B471" s="144"/>
      <c r="D471" s="341"/>
      <c r="F471" s="343"/>
      <c r="G471" s="343"/>
      <c r="H471" s="343"/>
      <c r="I471" s="343"/>
      <c r="J471" s="343"/>
      <c r="K471" s="343"/>
      <c r="L471" s="343"/>
    </row>
    <row r="472" spans="2:12" x14ac:dyDescent="0.2">
      <c r="B472" s="144"/>
      <c r="D472" s="341"/>
      <c r="F472" s="343"/>
      <c r="G472" s="343"/>
      <c r="H472" s="343"/>
      <c r="I472" s="343"/>
      <c r="J472" s="343"/>
      <c r="K472" s="343"/>
      <c r="L472" s="343"/>
    </row>
    <row r="473" spans="2:12" x14ac:dyDescent="0.2">
      <c r="B473" s="144"/>
      <c r="D473" s="341"/>
      <c r="F473" s="343"/>
      <c r="G473" s="343"/>
      <c r="H473" s="343"/>
      <c r="I473" s="343"/>
      <c r="J473" s="343"/>
      <c r="K473" s="343"/>
      <c r="L473" s="343"/>
    </row>
    <row r="474" spans="2:12" x14ac:dyDescent="0.2">
      <c r="B474" s="144"/>
      <c r="D474" s="341"/>
      <c r="F474" s="343"/>
      <c r="G474" s="343"/>
      <c r="H474" s="343"/>
      <c r="I474" s="343"/>
      <c r="J474" s="343"/>
      <c r="K474" s="343"/>
      <c r="L474" s="343"/>
    </row>
    <row r="475" spans="2:12" x14ac:dyDescent="0.2">
      <c r="B475" s="144"/>
      <c r="D475" s="341"/>
      <c r="F475" s="343"/>
      <c r="G475" s="343"/>
      <c r="H475" s="343"/>
      <c r="I475" s="343"/>
      <c r="J475" s="343"/>
      <c r="K475" s="343"/>
      <c r="L475" s="343"/>
    </row>
    <row r="476" spans="2:12" x14ac:dyDescent="0.2">
      <c r="B476" s="144"/>
      <c r="D476" s="341"/>
      <c r="F476" s="343"/>
      <c r="G476" s="343"/>
      <c r="H476" s="343"/>
      <c r="I476" s="343"/>
      <c r="J476" s="343"/>
      <c r="K476" s="343"/>
      <c r="L476" s="343"/>
    </row>
    <row r="477" spans="2:12" x14ac:dyDescent="0.2">
      <c r="B477" s="144"/>
      <c r="D477" s="341"/>
      <c r="F477" s="343"/>
      <c r="G477" s="343"/>
      <c r="H477" s="343"/>
      <c r="I477" s="343"/>
      <c r="J477" s="343"/>
      <c r="K477" s="343"/>
      <c r="L477" s="343"/>
    </row>
    <row r="478" spans="2:12" x14ac:dyDescent="0.2">
      <c r="B478" s="144"/>
      <c r="D478" s="341"/>
      <c r="F478" s="343"/>
      <c r="G478" s="343"/>
      <c r="H478" s="343"/>
      <c r="I478" s="343"/>
      <c r="J478" s="343"/>
      <c r="K478" s="343"/>
      <c r="L478" s="343"/>
    </row>
    <row r="479" spans="2:12" x14ac:dyDescent="0.2">
      <c r="B479" s="144"/>
      <c r="D479" s="341"/>
      <c r="F479" s="343"/>
      <c r="G479" s="343"/>
      <c r="H479" s="343"/>
      <c r="I479" s="343"/>
      <c r="J479" s="343"/>
      <c r="K479" s="343"/>
      <c r="L479" s="343"/>
    </row>
    <row r="480" spans="2:12" x14ac:dyDescent="0.2">
      <c r="B480" s="144"/>
      <c r="D480" s="341"/>
      <c r="F480" s="343"/>
      <c r="G480" s="343"/>
      <c r="H480" s="343"/>
      <c r="I480" s="343"/>
      <c r="J480" s="343"/>
      <c r="K480" s="343"/>
      <c r="L480" s="343"/>
    </row>
    <row r="481" spans="2:12" x14ac:dyDescent="0.2">
      <c r="B481" s="144"/>
      <c r="D481" s="341"/>
      <c r="F481" s="343"/>
      <c r="G481" s="343"/>
      <c r="H481" s="343"/>
      <c r="I481" s="343"/>
      <c r="J481" s="343"/>
      <c r="K481" s="343"/>
      <c r="L481" s="343"/>
    </row>
    <row r="482" spans="2:12" x14ac:dyDescent="0.2">
      <c r="B482" s="144"/>
      <c r="D482" s="341"/>
      <c r="F482" s="343"/>
      <c r="G482" s="343"/>
      <c r="H482" s="343"/>
      <c r="I482" s="343"/>
      <c r="J482" s="343"/>
      <c r="K482" s="343"/>
      <c r="L482" s="343"/>
    </row>
    <row r="483" spans="2:12" x14ac:dyDescent="0.2">
      <c r="B483" s="144"/>
      <c r="D483" s="341"/>
      <c r="F483" s="343"/>
      <c r="G483" s="343"/>
      <c r="H483" s="343"/>
      <c r="I483" s="343"/>
      <c r="J483" s="343"/>
      <c r="K483" s="343"/>
      <c r="L483" s="343"/>
    </row>
    <row r="484" spans="2:12" x14ac:dyDescent="0.2">
      <c r="B484" s="144"/>
      <c r="D484" s="341"/>
      <c r="F484" s="343"/>
      <c r="G484" s="343"/>
      <c r="H484" s="343"/>
      <c r="I484" s="343"/>
      <c r="J484" s="343"/>
      <c r="K484" s="343"/>
      <c r="L484" s="343"/>
    </row>
    <row r="485" spans="2:12" x14ac:dyDescent="0.2">
      <c r="B485" s="144"/>
      <c r="D485" s="341"/>
      <c r="F485" s="343"/>
      <c r="G485" s="343"/>
      <c r="H485" s="343"/>
      <c r="I485" s="343"/>
      <c r="J485" s="343"/>
      <c r="K485" s="343"/>
      <c r="L485" s="343"/>
    </row>
    <row r="486" spans="2:12" x14ac:dyDescent="0.2">
      <c r="B486" s="144"/>
      <c r="D486" s="341"/>
      <c r="F486" s="343"/>
      <c r="G486" s="343"/>
      <c r="H486" s="343"/>
      <c r="I486" s="343"/>
      <c r="J486" s="343"/>
      <c r="K486" s="343"/>
      <c r="L486" s="343"/>
    </row>
    <row r="487" spans="2:12" x14ac:dyDescent="0.2">
      <c r="B487" s="144"/>
      <c r="D487" s="341"/>
      <c r="F487" s="343"/>
      <c r="G487" s="343"/>
      <c r="H487" s="343"/>
      <c r="I487" s="343"/>
      <c r="J487" s="343"/>
      <c r="K487" s="343"/>
      <c r="L487" s="343"/>
    </row>
    <row r="488" spans="2:12" x14ac:dyDescent="0.2">
      <c r="B488" s="144"/>
      <c r="D488" s="341"/>
      <c r="F488" s="343"/>
      <c r="G488" s="343"/>
      <c r="H488" s="343"/>
      <c r="I488" s="343"/>
      <c r="J488" s="343"/>
      <c r="K488" s="343"/>
      <c r="L488" s="343"/>
    </row>
    <row r="489" spans="2:12" x14ac:dyDescent="0.2">
      <c r="B489" s="144"/>
      <c r="D489" s="341"/>
      <c r="F489" s="343"/>
      <c r="G489" s="343"/>
      <c r="H489" s="343"/>
      <c r="I489" s="343"/>
      <c r="J489" s="343"/>
      <c r="K489" s="343"/>
      <c r="L489" s="343"/>
    </row>
    <row r="490" spans="2:12" x14ac:dyDescent="0.2">
      <c r="B490" s="144"/>
      <c r="D490" s="341"/>
      <c r="F490" s="343"/>
      <c r="G490" s="343"/>
      <c r="H490" s="343"/>
      <c r="I490" s="343"/>
      <c r="J490" s="343"/>
      <c r="K490" s="343"/>
      <c r="L490" s="343"/>
    </row>
    <row r="491" spans="2:12" x14ac:dyDescent="0.2">
      <c r="B491" s="144"/>
      <c r="D491" s="341"/>
      <c r="F491" s="343"/>
      <c r="G491" s="343"/>
      <c r="H491" s="343"/>
      <c r="I491" s="343"/>
      <c r="J491" s="343"/>
      <c r="K491" s="343"/>
      <c r="L491" s="343"/>
    </row>
    <row r="492" spans="2:12" x14ac:dyDescent="0.2">
      <c r="B492" s="144"/>
      <c r="D492" s="341"/>
      <c r="F492" s="343"/>
      <c r="G492" s="343"/>
      <c r="H492" s="343"/>
      <c r="I492" s="343"/>
      <c r="J492" s="343"/>
      <c r="K492" s="343"/>
      <c r="L492" s="343"/>
    </row>
    <row r="493" spans="2:12" x14ac:dyDescent="0.2">
      <c r="B493" s="144"/>
      <c r="D493" s="341"/>
      <c r="F493" s="343"/>
      <c r="G493" s="343"/>
      <c r="H493" s="343"/>
      <c r="I493" s="343"/>
      <c r="J493" s="343"/>
      <c r="K493" s="343"/>
      <c r="L493" s="343"/>
    </row>
    <row r="494" spans="2:12" x14ac:dyDescent="0.2">
      <c r="B494" s="144"/>
      <c r="D494" s="341"/>
      <c r="F494" s="343"/>
      <c r="G494" s="343"/>
      <c r="H494" s="343"/>
      <c r="I494" s="343"/>
      <c r="J494" s="343"/>
      <c r="K494" s="343"/>
      <c r="L494" s="343"/>
    </row>
    <row r="495" spans="2:12" x14ac:dyDescent="0.2">
      <c r="B495" s="144"/>
      <c r="D495" s="341"/>
      <c r="F495" s="343"/>
      <c r="G495" s="343"/>
      <c r="H495" s="343"/>
      <c r="I495" s="343"/>
      <c r="J495" s="343"/>
      <c r="K495" s="343"/>
      <c r="L495" s="343"/>
    </row>
    <row r="496" spans="2:12" x14ac:dyDescent="0.2">
      <c r="B496" s="144"/>
      <c r="D496" s="341"/>
      <c r="F496" s="343"/>
      <c r="G496" s="343"/>
      <c r="H496" s="343"/>
      <c r="I496" s="343"/>
      <c r="J496" s="343"/>
      <c r="K496" s="343"/>
      <c r="L496" s="343"/>
    </row>
    <row r="497" spans="2:12" x14ac:dyDescent="0.2">
      <c r="B497" s="144"/>
      <c r="D497" s="341"/>
      <c r="F497" s="343"/>
      <c r="G497" s="343"/>
      <c r="H497" s="343"/>
      <c r="I497" s="343"/>
      <c r="J497" s="343"/>
      <c r="K497" s="343"/>
      <c r="L497" s="343"/>
    </row>
    <row r="498" spans="2:12" x14ac:dyDescent="0.2">
      <c r="B498" s="144"/>
      <c r="D498" s="341"/>
      <c r="F498" s="343"/>
      <c r="G498" s="343"/>
      <c r="H498" s="343"/>
      <c r="I498" s="343"/>
      <c r="J498" s="343"/>
      <c r="K498" s="343"/>
      <c r="L498" s="343"/>
    </row>
    <row r="499" spans="2:12" x14ac:dyDescent="0.2">
      <c r="B499" s="144"/>
      <c r="D499" s="341"/>
      <c r="F499" s="343"/>
      <c r="G499" s="343"/>
      <c r="H499" s="343"/>
      <c r="I499" s="343"/>
      <c r="J499" s="343"/>
      <c r="K499" s="343"/>
      <c r="L499" s="343"/>
    </row>
    <row r="500" spans="2:12" x14ac:dyDescent="0.2">
      <c r="B500" s="144"/>
      <c r="D500" s="341"/>
      <c r="F500" s="343"/>
      <c r="G500" s="343"/>
      <c r="H500" s="343"/>
      <c r="I500" s="343"/>
      <c r="J500" s="343"/>
      <c r="K500" s="343"/>
      <c r="L500" s="343"/>
    </row>
    <row r="501" spans="2:12" x14ac:dyDescent="0.2">
      <c r="B501" s="144"/>
      <c r="D501" s="341"/>
      <c r="F501" s="343"/>
      <c r="G501" s="343"/>
      <c r="H501" s="343"/>
      <c r="I501" s="343"/>
      <c r="J501" s="343"/>
      <c r="K501" s="343"/>
      <c r="L501" s="343"/>
    </row>
    <row r="502" spans="2:12" x14ac:dyDescent="0.2">
      <c r="B502" s="144"/>
      <c r="D502" s="341"/>
      <c r="F502" s="343"/>
      <c r="G502" s="343"/>
      <c r="H502" s="343"/>
      <c r="I502" s="343"/>
      <c r="J502" s="343"/>
      <c r="K502" s="343"/>
      <c r="L502" s="343"/>
    </row>
    <row r="503" spans="2:12" x14ac:dyDescent="0.2">
      <c r="B503" s="144"/>
      <c r="D503" s="341"/>
      <c r="F503" s="343"/>
      <c r="G503" s="343"/>
      <c r="H503" s="343"/>
      <c r="I503" s="343"/>
      <c r="J503" s="343"/>
      <c r="K503" s="343"/>
      <c r="L503" s="343"/>
    </row>
    <row r="504" spans="2:12" x14ac:dyDescent="0.2">
      <c r="B504" s="144"/>
      <c r="D504" s="341"/>
      <c r="F504" s="343"/>
      <c r="G504" s="343"/>
      <c r="H504" s="343"/>
      <c r="I504" s="343"/>
      <c r="J504" s="343"/>
      <c r="K504" s="343"/>
      <c r="L504" s="343"/>
    </row>
    <row r="505" spans="2:12" x14ac:dyDescent="0.2">
      <c r="B505" s="144"/>
      <c r="D505" s="341"/>
      <c r="F505" s="343"/>
      <c r="G505" s="343"/>
      <c r="H505" s="343"/>
      <c r="I505" s="343"/>
      <c r="J505" s="343"/>
      <c r="K505" s="343"/>
      <c r="L505" s="343"/>
    </row>
    <row r="506" spans="2:12" x14ac:dyDescent="0.2">
      <c r="B506" s="144"/>
      <c r="D506" s="341"/>
      <c r="F506" s="343"/>
      <c r="G506" s="343"/>
      <c r="H506" s="343"/>
      <c r="I506" s="343"/>
      <c r="J506" s="343"/>
      <c r="K506" s="343"/>
      <c r="L506" s="343"/>
    </row>
    <row r="507" spans="2:12" x14ac:dyDescent="0.2">
      <c r="B507" s="144"/>
      <c r="D507" s="341"/>
      <c r="F507" s="343"/>
      <c r="G507" s="343"/>
      <c r="H507" s="343"/>
      <c r="I507" s="343"/>
      <c r="J507" s="343"/>
      <c r="K507" s="343"/>
      <c r="L507" s="343"/>
    </row>
    <row r="508" spans="2:12" x14ac:dyDescent="0.2">
      <c r="B508" s="144"/>
      <c r="D508" s="341"/>
      <c r="F508" s="343"/>
      <c r="G508" s="343"/>
      <c r="H508" s="343"/>
      <c r="I508" s="343"/>
      <c r="J508" s="343"/>
      <c r="K508" s="343"/>
      <c r="L508" s="343"/>
    </row>
    <row r="509" spans="2:12" x14ac:dyDescent="0.2">
      <c r="B509" s="144"/>
      <c r="D509" s="341"/>
      <c r="F509" s="343"/>
      <c r="G509" s="343"/>
      <c r="H509" s="343"/>
      <c r="I509" s="343"/>
      <c r="J509" s="343"/>
      <c r="K509" s="343"/>
      <c r="L509" s="343"/>
    </row>
    <row r="510" spans="2:12" x14ac:dyDescent="0.2">
      <c r="B510" s="144"/>
      <c r="D510" s="341"/>
      <c r="F510" s="343"/>
      <c r="G510" s="343"/>
      <c r="H510" s="343"/>
      <c r="I510" s="343"/>
      <c r="J510" s="343"/>
      <c r="K510" s="343"/>
      <c r="L510" s="343"/>
    </row>
    <row r="511" spans="2:12" x14ac:dyDescent="0.2">
      <c r="B511" s="144"/>
      <c r="D511" s="341"/>
      <c r="F511" s="343"/>
      <c r="G511" s="343"/>
      <c r="H511" s="343"/>
      <c r="I511" s="343"/>
      <c r="J511" s="343"/>
      <c r="K511" s="343"/>
      <c r="L511" s="343"/>
    </row>
    <row r="512" spans="2:12" x14ac:dyDescent="0.2">
      <c r="B512" s="144"/>
      <c r="D512" s="341"/>
      <c r="F512" s="343"/>
      <c r="G512" s="343"/>
      <c r="H512" s="343"/>
      <c r="I512" s="343"/>
      <c r="J512" s="343"/>
      <c r="K512" s="343"/>
      <c r="L512" s="343"/>
    </row>
    <row r="513" spans="2:12" x14ac:dyDescent="0.2">
      <c r="B513" s="144"/>
      <c r="D513" s="341"/>
      <c r="F513" s="343"/>
      <c r="G513" s="343"/>
      <c r="H513" s="343"/>
      <c r="I513" s="343"/>
      <c r="J513" s="343"/>
      <c r="K513" s="343"/>
      <c r="L513" s="343"/>
    </row>
    <row r="514" spans="2:12" x14ac:dyDescent="0.2">
      <c r="B514" s="144"/>
      <c r="D514" s="341"/>
      <c r="F514" s="343"/>
      <c r="G514" s="343"/>
      <c r="H514" s="343"/>
      <c r="I514" s="343"/>
      <c r="J514" s="343"/>
      <c r="K514" s="343"/>
      <c r="L514" s="343"/>
    </row>
    <row r="515" spans="2:12" x14ac:dyDescent="0.2">
      <c r="B515" s="144"/>
      <c r="D515" s="341"/>
      <c r="F515" s="343"/>
      <c r="G515" s="343"/>
      <c r="H515" s="343"/>
      <c r="I515" s="343"/>
      <c r="J515" s="343"/>
      <c r="K515" s="343"/>
      <c r="L515" s="343"/>
    </row>
    <row r="516" spans="2:12" x14ac:dyDescent="0.2">
      <c r="B516" s="144"/>
      <c r="D516" s="341"/>
      <c r="F516" s="343"/>
      <c r="G516" s="343"/>
      <c r="H516" s="343"/>
      <c r="I516" s="343"/>
      <c r="J516" s="343"/>
      <c r="K516" s="343"/>
      <c r="L516" s="343"/>
    </row>
    <row r="517" spans="2:12" x14ac:dyDescent="0.2">
      <c r="B517" s="144"/>
      <c r="D517" s="341"/>
      <c r="F517" s="343"/>
      <c r="G517" s="343"/>
      <c r="H517" s="343"/>
      <c r="I517" s="343"/>
      <c r="J517" s="343"/>
      <c r="K517" s="343"/>
      <c r="L517" s="343"/>
    </row>
    <row r="518" spans="2:12" x14ac:dyDescent="0.2">
      <c r="B518" s="144"/>
      <c r="D518" s="341"/>
      <c r="F518" s="343"/>
      <c r="G518" s="343"/>
      <c r="H518" s="343"/>
      <c r="I518" s="343"/>
      <c r="J518" s="343"/>
      <c r="K518" s="343"/>
      <c r="L518" s="343"/>
    </row>
    <row r="519" spans="2:12" x14ac:dyDescent="0.2">
      <c r="B519" s="144"/>
      <c r="D519" s="341"/>
      <c r="F519" s="343"/>
      <c r="G519" s="343"/>
      <c r="H519" s="343"/>
      <c r="I519" s="343"/>
      <c r="J519" s="343"/>
      <c r="K519" s="343"/>
      <c r="L519" s="343"/>
    </row>
    <row r="520" spans="2:12" x14ac:dyDescent="0.2">
      <c r="B520" s="144"/>
      <c r="D520" s="341"/>
      <c r="F520" s="343"/>
      <c r="G520" s="343"/>
      <c r="H520" s="343"/>
      <c r="I520" s="343"/>
      <c r="J520" s="343"/>
      <c r="K520" s="343"/>
      <c r="L520" s="343"/>
    </row>
    <row r="521" spans="2:12" x14ac:dyDescent="0.2">
      <c r="B521" s="144"/>
      <c r="D521" s="341"/>
      <c r="F521" s="343"/>
      <c r="G521" s="343"/>
      <c r="H521" s="343"/>
      <c r="I521" s="343"/>
      <c r="J521" s="343"/>
      <c r="K521" s="343"/>
      <c r="L521" s="343"/>
    </row>
    <row r="522" spans="2:12" x14ac:dyDescent="0.2">
      <c r="B522" s="144"/>
      <c r="D522" s="341"/>
      <c r="F522" s="343"/>
      <c r="G522" s="343"/>
      <c r="H522" s="343"/>
      <c r="I522" s="343"/>
      <c r="J522" s="343"/>
      <c r="K522" s="343"/>
      <c r="L522" s="343"/>
    </row>
    <row r="523" spans="2:12" x14ac:dyDescent="0.2">
      <c r="B523" s="144"/>
      <c r="D523" s="341"/>
      <c r="F523" s="343"/>
      <c r="G523" s="343"/>
      <c r="H523" s="343"/>
      <c r="I523" s="343"/>
      <c r="J523" s="343"/>
      <c r="K523" s="343"/>
      <c r="L523" s="343"/>
    </row>
    <row r="524" spans="2:12" x14ac:dyDescent="0.2">
      <c r="B524" s="144"/>
      <c r="D524" s="341"/>
      <c r="F524" s="343"/>
      <c r="G524" s="343"/>
      <c r="H524" s="343"/>
      <c r="I524" s="343"/>
      <c r="J524" s="343"/>
      <c r="K524" s="343"/>
      <c r="L524" s="343"/>
    </row>
    <row r="525" spans="2:12" x14ac:dyDescent="0.2">
      <c r="B525" s="144"/>
      <c r="D525" s="341"/>
      <c r="F525" s="343"/>
      <c r="G525" s="343"/>
      <c r="H525" s="343"/>
      <c r="I525" s="343"/>
      <c r="J525" s="343"/>
      <c r="K525" s="343"/>
      <c r="L525" s="343"/>
    </row>
    <row r="526" spans="2:12" x14ac:dyDescent="0.2">
      <c r="B526" s="144"/>
      <c r="D526" s="341"/>
      <c r="F526" s="343"/>
      <c r="G526" s="343"/>
      <c r="H526" s="343"/>
      <c r="I526" s="343"/>
      <c r="J526" s="343"/>
      <c r="K526" s="343"/>
      <c r="L526" s="343"/>
    </row>
    <row r="527" spans="2:12" x14ac:dyDescent="0.2">
      <c r="B527" s="144"/>
      <c r="D527" s="341"/>
      <c r="F527" s="343"/>
      <c r="G527" s="343"/>
      <c r="H527" s="343"/>
      <c r="I527" s="343"/>
      <c r="J527" s="343"/>
      <c r="K527" s="343"/>
      <c r="L527" s="343"/>
    </row>
    <row r="528" spans="2:12" x14ac:dyDescent="0.2">
      <c r="B528" s="144"/>
      <c r="D528" s="341"/>
      <c r="F528" s="343"/>
      <c r="G528" s="343"/>
      <c r="H528" s="343"/>
      <c r="I528" s="343"/>
      <c r="J528" s="343"/>
      <c r="K528" s="343"/>
      <c r="L528" s="343"/>
    </row>
    <row r="529" spans="2:12" x14ac:dyDescent="0.2">
      <c r="B529" s="144"/>
      <c r="D529" s="341"/>
      <c r="F529" s="343"/>
      <c r="G529" s="343"/>
      <c r="H529" s="343"/>
      <c r="I529" s="343"/>
      <c r="J529" s="343"/>
      <c r="K529" s="343"/>
      <c r="L529" s="343"/>
    </row>
    <row r="530" spans="2:12" x14ac:dyDescent="0.2">
      <c r="B530" s="144"/>
      <c r="D530" s="341"/>
      <c r="F530" s="343"/>
      <c r="G530" s="343"/>
      <c r="H530" s="343"/>
      <c r="I530" s="343"/>
      <c r="J530" s="343"/>
      <c r="K530" s="343"/>
      <c r="L530" s="343"/>
    </row>
    <row r="531" spans="2:12" x14ac:dyDescent="0.2">
      <c r="B531" s="144"/>
      <c r="D531" s="341"/>
      <c r="F531" s="343"/>
      <c r="G531" s="343"/>
      <c r="H531" s="343"/>
      <c r="I531" s="343"/>
      <c r="J531" s="343"/>
      <c r="K531" s="343"/>
      <c r="L531" s="343"/>
    </row>
    <row r="532" spans="2:12" x14ac:dyDescent="0.2">
      <c r="B532" s="144"/>
      <c r="D532" s="341"/>
      <c r="F532" s="343"/>
      <c r="G532" s="343"/>
      <c r="H532" s="343"/>
      <c r="I532" s="343"/>
      <c r="J532" s="343"/>
      <c r="K532" s="343"/>
      <c r="L532" s="343"/>
    </row>
    <row r="533" spans="2:12" x14ac:dyDescent="0.2">
      <c r="B533" s="144"/>
      <c r="D533" s="341"/>
      <c r="F533" s="343"/>
      <c r="G533" s="343"/>
      <c r="H533" s="343"/>
      <c r="I533" s="343"/>
      <c r="J533" s="343"/>
      <c r="K533" s="343"/>
      <c r="L533" s="343"/>
    </row>
    <row r="534" spans="2:12" x14ac:dyDescent="0.2">
      <c r="B534" s="144"/>
      <c r="D534" s="341"/>
      <c r="F534" s="343"/>
      <c r="G534" s="343"/>
      <c r="H534" s="343"/>
      <c r="I534" s="343"/>
      <c r="J534" s="343"/>
      <c r="K534" s="343"/>
      <c r="L534" s="343"/>
    </row>
    <row r="535" spans="2:12" x14ac:dyDescent="0.2">
      <c r="B535" s="144"/>
      <c r="D535" s="341"/>
      <c r="F535" s="343"/>
      <c r="G535" s="343"/>
      <c r="H535" s="343"/>
      <c r="I535" s="343"/>
      <c r="J535" s="343"/>
      <c r="K535" s="343"/>
      <c r="L535" s="343"/>
    </row>
    <row r="536" spans="2:12" x14ac:dyDescent="0.2">
      <c r="B536" s="144"/>
      <c r="D536" s="341"/>
      <c r="F536" s="343"/>
      <c r="G536" s="343"/>
      <c r="H536" s="343"/>
      <c r="I536" s="343"/>
      <c r="J536" s="343"/>
      <c r="K536" s="343"/>
      <c r="L536" s="343"/>
    </row>
    <row r="537" spans="2:12" x14ac:dyDescent="0.2">
      <c r="B537" s="144"/>
      <c r="D537" s="341"/>
      <c r="F537" s="343"/>
      <c r="G537" s="343"/>
      <c r="H537" s="343"/>
      <c r="I537" s="343"/>
      <c r="J537" s="343"/>
      <c r="K537" s="343"/>
      <c r="L537" s="343"/>
    </row>
    <row r="538" spans="2:12" x14ac:dyDescent="0.2">
      <c r="B538" s="144"/>
      <c r="D538" s="341"/>
      <c r="F538" s="343"/>
      <c r="G538" s="343"/>
      <c r="H538" s="343"/>
      <c r="I538" s="343"/>
      <c r="J538" s="343"/>
      <c r="K538" s="343"/>
      <c r="L538" s="343"/>
    </row>
    <row r="539" spans="2:12" x14ac:dyDescent="0.2">
      <c r="B539" s="144"/>
      <c r="D539" s="341"/>
      <c r="F539" s="343"/>
      <c r="G539" s="343"/>
      <c r="H539" s="343"/>
      <c r="I539" s="343"/>
      <c r="J539" s="343"/>
      <c r="K539" s="343"/>
      <c r="L539" s="343"/>
    </row>
    <row r="540" spans="2:12" x14ac:dyDescent="0.2">
      <c r="B540" s="144"/>
      <c r="D540" s="341"/>
      <c r="F540" s="343"/>
      <c r="G540" s="343"/>
      <c r="H540" s="343"/>
      <c r="I540" s="343"/>
      <c r="J540" s="343"/>
      <c r="K540" s="343"/>
      <c r="L540" s="343"/>
    </row>
    <row r="541" spans="2:12" x14ac:dyDescent="0.2">
      <c r="B541" s="144"/>
      <c r="D541" s="341"/>
      <c r="F541" s="343"/>
      <c r="G541" s="343"/>
      <c r="H541" s="343"/>
      <c r="I541" s="343"/>
      <c r="J541" s="343"/>
      <c r="K541" s="343"/>
      <c r="L541" s="343"/>
    </row>
    <row r="542" spans="2:12" x14ac:dyDescent="0.2">
      <c r="B542" s="144"/>
      <c r="D542" s="341"/>
      <c r="F542" s="343"/>
      <c r="G542" s="343"/>
      <c r="H542" s="343"/>
      <c r="I542" s="343"/>
      <c r="J542" s="343"/>
      <c r="K542" s="343"/>
      <c r="L542" s="343"/>
    </row>
    <row r="543" spans="2:12" x14ac:dyDescent="0.2">
      <c r="B543" s="144"/>
      <c r="D543" s="341"/>
      <c r="F543" s="343"/>
      <c r="G543" s="343"/>
      <c r="H543" s="343"/>
      <c r="I543" s="343"/>
      <c r="J543" s="343"/>
      <c r="K543" s="343"/>
      <c r="L543" s="343"/>
    </row>
    <row r="544" spans="2:12" x14ac:dyDescent="0.2">
      <c r="B544" s="144"/>
      <c r="D544" s="341"/>
      <c r="F544" s="343"/>
      <c r="G544" s="343"/>
      <c r="H544" s="343"/>
      <c r="I544" s="343"/>
      <c r="J544" s="343"/>
      <c r="K544" s="343"/>
      <c r="L544" s="343"/>
    </row>
    <row r="545" spans="2:12" x14ac:dyDescent="0.2">
      <c r="B545" s="144"/>
      <c r="D545" s="341"/>
      <c r="F545" s="343"/>
      <c r="G545" s="343"/>
      <c r="H545" s="343"/>
      <c r="I545" s="343"/>
      <c r="J545" s="343"/>
      <c r="K545" s="343"/>
      <c r="L545" s="343"/>
    </row>
    <row r="546" spans="2:12" x14ac:dyDescent="0.2">
      <c r="B546" s="144"/>
      <c r="D546" s="341"/>
      <c r="F546" s="343"/>
      <c r="G546" s="343"/>
      <c r="H546" s="343"/>
      <c r="I546" s="343"/>
      <c r="J546" s="343"/>
      <c r="K546" s="343"/>
      <c r="L546" s="343"/>
    </row>
    <row r="547" spans="2:12" x14ac:dyDescent="0.2">
      <c r="B547" s="144"/>
      <c r="D547" s="341"/>
      <c r="F547" s="343"/>
      <c r="G547" s="343"/>
      <c r="H547" s="343"/>
      <c r="I547" s="343"/>
      <c r="J547" s="343"/>
      <c r="K547" s="343"/>
      <c r="L547" s="343"/>
    </row>
    <row r="548" spans="2:12" x14ac:dyDescent="0.2">
      <c r="B548" s="144"/>
      <c r="D548" s="341"/>
      <c r="F548" s="343"/>
      <c r="G548" s="343"/>
      <c r="H548" s="343"/>
      <c r="I548" s="343"/>
      <c r="J548" s="343"/>
      <c r="K548" s="343"/>
      <c r="L548" s="343"/>
    </row>
    <row r="549" spans="2:12" x14ac:dyDescent="0.2">
      <c r="B549" s="144"/>
      <c r="D549" s="341"/>
      <c r="F549" s="343"/>
      <c r="G549" s="343"/>
      <c r="H549" s="343"/>
      <c r="I549" s="343"/>
      <c r="J549" s="343"/>
      <c r="K549" s="343"/>
      <c r="L549" s="343"/>
    </row>
    <row r="550" spans="2:12" x14ac:dyDescent="0.2">
      <c r="B550" s="144"/>
      <c r="D550" s="341"/>
      <c r="F550" s="343"/>
      <c r="G550" s="343"/>
      <c r="H550" s="343"/>
      <c r="I550" s="343"/>
      <c r="J550" s="343"/>
      <c r="K550" s="343"/>
      <c r="L550" s="343"/>
    </row>
    <row r="551" spans="2:12" x14ac:dyDescent="0.2">
      <c r="B551" s="144"/>
      <c r="D551" s="341"/>
      <c r="F551" s="343"/>
      <c r="G551" s="343"/>
      <c r="H551" s="343"/>
      <c r="I551" s="343"/>
      <c r="J551" s="343"/>
      <c r="K551" s="343"/>
      <c r="L551" s="343"/>
    </row>
    <row r="552" spans="2:12" x14ac:dyDescent="0.2">
      <c r="B552" s="144"/>
      <c r="D552" s="341"/>
      <c r="F552" s="343"/>
      <c r="G552" s="343"/>
      <c r="H552" s="343"/>
      <c r="I552" s="343"/>
      <c r="J552" s="343"/>
      <c r="K552" s="343"/>
      <c r="L552" s="343"/>
    </row>
    <row r="553" spans="2:12" x14ac:dyDescent="0.2">
      <c r="B553" s="144"/>
      <c r="D553" s="341"/>
      <c r="F553" s="343"/>
      <c r="G553" s="343"/>
      <c r="H553" s="343"/>
      <c r="I553" s="343"/>
      <c r="J553" s="343"/>
      <c r="K553" s="343"/>
      <c r="L553" s="343"/>
    </row>
    <row r="554" spans="2:12" x14ac:dyDescent="0.2">
      <c r="B554" s="144"/>
      <c r="D554" s="341"/>
      <c r="F554" s="343"/>
      <c r="G554" s="343"/>
      <c r="H554" s="343"/>
      <c r="I554" s="343"/>
      <c r="J554" s="343"/>
      <c r="K554" s="343"/>
      <c r="L554" s="343"/>
    </row>
    <row r="555" spans="2:12" x14ac:dyDescent="0.2">
      <c r="B555" s="144"/>
      <c r="D555" s="341"/>
      <c r="F555" s="343"/>
      <c r="G555" s="343"/>
      <c r="H555" s="343"/>
      <c r="I555" s="343"/>
      <c r="J555" s="343"/>
      <c r="K555" s="343"/>
      <c r="L555" s="343"/>
    </row>
    <row r="556" spans="2:12" x14ac:dyDescent="0.2">
      <c r="B556" s="144"/>
      <c r="D556" s="341"/>
      <c r="F556" s="343"/>
      <c r="G556" s="343"/>
      <c r="H556" s="343"/>
      <c r="I556" s="343"/>
      <c r="J556" s="343"/>
      <c r="K556" s="343"/>
      <c r="L556" s="343"/>
    </row>
    <row r="557" spans="2:12" x14ac:dyDescent="0.2">
      <c r="B557" s="144"/>
      <c r="D557" s="341"/>
      <c r="F557" s="343"/>
      <c r="G557" s="343"/>
      <c r="H557" s="343"/>
      <c r="I557" s="343"/>
      <c r="J557" s="343"/>
      <c r="K557" s="343"/>
      <c r="L557" s="343"/>
    </row>
    <row r="558" spans="2:12" x14ac:dyDescent="0.2">
      <c r="B558" s="144"/>
      <c r="D558" s="341"/>
      <c r="F558" s="343"/>
      <c r="G558" s="343"/>
      <c r="H558" s="343"/>
      <c r="I558" s="343"/>
      <c r="J558" s="343"/>
      <c r="K558" s="343"/>
      <c r="L558" s="343"/>
    </row>
    <row r="559" spans="2:12" x14ac:dyDescent="0.2">
      <c r="B559" s="144"/>
      <c r="D559" s="341"/>
      <c r="F559" s="343"/>
      <c r="G559" s="343"/>
      <c r="H559" s="343"/>
      <c r="I559" s="343"/>
      <c r="J559" s="343"/>
      <c r="K559" s="343"/>
      <c r="L559" s="343"/>
    </row>
    <row r="560" spans="2:12" x14ac:dyDescent="0.2">
      <c r="B560" s="144"/>
      <c r="D560" s="341"/>
      <c r="F560" s="343"/>
      <c r="G560" s="343"/>
      <c r="H560" s="343"/>
      <c r="I560" s="343"/>
      <c r="J560" s="343"/>
      <c r="K560" s="343"/>
      <c r="L560" s="343"/>
    </row>
    <row r="561" spans="2:12" x14ac:dyDescent="0.2">
      <c r="B561" s="144"/>
      <c r="D561" s="341"/>
      <c r="F561" s="343"/>
      <c r="G561" s="343"/>
      <c r="H561" s="343"/>
      <c r="I561" s="343"/>
      <c r="J561" s="343"/>
      <c r="K561" s="343"/>
      <c r="L561" s="343"/>
    </row>
    <row r="562" spans="2:12" x14ac:dyDescent="0.2">
      <c r="B562" s="144"/>
      <c r="D562" s="341"/>
      <c r="F562" s="343"/>
      <c r="G562" s="343"/>
      <c r="H562" s="343"/>
      <c r="I562" s="343"/>
      <c r="J562" s="343"/>
      <c r="K562" s="343"/>
      <c r="L562" s="343"/>
    </row>
    <row r="563" spans="2:12" x14ac:dyDescent="0.2">
      <c r="B563" s="144"/>
      <c r="D563" s="341"/>
      <c r="F563" s="343"/>
      <c r="G563" s="343"/>
      <c r="H563" s="343"/>
      <c r="I563" s="343"/>
      <c r="J563" s="343"/>
      <c r="K563" s="343"/>
      <c r="L563" s="343"/>
    </row>
    <row r="564" spans="2:12" x14ac:dyDescent="0.2">
      <c r="B564" s="144"/>
      <c r="D564" s="341"/>
      <c r="F564" s="343"/>
      <c r="G564" s="343"/>
      <c r="H564" s="343"/>
      <c r="I564" s="343"/>
      <c r="J564" s="343"/>
      <c r="K564" s="343"/>
      <c r="L564" s="343"/>
    </row>
    <row r="565" spans="2:12" x14ac:dyDescent="0.2">
      <c r="B565" s="144"/>
      <c r="D565" s="341"/>
      <c r="F565" s="343"/>
      <c r="G565" s="343"/>
      <c r="H565" s="343"/>
      <c r="I565" s="343"/>
      <c r="J565" s="343"/>
      <c r="K565" s="343"/>
      <c r="L565" s="343"/>
    </row>
    <row r="566" spans="2:12" x14ac:dyDescent="0.2">
      <c r="B566" s="144"/>
      <c r="D566" s="341"/>
      <c r="F566" s="343"/>
      <c r="G566" s="343"/>
      <c r="H566" s="343"/>
      <c r="I566" s="343"/>
      <c r="J566" s="343"/>
      <c r="K566" s="343"/>
      <c r="L566" s="343"/>
    </row>
    <row r="567" spans="2:12" x14ac:dyDescent="0.2">
      <c r="B567" s="144"/>
      <c r="D567" s="341"/>
      <c r="F567" s="343"/>
      <c r="G567" s="343"/>
      <c r="H567" s="343"/>
      <c r="I567" s="343"/>
      <c r="J567" s="343"/>
      <c r="K567" s="343"/>
      <c r="L567" s="343"/>
    </row>
    <row r="568" spans="2:12" x14ac:dyDescent="0.2">
      <c r="B568" s="144"/>
      <c r="D568" s="341"/>
      <c r="F568" s="343"/>
      <c r="G568" s="343"/>
      <c r="H568" s="343"/>
      <c r="I568" s="343"/>
      <c r="J568" s="343"/>
      <c r="K568" s="343"/>
      <c r="L568" s="343"/>
    </row>
    <row r="569" spans="2:12" x14ac:dyDescent="0.2">
      <c r="B569" s="144"/>
      <c r="D569" s="341"/>
      <c r="F569" s="343"/>
      <c r="G569" s="343"/>
      <c r="H569" s="343"/>
      <c r="I569" s="343"/>
      <c r="J569" s="343"/>
      <c r="K569" s="343"/>
      <c r="L569" s="343"/>
    </row>
    <row r="570" spans="2:12" x14ac:dyDescent="0.2">
      <c r="B570" s="144"/>
      <c r="D570" s="341"/>
      <c r="F570" s="343"/>
      <c r="G570" s="343"/>
      <c r="H570" s="343"/>
      <c r="I570" s="343"/>
      <c r="J570" s="343"/>
      <c r="K570" s="343"/>
      <c r="L570" s="343"/>
    </row>
    <row r="571" spans="2:12" x14ac:dyDescent="0.2">
      <c r="B571" s="144"/>
      <c r="D571" s="341"/>
      <c r="F571" s="343"/>
      <c r="G571" s="343"/>
      <c r="H571" s="343"/>
      <c r="I571" s="343"/>
      <c r="J571" s="343"/>
      <c r="K571" s="343"/>
      <c r="L571" s="343"/>
    </row>
    <row r="572" spans="2:12" x14ac:dyDescent="0.2">
      <c r="B572" s="144"/>
      <c r="D572" s="341"/>
      <c r="F572" s="343"/>
      <c r="G572" s="343"/>
      <c r="H572" s="343"/>
      <c r="I572" s="343"/>
      <c r="J572" s="343"/>
      <c r="K572" s="343"/>
      <c r="L572" s="343"/>
    </row>
    <row r="573" spans="2:12" x14ac:dyDescent="0.2">
      <c r="B573" s="144"/>
      <c r="D573" s="341"/>
      <c r="F573" s="343"/>
      <c r="G573" s="343"/>
      <c r="H573" s="343"/>
      <c r="I573" s="343"/>
      <c r="J573" s="343"/>
      <c r="K573" s="343"/>
      <c r="L573" s="343"/>
    </row>
    <row r="574" spans="2:12" x14ac:dyDescent="0.2">
      <c r="B574" s="144"/>
      <c r="D574" s="341"/>
      <c r="F574" s="343"/>
      <c r="G574" s="343"/>
      <c r="H574" s="343"/>
      <c r="I574" s="343"/>
      <c r="J574" s="343"/>
      <c r="K574" s="343"/>
      <c r="L574" s="343"/>
    </row>
    <row r="575" spans="2:12" x14ac:dyDescent="0.2">
      <c r="B575" s="144"/>
      <c r="D575" s="341"/>
      <c r="F575" s="343"/>
      <c r="G575" s="343"/>
      <c r="H575" s="343"/>
      <c r="I575" s="343"/>
      <c r="J575" s="343"/>
      <c r="K575" s="343"/>
      <c r="L575" s="343"/>
    </row>
    <row r="576" spans="2:12" x14ac:dyDescent="0.2">
      <c r="B576" s="144"/>
      <c r="D576" s="341"/>
      <c r="F576" s="343"/>
      <c r="G576" s="343"/>
      <c r="H576" s="343"/>
      <c r="I576" s="343"/>
      <c r="J576" s="343"/>
      <c r="K576" s="343"/>
      <c r="L576" s="343"/>
    </row>
    <row r="577" spans="2:12" x14ac:dyDescent="0.2">
      <c r="B577" s="144"/>
      <c r="D577" s="341"/>
      <c r="F577" s="343"/>
      <c r="G577" s="343"/>
      <c r="H577" s="343"/>
      <c r="I577" s="343"/>
      <c r="J577" s="343"/>
      <c r="K577" s="343"/>
      <c r="L577" s="343"/>
    </row>
    <row r="578" spans="2:12" x14ac:dyDescent="0.2">
      <c r="B578" s="144"/>
      <c r="D578" s="341"/>
      <c r="F578" s="343"/>
      <c r="G578" s="343"/>
      <c r="H578" s="343"/>
      <c r="I578" s="343"/>
      <c r="J578" s="343"/>
      <c r="K578" s="343"/>
      <c r="L578" s="343"/>
    </row>
    <row r="579" spans="2:12" x14ac:dyDescent="0.2">
      <c r="B579" s="144"/>
      <c r="D579" s="341"/>
      <c r="F579" s="343"/>
      <c r="G579" s="343"/>
      <c r="H579" s="343"/>
      <c r="I579" s="343"/>
      <c r="J579" s="343"/>
      <c r="K579" s="343"/>
      <c r="L579" s="343"/>
    </row>
    <row r="580" spans="2:12" x14ac:dyDescent="0.2">
      <c r="B580" s="144"/>
      <c r="D580" s="341"/>
      <c r="F580" s="343"/>
      <c r="G580" s="343"/>
      <c r="H580" s="343"/>
      <c r="I580" s="343"/>
      <c r="J580" s="343"/>
      <c r="K580" s="343"/>
      <c r="L580" s="343"/>
    </row>
    <row r="581" spans="2:12" x14ac:dyDescent="0.2">
      <c r="B581" s="144"/>
      <c r="D581" s="341"/>
      <c r="F581" s="343"/>
      <c r="G581" s="343"/>
      <c r="H581" s="343"/>
      <c r="I581" s="343"/>
      <c r="J581" s="343"/>
      <c r="K581" s="343"/>
      <c r="L581" s="343"/>
    </row>
    <row r="582" spans="2:12" x14ac:dyDescent="0.2">
      <c r="B582" s="144"/>
      <c r="D582" s="341"/>
      <c r="F582" s="343"/>
      <c r="G582" s="343"/>
      <c r="H582" s="343"/>
      <c r="I582" s="343"/>
      <c r="J582" s="343"/>
      <c r="K582" s="343"/>
      <c r="L582" s="343"/>
    </row>
    <row r="583" spans="2:12" x14ac:dyDescent="0.2">
      <c r="B583" s="144"/>
      <c r="D583" s="341"/>
      <c r="F583" s="343"/>
      <c r="G583" s="343"/>
      <c r="H583" s="343"/>
      <c r="I583" s="343"/>
      <c r="J583" s="343"/>
      <c r="K583" s="343"/>
      <c r="L583" s="343"/>
    </row>
    <row r="584" spans="2:12" x14ac:dyDescent="0.2">
      <c r="B584" s="144"/>
      <c r="D584" s="341"/>
      <c r="F584" s="343"/>
      <c r="G584" s="343"/>
      <c r="H584" s="343"/>
      <c r="I584" s="343"/>
      <c r="J584" s="343"/>
      <c r="K584" s="343"/>
      <c r="L584" s="343"/>
    </row>
    <row r="585" spans="2:12" x14ac:dyDescent="0.2">
      <c r="B585" s="144"/>
      <c r="D585" s="341"/>
      <c r="F585" s="343"/>
      <c r="G585" s="343"/>
      <c r="H585" s="343"/>
      <c r="I585" s="343"/>
      <c r="J585" s="343"/>
      <c r="K585" s="343"/>
      <c r="L585" s="343"/>
    </row>
    <row r="586" spans="2:12" x14ac:dyDescent="0.2">
      <c r="B586" s="144"/>
      <c r="D586" s="341"/>
      <c r="F586" s="343"/>
      <c r="G586" s="343"/>
      <c r="H586" s="343"/>
      <c r="I586" s="343"/>
      <c r="J586" s="343"/>
      <c r="K586" s="343"/>
      <c r="L586" s="343"/>
    </row>
    <row r="587" spans="2:12" x14ac:dyDescent="0.2">
      <c r="B587" s="144"/>
      <c r="D587" s="341"/>
      <c r="F587" s="343"/>
      <c r="G587" s="343"/>
      <c r="H587" s="343"/>
      <c r="I587" s="343"/>
      <c r="J587" s="343"/>
      <c r="K587" s="343"/>
      <c r="L587" s="343"/>
    </row>
    <row r="588" spans="2:12" x14ac:dyDescent="0.2">
      <c r="B588" s="144"/>
      <c r="D588" s="341"/>
      <c r="F588" s="343"/>
      <c r="G588" s="343"/>
      <c r="H588" s="343"/>
      <c r="I588" s="343"/>
      <c r="J588" s="343"/>
      <c r="K588" s="343"/>
      <c r="L588" s="343"/>
    </row>
    <row r="589" spans="2:12" x14ac:dyDescent="0.2">
      <c r="B589" s="144"/>
      <c r="D589" s="341"/>
      <c r="F589" s="343"/>
      <c r="G589" s="343"/>
      <c r="H589" s="343"/>
      <c r="I589" s="343"/>
      <c r="J589" s="343"/>
      <c r="K589" s="343"/>
      <c r="L589" s="343"/>
    </row>
    <row r="590" spans="2:12" x14ac:dyDescent="0.2">
      <c r="B590" s="144"/>
      <c r="D590" s="341"/>
      <c r="F590" s="343"/>
      <c r="G590" s="343"/>
      <c r="H590" s="343"/>
      <c r="I590" s="343"/>
      <c r="J590" s="343"/>
      <c r="K590" s="343"/>
      <c r="L590" s="343"/>
    </row>
    <row r="591" spans="2:12" x14ac:dyDescent="0.2">
      <c r="B591" s="144"/>
      <c r="D591" s="341"/>
      <c r="F591" s="343"/>
      <c r="G591" s="343"/>
      <c r="H591" s="343"/>
      <c r="I591" s="343"/>
      <c r="J591" s="343"/>
      <c r="K591" s="343"/>
      <c r="L591" s="343"/>
    </row>
    <row r="592" spans="2:12" x14ac:dyDescent="0.2">
      <c r="B592" s="144"/>
      <c r="D592" s="341"/>
      <c r="F592" s="343"/>
      <c r="G592" s="343"/>
      <c r="H592" s="343"/>
      <c r="I592" s="343"/>
      <c r="J592" s="343"/>
      <c r="K592" s="343"/>
      <c r="L592" s="343"/>
    </row>
    <row r="593" spans="2:12" x14ac:dyDescent="0.2">
      <c r="B593" s="144"/>
      <c r="D593" s="341"/>
      <c r="F593" s="343"/>
      <c r="G593" s="343"/>
      <c r="H593" s="343"/>
      <c r="I593" s="343"/>
      <c r="J593" s="343"/>
      <c r="K593" s="343"/>
      <c r="L593" s="343"/>
    </row>
    <row r="594" spans="2:12" x14ac:dyDescent="0.2">
      <c r="B594" s="144"/>
      <c r="D594" s="341"/>
      <c r="F594" s="343"/>
      <c r="G594" s="343"/>
      <c r="H594" s="343"/>
      <c r="I594" s="343"/>
      <c r="J594" s="343"/>
      <c r="K594" s="343"/>
      <c r="L594" s="343"/>
    </row>
    <row r="595" spans="2:12" x14ac:dyDescent="0.2">
      <c r="B595" s="144"/>
      <c r="D595" s="341"/>
      <c r="F595" s="343"/>
      <c r="G595" s="343"/>
      <c r="H595" s="343"/>
      <c r="I595" s="343"/>
      <c r="J595" s="343"/>
      <c r="K595" s="343"/>
      <c r="L595" s="343"/>
    </row>
    <row r="596" spans="2:12" x14ac:dyDescent="0.2">
      <c r="B596" s="144"/>
      <c r="D596" s="341"/>
      <c r="F596" s="343"/>
      <c r="G596" s="343"/>
      <c r="H596" s="343"/>
      <c r="I596" s="343"/>
      <c r="J596" s="343"/>
      <c r="K596" s="343"/>
      <c r="L596" s="343"/>
    </row>
    <row r="597" spans="2:12" x14ac:dyDescent="0.2">
      <c r="B597" s="144"/>
      <c r="D597" s="341"/>
      <c r="F597" s="343"/>
      <c r="G597" s="343"/>
      <c r="H597" s="343"/>
      <c r="I597" s="343"/>
      <c r="J597" s="343"/>
      <c r="K597" s="343"/>
      <c r="L597" s="343"/>
    </row>
    <row r="598" spans="2:12" x14ac:dyDescent="0.2">
      <c r="B598" s="144"/>
      <c r="D598" s="341"/>
      <c r="F598" s="343"/>
      <c r="G598" s="343"/>
      <c r="H598" s="343"/>
      <c r="I598" s="343"/>
      <c r="J598" s="343"/>
      <c r="K598" s="343"/>
      <c r="L598" s="343"/>
    </row>
    <row r="599" spans="2:12" x14ac:dyDescent="0.2">
      <c r="B599" s="144"/>
      <c r="D599" s="341"/>
      <c r="F599" s="343"/>
      <c r="G599" s="343"/>
      <c r="H599" s="343"/>
      <c r="I599" s="343"/>
      <c r="J599" s="343"/>
      <c r="K599" s="343"/>
      <c r="L599" s="343"/>
    </row>
    <row r="600" spans="2:12" x14ac:dyDescent="0.2">
      <c r="B600" s="144"/>
      <c r="D600" s="341"/>
      <c r="F600" s="343"/>
      <c r="G600" s="343"/>
      <c r="H600" s="343"/>
      <c r="I600" s="343"/>
      <c r="J600" s="343"/>
      <c r="K600" s="343"/>
      <c r="L600" s="343"/>
    </row>
    <row r="601" spans="2:12" x14ac:dyDescent="0.2">
      <c r="B601" s="144"/>
      <c r="D601" s="341"/>
      <c r="F601" s="343"/>
      <c r="G601" s="343"/>
      <c r="H601" s="343"/>
      <c r="I601" s="343"/>
      <c r="J601" s="343"/>
      <c r="K601" s="343"/>
      <c r="L601" s="343"/>
    </row>
    <row r="602" spans="2:12" x14ac:dyDescent="0.2">
      <c r="B602" s="144"/>
      <c r="D602" s="341"/>
      <c r="F602" s="343"/>
      <c r="G602" s="343"/>
      <c r="H602" s="343"/>
      <c r="I602" s="343"/>
      <c r="J602" s="343"/>
      <c r="K602" s="343"/>
      <c r="L602" s="343"/>
    </row>
    <row r="603" spans="2:12" x14ac:dyDescent="0.2">
      <c r="B603" s="144"/>
      <c r="D603" s="341"/>
      <c r="F603" s="343"/>
      <c r="G603" s="343"/>
      <c r="H603" s="343"/>
      <c r="I603" s="343"/>
      <c r="J603" s="343"/>
      <c r="K603" s="343"/>
      <c r="L603" s="343"/>
    </row>
    <row r="604" spans="2:12" x14ac:dyDescent="0.2">
      <c r="B604" s="144"/>
      <c r="D604" s="341"/>
      <c r="F604" s="343"/>
      <c r="G604" s="343"/>
      <c r="H604" s="343"/>
      <c r="I604" s="343"/>
      <c r="J604" s="343"/>
      <c r="K604" s="343"/>
      <c r="L604" s="343"/>
    </row>
    <row r="605" spans="2:12" x14ac:dyDescent="0.2">
      <c r="B605" s="144"/>
      <c r="D605" s="341"/>
      <c r="F605" s="343"/>
      <c r="G605" s="343"/>
      <c r="H605" s="343"/>
      <c r="I605" s="343"/>
      <c r="J605" s="343"/>
      <c r="K605" s="343"/>
      <c r="L605" s="343"/>
    </row>
    <row r="606" spans="2:12" x14ac:dyDescent="0.2">
      <c r="B606" s="144"/>
      <c r="D606" s="341"/>
      <c r="F606" s="343"/>
      <c r="G606" s="343"/>
      <c r="H606" s="343"/>
      <c r="I606" s="343"/>
      <c r="J606" s="343"/>
      <c r="K606" s="343"/>
      <c r="L606" s="343"/>
    </row>
    <row r="607" spans="2:12" x14ac:dyDescent="0.2">
      <c r="B607" s="144"/>
      <c r="D607" s="341"/>
      <c r="F607" s="343"/>
      <c r="G607" s="343"/>
      <c r="H607" s="343"/>
      <c r="I607" s="343"/>
      <c r="J607" s="343"/>
      <c r="K607" s="343"/>
      <c r="L607" s="343"/>
    </row>
    <row r="608" spans="2:12" x14ac:dyDescent="0.2">
      <c r="B608" s="144"/>
      <c r="D608" s="341"/>
      <c r="F608" s="343"/>
      <c r="G608" s="343"/>
      <c r="H608" s="343"/>
      <c r="I608" s="343"/>
      <c r="J608" s="343"/>
      <c r="K608" s="343"/>
      <c r="L608" s="343"/>
    </row>
    <row r="609" spans="2:12" x14ac:dyDescent="0.2">
      <c r="B609" s="144"/>
      <c r="D609" s="341"/>
      <c r="F609" s="343"/>
      <c r="G609" s="343"/>
      <c r="H609" s="343"/>
      <c r="I609" s="343"/>
      <c r="J609" s="343"/>
      <c r="K609" s="343"/>
      <c r="L609" s="343"/>
    </row>
    <row r="610" spans="2:12" x14ac:dyDescent="0.2">
      <c r="B610" s="144"/>
      <c r="D610" s="341"/>
      <c r="F610" s="343"/>
      <c r="G610" s="343"/>
      <c r="H610" s="343"/>
      <c r="I610" s="343"/>
      <c r="J610" s="343"/>
      <c r="K610" s="343"/>
      <c r="L610" s="343"/>
    </row>
    <row r="611" spans="2:12" x14ac:dyDescent="0.2">
      <c r="B611" s="144"/>
      <c r="D611" s="341"/>
      <c r="F611" s="343"/>
      <c r="G611" s="343"/>
      <c r="H611" s="343"/>
      <c r="I611" s="343"/>
      <c r="J611" s="343"/>
      <c r="K611" s="343"/>
      <c r="L611" s="343"/>
    </row>
    <row r="612" spans="2:12" x14ac:dyDescent="0.2">
      <c r="B612" s="144"/>
      <c r="D612" s="341"/>
      <c r="F612" s="343"/>
      <c r="G612" s="343"/>
      <c r="H612" s="343"/>
      <c r="I612" s="343"/>
      <c r="J612" s="343"/>
      <c r="K612" s="343"/>
      <c r="L612" s="343"/>
    </row>
    <row r="613" spans="2:12" x14ac:dyDescent="0.2">
      <c r="B613" s="144"/>
      <c r="D613" s="341"/>
      <c r="F613" s="343"/>
      <c r="G613" s="343"/>
      <c r="H613" s="343"/>
      <c r="I613" s="343"/>
      <c r="J613" s="343"/>
      <c r="K613" s="343"/>
      <c r="L613" s="343"/>
    </row>
    <row r="614" spans="2:12" x14ac:dyDescent="0.2">
      <c r="B614" s="144"/>
      <c r="D614" s="341"/>
      <c r="F614" s="343"/>
      <c r="G614" s="343"/>
      <c r="H614" s="343"/>
      <c r="I614" s="343"/>
      <c r="J614" s="343"/>
      <c r="K614" s="343"/>
      <c r="L614" s="343"/>
    </row>
    <row r="615" spans="2:12" x14ac:dyDescent="0.2">
      <c r="B615" s="144"/>
      <c r="D615" s="341"/>
      <c r="F615" s="343"/>
      <c r="G615" s="343"/>
      <c r="H615" s="343"/>
      <c r="I615" s="343"/>
      <c r="J615" s="343"/>
      <c r="K615" s="343"/>
      <c r="L615" s="343"/>
    </row>
    <row r="616" spans="2:12" x14ac:dyDescent="0.2">
      <c r="B616" s="144"/>
      <c r="D616" s="341"/>
      <c r="F616" s="343"/>
      <c r="G616" s="343"/>
      <c r="H616" s="343"/>
      <c r="I616" s="343"/>
      <c r="J616" s="343"/>
      <c r="K616" s="343"/>
      <c r="L616" s="343"/>
    </row>
    <row r="617" spans="2:12" x14ac:dyDescent="0.2">
      <c r="B617" s="144"/>
      <c r="D617" s="341"/>
      <c r="F617" s="343"/>
      <c r="G617" s="343"/>
      <c r="H617" s="343"/>
      <c r="I617" s="343"/>
      <c r="J617" s="343"/>
      <c r="K617" s="343"/>
      <c r="L617" s="343"/>
    </row>
    <row r="618" spans="2:12" x14ac:dyDescent="0.2">
      <c r="B618" s="144"/>
      <c r="D618" s="341"/>
      <c r="F618" s="343"/>
      <c r="G618" s="343"/>
      <c r="H618" s="343"/>
      <c r="I618" s="343"/>
      <c r="J618" s="343"/>
      <c r="K618" s="343"/>
      <c r="L618" s="343"/>
    </row>
    <row r="619" spans="2:12" x14ac:dyDescent="0.2">
      <c r="B619" s="144"/>
      <c r="D619" s="341"/>
      <c r="F619" s="343"/>
      <c r="G619" s="343"/>
      <c r="H619" s="343"/>
      <c r="I619" s="343"/>
      <c r="J619" s="343"/>
      <c r="K619" s="343"/>
      <c r="L619" s="343"/>
    </row>
    <row r="620" spans="2:12" x14ac:dyDescent="0.2">
      <c r="B620" s="144"/>
      <c r="D620" s="341"/>
      <c r="F620" s="343"/>
      <c r="G620" s="343"/>
      <c r="H620" s="343"/>
      <c r="I620" s="343"/>
      <c r="J620" s="343"/>
      <c r="K620" s="343"/>
      <c r="L620" s="343"/>
    </row>
    <row r="621" spans="2:12" x14ac:dyDescent="0.2">
      <c r="B621" s="144"/>
      <c r="D621" s="341"/>
      <c r="F621" s="343"/>
      <c r="G621" s="343"/>
      <c r="H621" s="343"/>
      <c r="I621" s="343"/>
      <c r="J621" s="343"/>
      <c r="K621" s="343"/>
      <c r="L621" s="343"/>
    </row>
    <row r="622" spans="2:12" x14ac:dyDescent="0.2">
      <c r="B622" s="144"/>
      <c r="D622" s="341"/>
      <c r="F622" s="343"/>
      <c r="G622" s="343"/>
      <c r="H622" s="343"/>
      <c r="I622" s="343"/>
      <c r="J622" s="343"/>
      <c r="K622" s="343"/>
      <c r="L622" s="343"/>
    </row>
    <row r="623" spans="2:12" x14ac:dyDescent="0.2">
      <c r="B623" s="144"/>
      <c r="D623" s="341"/>
      <c r="F623" s="343"/>
      <c r="G623" s="343"/>
      <c r="H623" s="343"/>
      <c r="I623" s="343"/>
      <c r="J623" s="343"/>
      <c r="K623" s="343"/>
      <c r="L623" s="343"/>
    </row>
    <row r="624" spans="2:12" x14ac:dyDescent="0.2">
      <c r="B624" s="144"/>
      <c r="D624" s="341"/>
      <c r="F624" s="343"/>
      <c r="G624" s="343"/>
      <c r="H624" s="343"/>
      <c r="I624" s="343"/>
      <c r="J624" s="343"/>
      <c r="K624" s="343"/>
      <c r="L624" s="343"/>
    </row>
    <row r="625" spans="2:12" x14ac:dyDescent="0.2">
      <c r="B625" s="144"/>
      <c r="D625" s="341"/>
      <c r="F625" s="343"/>
      <c r="G625" s="343"/>
      <c r="H625" s="343"/>
      <c r="I625" s="343"/>
      <c r="J625" s="343"/>
      <c r="K625" s="343"/>
      <c r="L625" s="343"/>
    </row>
    <row r="626" spans="2:12" x14ac:dyDescent="0.2">
      <c r="B626" s="144"/>
      <c r="D626" s="341"/>
      <c r="F626" s="343"/>
      <c r="G626" s="343"/>
      <c r="H626" s="343"/>
      <c r="I626" s="343"/>
      <c r="J626" s="343"/>
      <c r="K626" s="343"/>
      <c r="L626" s="343"/>
    </row>
    <row r="627" spans="2:12" x14ac:dyDescent="0.2">
      <c r="B627" s="144"/>
      <c r="D627" s="341"/>
      <c r="F627" s="343"/>
      <c r="G627" s="343"/>
      <c r="H627" s="343"/>
      <c r="I627" s="343"/>
      <c r="J627" s="343"/>
      <c r="K627" s="343"/>
      <c r="L627" s="343"/>
    </row>
    <row r="628" spans="2:12" x14ac:dyDescent="0.2">
      <c r="B628" s="144"/>
      <c r="D628" s="341"/>
      <c r="F628" s="343"/>
      <c r="G628" s="343"/>
      <c r="H628" s="343"/>
      <c r="I628" s="343"/>
      <c r="J628" s="343"/>
      <c r="K628" s="343"/>
      <c r="L628" s="343"/>
    </row>
    <row r="629" spans="2:12" x14ac:dyDescent="0.2">
      <c r="B629" s="144"/>
      <c r="D629" s="341"/>
      <c r="F629" s="343"/>
      <c r="G629" s="343"/>
      <c r="H629" s="343"/>
      <c r="I629" s="343"/>
      <c r="J629" s="343"/>
      <c r="K629" s="343"/>
      <c r="L629" s="343"/>
    </row>
    <row r="630" spans="2:12" x14ac:dyDescent="0.2">
      <c r="B630" s="144"/>
      <c r="D630" s="341"/>
      <c r="F630" s="343"/>
      <c r="G630" s="343"/>
      <c r="H630" s="343"/>
      <c r="I630" s="343"/>
      <c r="J630" s="343"/>
      <c r="K630" s="343"/>
      <c r="L630" s="343"/>
    </row>
    <row r="631" spans="2:12" x14ac:dyDescent="0.2">
      <c r="B631" s="144"/>
      <c r="D631" s="341"/>
      <c r="F631" s="343"/>
      <c r="G631" s="343"/>
      <c r="H631" s="343"/>
      <c r="I631" s="343"/>
      <c r="J631" s="343"/>
      <c r="K631" s="343"/>
      <c r="L631" s="343"/>
    </row>
    <row r="632" spans="2:12" x14ac:dyDescent="0.2">
      <c r="B632" s="144"/>
      <c r="D632" s="341"/>
      <c r="F632" s="343"/>
      <c r="G632" s="343"/>
      <c r="H632" s="343"/>
      <c r="I632" s="343"/>
      <c r="J632" s="343"/>
      <c r="K632" s="343"/>
      <c r="L632" s="343"/>
    </row>
    <row r="633" spans="2:12" x14ac:dyDescent="0.2">
      <c r="B633" s="144"/>
      <c r="D633" s="341"/>
      <c r="F633" s="343"/>
      <c r="G633" s="343"/>
      <c r="H633" s="343"/>
      <c r="I633" s="343"/>
      <c r="J633" s="343"/>
      <c r="K633" s="343"/>
      <c r="L633" s="343"/>
    </row>
    <row r="634" spans="2:12" x14ac:dyDescent="0.2">
      <c r="B634" s="144"/>
      <c r="D634" s="341"/>
      <c r="F634" s="343"/>
      <c r="G634" s="343"/>
      <c r="H634" s="343"/>
      <c r="I634" s="343"/>
      <c r="J634" s="343"/>
      <c r="K634" s="343"/>
      <c r="L634" s="343"/>
    </row>
    <row r="635" spans="2:12" x14ac:dyDescent="0.2">
      <c r="B635" s="144"/>
      <c r="D635" s="341"/>
      <c r="F635" s="343"/>
      <c r="G635" s="343"/>
      <c r="H635" s="343"/>
      <c r="I635" s="343"/>
      <c r="J635" s="343"/>
      <c r="K635" s="343"/>
      <c r="L635" s="343"/>
    </row>
    <row r="636" spans="2:12" x14ac:dyDescent="0.2">
      <c r="B636" s="144"/>
      <c r="D636" s="341"/>
      <c r="F636" s="343"/>
      <c r="G636" s="343"/>
      <c r="H636" s="343"/>
      <c r="I636" s="343"/>
      <c r="J636" s="343"/>
      <c r="K636" s="343"/>
      <c r="L636" s="343"/>
    </row>
    <row r="637" spans="2:12" x14ac:dyDescent="0.2">
      <c r="B637" s="144"/>
      <c r="D637" s="341"/>
      <c r="F637" s="343"/>
      <c r="G637" s="343"/>
      <c r="H637" s="343"/>
      <c r="I637" s="343"/>
      <c r="J637" s="343"/>
      <c r="K637" s="343"/>
      <c r="L637" s="343"/>
    </row>
    <row r="638" spans="2:12" x14ac:dyDescent="0.2">
      <c r="B638" s="144"/>
      <c r="D638" s="341"/>
      <c r="F638" s="343"/>
      <c r="G638" s="343"/>
      <c r="H638" s="343"/>
      <c r="I638" s="343"/>
      <c r="J638" s="343"/>
      <c r="K638" s="343"/>
      <c r="L638" s="343"/>
    </row>
    <row r="639" spans="2:12" x14ac:dyDescent="0.2">
      <c r="B639" s="144"/>
      <c r="D639" s="341"/>
      <c r="F639" s="343"/>
      <c r="G639" s="343"/>
      <c r="H639" s="343"/>
      <c r="I639" s="343"/>
      <c r="J639" s="343"/>
      <c r="K639" s="343"/>
      <c r="L639" s="343"/>
    </row>
    <row r="640" spans="2:12" x14ac:dyDescent="0.2">
      <c r="B640" s="144"/>
      <c r="D640" s="341"/>
      <c r="F640" s="343"/>
      <c r="G640" s="343"/>
      <c r="H640" s="343"/>
      <c r="I640" s="343"/>
      <c r="J640" s="343"/>
      <c r="K640" s="343"/>
      <c r="L640" s="343"/>
    </row>
    <row r="641" spans="2:12" x14ac:dyDescent="0.2">
      <c r="B641" s="144"/>
      <c r="D641" s="341"/>
      <c r="F641" s="343"/>
      <c r="G641" s="343"/>
      <c r="H641" s="343"/>
      <c r="I641" s="343"/>
      <c r="J641" s="343"/>
      <c r="K641" s="343"/>
      <c r="L641" s="343"/>
    </row>
    <row r="642" spans="2:12" x14ac:dyDescent="0.2">
      <c r="B642" s="144"/>
      <c r="D642" s="341"/>
      <c r="F642" s="343"/>
      <c r="G642" s="343"/>
      <c r="H642" s="343"/>
      <c r="I642" s="343"/>
      <c r="J642" s="343"/>
      <c r="K642" s="343"/>
      <c r="L642" s="343"/>
    </row>
    <row r="643" spans="2:12" x14ac:dyDescent="0.2">
      <c r="B643" s="144"/>
      <c r="D643" s="341"/>
      <c r="F643" s="343"/>
      <c r="G643" s="343"/>
      <c r="H643" s="343"/>
      <c r="I643" s="343"/>
      <c r="J643" s="343"/>
      <c r="K643" s="343"/>
      <c r="L643" s="343"/>
    </row>
    <row r="644" spans="2:12" x14ac:dyDescent="0.2">
      <c r="B644" s="144"/>
      <c r="D644" s="341"/>
      <c r="F644" s="343"/>
      <c r="G644" s="343"/>
      <c r="H644" s="343"/>
      <c r="I644" s="343"/>
      <c r="J644" s="343"/>
      <c r="K644" s="343"/>
      <c r="L644" s="343"/>
    </row>
    <row r="645" spans="2:12" x14ac:dyDescent="0.2">
      <c r="B645" s="144"/>
      <c r="D645" s="341"/>
      <c r="F645" s="343"/>
      <c r="G645" s="343"/>
      <c r="H645" s="343"/>
      <c r="I645" s="343"/>
      <c r="J645" s="343"/>
      <c r="K645" s="343"/>
      <c r="L645" s="343"/>
    </row>
    <row r="646" spans="2:12" x14ac:dyDescent="0.2">
      <c r="B646" s="144"/>
      <c r="D646" s="341"/>
      <c r="F646" s="343"/>
      <c r="G646" s="343"/>
      <c r="H646" s="343"/>
      <c r="I646" s="343"/>
      <c r="J646" s="343"/>
      <c r="K646" s="343"/>
      <c r="L646" s="343"/>
    </row>
    <row r="647" spans="2:12" x14ac:dyDescent="0.2">
      <c r="B647" s="144"/>
      <c r="D647" s="341"/>
      <c r="F647" s="343"/>
      <c r="G647" s="343"/>
      <c r="H647" s="343"/>
      <c r="I647" s="343"/>
      <c r="J647" s="343"/>
      <c r="K647" s="343"/>
      <c r="L647" s="343"/>
    </row>
    <row r="648" spans="2:12" x14ac:dyDescent="0.2">
      <c r="B648" s="144"/>
      <c r="D648" s="341"/>
      <c r="F648" s="343"/>
      <c r="G648" s="343"/>
      <c r="H648" s="343"/>
      <c r="I648" s="343"/>
      <c r="J648" s="343"/>
      <c r="K648" s="343"/>
      <c r="L648" s="343"/>
    </row>
    <row r="649" spans="2:12" x14ac:dyDescent="0.2">
      <c r="B649" s="144"/>
      <c r="D649" s="341"/>
      <c r="F649" s="343"/>
      <c r="G649" s="343"/>
      <c r="H649" s="343"/>
      <c r="I649" s="343"/>
      <c r="J649" s="343"/>
      <c r="K649" s="343"/>
      <c r="L649" s="343"/>
    </row>
    <row r="650" spans="2:12" x14ac:dyDescent="0.2">
      <c r="B650" s="144"/>
      <c r="D650" s="341"/>
      <c r="F650" s="343"/>
      <c r="G650" s="343"/>
      <c r="H650" s="343"/>
      <c r="I650" s="343"/>
      <c r="J650" s="343"/>
      <c r="K650" s="343"/>
      <c r="L650" s="343"/>
    </row>
    <row r="651" spans="2:12" x14ac:dyDescent="0.2">
      <c r="B651" s="144"/>
      <c r="D651" s="341"/>
      <c r="F651" s="343"/>
      <c r="G651" s="343"/>
      <c r="H651" s="343"/>
      <c r="I651" s="343"/>
      <c r="J651" s="343"/>
      <c r="K651" s="343"/>
      <c r="L651" s="343"/>
    </row>
    <row r="652" spans="2:12" x14ac:dyDescent="0.2">
      <c r="B652" s="144"/>
      <c r="D652" s="341"/>
      <c r="F652" s="343"/>
      <c r="G652" s="343"/>
      <c r="H652" s="343"/>
      <c r="I652" s="343"/>
      <c r="J652" s="343"/>
      <c r="K652" s="343"/>
      <c r="L652" s="343"/>
    </row>
    <row r="653" spans="2:12" x14ac:dyDescent="0.2">
      <c r="B653" s="144"/>
      <c r="D653" s="341"/>
      <c r="F653" s="343"/>
      <c r="G653" s="343"/>
      <c r="H653" s="343"/>
      <c r="I653" s="343"/>
      <c r="J653" s="343"/>
      <c r="K653" s="343"/>
      <c r="L653" s="343"/>
    </row>
    <row r="654" spans="2:12" x14ac:dyDescent="0.2">
      <c r="B654" s="144"/>
      <c r="D654" s="341"/>
      <c r="F654" s="343"/>
      <c r="G654" s="343"/>
      <c r="H654" s="343"/>
      <c r="I654" s="343"/>
      <c r="J654" s="343"/>
      <c r="K654" s="343"/>
      <c r="L654" s="343"/>
    </row>
    <row r="655" spans="2:12" x14ac:dyDescent="0.2">
      <c r="B655" s="144"/>
      <c r="D655" s="341"/>
      <c r="F655" s="343"/>
      <c r="G655" s="343"/>
      <c r="H655" s="343"/>
      <c r="I655" s="343"/>
      <c r="J655" s="343"/>
      <c r="K655" s="343"/>
      <c r="L655" s="343"/>
    </row>
    <row r="656" spans="2:12" x14ac:dyDescent="0.2">
      <c r="B656" s="144"/>
      <c r="D656" s="341"/>
      <c r="F656" s="343"/>
      <c r="G656" s="343"/>
      <c r="H656" s="343"/>
      <c r="I656" s="343"/>
      <c r="J656" s="343"/>
      <c r="K656" s="343"/>
      <c r="L656" s="343"/>
    </row>
    <row r="657" spans="2:12" x14ac:dyDescent="0.2">
      <c r="B657" s="144"/>
      <c r="D657" s="341"/>
      <c r="F657" s="343"/>
      <c r="G657" s="343"/>
      <c r="H657" s="343"/>
      <c r="I657" s="343"/>
      <c r="J657" s="343"/>
      <c r="K657" s="343"/>
      <c r="L657" s="343"/>
    </row>
    <row r="658" spans="2:12" x14ac:dyDescent="0.2">
      <c r="B658" s="144"/>
      <c r="D658" s="341"/>
      <c r="F658" s="343"/>
      <c r="G658" s="343"/>
      <c r="H658" s="343"/>
      <c r="I658" s="343"/>
      <c r="J658" s="343"/>
      <c r="K658" s="343"/>
      <c r="L658" s="343"/>
    </row>
    <row r="659" spans="2:12" x14ac:dyDescent="0.2">
      <c r="B659" s="144"/>
      <c r="D659" s="341"/>
      <c r="F659" s="343"/>
      <c r="G659" s="343"/>
      <c r="H659" s="343"/>
      <c r="I659" s="343"/>
      <c r="J659" s="343"/>
      <c r="K659" s="343"/>
      <c r="L659" s="343"/>
    </row>
    <row r="660" spans="2:12" x14ac:dyDescent="0.2">
      <c r="B660" s="144"/>
      <c r="D660" s="341"/>
      <c r="F660" s="343"/>
      <c r="G660" s="343"/>
      <c r="H660" s="343"/>
      <c r="I660" s="343"/>
      <c r="J660" s="343"/>
      <c r="K660" s="343"/>
      <c r="L660" s="343"/>
    </row>
    <row r="661" spans="2:12" x14ac:dyDescent="0.2">
      <c r="B661" s="144"/>
      <c r="D661" s="341"/>
      <c r="F661" s="343"/>
      <c r="G661" s="343"/>
      <c r="H661" s="343"/>
      <c r="I661" s="343"/>
      <c r="J661" s="343"/>
      <c r="K661" s="343"/>
      <c r="L661" s="343"/>
    </row>
    <row r="662" spans="2:12" x14ac:dyDescent="0.2">
      <c r="B662" s="144"/>
      <c r="D662" s="341"/>
      <c r="F662" s="343"/>
      <c r="G662" s="343"/>
      <c r="H662" s="343"/>
      <c r="I662" s="343"/>
      <c r="J662" s="343"/>
      <c r="K662" s="343"/>
      <c r="L662" s="343"/>
    </row>
    <row r="663" spans="2:12" x14ac:dyDescent="0.2">
      <c r="B663" s="144"/>
      <c r="D663" s="341"/>
      <c r="F663" s="343"/>
      <c r="G663" s="343"/>
      <c r="H663" s="343"/>
      <c r="I663" s="343"/>
      <c r="J663" s="343"/>
      <c r="K663" s="343"/>
      <c r="L663" s="343"/>
    </row>
    <row r="664" spans="2:12" x14ac:dyDescent="0.2">
      <c r="B664" s="144"/>
      <c r="D664" s="341"/>
      <c r="F664" s="343"/>
      <c r="G664" s="343"/>
      <c r="H664" s="343"/>
      <c r="I664" s="343"/>
      <c r="J664" s="343"/>
      <c r="K664" s="343"/>
      <c r="L664" s="343"/>
    </row>
    <row r="665" spans="2:12" x14ac:dyDescent="0.2">
      <c r="B665" s="144"/>
      <c r="D665" s="341"/>
      <c r="F665" s="343"/>
      <c r="G665" s="343"/>
      <c r="H665" s="343"/>
      <c r="I665" s="343"/>
      <c r="J665" s="343"/>
      <c r="K665" s="343"/>
      <c r="L665" s="343"/>
    </row>
    <row r="666" spans="2:12" x14ac:dyDescent="0.2">
      <c r="B666" s="144"/>
      <c r="D666" s="341"/>
      <c r="F666" s="343"/>
      <c r="G666" s="343"/>
      <c r="H666" s="343"/>
      <c r="I666" s="343"/>
      <c r="J666" s="343"/>
      <c r="K666" s="343"/>
      <c r="L666" s="343"/>
    </row>
    <row r="667" spans="2:12" x14ac:dyDescent="0.2">
      <c r="B667" s="144"/>
      <c r="D667" s="341"/>
      <c r="F667" s="343"/>
      <c r="G667" s="343"/>
      <c r="H667" s="343"/>
      <c r="I667" s="343"/>
      <c r="J667" s="343"/>
      <c r="K667" s="343"/>
      <c r="L667" s="343"/>
    </row>
    <row r="668" spans="2:12" x14ac:dyDescent="0.2">
      <c r="B668" s="144"/>
      <c r="D668" s="341"/>
      <c r="F668" s="343"/>
      <c r="G668" s="343"/>
      <c r="H668" s="343"/>
      <c r="I668" s="343"/>
      <c r="J668" s="343"/>
      <c r="K668" s="343"/>
      <c r="L668" s="343"/>
    </row>
    <row r="669" spans="2:12" x14ac:dyDescent="0.2">
      <c r="B669" s="144"/>
      <c r="D669" s="341"/>
      <c r="F669" s="343"/>
      <c r="G669" s="343"/>
      <c r="H669" s="343"/>
      <c r="I669" s="343"/>
      <c r="J669" s="343"/>
      <c r="K669" s="343"/>
      <c r="L669" s="343"/>
    </row>
    <row r="670" spans="2:12" x14ac:dyDescent="0.2">
      <c r="B670" s="144"/>
      <c r="D670" s="341"/>
      <c r="F670" s="343"/>
      <c r="G670" s="343"/>
      <c r="H670" s="343"/>
      <c r="I670" s="343"/>
      <c r="J670" s="343"/>
      <c r="K670" s="343"/>
      <c r="L670" s="343"/>
    </row>
    <row r="671" spans="2:12" x14ac:dyDescent="0.2">
      <c r="B671" s="144"/>
      <c r="D671" s="341"/>
      <c r="F671" s="343"/>
      <c r="G671" s="343"/>
      <c r="H671" s="343"/>
      <c r="I671" s="343"/>
      <c r="J671" s="343"/>
      <c r="K671" s="343"/>
      <c r="L671" s="343"/>
    </row>
    <row r="672" spans="2:12" x14ac:dyDescent="0.2">
      <c r="B672" s="144"/>
      <c r="D672" s="341"/>
      <c r="F672" s="343"/>
      <c r="G672" s="343"/>
      <c r="H672" s="343"/>
      <c r="I672" s="343"/>
      <c r="J672" s="343"/>
      <c r="K672" s="343"/>
      <c r="L672" s="343"/>
    </row>
    <row r="673" spans="2:12" x14ac:dyDescent="0.2">
      <c r="B673" s="144"/>
      <c r="D673" s="341"/>
      <c r="F673" s="343"/>
      <c r="G673" s="343"/>
      <c r="H673" s="343"/>
      <c r="I673" s="343"/>
      <c r="J673" s="343"/>
      <c r="K673" s="343"/>
      <c r="L673" s="343"/>
    </row>
    <row r="674" spans="2:12" x14ac:dyDescent="0.2">
      <c r="B674" s="144"/>
      <c r="D674" s="341"/>
      <c r="F674" s="343"/>
      <c r="G674" s="343"/>
      <c r="H674" s="343"/>
      <c r="I674" s="343"/>
      <c r="J674" s="343"/>
      <c r="K674" s="343"/>
      <c r="L674" s="343"/>
    </row>
    <row r="675" spans="2:12" x14ac:dyDescent="0.2">
      <c r="B675" s="144"/>
      <c r="D675" s="341"/>
      <c r="F675" s="343"/>
      <c r="G675" s="343"/>
      <c r="H675" s="343"/>
      <c r="I675" s="343"/>
      <c r="J675" s="343"/>
      <c r="K675" s="343"/>
      <c r="L675" s="343"/>
    </row>
    <row r="676" spans="2:12" x14ac:dyDescent="0.2">
      <c r="B676" s="144"/>
      <c r="D676" s="341"/>
      <c r="F676" s="343"/>
      <c r="G676" s="343"/>
      <c r="H676" s="343"/>
      <c r="I676" s="343"/>
      <c r="J676" s="343"/>
      <c r="K676" s="343"/>
      <c r="L676" s="343"/>
    </row>
    <row r="677" spans="2:12" x14ac:dyDescent="0.2">
      <c r="B677" s="144"/>
      <c r="D677" s="341"/>
      <c r="F677" s="343"/>
      <c r="G677" s="343"/>
      <c r="H677" s="343"/>
      <c r="I677" s="343"/>
      <c r="J677" s="343"/>
      <c r="K677" s="343"/>
      <c r="L677" s="343"/>
    </row>
    <row r="678" spans="2:12" x14ac:dyDescent="0.2">
      <c r="B678" s="144"/>
      <c r="D678" s="341"/>
      <c r="F678" s="343"/>
      <c r="G678" s="343"/>
      <c r="H678" s="343"/>
      <c r="I678" s="343"/>
      <c r="J678" s="343"/>
      <c r="K678" s="343"/>
      <c r="L678" s="343"/>
    </row>
    <row r="679" spans="2:12" x14ac:dyDescent="0.2">
      <c r="B679" s="144"/>
      <c r="D679" s="341"/>
      <c r="F679" s="343"/>
      <c r="G679" s="343"/>
      <c r="H679" s="343"/>
      <c r="I679" s="343"/>
      <c r="J679" s="343"/>
      <c r="K679" s="343"/>
      <c r="L679" s="343"/>
    </row>
    <row r="680" spans="2:12" x14ac:dyDescent="0.2">
      <c r="B680" s="144"/>
      <c r="D680" s="341"/>
      <c r="F680" s="343"/>
      <c r="G680" s="343"/>
      <c r="H680" s="343"/>
      <c r="I680" s="343"/>
      <c r="J680" s="343"/>
      <c r="K680" s="343"/>
      <c r="L680" s="343"/>
    </row>
    <row r="681" spans="2:12" x14ac:dyDescent="0.2">
      <c r="B681" s="144"/>
      <c r="D681" s="341"/>
      <c r="F681" s="343"/>
      <c r="G681" s="343"/>
      <c r="H681" s="343"/>
      <c r="I681" s="343"/>
      <c r="J681" s="343"/>
      <c r="K681" s="343"/>
      <c r="L681" s="343"/>
    </row>
    <row r="682" spans="2:12" x14ac:dyDescent="0.2">
      <c r="B682" s="144"/>
      <c r="D682" s="341"/>
      <c r="F682" s="343"/>
      <c r="G682" s="343"/>
      <c r="H682" s="343"/>
      <c r="I682" s="343"/>
      <c r="J682" s="343"/>
      <c r="K682" s="343"/>
      <c r="L682" s="343"/>
    </row>
    <row r="683" spans="2:12" x14ac:dyDescent="0.2">
      <c r="B683" s="144"/>
      <c r="D683" s="341"/>
      <c r="F683" s="343"/>
      <c r="G683" s="343"/>
      <c r="H683" s="343"/>
      <c r="I683" s="343"/>
      <c r="J683" s="343"/>
      <c r="K683" s="343"/>
      <c r="L683" s="343"/>
    </row>
    <row r="684" spans="2:12" x14ac:dyDescent="0.2">
      <c r="B684" s="144"/>
      <c r="D684" s="341"/>
      <c r="F684" s="343"/>
      <c r="G684" s="343"/>
      <c r="H684" s="343"/>
      <c r="I684" s="343"/>
      <c r="J684" s="343"/>
      <c r="K684" s="343"/>
      <c r="L684" s="343"/>
    </row>
    <row r="685" spans="2:12" x14ac:dyDescent="0.2">
      <c r="B685" s="144"/>
      <c r="D685" s="341"/>
      <c r="F685" s="343"/>
      <c r="G685" s="343"/>
      <c r="H685" s="343"/>
      <c r="I685" s="343"/>
      <c r="J685" s="343"/>
      <c r="K685" s="343"/>
      <c r="L685" s="343"/>
    </row>
    <row r="686" spans="2:12" x14ac:dyDescent="0.2">
      <c r="B686" s="144"/>
      <c r="D686" s="341"/>
      <c r="F686" s="343"/>
      <c r="G686" s="343"/>
      <c r="H686" s="343"/>
      <c r="I686" s="343"/>
      <c r="J686" s="343"/>
      <c r="K686" s="343"/>
      <c r="L686" s="343"/>
    </row>
    <row r="687" spans="2:12" x14ac:dyDescent="0.2">
      <c r="B687" s="144"/>
      <c r="D687" s="341"/>
      <c r="F687" s="343"/>
      <c r="G687" s="343"/>
      <c r="H687" s="343"/>
      <c r="I687" s="343"/>
      <c r="J687" s="343"/>
      <c r="K687" s="343"/>
      <c r="L687" s="343"/>
    </row>
    <row r="688" spans="2:12" x14ac:dyDescent="0.2">
      <c r="B688" s="144"/>
      <c r="D688" s="341"/>
      <c r="F688" s="343"/>
      <c r="G688" s="343"/>
      <c r="H688" s="343"/>
      <c r="I688" s="343"/>
      <c r="J688" s="343"/>
      <c r="K688" s="343"/>
      <c r="L688" s="343"/>
    </row>
    <row r="689" spans="2:12" x14ac:dyDescent="0.2">
      <c r="B689" s="144"/>
      <c r="D689" s="341"/>
      <c r="F689" s="343"/>
      <c r="G689" s="343"/>
      <c r="H689" s="343"/>
      <c r="I689" s="343"/>
      <c r="J689" s="343"/>
      <c r="K689" s="343"/>
      <c r="L689" s="343"/>
    </row>
    <row r="690" spans="2:12" x14ac:dyDescent="0.2">
      <c r="B690" s="144"/>
      <c r="D690" s="341"/>
      <c r="F690" s="343"/>
      <c r="G690" s="343"/>
      <c r="H690" s="343"/>
      <c r="I690" s="343"/>
      <c r="J690" s="343"/>
      <c r="K690" s="343"/>
      <c r="L690" s="343"/>
    </row>
    <row r="691" spans="2:12" x14ac:dyDescent="0.2">
      <c r="B691" s="144"/>
      <c r="D691" s="341"/>
      <c r="F691" s="343"/>
      <c r="G691" s="343"/>
      <c r="H691" s="343"/>
      <c r="I691" s="343"/>
      <c r="J691" s="343"/>
      <c r="K691" s="343"/>
      <c r="L691" s="343"/>
    </row>
    <row r="692" spans="2:12" x14ac:dyDescent="0.2">
      <c r="B692" s="144"/>
      <c r="D692" s="341"/>
      <c r="F692" s="343"/>
      <c r="G692" s="343"/>
      <c r="H692" s="343"/>
      <c r="I692" s="343"/>
      <c r="J692" s="343"/>
      <c r="K692" s="343"/>
      <c r="L692" s="343"/>
    </row>
    <row r="693" spans="2:12" x14ac:dyDescent="0.2">
      <c r="B693" s="144"/>
      <c r="D693" s="341"/>
      <c r="F693" s="343"/>
      <c r="G693" s="343"/>
      <c r="H693" s="343"/>
      <c r="I693" s="343"/>
      <c r="J693" s="343"/>
      <c r="K693" s="343"/>
      <c r="L693" s="343"/>
    </row>
    <row r="694" spans="2:12" x14ac:dyDescent="0.2">
      <c r="B694" s="144"/>
      <c r="D694" s="341"/>
      <c r="F694" s="343"/>
      <c r="G694" s="343"/>
      <c r="H694" s="343"/>
      <c r="I694" s="343"/>
      <c r="J694" s="343"/>
      <c r="K694" s="343"/>
      <c r="L694" s="343"/>
    </row>
    <row r="695" spans="2:12" x14ac:dyDescent="0.2">
      <c r="B695" s="144"/>
      <c r="D695" s="341"/>
      <c r="F695" s="343"/>
      <c r="G695" s="343"/>
      <c r="H695" s="343"/>
      <c r="I695" s="343"/>
      <c r="J695" s="343"/>
      <c r="K695" s="343"/>
      <c r="L695" s="343"/>
    </row>
    <row r="696" spans="2:12" x14ac:dyDescent="0.2">
      <c r="B696" s="144"/>
      <c r="D696" s="341"/>
      <c r="F696" s="343"/>
      <c r="G696" s="343"/>
      <c r="H696" s="343"/>
      <c r="I696" s="343"/>
      <c r="J696" s="343"/>
      <c r="K696" s="343"/>
      <c r="L696" s="343"/>
    </row>
    <row r="697" spans="2:12" x14ac:dyDescent="0.2">
      <c r="B697" s="144"/>
      <c r="D697" s="341"/>
      <c r="F697" s="343"/>
      <c r="G697" s="343"/>
      <c r="H697" s="343"/>
      <c r="I697" s="343"/>
      <c r="J697" s="343"/>
      <c r="K697" s="343"/>
      <c r="L697" s="343"/>
    </row>
    <row r="698" spans="2:12" x14ac:dyDescent="0.2">
      <c r="B698" s="144"/>
      <c r="D698" s="341"/>
      <c r="F698" s="343"/>
      <c r="G698" s="343"/>
      <c r="H698" s="343"/>
      <c r="I698" s="343"/>
      <c r="J698" s="343"/>
      <c r="K698" s="343"/>
      <c r="L698" s="343"/>
    </row>
    <row r="699" spans="2:12" x14ac:dyDescent="0.2">
      <c r="B699" s="144"/>
      <c r="D699" s="341"/>
      <c r="F699" s="343"/>
      <c r="G699" s="343"/>
      <c r="H699" s="343"/>
      <c r="I699" s="343"/>
      <c r="J699" s="343"/>
      <c r="K699" s="343"/>
      <c r="L699" s="343"/>
    </row>
    <row r="700" spans="2:12" x14ac:dyDescent="0.2">
      <c r="B700" s="144"/>
      <c r="D700" s="341"/>
      <c r="F700" s="343"/>
      <c r="G700" s="343"/>
      <c r="H700" s="343"/>
      <c r="I700" s="343"/>
      <c r="J700" s="343"/>
      <c r="K700" s="343"/>
      <c r="L700" s="343"/>
    </row>
    <row r="701" spans="2:12" x14ac:dyDescent="0.2">
      <c r="B701" s="144"/>
      <c r="D701" s="341"/>
      <c r="F701" s="343"/>
      <c r="G701" s="343"/>
      <c r="H701" s="343"/>
      <c r="I701" s="343"/>
      <c r="J701" s="343"/>
      <c r="K701" s="343"/>
      <c r="L701" s="343"/>
    </row>
    <row r="702" spans="2:12" x14ac:dyDescent="0.2">
      <c r="B702" s="144"/>
      <c r="D702" s="341"/>
      <c r="F702" s="343"/>
      <c r="G702" s="343"/>
      <c r="H702" s="343"/>
      <c r="I702" s="343"/>
      <c r="J702" s="343"/>
      <c r="K702" s="343"/>
      <c r="L702" s="343"/>
    </row>
    <row r="703" spans="2:12" x14ac:dyDescent="0.2">
      <c r="B703" s="144"/>
      <c r="D703" s="341"/>
      <c r="F703" s="343"/>
      <c r="G703" s="343"/>
      <c r="H703" s="343"/>
      <c r="I703" s="343"/>
      <c r="J703" s="343"/>
      <c r="K703" s="343"/>
      <c r="L703" s="343"/>
    </row>
    <row r="704" spans="2:12" x14ac:dyDescent="0.2">
      <c r="B704" s="144"/>
      <c r="D704" s="341"/>
      <c r="F704" s="343"/>
      <c r="G704" s="343"/>
      <c r="H704" s="343"/>
      <c r="I704" s="343"/>
      <c r="J704" s="343"/>
      <c r="K704" s="343"/>
      <c r="L704" s="343"/>
    </row>
    <row r="705" spans="2:12" x14ac:dyDescent="0.2">
      <c r="B705" s="144"/>
      <c r="D705" s="341"/>
      <c r="F705" s="343"/>
      <c r="G705" s="343"/>
      <c r="H705" s="343"/>
      <c r="I705" s="343"/>
      <c r="J705" s="343"/>
      <c r="K705" s="343"/>
      <c r="L705" s="343"/>
    </row>
    <row r="706" spans="2:12" x14ac:dyDescent="0.2">
      <c r="B706" s="144"/>
      <c r="D706" s="341"/>
      <c r="F706" s="343"/>
      <c r="G706" s="343"/>
      <c r="H706" s="343"/>
      <c r="I706" s="343"/>
      <c r="J706" s="343"/>
      <c r="K706" s="343"/>
      <c r="L706" s="343"/>
    </row>
    <row r="707" spans="2:12" x14ac:dyDescent="0.2">
      <c r="B707" s="144"/>
      <c r="D707" s="341"/>
      <c r="F707" s="343"/>
      <c r="G707" s="343"/>
      <c r="H707" s="343"/>
      <c r="I707" s="343"/>
      <c r="J707" s="343"/>
      <c r="K707" s="343"/>
      <c r="L707" s="343"/>
    </row>
    <row r="708" spans="2:12" x14ac:dyDescent="0.2">
      <c r="B708" s="144"/>
      <c r="D708" s="341"/>
      <c r="F708" s="343"/>
      <c r="G708" s="343"/>
      <c r="H708" s="343"/>
      <c r="I708" s="343"/>
      <c r="J708" s="343"/>
      <c r="K708" s="343"/>
      <c r="L708" s="343"/>
    </row>
    <row r="709" spans="2:12" x14ac:dyDescent="0.2">
      <c r="B709" s="144"/>
      <c r="D709" s="341"/>
      <c r="F709" s="343"/>
      <c r="G709" s="343"/>
      <c r="H709" s="343"/>
      <c r="I709" s="343"/>
      <c r="J709" s="343"/>
      <c r="K709" s="343"/>
      <c r="L709" s="343"/>
    </row>
    <row r="710" spans="2:12" x14ac:dyDescent="0.2">
      <c r="B710" s="144"/>
      <c r="D710" s="341"/>
      <c r="F710" s="343"/>
      <c r="G710" s="343"/>
      <c r="H710" s="343"/>
      <c r="I710" s="343"/>
      <c r="J710" s="343"/>
      <c r="K710" s="343"/>
      <c r="L710" s="343"/>
    </row>
    <row r="711" spans="2:12" x14ac:dyDescent="0.2">
      <c r="B711" s="144"/>
      <c r="D711" s="341"/>
      <c r="F711" s="343"/>
      <c r="G711" s="343"/>
      <c r="H711" s="343"/>
      <c r="I711" s="343"/>
      <c r="J711" s="343"/>
      <c r="K711" s="343"/>
      <c r="L711" s="343"/>
    </row>
    <row r="712" spans="2:12" x14ac:dyDescent="0.2">
      <c r="B712" s="144"/>
      <c r="D712" s="341"/>
      <c r="F712" s="343"/>
      <c r="G712" s="343"/>
      <c r="H712" s="343"/>
      <c r="I712" s="343"/>
      <c r="J712" s="343"/>
      <c r="K712" s="343"/>
      <c r="L712" s="343"/>
    </row>
    <row r="713" spans="2:12" x14ac:dyDescent="0.2">
      <c r="B713" s="144"/>
      <c r="D713" s="341"/>
      <c r="F713" s="343"/>
      <c r="G713" s="343"/>
      <c r="H713" s="343"/>
      <c r="I713" s="343"/>
      <c r="J713" s="343"/>
      <c r="K713" s="343"/>
      <c r="L713" s="343"/>
    </row>
    <row r="714" spans="2:12" x14ac:dyDescent="0.2">
      <c r="B714" s="144"/>
      <c r="D714" s="341"/>
      <c r="F714" s="343"/>
      <c r="G714" s="343"/>
      <c r="H714" s="343"/>
      <c r="I714" s="343"/>
      <c r="J714" s="343"/>
      <c r="K714" s="343"/>
      <c r="L714" s="343"/>
    </row>
    <row r="715" spans="2:12" x14ac:dyDescent="0.2">
      <c r="B715" s="144"/>
      <c r="D715" s="341"/>
      <c r="F715" s="343"/>
      <c r="G715" s="343"/>
      <c r="H715" s="343"/>
      <c r="I715" s="343"/>
      <c r="J715" s="343"/>
      <c r="K715" s="343"/>
      <c r="L715" s="343"/>
    </row>
    <row r="716" spans="2:12" x14ac:dyDescent="0.2">
      <c r="B716" s="144"/>
      <c r="D716" s="341"/>
      <c r="F716" s="343"/>
      <c r="G716" s="343"/>
      <c r="H716" s="343"/>
      <c r="I716" s="343"/>
      <c r="J716" s="343"/>
      <c r="K716" s="343"/>
      <c r="L716" s="343"/>
    </row>
    <row r="717" spans="2:12" x14ac:dyDescent="0.2">
      <c r="B717" s="144"/>
      <c r="D717" s="341"/>
      <c r="F717" s="343"/>
      <c r="G717" s="343"/>
      <c r="H717" s="343"/>
      <c r="I717" s="343"/>
      <c r="J717" s="343"/>
      <c r="K717" s="343"/>
      <c r="L717" s="343"/>
    </row>
    <row r="718" spans="2:12" x14ac:dyDescent="0.2">
      <c r="B718" s="144"/>
      <c r="D718" s="341"/>
      <c r="F718" s="343"/>
      <c r="G718" s="343"/>
      <c r="H718" s="343"/>
      <c r="I718" s="343"/>
      <c r="J718" s="343"/>
      <c r="K718" s="343"/>
      <c r="L718" s="343"/>
    </row>
    <row r="719" spans="2:12" x14ac:dyDescent="0.2">
      <c r="B719" s="144"/>
      <c r="D719" s="341"/>
      <c r="F719" s="343"/>
      <c r="G719" s="343"/>
      <c r="H719" s="343"/>
      <c r="I719" s="343"/>
      <c r="J719" s="343"/>
      <c r="K719" s="343"/>
      <c r="L719" s="343"/>
    </row>
    <row r="720" spans="2:12" x14ac:dyDescent="0.2">
      <c r="B720" s="144"/>
      <c r="D720" s="341"/>
      <c r="F720" s="343"/>
      <c r="G720" s="343"/>
      <c r="H720" s="343"/>
      <c r="I720" s="343"/>
      <c r="J720" s="343"/>
      <c r="K720" s="343"/>
      <c r="L720" s="343"/>
    </row>
    <row r="721" spans="2:12" x14ac:dyDescent="0.2">
      <c r="B721" s="144"/>
      <c r="D721" s="341"/>
      <c r="F721" s="343"/>
      <c r="G721" s="343"/>
      <c r="H721" s="343"/>
      <c r="I721" s="343"/>
      <c r="J721" s="343"/>
      <c r="K721" s="343"/>
      <c r="L721" s="343"/>
    </row>
    <row r="722" spans="2:12" x14ac:dyDescent="0.2">
      <c r="B722" s="144"/>
      <c r="D722" s="341"/>
      <c r="F722" s="343"/>
      <c r="G722" s="343"/>
      <c r="H722" s="343"/>
      <c r="I722" s="343"/>
      <c r="J722" s="343"/>
      <c r="K722" s="343"/>
      <c r="L722" s="343"/>
    </row>
    <row r="723" spans="2:12" x14ac:dyDescent="0.2">
      <c r="B723" s="144"/>
      <c r="D723" s="341"/>
      <c r="F723" s="343"/>
      <c r="G723" s="343"/>
      <c r="H723" s="343"/>
      <c r="I723" s="343"/>
      <c r="J723" s="343"/>
      <c r="K723" s="343"/>
      <c r="L723" s="343"/>
    </row>
    <row r="724" spans="2:12" x14ac:dyDescent="0.2">
      <c r="B724" s="144"/>
      <c r="D724" s="341"/>
      <c r="F724" s="343"/>
      <c r="G724" s="343"/>
      <c r="H724" s="343"/>
      <c r="I724" s="343"/>
      <c r="J724" s="343"/>
      <c r="K724" s="343"/>
      <c r="L724" s="343"/>
    </row>
    <row r="725" spans="2:12" x14ac:dyDescent="0.2">
      <c r="B725" s="144"/>
      <c r="D725" s="341"/>
      <c r="F725" s="343"/>
      <c r="G725" s="343"/>
      <c r="H725" s="343"/>
      <c r="I725" s="343"/>
      <c r="J725" s="343"/>
      <c r="K725" s="343"/>
      <c r="L725" s="343"/>
    </row>
    <row r="726" spans="2:12" x14ac:dyDescent="0.2">
      <c r="B726" s="144"/>
      <c r="D726" s="341"/>
      <c r="F726" s="343"/>
      <c r="G726" s="343"/>
      <c r="H726" s="343"/>
      <c r="I726" s="343"/>
      <c r="J726" s="343"/>
      <c r="K726" s="343"/>
      <c r="L726" s="343"/>
    </row>
    <row r="727" spans="2:12" x14ac:dyDescent="0.2">
      <c r="B727" s="144"/>
      <c r="D727" s="341"/>
      <c r="F727" s="343"/>
      <c r="G727" s="343"/>
      <c r="H727" s="343"/>
      <c r="I727" s="343"/>
      <c r="J727" s="343"/>
      <c r="K727" s="343"/>
      <c r="L727" s="343"/>
    </row>
    <row r="728" spans="2:12" x14ac:dyDescent="0.2">
      <c r="B728" s="144"/>
      <c r="D728" s="341"/>
      <c r="F728" s="343"/>
      <c r="G728" s="343"/>
      <c r="H728" s="343"/>
      <c r="I728" s="343"/>
      <c r="J728" s="343"/>
      <c r="K728" s="343"/>
      <c r="L728" s="343"/>
    </row>
    <row r="729" spans="2:12" x14ac:dyDescent="0.2">
      <c r="B729" s="144"/>
      <c r="D729" s="341"/>
      <c r="F729" s="343"/>
      <c r="G729" s="343"/>
      <c r="H729" s="343"/>
      <c r="I729" s="343"/>
      <c r="J729" s="343"/>
      <c r="K729" s="343"/>
      <c r="L729" s="343"/>
    </row>
    <row r="730" spans="2:12" x14ac:dyDescent="0.2">
      <c r="B730" s="144"/>
      <c r="D730" s="341"/>
      <c r="F730" s="343"/>
      <c r="G730" s="343"/>
      <c r="H730" s="343"/>
      <c r="I730" s="343"/>
      <c r="J730" s="343"/>
      <c r="K730" s="343"/>
      <c r="L730" s="343"/>
    </row>
    <row r="731" spans="2:12" x14ac:dyDescent="0.2">
      <c r="B731" s="144"/>
      <c r="D731" s="341"/>
      <c r="F731" s="343"/>
      <c r="G731" s="343"/>
      <c r="H731" s="343"/>
      <c r="I731" s="343"/>
      <c r="J731" s="343"/>
      <c r="K731" s="343"/>
      <c r="L731" s="343"/>
    </row>
    <row r="732" spans="2:12" x14ac:dyDescent="0.2">
      <c r="B732" s="144"/>
      <c r="D732" s="341"/>
      <c r="F732" s="343"/>
      <c r="G732" s="343"/>
      <c r="H732" s="343"/>
      <c r="I732" s="343"/>
      <c r="J732" s="343"/>
      <c r="K732" s="343"/>
      <c r="L732" s="343"/>
    </row>
    <row r="733" spans="2:12" x14ac:dyDescent="0.2">
      <c r="B733" s="144"/>
      <c r="D733" s="341"/>
      <c r="F733" s="343"/>
      <c r="G733" s="343"/>
      <c r="H733" s="343"/>
      <c r="I733" s="343"/>
      <c r="J733" s="343"/>
      <c r="K733" s="343"/>
      <c r="L733" s="343"/>
    </row>
    <row r="734" spans="2:12" x14ac:dyDescent="0.2">
      <c r="B734" s="144"/>
      <c r="D734" s="341"/>
      <c r="F734" s="343"/>
      <c r="G734" s="343"/>
      <c r="H734" s="343"/>
      <c r="I734" s="343"/>
      <c r="J734" s="343"/>
      <c r="K734" s="343"/>
      <c r="L734" s="343"/>
    </row>
    <row r="735" spans="2:12" x14ac:dyDescent="0.2">
      <c r="B735" s="144"/>
      <c r="D735" s="341"/>
      <c r="F735" s="343"/>
      <c r="G735" s="343"/>
      <c r="H735" s="343"/>
      <c r="I735" s="343"/>
      <c r="J735" s="343"/>
      <c r="K735" s="343"/>
      <c r="L735" s="343"/>
    </row>
    <row r="736" spans="2:12" x14ac:dyDescent="0.2">
      <c r="B736" s="144"/>
      <c r="D736" s="341"/>
      <c r="F736" s="343"/>
      <c r="G736" s="343"/>
      <c r="H736" s="343"/>
      <c r="I736" s="343"/>
      <c r="J736" s="343"/>
      <c r="K736" s="343"/>
      <c r="L736" s="343"/>
    </row>
    <row r="737" spans="2:12" x14ac:dyDescent="0.2">
      <c r="B737" s="144"/>
      <c r="D737" s="341"/>
      <c r="F737" s="343"/>
      <c r="G737" s="343"/>
      <c r="H737" s="343"/>
      <c r="I737" s="343"/>
      <c r="J737" s="343"/>
      <c r="K737" s="343"/>
      <c r="L737" s="343"/>
    </row>
    <row r="738" spans="2:12" x14ac:dyDescent="0.2">
      <c r="B738" s="144"/>
      <c r="D738" s="341"/>
      <c r="F738" s="343"/>
      <c r="G738" s="343"/>
      <c r="H738" s="343"/>
      <c r="I738" s="343"/>
      <c r="J738" s="343"/>
      <c r="K738" s="343"/>
      <c r="L738" s="343"/>
    </row>
    <row r="739" spans="2:12" x14ac:dyDescent="0.2">
      <c r="B739" s="144"/>
      <c r="D739" s="341"/>
      <c r="F739" s="343"/>
      <c r="G739" s="343"/>
      <c r="H739" s="343"/>
      <c r="I739" s="343"/>
      <c r="J739" s="343"/>
      <c r="K739" s="343"/>
      <c r="L739" s="343"/>
    </row>
    <row r="740" spans="2:12" x14ac:dyDescent="0.2">
      <c r="B740" s="144"/>
      <c r="D740" s="341"/>
      <c r="F740" s="343"/>
      <c r="G740" s="343"/>
      <c r="H740" s="343"/>
      <c r="I740" s="343"/>
      <c r="J740" s="343"/>
      <c r="K740" s="343"/>
      <c r="L740" s="343"/>
    </row>
    <row r="741" spans="2:12" x14ac:dyDescent="0.2">
      <c r="B741" s="144"/>
      <c r="D741" s="341"/>
      <c r="F741" s="343"/>
      <c r="G741" s="343"/>
      <c r="H741" s="343"/>
      <c r="I741" s="343"/>
      <c r="J741" s="343"/>
      <c r="K741" s="343"/>
      <c r="L741" s="343"/>
    </row>
    <row r="742" spans="2:12" x14ac:dyDescent="0.2">
      <c r="B742" s="144"/>
      <c r="D742" s="341"/>
      <c r="F742" s="343"/>
      <c r="G742" s="343"/>
      <c r="H742" s="343"/>
      <c r="I742" s="343"/>
      <c r="J742" s="343"/>
      <c r="K742" s="343"/>
      <c r="L742" s="343"/>
    </row>
    <row r="743" spans="2:12" x14ac:dyDescent="0.2">
      <c r="B743" s="144"/>
      <c r="D743" s="341"/>
      <c r="F743" s="343"/>
      <c r="G743" s="343"/>
      <c r="H743" s="343"/>
      <c r="I743" s="343"/>
      <c r="J743" s="343"/>
      <c r="K743" s="343"/>
      <c r="L743" s="343"/>
    </row>
    <row r="744" spans="2:12" x14ac:dyDescent="0.2">
      <c r="B744" s="144"/>
      <c r="D744" s="341"/>
      <c r="F744" s="343"/>
      <c r="G744" s="343"/>
      <c r="H744" s="343"/>
      <c r="I744" s="343"/>
      <c r="J744" s="343"/>
      <c r="K744" s="343"/>
      <c r="L744" s="343"/>
    </row>
    <row r="745" spans="2:12" x14ac:dyDescent="0.2">
      <c r="B745" s="144"/>
      <c r="D745" s="341"/>
      <c r="F745" s="343"/>
      <c r="G745" s="343"/>
      <c r="H745" s="343"/>
      <c r="I745" s="343"/>
      <c r="J745" s="343"/>
      <c r="K745" s="343"/>
      <c r="L745" s="343"/>
    </row>
    <row r="746" spans="2:12" x14ac:dyDescent="0.2">
      <c r="B746" s="144"/>
      <c r="D746" s="341"/>
      <c r="F746" s="343"/>
      <c r="G746" s="343"/>
      <c r="H746" s="343"/>
      <c r="I746" s="343"/>
      <c r="J746" s="343"/>
      <c r="K746" s="343"/>
      <c r="L746" s="343"/>
    </row>
    <row r="747" spans="2:12" x14ac:dyDescent="0.2">
      <c r="B747" s="144"/>
      <c r="D747" s="341"/>
      <c r="F747" s="343"/>
      <c r="G747" s="343"/>
      <c r="H747" s="343"/>
      <c r="I747" s="343"/>
      <c r="J747" s="343"/>
      <c r="K747" s="343"/>
      <c r="L747" s="343"/>
    </row>
    <row r="748" spans="2:12" x14ac:dyDescent="0.2">
      <c r="B748" s="144"/>
      <c r="D748" s="341"/>
      <c r="F748" s="343"/>
      <c r="G748" s="343"/>
      <c r="H748" s="343"/>
      <c r="I748" s="343"/>
      <c r="J748" s="343"/>
      <c r="K748" s="343"/>
      <c r="L748" s="343"/>
    </row>
    <row r="749" spans="2:12" x14ac:dyDescent="0.2">
      <c r="B749" s="144"/>
      <c r="D749" s="341"/>
      <c r="F749" s="343"/>
      <c r="G749" s="343"/>
      <c r="H749" s="343"/>
      <c r="I749" s="343"/>
      <c r="J749" s="343"/>
      <c r="K749" s="343"/>
      <c r="L749" s="343"/>
    </row>
    <row r="750" spans="2:12" x14ac:dyDescent="0.2">
      <c r="B750" s="144"/>
      <c r="D750" s="341"/>
      <c r="F750" s="343"/>
      <c r="G750" s="343"/>
      <c r="H750" s="343"/>
      <c r="I750" s="343"/>
      <c r="J750" s="343"/>
      <c r="K750" s="343"/>
      <c r="L750" s="343"/>
    </row>
    <row r="751" spans="2:12" x14ac:dyDescent="0.2">
      <c r="B751" s="144"/>
      <c r="D751" s="341"/>
      <c r="F751" s="343"/>
      <c r="G751" s="343"/>
      <c r="H751" s="343"/>
      <c r="I751" s="343"/>
      <c r="J751" s="343"/>
      <c r="K751" s="343"/>
      <c r="L751" s="343"/>
    </row>
    <row r="752" spans="2:12" x14ac:dyDescent="0.2">
      <c r="B752" s="144"/>
      <c r="D752" s="341"/>
      <c r="F752" s="343"/>
      <c r="G752" s="343"/>
      <c r="H752" s="343"/>
      <c r="I752" s="343"/>
      <c r="J752" s="343"/>
      <c r="K752" s="343"/>
      <c r="L752" s="343"/>
    </row>
    <row r="753" spans="2:12" x14ac:dyDescent="0.2">
      <c r="B753" s="144"/>
      <c r="D753" s="341"/>
      <c r="F753" s="343"/>
      <c r="G753" s="343"/>
      <c r="H753" s="343"/>
      <c r="I753" s="343"/>
      <c r="J753" s="343"/>
      <c r="K753" s="343"/>
      <c r="L753" s="343"/>
    </row>
    <row r="754" spans="2:12" x14ac:dyDescent="0.2">
      <c r="B754" s="144"/>
      <c r="D754" s="341"/>
      <c r="F754" s="343"/>
      <c r="G754" s="343"/>
      <c r="H754" s="343"/>
      <c r="I754" s="343"/>
      <c r="J754" s="343"/>
      <c r="K754" s="343"/>
      <c r="L754" s="343"/>
    </row>
    <row r="755" spans="2:12" x14ac:dyDescent="0.2">
      <c r="B755" s="144"/>
      <c r="D755" s="341"/>
      <c r="F755" s="343"/>
      <c r="G755" s="343"/>
      <c r="H755" s="343"/>
      <c r="I755" s="343"/>
      <c r="J755" s="343"/>
      <c r="K755" s="343"/>
      <c r="L755" s="343"/>
    </row>
    <row r="756" spans="2:12" x14ac:dyDescent="0.2">
      <c r="B756" s="144"/>
      <c r="D756" s="341"/>
      <c r="F756" s="343"/>
      <c r="G756" s="343"/>
      <c r="H756" s="343"/>
      <c r="I756" s="343"/>
      <c r="J756" s="343"/>
      <c r="K756" s="343"/>
      <c r="L756" s="343"/>
    </row>
    <row r="757" spans="2:12" x14ac:dyDescent="0.2">
      <c r="B757" s="144"/>
      <c r="D757" s="341"/>
      <c r="F757" s="343"/>
      <c r="G757" s="343"/>
      <c r="H757" s="343"/>
      <c r="I757" s="343"/>
      <c r="J757" s="343"/>
      <c r="K757" s="343"/>
      <c r="L757" s="343"/>
    </row>
    <row r="758" spans="2:12" x14ac:dyDescent="0.2">
      <c r="B758" s="144"/>
      <c r="D758" s="341"/>
      <c r="F758" s="343"/>
      <c r="G758" s="343"/>
      <c r="H758" s="343"/>
      <c r="I758" s="343"/>
      <c r="J758" s="343"/>
      <c r="K758" s="343"/>
      <c r="L758" s="343"/>
    </row>
    <row r="759" spans="2:12" x14ac:dyDescent="0.2">
      <c r="B759" s="144"/>
      <c r="D759" s="341"/>
      <c r="F759" s="343"/>
      <c r="G759" s="343"/>
      <c r="H759" s="343"/>
      <c r="I759" s="343"/>
      <c r="J759" s="343"/>
      <c r="K759" s="343"/>
      <c r="L759" s="343"/>
    </row>
    <row r="760" spans="2:12" x14ac:dyDescent="0.2">
      <c r="B760" s="144"/>
      <c r="D760" s="341"/>
      <c r="F760" s="343"/>
      <c r="G760" s="343"/>
      <c r="H760" s="343"/>
      <c r="I760" s="343"/>
      <c r="J760" s="343"/>
      <c r="K760" s="343"/>
      <c r="L760" s="343"/>
    </row>
    <row r="761" spans="2:12" x14ac:dyDescent="0.2">
      <c r="B761" s="144"/>
      <c r="D761" s="341"/>
      <c r="F761" s="343"/>
      <c r="G761" s="343"/>
      <c r="H761" s="343"/>
      <c r="I761" s="343"/>
      <c r="J761" s="343"/>
      <c r="K761" s="343"/>
      <c r="L761" s="343"/>
    </row>
    <row r="762" spans="2:12" x14ac:dyDescent="0.2">
      <c r="B762" s="144"/>
      <c r="D762" s="341"/>
      <c r="F762" s="343"/>
      <c r="G762" s="343"/>
      <c r="H762" s="343"/>
      <c r="I762" s="343"/>
      <c r="J762" s="343"/>
      <c r="K762" s="343"/>
      <c r="L762" s="343"/>
    </row>
    <row r="763" spans="2:12" x14ac:dyDescent="0.2">
      <c r="B763" s="144"/>
      <c r="D763" s="341"/>
      <c r="F763" s="343"/>
      <c r="G763" s="343"/>
      <c r="H763" s="343"/>
      <c r="I763" s="343"/>
      <c r="J763" s="343"/>
      <c r="K763" s="343"/>
      <c r="L763" s="343"/>
    </row>
    <row r="764" spans="2:12" x14ac:dyDescent="0.2">
      <c r="B764" s="144"/>
      <c r="D764" s="341"/>
      <c r="F764" s="343"/>
      <c r="G764" s="343"/>
      <c r="H764" s="343"/>
      <c r="I764" s="343"/>
      <c r="J764" s="343"/>
      <c r="K764" s="343"/>
      <c r="L764" s="343"/>
    </row>
    <row r="765" spans="2:12" x14ac:dyDescent="0.2">
      <c r="B765" s="144"/>
      <c r="D765" s="341"/>
      <c r="F765" s="343"/>
      <c r="G765" s="343"/>
      <c r="H765" s="343"/>
      <c r="I765" s="343"/>
      <c r="J765" s="343"/>
      <c r="K765" s="343"/>
      <c r="L765" s="343"/>
    </row>
    <row r="766" spans="2:12" x14ac:dyDescent="0.2">
      <c r="B766" s="144"/>
      <c r="D766" s="341"/>
      <c r="F766" s="343"/>
      <c r="G766" s="343"/>
      <c r="H766" s="343"/>
      <c r="I766" s="343"/>
      <c r="J766" s="343"/>
      <c r="K766" s="343"/>
      <c r="L766" s="343"/>
    </row>
    <row r="767" spans="2:12" x14ac:dyDescent="0.2">
      <c r="B767" s="144"/>
      <c r="D767" s="341"/>
      <c r="F767" s="343"/>
      <c r="G767" s="343"/>
      <c r="H767" s="343"/>
      <c r="I767" s="343"/>
      <c r="J767" s="343"/>
      <c r="K767" s="343"/>
      <c r="L767" s="343"/>
    </row>
    <row r="768" spans="2:12" x14ac:dyDescent="0.2">
      <c r="B768" s="144"/>
      <c r="D768" s="341"/>
      <c r="F768" s="343"/>
      <c r="G768" s="343"/>
      <c r="H768" s="343"/>
      <c r="I768" s="343"/>
      <c r="J768" s="343"/>
      <c r="K768" s="343"/>
      <c r="L768" s="343"/>
    </row>
    <row r="769" spans="2:12" x14ac:dyDescent="0.2">
      <c r="B769" s="144"/>
      <c r="D769" s="341"/>
      <c r="F769" s="343"/>
      <c r="G769" s="343"/>
      <c r="H769" s="343"/>
      <c r="I769" s="343"/>
      <c r="J769" s="343"/>
      <c r="K769" s="343"/>
      <c r="L769" s="343"/>
    </row>
    <row r="770" spans="2:12" x14ac:dyDescent="0.2">
      <c r="B770" s="144"/>
      <c r="D770" s="341"/>
      <c r="F770" s="343"/>
      <c r="G770" s="343"/>
      <c r="H770" s="343"/>
      <c r="I770" s="343"/>
      <c r="J770" s="343"/>
      <c r="K770" s="343"/>
      <c r="L770" s="343"/>
    </row>
    <row r="771" spans="2:12" x14ac:dyDescent="0.2">
      <c r="B771" s="144"/>
      <c r="D771" s="341"/>
      <c r="F771" s="343"/>
      <c r="G771" s="343"/>
      <c r="H771" s="343"/>
      <c r="I771" s="343"/>
      <c r="J771" s="343"/>
      <c r="K771" s="343"/>
      <c r="L771" s="343"/>
    </row>
    <row r="772" spans="2:12" x14ac:dyDescent="0.2">
      <c r="B772" s="144"/>
      <c r="D772" s="341"/>
      <c r="F772" s="343"/>
      <c r="G772" s="343"/>
      <c r="H772" s="343"/>
      <c r="I772" s="343"/>
      <c r="J772" s="343"/>
      <c r="K772" s="343"/>
      <c r="L772" s="343"/>
    </row>
    <row r="773" spans="2:12" x14ac:dyDescent="0.2">
      <c r="B773" s="144"/>
      <c r="D773" s="341"/>
      <c r="F773" s="343"/>
      <c r="G773" s="343"/>
      <c r="H773" s="343"/>
      <c r="I773" s="343"/>
      <c r="J773" s="343"/>
      <c r="K773" s="343"/>
      <c r="L773" s="343"/>
    </row>
    <row r="774" spans="2:12" x14ac:dyDescent="0.2">
      <c r="B774" s="144"/>
      <c r="D774" s="341"/>
      <c r="F774" s="343"/>
      <c r="G774" s="343"/>
      <c r="H774" s="343"/>
      <c r="I774" s="343"/>
      <c r="J774" s="343"/>
      <c r="K774" s="343"/>
      <c r="L774" s="343"/>
    </row>
    <row r="775" spans="2:12" x14ac:dyDescent="0.2">
      <c r="B775" s="144"/>
      <c r="D775" s="341"/>
      <c r="F775" s="343"/>
      <c r="G775" s="343"/>
      <c r="H775" s="343"/>
      <c r="I775" s="343"/>
      <c r="J775" s="343"/>
      <c r="K775" s="343"/>
      <c r="L775" s="343"/>
    </row>
    <row r="776" spans="2:12" x14ac:dyDescent="0.2">
      <c r="B776" s="144"/>
      <c r="D776" s="341"/>
      <c r="F776" s="343"/>
      <c r="G776" s="343"/>
      <c r="H776" s="343"/>
      <c r="I776" s="343"/>
      <c r="J776" s="343"/>
      <c r="K776" s="343"/>
      <c r="L776" s="343"/>
    </row>
    <row r="777" spans="2:12" x14ac:dyDescent="0.2">
      <c r="B777" s="144"/>
      <c r="D777" s="341"/>
      <c r="F777" s="343"/>
      <c r="G777" s="343"/>
      <c r="H777" s="343"/>
      <c r="I777" s="343"/>
      <c r="J777" s="343"/>
      <c r="K777" s="343"/>
      <c r="L777" s="343"/>
    </row>
    <row r="778" spans="2:12" x14ac:dyDescent="0.2">
      <c r="B778" s="144"/>
      <c r="D778" s="341"/>
      <c r="F778" s="343"/>
      <c r="G778" s="343"/>
      <c r="H778" s="343"/>
      <c r="I778" s="343"/>
      <c r="J778" s="343"/>
      <c r="K778" s="343"/>
      <c r="L778" s="343"/>
    </row>
    <row r="779" spans="2:12" x14ac:dyDescent="0.2">
      <c r="B779" s="144"/>
      <c r="D779" s="341"/>
      <c r="F779" s="343"/>
      <c r="G779" s="343"/>
      <c r="H779" s="343"/>
      <c r="I779" s="343"/>
      <c r="J779" s="343"/>
      <c r="K779" s="343"/>
      <c r="L779" s="343"/>
    </row>
    <row r="780" spans="2:12" x14ac:dyDescent="0.2">
      <c r="B780" s="144"/>
      <c r="D780" s="341"/>
      <c r="F780" s="343"/>
      <c r="G780" s="343"/>
      <c r="H780" s="343"/>
      <c r="I780" s="343"/>
      <c r="J780" s="343"/>
      <c r="K780" s="343"/>
      <c r="L780" s="343"/>
    </row>
    <row r="781" spans="2:12" x14ac:dyDescent="0.2">
      <c r="B781" s="144"/>
      <c r="D781" s="341"/>
      <c r="F781" s="343"/>
      <c r="G781" s="343"/>
      <c r="H781" s="343"/>
      <c r="I781" s="343"/>
      <c r="J781" s="343"/>
      <c r="K781" s="343"/>
      <c r="L781" s="343"/>
    </row>
    <row r="782" spans="2:12" x14ac:dyDescent="0.2">
      <c r="B782" s="144"/>
      <c r="D782" s="341"/>
      <c r="F782" s="343"/>
      <c r="G782" s="343"/>
      <c r="H782" s="343"/>
      <c r="I782" s="343"/>
      <c r="J782" s="343"/>
      <c r="K782" s="343"/>
      <c r="L782" s="343"/>
    </row>
    <row r="783" spans="2:12" x14ac:dyDescent="0.2">
      <c r="B783" s="144"/>
      <c r="D783" s="341"/>
      <c r="F783" s="343"/>
      <c r="G783" s="343"/>
      <c r="H783" s="343"/>
      <c r="I783" s="343"/>
      <c r="J783" s="343"/>
      <c r="K783" s="343"/>
      <c r="L783" s="343"/>
    </row>
    <row r="784" spans="2:12" x14ac:dyDescent="0.2">
      <c r="B784" s="144"/>
      <c r="D784" s="341"/>
      <c r="F784" s="343"/>
      <c r="G784" s="343"/>
      <c r="H784" s="343"/>
      <c r="I784" s="343"/>
      <c r="J784" s="343"/>
      <c r="K784" s="343"/>
      <c r="L784" s="343"/>
    </row>
    <row r="785" spans="2:12" x14ac:dyDescent="0.2">
      <c r="B785" s="144"/>
      <c r="D785" s="341"/>
      <c r="F785" s="343"/>
      <c r="G785" s="343"/>
      <c r="H785" s="343"/>
      <c r="I785" s="343"/>
      <c r="J785" s="343"/>
      <c r="K785" s="343"/>
      <c r="L785" s="343"/>
    </row>
    <row r="786" spans="2:12" x14ac:dyDescent="0.2">
      <c r="B786" s="144"/>
      <c r="D786" s="341"/>
      <c r="F786" s="343"/>
      <c r="G786" s="343"/>
      <c r="H786" s="343"/>
      <c r="I786" s="343"/>
      <c r="J786" s="343"/>
      <c r="K786" s="343"/>
      <c r="L786" s="343"/>
    </row>
    <row r="787" spans="2:12" x14ac:dyDescent="0.2">
      <c r="B787" s="144"/>
      <c r="D787" s="341"/>
      <c r="F787" s="343"/>
      <c r="G787" s="343"/>
      <c r="H787" s="343"/>
      <c r="I787" s="343"/>
      <c r="J787" s="343"/>
      <c r="K787" s="343"/>
      <c r="L787" s="343"/>
    </row>
    <row r="788" spans="2:12" x14ac:dyDescent="0.2">
      <c r="B788" s="144"/>
      <c r="D788" s="341"/>
      <c r="F788" s="343"/>
      <c r="G788" s="343"/>
      <c r="H788" s="343"/>
      <c r="I788" s="343"/>
      <c r="J788" s="343"/>
      <c r="K788" s="343"/>
      <c r="L788" s="343"/>
    </row>
    <row r="789" spans="2:12" x14ac:dyDescent="0.2">
      <c r="B789" s="144"/>
      <c r="D789" s="341"/>
      <c r="F789" s="343"/>
      <c r="G789" s="343"/>
      <c r="H789" s="343"/>
      <c r="I789" s="343"/>
      <c r="J789" s="343"/>
      <c r="K789" s="343"/>
      <c r="L789" s="343"/>
    </row>
    <row r="790" spans="2:12" x14ac:dyDescent="0.2">
      <c r="B790" s="144"/>
      <c r="D790" s="341"/>
      <c r="F790" s="343"/>
      <c r="G790" s="343"/>
      <c r="H790" s="343"/>
      <c r="I790" s="343"/>
      <c r="J790" s="343"/>
      <c r="K790" s="343"/>
      <c r="L790" s="343"/>
    </row>
    <row r="791" spans="2:12" x14ac:dyDescent="0.2">
      <c r="B791" s="144"/>
      <c r="D791" s="341"/>
      <c r="F791" s="343"/>
      <c r="G791" s="343"/>
      <c r="H791" s="343"/>
      <c r="I791" s="343"/>
      <c r="J791" s="343"/>
      <c r="K791" s="343"/>
      <c r="L791" s="343"/>
    </row>
    <row r="792" spans="2:12" x14ac:dyDescent="0.2">
      <c r="B792" s="144"/>
      <c r="D792" s="341"/>
      <c r="F792" s="343"/>
      <c r="G792" s="343"/>
      <c r="H792" s="343"/>
      <c r="I792" s="343"/>
      <c r="J792" s="343"/>
      <c r="K792" s="343"/>
      <c r="L792" s="343"/>
    </row>
    <row r="793" spans="2:12" x14ac:dyDescent="0.2">
      <c r="B793" s="144"/>
      <c r="D793" s="341"/>
      <c r="F793" s="343"/>
      <c r="G793" s="343"/>
      <c r="H793" s="343"/>
      <c r="I793" s="343"/>
      <c r="J793" s="343"/>
      <c r="K793" s="343"/>
      <c r="L793" s="343"/>
    </row>
    <row r="794" spans="2:12" x14ac:dyDescent="0.2">
      <c r="B794" s="144"/>
      <c r="D794" s="341"/>
      <c r="F794" s="343"/>
      <c r="G794" s="343"/>
      <c r="H794" s="343"/>
      <c r="I794" s="343"/>
      <c r="J794" s="343"/>
      <c r="K794" s="343"/>
      <c r="L794" s="343"/>
    </row>
    <row r="795" spans="2:12" x14ac:dyDescent="0.2">
      <c r="B795" s="144"/>
      <c r="D795" s="341"/>
      <c r="F795" s="343"/>
      <c r="G795" s="343"/>
      <c r="H795" s="343"/>
      <c r="I795" s="343"/>
      <c r="J795" s="343"/>
      <c r="K795" s="343"/>
      <c r="L795" s="343"/>
    </row>
    <row r="796" spans="2:12" x14ac:dyDescent="0.2">
      <c r="B796" s="144"/>
      <c r="D796" s="341"/>
      <c r="F796" s="343"/>
      <c r="G796" s="343"/>
      <c r="H796" s="343"/>
      <c r="I796" s="343"/>
      <c r="J796" s="343"/>
      <c r="K796" s="343"/>
      <c r="L796" s="343"/>
    </row>
    <row r="797" spans="2:12" x14ac:dyDescent="0.2">
      <c r="B797" s="144"/>
      <c r="D797" s="341"/>
      <c r="F797" s="343"/>
      <c r="G797" s="343"/>
      <c r="H797" s="343"/>
      <c r="I797" s="343"/>
      <c r="J797" s="343"/>
      <c r="K797" s="343"/>
      <c r="L797" s="343"/>
    </row>
    <row r="798" spans="2:12" x14ac:dyDescent="0.2">
      <c r="B798" s="144"/>
      <c r="D798" s="341"/>
      <c r="F798" s="343"/>
      <c r="G798" s="343"/>
      <c r="H798" s="343"/>
      <c r="I798" s="343"/>
      <c r="J798" s="343"/>
      <c r="K798" s="343"/>
      <c r="L798" s="343"/>
    </row>
    <row r="799" spans="2:12" x14ac:dyDescent="0.2">
      <c r="B799" s="144"/>
      <c r="D799" s="341"/>
      <c r="F799" s="343"/>
      <c r="G799" s="343"/>
      <c r="H799" s="343"/>
      <c r="I799" s="343"/>
      <c r="J799" s="343"/>
      <c r="K799" s="343"/>
      <c r="L799" s="343"/>
    </row>
    <row r="800" spans="2:12" x14ac:dyDescent="0.2">
      <c r="B800" s="144"/>
      <c r="D800" s="341"/>
      <c r="F800" s="343"/>
      <c r="G800" s="343"/>
      <c r="H800" s="343"/>
      <c r="I800" s="343"/>
      <c r="J800" s="343"/>
      <c r="K800" s="343"/>
      <c r="L800" s="343"/>
    </row>
    <row r="801" spans="2:12" x14ac:dyDescent="0.2">
      <c r="B801" s="144"/>
      <c r="D801" s="341"/>
      <c r="F801" s="343"/>
      <c r="G801" s="343"/>
      <c r="H801" s="343"/>
      <c r="I801" s="343"/>
      <c r="J801" s="343"/>
      <c r="K801" s="343"/>
      <c r="L801" s="343"/>
    </row>
    <row r="802" spans="2:12" x14ac:dyDescent="0.2">
      <c r="B802" s="144"/>
      <c r="D802" s="341"/>
      <c r="F802" s="343"/>
      <c r="G802" s="343"/>
      <c r="H802" s="343"/>
      <c r="I802" s="343"/>
      <c r="J802" s="343"/>
      <c r="K802" s="343"/>
      <c r="L802" s="343"/>
    </row>
    <row r="803" spans="2:12" x14ac:dyDescent="0.2">
      <c r="B803" s="144"/>
      <c r="D803" s="341"/>
      <c r="F803" s="343"/>
      <c r="G803" s="343"/>
      <c r="H803" s="343"/>
      <c r="I803" s="343"/>
      <c r="J803" s="343"/>
      <c r="K803" s="343"/>
      <c r="L803" s="343"/>
    </row>
    <row r="804" spans="2:12" x14ac:dyDescent="0.2">
      <c r="B804" s="144"/>
      <c r="D804" s="341"/>
      <c r="F804" s="343"/>
      <c r="G804" s="343"/>
      <c r="H804" s="343"/>
      <c r="I804" s="343"/>
      <c r="J804" s="343"/>
      <c r="K804" s="343"/>
      <c r="L804" s="343"/>
    </row>
    <row r="805" spans="2:12" x14ac:dyDescent="0.2">
      <c r="B805" s="144"/>
      <c r="D805" s="341"/>
      <c r="F805" s="343"/>
      <c r="G805" s="343"/>
      <c r="H805" s="343"/>
      <c r="I805" s="343"/>
      <c r="J805" s="343"/>
      <c r="K805" s="343"/>
      <c r="L805" s="343"/>
    </row>
    <row r="806" spans="2:12" x14ac:dyDescent="0.2">
      <c r="B806" s="144"/>
      <c r="D806" s="341"/>
      <c r="F806" s="343"/>
      <c r="G806" s="343"/>
      <c r="H806" s="343"/>
      <c r="I806" s="343"/>
      <c r="J806" s="343"/>
      <c r="K806" s="343"/>
      <c r="L806" s="343"/>
    </row>
    <row r="807" spans="2:12" x14ac:dyDescent="0.2">
      <c r="B807" s="144"/>
      <c r="D807" s="341"/>
      <c r="F807" s="343"/>
      <c r="G807" s="343"/>
      <c r="H807" s="343"/>
      <c r="I807" s="343"/>
      <c r="J807" s="343"/>
      <c r="K807" s="343"/>
      <c r="L807" s="343"/>
    </row>
    <row r="808" spans="2:12" x14ac:dyDescent="0.2">
      <c r="B808" s="144"/>
      <c r="D808" s="341"/>
      <c r="F808" s="343"/>
      <c r="G808" s="343"/>
      <c r="H808" s="343"/>
      <c r="I808" s="343"/>
      <c r="J808" s="343"/>
      <c r="K808" s="343"/>
      <c r="L808" s="343"/>
    </row>
    <row r="809" spans="2:12" x14ac:dyDescent="0.2">
      <c r="B809" s="144"/>
      <c r="D809" s="341"/>
      <c r="F809" s="343"/>
      <c r="G809" s="343"/>
      <c r="H809" s="343"/>
      <c r="I809" s="343"/>
      <c r="J809" s="343"/>
      <c r="K809" s="343"/>
      <c r="L809" s="343"/>
    </row>
    <row r="810" spans="2:12" x14ac:dyDescent="0.2">
      <c r="B810" s="144"/>
      <c r="D810" s="341"/>
      <c r="F810" s="343"/>
      <c r="G810" s="343"/>
      <c r="H810" s="343"/>
      <c r="I810" s="343"/>
      <c r="J810" s="343"/>
      <c r="K810" s="343"/>
      <c r="L810" s="343"/>
    </row>
    <row r="811" spans="2:12" x14ac:dyDescent="0.2">
      <c r="B811" s="144"/>
      <c r="D811" s="341"/>
      <c r="F811" s="343"/>
      <c r="G811" s="343"/>
      <c r="H811" s="343"/>
      <c r="I811" s="343"/>
      <c r="J811" s="343"/>
      <c r="K811" s="343"/>
      <c r="L811" s="343"/>
    </row>
    <row r="812" spans="2:12" x14ac:dyDescent="0.2">
      <c r="B812" s="144"/>
      <c r="D812" s="341"/>
      <c r="F812" s="343"/>
      <c r="G812" s="343"/>
      <c r="H812" s="343"/>
      <c r="I812" s="343"/>
      <c r="J812" s="343"/>
      <c r="K812" s="343"/>
      <c r="L812" s="343"/>
    </row>
    <row r="813" spans="2:12" x14ac:dyDescent="0.2">
      <c r="B813" s="144"/>
      <c r="D813" s="341"/>
      <c r="F813" s="343"/>
      <c r="G813" s="343"/>
      <c r="H813" s="343"/>
      <c r="I813" s="343"/>
      <c r="J813" s="343"/>
      <c r="K813" s="343"/>
      <c r="L813" s="343"/>
    </row>
    <row r="814" spans="2:12" x14ac:dyDescent="0.2">
      <c r="B814" s="144"/>
      <c r="D814" s="341"/>
      <c r="F814" s="343"/>
      <c r="G814" s="343"/>
      <c r="H814" s="343"/>
      <c r="I814" s="343"/>
      <c r="J814" s="343"/>
      <c r="K814" s="343"/>
      <c r="L814" s="343"/>
    </row>
    <row r="815" spans="2:12" x14ac:dyDescent="0.2">
      <c r="B815" s="144"/>
      <c r="D815" s="341"/>
      <c r="F815" s="343"/>
      <c r="G815" s="343"/>
      <c r="H815" s="343"/>
      <c r="I815" s="343"/>
      <c r="J815" s="343"/>
      <c r="K815" s="343"/>
      <c r="L815" s="343"/>
    </row>
    <row r="816" spans="2:12" x14ac:dyDescent="0.2">
      <c r="B816" s="144"/>
      <c r="D816" s="341"/>
      <c r="F816" s="343"/>
      <c r="G816" s="343"/>
      <c r="H816" s="343"/>
      <c r="I816" s="343"/>
      <c r="J816" s="343"/>
      <c r="K816" s="343"/>
      <c r="L816" s="343"/>
    </row>
    <row r="817" spans="2:12" x14ac:dyDescent="0.2">
      <c r="B817" s="144"/>
      <c r="D817" s="341"/>
      <c r="F817" s="343"/>
      <c r="G817" s="343"/>
      <c r="H817" s="343"/>
      <c r="I817" s="343"/>
      <c r="J817" s="343"/>
      <c r="K817" s="343"/>
      <c r="L817" s="343"/>
    </row>
    <row r="818" spans="2:12" x14ac:dyDescent="0.2">
      <c r="B818" s="144"/>
      <c r="D818" s="341"/>
      <c r="F818" s="343"/>
      <c r="G818" s="343"/>
      <c r="H818" s="343"/>
      <c r="I818" s="343"/>
      <c r="J818" s="343"/>
      <c r="K818" s="343"/>
      <c r="L818" s="343"/>
    </row>
    <row r="819" spans="2:12" x14ac:dyDescent="0.2">
      <c r="B819" s="144"/>
      <c r="D819" s="341"/>
      <c r="F819" s="343"/>
      <c r="G819" s="343"/>
      <c r="H819" s="343"/>
      <c r="I819" s="343"/>
      <c r="J819" s="343"/>
      <c r="K819" s="343"/>
      <c r="L819" s="343"/>
    </row>
    <row r="820" spans="2:12" x14ac:dyDescent="0.2">
      <c r="B820" s="144"/>
      <c r="D820" s="341"/>
      <c r="F820" s="343"/>
      <c r="G820" s="343"/>
      <c r="H820" s="343"/>
      <c r="I820" s="343"/>
      <c r="J820" s="343"/>
      <c r="K820" s="343"/>
      <c r="L820" s="343"/>
    </row>
    <row r="821" spans="2:12" x14ac:dyDescent="0.2">
      <c r="B821" s="144"/>
      <c r="D821" s="341"/>
      <c r="F821" s="343"/>
      <c r="G821" s="343"/>
      <c r="H821" s="343"/>
      <c r="I821" s="343"/>
      <c r="J821" s="343"/>
      <c r="K821" s="343"/>
      <c r="L821" s="343"/>
    </row>
    <row r="822" spans="2:12" x14ac:dyDescent="0.2">
      <c r="B822" s="144"/>
      <c r="D822" s="341"/>
      <c r="F822" s="343"/>
      <c r="G822" s="343"/>
      <c r="H822" s="343"/>
      <c r="I822" s="343"/>
      <c r="J822" s="343"/>
      <c r="K822" s="343"/>
      <c r="L822" s="343"/>
    </row>
    <row r="823" spans="2:12" x14ac:dyDescent="0.2">
      <c r="B823" s="144"/>
      <c r="D823" s="341"/>
      <c r="F823" s="343"/>
      <c r="G823" s="343"/>
      <c r="H823" s="343"/>
      <c r="I823" s="343"/>
      <c r="J823" s="343"/>
      <c r="K823" s="343"/>
      <c r="L823" s="343"/>
    </row>
    <row r="824" spans="2:12" x14ac:dyDescent="0.2">
      <c r="B824" s="144"/>
      <c r="D824" s="341"/>
      <c r="F824" s="343"/>
      <c r="G824" s="343"/>
      <c r="H824" s="343"/>
      <c r="I824" s="343"/>
      <c r="J824" s="343"/>
      <c r="K824" s="343"/>
      <c r="L824" s="343"/>
    </row>
    <row r="825" spans="2:12" x14ac:dyDescent="0.2">
      <c r="B825" s="144"/>
      <c r="D825" s="341"/>
      <c r="F825" s="343"/>
      <c r="G825" s="343"/>
      <c r="H825" s="343"/>
      <c r="I825" s="343"/>
      <c r="J825" s="343"/>
      <c r="K825" s="343"/>
      <c r="L825" s="343"/>
    </row>
    <row r="826" spans="2:12" x14ac:dyDescent="0.2">
      <c r="B826" s="144"/>
      <c r="D826" s="341"/>
      <c r="F826" s="343"/>
      <c r="G826" s="343"/>
      <c r="H826" s="343"/>
      <c r="I826" s="343"/>
      <c r="J826" s="343"/>
      <c r="K826" s="343"/>
      <c r="L826" s="343"/>
    </row>
    <row r="827" spans="2:12" x14ac:dyDescent="0.2">
      <c r="B827" s="144"/>
      <c r="D827" s="341"/>
      <c r="F827" s="343"/>
      <c r="G827" s="343"/>
      <c r="H827" s="343"/>
      <c r="I827" s="343"/>
      <c r="J827" s="343"/>
      <c r="K827" s="343"/>
      <c r="L827" s="343"/>
    </row>
    <row r="828" spans="2:12" x14ac:dyDescent="0.2">
      <c r="B828" s="144"/>
      <c r="D828" s="341"/>
      <c r="F828" s="343"/>
      <c r="G828" s="343"/>
      <c r="H828" s="343"/>
      <c r="I828" s="343"/>
      <c r="J828" s="343"/>
      <c r="K828" s="343"/>
      <c r="L828" s="343"/>
    </row>
    <row r="829" spans="2:12" x14ac:dyDescent="0.2">
      <c r="B829" s="144"/>
      <c r="D829" s="341"/>
      <c r="F829" s="343"/>
      <c r="G829" s="343"/>
      <c r="H829" s="343"/>
      <c r="I829" s="343"/>
      <c r="J829" s="343"/>
      <c r="K829" s="343"/>
      <c r="L829" s="343"/>
    </row>
    <row r="830" spans="2:12" x14ac:dyDescent="0.2">
      <c r="B830" s="144"/>
      <c r="D830" s="341"/>
      <c r="F830" s="343"/>
      <c r="G830" s="343"/>
      <c r="H830" s="343"/>
      <c r="I830" s="343"/>
      <c r="J830" s="343"/>
      <c r="K830" s="343"/>
      <c r="L830" s="343"/>
    </row>
    <row r="831" spans="2:12" x14ac:dyDescent="0.2">
      <c r="B831" s="144"/>
      <c r="D831" s="341"/>
      <c r="F831" s="343"/>
      <c r="G831" s="343"/>
      <c r="H831" s="343"/>
      <c r="I831" s="343"/>
      <c r="J831" s="343"/>
      <c r="K831" s="343"/>
      <c r="L831" s="343"/>
    </row>
    <row r="832" spans="2:12" x14ac:dyDescent="0.2">
      <c r="B832" s="144"/>
      <c r="D832" s="341"/>
      <c r="F832" s="343"/>
      <c r="G832" s="343"/>
      <c r="H832" s="343"/>
      <c r="I832" s="343"/>
      <c r="J832" s="343"/>
      <c r="K832" s="343"/>
      <c r="L832" s="343"/>
    </row>
    <row r="833" spans="2:12" x14ac:dyDescent="0.2">
      <c r="B833" s="144"/>
      <c r="D833" s="341"/>
      <c r="F833" s="343"/>
      <c r="G833" s="343"/>
      <c r="H833" s="343"/>
      <c r="I833" s="343"/>
      <c r="J833" s="343"/>
      <c r="K833" s="343"/>
      <c r="L833" s="343"/>
    </row>
    <row r="834" spans="2:12" x14ac:dyDescent="0.2">
      <c r="B834" s="144"/>
      <c r="D834" s="341"/>
      <c r="F834" s="343"/>
      <c r="G834" s="343"/>
      <c r="H834" s="343"/>
      <c r="I834" s="343"/>
      <c r="J834" s="343"/>
      <c r="K834" s="343"/>
      <c r="L834" s="343"/>
    </row>
    <row r="835" spans="2:12" x14ac:dyDescent="0.2">
      <c r="B835" s="144"/>
      <c r="D835" s="341"/>
      <c r="F835" s="343"/>
      <c r="G835" s="343"/>
      <c r="H835" s="343"/>
      <c r="I835" s="343"/>
      <c r="J835" s="343"/>
      <c r="K835" s="343"/>
      <c r="L835" s="343"/>
    </row>
    <row r="836" spans="2:12" x14ac:dyDescent="0.2">
      <c r="B836" s="144"/>
      <c r="D836" s="341"/>
      <c r="F836" s="343"/>
      <c r="G836" s="343"/>
      <c r="H836" s="343"/>
      <c r="I836" s="343"/>
      <c r="J836" s="343"/>
      <c r="K836" s="343"/>
      <c r="L836" s="343"/>
    </row>
    <row r="837" spans="2:12" x14ac:dyDescent="0.2">
      <c r="B837" s="144"/>
      <c r="D837" s="341"/>
      <c r="F837" s="343"/>
      <c r="G837" s="343"/>
      <c r="H837" s="343"/>
      <c r="I837" s="343"/>
      <c r="J837" s="343"/>
      <c r="K837" s="343"/>
      <c r="L837" s="343"/>
    </row>
    <row r="838" spans="2:12" x14ac:dyDescent="0.2">
      <c r="B838" s="144"/>
      <c r="D838" s="341"/>
      <c r="F838" s="343"/>
      <c r="G838" s="343"/>
      <c r="H838" s="343"/>
      <c r="I838" s="343"/>
      <c r="J838" s="343"/>
      <c r="K838" s="343"/>
      <c r="L838" s="343"/>
    </row>
    <row r="839" spans="2:12" x14ac:dyDescent="0.2">
      <c r="B839" s="144"/>
      <c r="D839" s="341"/>
      <c r="F839" s="343"/>
      <c r="G839" s="343"/>
      <c r="H839" s="343"/>
      <c r="I839" s="343"/>
      <c r="J839" s="343"/>
      <c r="K839" s="343"/>
      <c r="L839" s="343"/>
    </row>
    <row r="840" spans="2:12" x14ac:dyDescent="0.2">
      <c r="B840" s="144"/>
      <c r="D840" s="341"/>
      <c r="F840" s="343"/>
      <c r="G840" s="343"/>
      <c r="H840" s="343"/>
      <c r="I840" s="343"/>
      <c r="J840" s="343"/>
      <c r="K840" s="343"/>
      <c r="L840" s="343"/>
    </row>
    <row r="841" spans="2:12" x14ac:dyDescent="0.2">
      <c r="B841" s="144"/>
      <c r="D841" s="341"/>
      <c r="F841" s="343"/>
      <c r="G841" s="343"/>
      <c r="H841" s="343"/>
      <c r="I841" s="343"/>
      <c r="J841" s="343"/>
      <c r="K841" s="343"/>
      <c r="L841" s="343"/>
    </row>
    <row r="842" spans="2:12" x14ac:dyDescent="0.2">
      <c r="B842" s="144"/>
      <c r="D842" s="341"/>
      <c r="F842" s="343"/>
      <c r="G842" s="343"/>
      <c r="H842" s="343"/>
      <c r="I842" s="343"/>
      <c r="J842" s="343"/>
      <c r="K842" s="343"/>
      <c r="L842" s="343"/>
    </row>
    <row r="843" spans="2:12" x14ac:dyDescent="0.2">
      <c r="B843" s="144"/>
      <c r="D843" s="341"/>
      <c r="F843" s="343"/>
      <c r="G843" s="343"/>
      <c r="H843" s="343"/>
      <c r="I843" s="343"/>
      <c r="J843" s="343"/>
      <c r="K843" s="343"/>
      <c r="L843" s="343"/>
    </row>
    <row r="844" spans="2:12" x14ac:dyDescent="0.2">
      <c r="B844" s="144"/>
      <c r="D844" s="341"/>
      <c r="F844" s="343"/>
      <c r="G844" s="343"/>
      <c r="H844" s="343"/>
      <c r="I844" s="343"/>
      <c r="J844" s="343"/>
      <c r="K844" s="343"/>
      <c r="L844" s="343"/>
    </row>
    <row r="845" spans="2:12" x14ac:dyDescent="0.2">
      <c r="B845" s="144"/>
      <c r="D845" s="341"/>
      <c r="F845" s="343"/>
      <c r="G845" s="343"/>
      <c r="H845" s="343"/>
      <c r="I845" s="343"/>
      <c r="J845" s="343"/>
      <c r="K845" s="343"/>
      <c r="L845" s="343"/>
    </row>
    <row r="846" spans="2:12" x14ac:dyDescent="0.2">
      <c r="B846" s="144"/>
      <c r="D846" s="341"/>
      <c r="F846" s="343"/>
      <c r="G846" s="343"/>
      <c r="H846" s="343"/>
      <c r="I846" s="343"/>
      <c r="J846" s="343"/>
      <c r="K846" s="343"/>
      <c r="L846" s="343"/>
    </row>
    <row r="847" spans="2:12" x14ac:dyDescent="0.2">
      <c r="B847" s="144"/>
      <c r="D847" s="341"/>
      <c r="F847" s="343"/>
      <c r="G847" s="343"/>
      <c r="H847" s="343"/>
      <c r="I847" s="343"/>
      <c r="J847" s="343"/>
      <c r="K847" s="343"/>
      <c r="L847" s="343"/>
    </row>
    <row r="848" spans="2:12" x14ac:dyDescent="0.2">
      <c r="B848" s="144"/>
      <c r="D848" s="341"/>
      <c r="F848" s="343"/>
      <c r="G848" s="343"/>
      <c r="H848" s="343"/>
      <c r="I848" s="343"/>
      <c r="J848" s="343"/>
      <c r="K848" s="343"/>
      <c r="L848" s="343"/>
    </row>
    <row r="849" spans="2:12" x14ac:dyDescent="0.2">
      <c r="B849" s="144"/>
      <c r="D849" s="341"/>
      <c r="F849" s="343"/>
      <c r="G849" s="343"/>
      <c r="H849" s="343"/>
      <c r="I849" s="343"/>
      <c r="J849" s="343"/>
      <c r="K849" s="343"/>
      <c r="L849" s="343"/>
    </row>
    <row r="850" spans="2:12" x14ac:dyDescent="0.2">
      <c r="B850" s="144"/>
      <c r="D850" s="341"/>
      <c r="F850" s="343"/>
      <c r="G850" s="343"/>
      <c r="H850" s="343"/>
      <c r="I850" s="343"/>
      <c r="J850" s="343"/>
      <c r="K850" s="343"/>
      <c r="L850" s="343"/>
    </row>
    <row r="851" spans="2:12" x14ac:dyDescent="0.2">
      <c r="B851" s="144"/>
      <c r="D851" s="341"/>
      <c r="F851" s="343"/>
      <c r="G851" s="343"/>
      <c r="H851" s="343"/>
      <c r="I851" s="343"/>
      <c r="J851" s="343"/>
      <c r="K851" s="343"/>
      <c r="L851" s="343"/>
    </row>
    <row r="852" spans="2:12" x14ac:dyDescent="0.2">
      <c r="B852" s="144"/>
      <c r="D852" s="341"/>
      <c r="F852" s="343"/>
      <c r="G852" s="343"/>
      <c r="H852" s="343"/>
      <c r="I852" s="343"/>
      <c r="J852" s="343"/>
      <c r="K852" s="343"/>
      <c r="L852" s="343"/>
    </row>
    <row r="853" spans="2:12" x14ac:dyDescent="0.2">
      <c r="B853" s="144"/>
      <c r="D853" s="341"/>
      <c r="F853" s="343"/>
      <c r="G853" s="343"/>
      <c r="H853" s="343"/>
      <c r="I853" s="343"/>
      <c r="J853" s="343"/>
      <c r="K853" s="343"/>
      <c r="L853" s="343"/>
    </row>
    <row r="854" spans="2:12" x14ac:dyDescent="0.2">
      <c r="B854" s="144"/>
      <c r="D854" s="341"/>
      <c r="F854" s="343"/>
      <c r="G854" s="343"/>
      <c r="H854" s="343"/>
      <c r="I854" s="343"/>
      <c r="J854" s="343"/>
      <c r="K854" s="343"/>
      <c r="L854" s="343"/>
    </row>
    <row r="855" spans="2:12" x14ac:dyDescent="0.2">
      <c r="B855" s="144"/>
      <c r="D855" s="341"/>
      <c r="F855" s="343"/>
      <c r="G855" s="343"/>
      <c r="H855" s="343"/>
      <c r="I855" s="343"/>
      <c r="J855" s="343"/>
      <c r="K855" s="343"/>
      <c r="L855" s="343"/>
    </row>
    <row r="856" spans="2:12" x14ac:dyDescent="0.2">
      <c r="B856" s="144"/>
      <c r="D856" s="341"/>
      <c r="F856" s="343"/>
      <c r="G856" s="343"/>
      <c r="H856" s="343"/>
      <c r="I856" s="343"/>
      <c r="J856" s="343"/>
      <c r="K856" s="343"/>
      <c r="L856" s="343"/>
    </row>
    <row r="857" spans="2:12" x14ac:dyDescent="0.2">
      <c r="B857" s="144"/>
      <c r="D857" s="341"/>
      <c r="F857" s="343"/>
      <c r="G857" s="343"/>
      <c r="H857" s="343"/>
      <c r="I857" s="343"/>
      <c r="J857" s="343"/>
      <c r="K857" s="343"/>
      <c r="L857" s="343"/>
    </row>
    <row r="858" spans="2:12" x14ac:dyDescent="0.2">
      <c r="B858" s="144"/>
      <c r="D858" s="341"/>
      <c r="F858" s="343"/>
      <c r="G858" s="343"/>
      <c r="H858" s="343"/>
      <c r="I858" s="343"/>
      <c r="J858" s="343"/>
      <c r="K858" s="343"/>
      <c r="L858" s="343"/>
    </row>
    <row r="859" spans="2:12" x14ac:dyDescent="0.2">
      <c r="B859" s="144"/>
      <c r="D859" s="341"/>
      <c r="F859" s="343"/>
      <c r="G859" s="343"/>
      <c r="H859" s="343"/>
      <c r="I859" s="343"/>
      <c r="J859" s="343"/>
      <c r="K859" s="343"/>
      <c r="L859" s="343"/>
    </row>
    <row r="860" spans="2:12" x14ac:dyDescent="0.2">
      <c r="B860" s="144"/>
      <c r="D860" s="341"/>
      <c r="F860" s="343"/>
      <c r="G860" s="343"/>
      <c r="H860" s="343"/>
      <c r="I860" s="343"/>
      <c r="J860" s="343"/>
      <c r="K860" s="343"/>
      <c r="L860" s="343"/>
    </row>
    <row r="861" spans="2:12" x14ac:dyDescent="0.2">
      <c r="B861" s="144"/>
      <c r="D861" s="341"/>
      <c r="F861" s="343"/>
      <c r="G861" s="343"/>
      <c r="H861" s="343"/>
      <c r="I861" s="343"/>
      <c r="J861" s="343"/>
      <c r="K861" s="343"/>
      <c r="L861" s="343"/>
    </row>
    <row r="862" spans="2:12" x14ac:dyDescent="0.2">
      <c r="B862" s="144"/>
      <c r="D862" s="341"/>
      <c r="F862" s="343"/>
      <c r="G862" s="343"/>
      <c r="H862" s="343"/>
      <c r="I862" s="343"/>
      <c r="J862" s="343"/>
      <c r="K862" s="343"/>
      <c r="L862" s="343"/>
    </row>
    <row r="863" spans="2:12" x14ac:dyDescent="0.2">
      <c r="B863" s="144"/>
      <c r="D863" s="341"/>
      <c r="F863" s="343"/>
      <c r="G863" s="343"/>
      <c r="H863" s="343"/>
      <c r="I863" s="343"/>
      <c r="J863" s="343"/>
      <c r="K863" s="343"/>
      <c r="L863" s="343"/>
    </row>
    <row r="864" spans="2:12" x14ac:dyDescent="0.2">
      <c r="B864" s="144"/>
      <c r="D864" s="341"/>
      <c r="F864" s="343"/>
      <c r="G864" s="343"/>
      <c r="H864" s="343"/>
      <c r="I864" s="343"/>
      <c r="J864" s="343"/>
      <c r="K864" s="343"/>
      <c r="L864" s="343"/>
    </row>
    <row r="865" spans="2:12" x14ac:dyDescent="0.2">
      <c r="B865" s="144"/>
      <c r="D865" s="341"/>
      <c r="F865" s="343"/>
      <c r="G865" s="343"/>
      <c r="H865" s="343"/>
      <c r="I865" s="343"/>
      <c r="J865" s="343"/>
      <c r="K865" s="343"/>
      <c r="L865" s="343"/>
    </row>
    <row r="866" spans="2:12" x14ac:dyDescent="0.2">
      <c r="B866" s="144"/>
      <c r="D866" s="341"/>
      <c r="F866" s="343"/>
      <c r="G866" s="343"/>
      <c r="H866" s="343"/>
      <c r="I866" s="343"/>
      <c r="J866" s="343"/>
      <c r="K866" s="343"/>
      <c r="L866" s="343"/>
    </row>
    <row r="867" spans="2:12" x14ac:dyDescent="0.2">
      <c r="B867" s="144"/>
      <c r="D867" s="341"/>
      <c r="F867" s="343"/>
      <c r="G867" s="343"/>
      <c r="H867" s="343"/>
      <c r="I867" s="343"/>
      <c r="J867" s="343"/>
      <c r="K867" s="343"/>
      <c r="L867" s="343"/>
    </row>
    <row r="868" spans="2:12" x14ac:dyDescent="0.2">
      <c r="B868" s="144"/>
      <c r="D868" s="341"/>
      <c r="F868" s="343"/>
      <c r="G868" s="343"/>
      <c r="H868" s="343"/>
      <c r="I868" s="343"/>
      <c r="J868" s="343"/>
      <c r="K868" s="343"/>
      <c r="L868" s="343"/>
    </row>
    <row r="869" spans="2:12" x14ac:dyDescent="0.2">
      <c r="B869" s="144"/>
      <c r="D869" s="341"/>
      <c r="F869" s="343"/>
      <c r="G869" s="343"/>
      <c r="H869" s="343"/>
      <c r="I869" s="343"/>
      <c r="J869" s="343"/>
      <c r="K869" s="343"/>
      <c r="L869" s="343"/>
    </row>
    <row r="870" spans="2:12" x14ac:dyDescent="0.2">
      <c r="B870" s="144"/>
      <c r="D870" s="341"/>
      <c r="F870" s="343"/>
      <c r="G870" s="343"/>
      <c r="H870" s="343"/>
      <c r="I870" s="343"/>
      <c r="J870" s="343"/>
      <c r="K870" s="343"/>
      <c r="L870" s="343"/>
    </row>
    <row r="871" spans="2:12" x14ac:dyDescent="0.2">
      <c r="B871" s="144"/>
      <c r="D871" s="341"/>
      <c r="F871" s="343"/>
      <c r="G871" s="343"/>
      <c r="H871" s="343"/>
      <c r="I871" s="343"/>
      <c r="J871" s="343"/>
      <c r="K871" s="343"/>
      <c r="L871" s="343"/>
    </row>
    <row r="872" spans="2:12" x14ac:dyDescent="0.2">
      <c r="B872" s="144"/>
      <c r="D872" s="341"/>
      <c r="F872" s="343"/>
      <c r="G872" s="343"/>
      <c r="H872" s="343"/>
      <c r="I872" s="343"/>
      <c r="J872" s="343"/>
      <c r="K872" s="343"/>
      <c r="L872" s="343"/>
    </row>
    <row r="873" spans="2:12" x14ac:dyDescent="0.2">
      <c r="B873" s="144"/>
      <c r="D873" s="341"/>
      <c r="F873" s="343"/>
      <c r="G873" s="343"/>
      <c r="H873" s="343"/>
      <c r="I873" s="343"/>
      <c r="J873" s="343"/>
      <c r="K873" s="343"/>
      <c r="L873" s="343"/>
    </row>
    <row r="874" spans="2:12" x14ac:dyDescent="0.2">
      <c r="B874" s="144"/>
      <c r="D874" s="341"/>
      <c r="F874" s="343"/>
      <c r="G874" s="343"/>
      <c r="H874" s="343"/>
      <c r="I874" s="343"/>
      <c r="J874" s="343"/>
      <c r="K874" s="343"/>
      <c r="L874" s="343"/>
    </row>
    <row r="875" spans="2:12" x14ac:dyDescent="0.2">
      <c r="B875" s="144"/>
      <c r="D875" s="341"/>
      <c r="F875" s="343"/>
      <c r="G875" s="343"/>
      <c r="H875" s="343"/>
      <c r="I875" s="343"/>
      <c r="J875" s="343"/>
      <c r="K875" s="343"/>
      <c r="L875" s="343"/>
    </row>
    <row r="876" spans="2:12" x14ac:dyDescent="0.2">
      <c r="B876" s="144"/>
      <c r="D876" s="341"/>
      <c r="F876" s="343"/>
      <c r="G876" s="343"/>
      <c r="H876" s="343"/>
      <c r="I876" s="343"/>
      <c r="J876" s="343"/>
      <c r="K876" s="343"/>
      <c r="L876" s="343"/>
    </row>
    <row r="877" spans="2:12" x14ac:dyDescent="0.2">
      <c r="B877" s="144"/>
      <c r="D877" s="341"/>
      <c r="F877" s="343"/>
      <c r="G877" s="343"/>
      <c r="H877" s="343"/>
      <c r="I877" s="343"/>
      <c r="J877" s="343"/>
      <c r="K877" s="343"/>
      <c r="L877" s="343"/>
    </row>
    <row r="878" spans="2:12" x14ac:dyDescent="0.2">
      <c r="B878" s="144"/>
      <c r="D878" s="341"/>
      <c r="F878" s="343"/>
      <c r="G878" s="343"/>
      <c r="H878" s="343"/>
      <c r="I878" s="343"/>
      <c r="J878" s="343"/>
      <c r="K878" s="343"/>
      <c r="L878" s="343"/>
    </row>
    <row r="879" spans="2:12" x14ac:dyDescent="0.2">
      <c r="B879" s="144"/>
      <c r="D879" s="341"/>
      <c r="F879" s="343"/>
      <c r="G879" s="343"/>
      <c r="H879" s="343"/>
      <c r="I879" s="343"/>
      <c r="J879" s="343"/>
      <c r="K879" s="343"/>
      <c r="L879" s="343"/>
    </row>
    <row r="880" spans="2:12" x14ac:dyDescent="0.2">
      <c r="B880" s="144"/>
      <c r="D880" s="341"/>
      <c r="F880" s="343"/>
      <c r="G880" s="343"/>
      <c r="H880" s="343"/>
      <c r="I880" s="343"/>
      <c r="J880" s="343"/>
      <c r="K880" s="343"/>
      <c r="L880" s="343"/>
    </row>
    <row r="881" spans="2:12" x14ac:dyDescent="0.2">
      <c r="B881" s="144"/>
      <c r="D881" s="341"/>
      <c r="F881" s="343"/>
      <c r="G881" s="343"/>
      <c r="H881" s="343"/>
      <c r="I881" s="343"/>
      <c r="J881" s="343"/>
      <c r="K881" s="343"/>
      <c r="L881" s="343"/>
    </row>
    <row r="882" spans="2:12" x14ac:dyDescent="0.2">
      <c r="B882" s="144"/>
      <c r="D882" s="341"/>
      <c r="F882" s="343"/>
      <c r="G882" s="343"/>
      <c r="H882" s="343"/>
      <c r="I882" s="343"/>
      <c r="J882" s="343"/>
      <c r="K882" s="343"/>
      <c r="L882" s="343"/>
    </row>
    <row r="883" spans="2:12" x14ac:dyDescent="0.2">
      <c r="B883" s="144"/>
      <c r="D883" s="341"/>
      <c r="F883" s="343"/>
      <c r="G883" s="343"/>
      <c r="H883" s="343"/>
      <c r="I883" s="343"/>
      <c r="J883" s="343"/>
      <c r="K883" s="343"/>
      <c r="L883" s="343"/>
    </row>
    <row r="884" spans="2:12" x14ac:dyDescent="0.2">
      <c r="B884" s="144"/>
      <c r="D884" s="341"/>
      <c r="F884" s="343"/>
      <c r="G884" s="343"/>
      <c r="H884" s="343"/>
      <c r="I884" s="343"/>
      <c r="J884" s="343"/>
      <c r="K884" s="343"/>
      <c r="L884" s="343"/>
    </row>
    <row r="885" spans="2:12" x14ac:dyDescent="0.2">
      <c r="B885" s="144"/>
      <c r="D885" s="341"/>
      <c r="F885" s="343"/>
      <c r="G885" s="343"/>
      <c r="H885" s="343"/>
      <c r="I885" s="343"/>
      <c r="J885" s="343"/>
      <c r="K885" s="343"/>
      <c r="L885" s="343"/>
    </row>
    <row r="886" spans="2:12" x14ac:dyDescent="0.2">
      <c r="B886" s="144"/>
      <c r="D886" s="341"/>
      <c r="F886" s="343"/>
      <c r="G886" s="343"/>
      <c r="H886" s="343"/>
      <c r="I886" s="343"/>
      <c r="J886" s="343"/>
      <c r="K886" s="343"/>
      <c r="L886" s="343"/>
    </row>
    <row r="887" spans="2:12" x14ac:dyDescent="0.2">
      <c r="B887" s="144"/>
      <c r="D887" s="341"/>
      <c r="F887" s="343"/>
      <c r="G887" s="343"/>
      <c r="H887" s="343"/>
      <c r="I887" s="343"/>
      <c r="J887" s="343"/>
      <c r="K887" s="343"/>
      <c r="L887" s="343"/>
    </row>
    <row r="888" spans="2:12" x14ac:dyDescent="0.2">
      <c r="B888" s="144"/>
      <c r="D888" s="341"/>
      <c r="F888" s="343"/>
      <c r="G888" s="343"/>
      <c r="H888" s="343"/>
      <c r="I888" s="343"/>
      <c r="J888" s="343"/>
      <c r="K888" s="343"/>
      <c r="L888" s="343"/>
    </row>
    <row r="889" spans="2:12" x14ac:dyDescent="0.2">
      <c r="B889" s="144"/>
      <c r="D889" s="341"/>
      <c r="F889" s="343"/>
      <c r="G889" s="343"/>
      <c r="H889" s="343"/>
      <c r="I889" s="343"/>
      <c r="J889" s="343"/>
      <c r="K889" s="343"/>
      <c r="L889" s="343"/>
    </row>
    <row r="890" spans="2:12" x14ac:dyDescent="0.2">
      <c r="B890" s="144"/>
      <c r="D890" s="341"/>
      <c r="F890" s="343"/>
      <c r="G890" s="343"/>
      <c r="H890" s="343"/>
      <c r="I890" s="343"/>
      <c r="J890" s="343"/>
      <c r="K890" s="343"/>
      <c r="L890" s="343"/>
    </row>
    <row r="891" spans="2:12" x14ac:dyDescent="0.2">
      <c r="B891" s="144"/>
      <c r="D891" s="341"/>
      <c r="F891" s="343"/>
      <c r="G891" s="343"/>
      <c r="H891" s="343"/>
      <c r="I891" s="343"/>
      <c r="J891" s="343"/>
      <c r="K891" s="343"/>
      <c r="L891" s="343"/>
    </row>
    <row r="892" spans="2:12" x14ac:dyDescent="0.2">
      <c r="B892" s="144"/>
      <c r="D892" s="341"/>
      <c r="F892" s="343"/>
      <c r="G892" s="343"/>
      <c r="H892" s="343"/>
      <c r="I892" s="343"/>
      <c r="J892" s="343"/>
      <c r="K892" s="343"/>
      <c r="L892" s="343"/>
    </row>
    <row r="893" spans="2:12" x14ac:dyDescent="0.2">
      <c r="B893" s="144"/>
      <c r="D893" s="341"/>
      <c r="F893" s="343"/>
      <c r="G893" s="343"/>
      <c r="H893" s="343"/>
      <c r="I893" s="343"/>
      <c r="J893" s="343"/>
      <c r="K893" s="343"/>
      <c r="L893" s="343"/>
    </row>
    <row r="894" spans="2:12" x14ac:dyDescent="0.2">
      <c r="B894" s="144"/>
      <c r="D894" s="341"/>
      <c r="F894" s="343"/>
      <c r="G894" s="343"/>
      <c r="H894" s="343"/>
      <c r="I894" s="343"/>
      <c r="J894" s="343"/>
      <c r="K894" s="343"/>
      <c r="L894" s="343"/>
    </row>
    <row r="895" spans="2:12" x14ac:dyDescent="0.2">
      <c r="B895" s="144"/>
      <c r="D895" s="341"/>
      <c r="F895" s="343"/>
      <c r="G895" s="343"/>
      <c r="H895" s="343"/>
      <c r="I895" s="343"/>
      <c r="J895" s="343"/>
      <c r="K895" s="343"/>
      <c r="L895" s="343"/>
    </row>
    <row r="896" spans="2:12" x14ac:dyDescent="0.2">
      <c r="B896" s="144"/>
      <c r="D896" s="341"/>
      <c r="F896" s="343"/>
      <c r="G896" s="343"/>
      <c r="H896" s="343"/>
      <c r="I896" s="343"/>
      <c r="J896" s="343"/>
      <c r="K896" s="343"/>
      <c r="L896" s="343"/>
    </row>
    <row r="897" spans="2:12" x14ac:dyDescent="0.2">
      <c r="B897" s="144"/>
      <c r="D897" s="341"/>
      <c r="F897" s="343"/>
      <c r="G897" s="343"/>
      <c r="H897" s="343"/>
      <c r="I897" s="343"/>
      <c r="J897" s="343"/>
      <c r="K897" s="343"/>
      <c r="L897" s="343"/>
    </row>
    <row r="898" spans="2:12" x14ac:dyDescent="0.2">
      <c r="B898" s="144"/>
      <c r="D898" s="341"/>
      <c r="F898" s="343"/>
      <c r="G898" s="343"/>
      <c r="H898" s="343"/>
      <c r="I898" s="343"/>
      <c r="J898" s="343"/>
      <c r="K898" s="343"/>
      <c r="L898" s="343"/>
    </row>
    <row r="899" spans="2:12" x14ac:dyDescent="0.2">
      <c r="B899" s="144"/>
      <c r="D899" s="341"/>
      <c r="F899" s="343"/>
      <c r="G899" s="343"/>
      <c r="H899" s="343"/>
      <c r="I899" s="343"/>
      <c r="J899" s="343"/>
      <c r="K899" s="343"/>
      <c r="L899" s="343"/>
    </row>
    <row r="900" spans="2:12" x14ac:dyDescent="0.2">
      <c r="B900" s="144"/>
      <c r="D900" s="341"/>
      <c r="F900" s="343"/>
      <c r="G900" s="343"/>
      <c r="H900" s="343"/>
      <c r="I900" s="343"/>
      <c r="J900" s="343"/>
      <c r="K900" s="343"/>
      <c r="L900" s="343"/>
    </row>
    <row r="901" spans="2:12" x14ac:dyDescent="0.2">
      <c r="B901" s="144"/>
      <c r="D901" s="341"/>
      <c r="F901" s="343"/>
      <c r="G901" s="343"/>
      <c r="H901" s="343"/>
      <c r="I901" s="343"/>
      <c r="J901" s="343"/>
      <c r="K901" s="343"/>
      <c r="L901" s="343"/>
    </row>
    <row r="902" spans="2:12" x14ac:dyDescent="0.2">
      <c r="B902" s="144"/>
      <c r="D902" s="341"/>
      <c r="F902" s="343"/>
      <c r="G902" s="343"/>
      <c r="H902" s="343"/>
      <c r="I902" s="343"/>
      <c r="J902" s="343"/>
      <c r="K902" s="343"/>
      <c r="L902" s="343"/>
    </row>
    <row r="903" spans="2:12" x14ac:dyDescent="0.2">
      <c r="B903" s="144"/>
      <c r="D903" s="341"/>
      <c r="F903" s="343"/>
      <c r="G903" s="343"/>
      <c r="H903" s="343"/>
      <c r="I903" s="343"/>
      <c r="J903" s="343"/>
      <c r="K903" s="343"/>
      <c r="L903" s="343"/>
    </row>
    <row r="904" spans="2:12" x14ac:dyDescent="0.2">
      <c r="B904" s="144"/>
      <c r="D904" s="341"/>
      <c r="F904" s="343"/>
      <c r="G904" s="343"/>
      <c r="H904" s="343"/>
      <c r="I904" s="343"/>
      <c r="J904" s="343"/>
      <c r="K904" s="343"/>
      <c r="L904" s="343"/>
    </row>
    <row r="905" spans="2:12" x14ac:dyDescent="0.2">
      <c r="B905" s="144"/>
      <c r="D905" s="341"/>
      <c r="F905" s="343"/>
      <c r="G905" s="343"/>
      <c r="H905" s="343"/>
      <c r="I905" s="343"/>
      <c r="J905" s="343"/>
      <c r="K905" s="343"/>
      <c r="L905" s="343"/>
    </row>
    <row r="906" spans="2:12" x14ac:dyDescent="0.2">
      <c r="B906" s="144"/>
      <c r="D906" s="341"/>
      <c r="F906" s="343"/>
      <c r="G906" s="343"/>
      <c r="H906" s="343"/>
      <c r="I906" s="343"/>
      <c r="J906" s="343"/>
      <c r="K906" s="343"/>
      <c r="L906" s="343"/>
    </row>
    <row r="907" spans="2:12" x14ac:dyDescent="0.2">
      <c r="B907" s="144"/>
      <c r="D907" s="341"/>
      <c r="F907" s="343"/>
      <c r="G907" s="343"/>
      <c r="H907" s="343"/>
      <c r="I907" s="343"/>
      <c r="J907" s="343"/>
      <c r="K907" s="343"/>
      <c r="L907" s="343"/>
    </row>
    <row r="908" spans="2:12" x14ac:dyDescent="0.2">
      <c r="B908" s="144"/>
      <c r="D908" s="341"/>
      <c r="F908" s="343"/>
      <c r="G908" s="343"/>
      <c r="H908" s="343"/>
      <c r="I908" s="343"/>
      <c r="J908" s="343"/>
      <c r="K908" s="343"/>
      <c r="L908" s="343"/>
    </row>
    <row r="909" spans="2:12" x14ac:dyDescent="0.2">
      <c r="B909" s="144"/>
      <c r="D909" s="341"/>
      <c r="F909" s="343"/>
      <c r="G909" s="343"/>
      <c r="H909" s="343"/>
      <c r="I909" s="343"/>
      <c r="J909" s="343"/>
      <c r="K909" s="343"/>
      <c r="L909" s="343"/>
    </row>
    <row r="910" spans="2:12" x14ac:dyDescent="0.2">
      <c r="B910" s="144"/>
      <c r="D910" s="341"/>
      <c r="F910" s="343"/>
      <c r="G910" s="343"/>
      <c r="H910" s="343"/>
      <c r="I910" s="343"/>
      <c r="J910" s="343"/>
      <c r="K910" s="343"/>
      <c r="L910" s="343"/>
    </row>
    <row r="911" spans="2:12" x14ac:dyDescent="0.2">
      <c r="B911" s="144"/>
      <c r="D911" s="341"/>
      <c r="F911" s="343"/>
      <c r="G911" s="343"/>
      <c r="H911" s="343"/>
      <c r="I911" s="343"/>
      <c r="J911" s="343"/>
      <c r="K911" s="343"/>
      <c r="L911" s="343"/>
    </row>
    <row r="912" spans="2:12" x14ac:dyDescent="0.2">
      <c r="B912" s="144"/>
      <c r="D912" s="341"/>
      <c r="F912" s="343"/>
      <c r="G912" s="343"/>
      <c r="H912" s="343"/>
      <c r="I912" s="343"/>
      <c r="J912" s="343"/>
      <c r="K912" s="343"/>
      <c r="L912" s="343"/>
    </row>
    <row r="913" spans="2:12" x14ac:dyDescent="0.2">
      <c r="B913" s="144"/>
      <c r="D913" s="341"/>
      <c r="F913" s="343"/>
      <c r="G913" s="343"/>
      <c r="H913" s="343"/>
      <c r="I913" s="343"/>
      <c r="J913" s="343"/>
      <c r="K913" s="343"/>
      <c r="L913" s="343"/>
    </row>
    <row r="914" spans="2:12" x14ac:dyDescent="0.2">
      <c r="B914" s="144"/>
      <c r="D914" s="341"/>
      <c r="F914" s="343"/>
      <c r="G914" s="343"/>
      <c r="H914" s="343"/>
      <c r="I914" s="343"/>
      <c r="J914" s="343"/>
      <c r="K914" s="343"/>
      <c r="L914" s="343"/>
    </row>
    <row r="915" spans="2:12" x14ac:dyDescent="0.2">
      <c r="B915" s="144"/>
      <c r="D915" s="341"/>
      <c r="F915" s="343"/>
      <c r="G915" s="343"/>
      <c r="H915" s="343"/>
      <c r="I915" s="343"/>
      <c r="J915" s="343"/>
      <c r="K915" s="343"/>
      <c r="L915" s="343"/>
    </row>
    <row r="916" spans="2:12" x14ac:dyDescent="0.2">
      <c r="B916" s="144"/>
      <c r="D916" s="341"/>
      <c r="F916" s="343"/>
      <c r="G916" s="343"/>
      <c r="H916" s="343"/>
      <c r="I916" s="343"/>
      <c r="J916" s="343"/>
      <c r="K916" s="343"/>
      <c r="L916" s="343"/>
    </row>
    <row r="917" spans="2:12" x14ac:dyDescent="0.2">
      <c r="B917" s="144"/>
      <c r="D917" s="341"/>
      <c r="F917" s="343"/>
      <c r="G917" s="343"/>
      <c r="H917" s="343"/>
      <c r="I917" s="343"/>
      <c r="J917" s="343"/>
      <c r="K917" s="343"/>
      <c r="L917" s="343"/>
    </row>
    <row r="918" spans="2:12" x14ac:dyDescent="0.2">
      <c r="B918" s="144"/>
      <c r="D918" s="341"/>
      <c r="F918" s="343"/>
      <c r="G918" s="343"/>
      <c r="H918" s="343"/>
      <c r="I918" s="343"/>
      <c r="J918" s="343"/>
      <c r="K918" s="343"/>
      <c r="L918" s="343"/>
    </row>
    <row r="919" spans="2:12" x14ac:dyDescent="0.2">
      <c r="B919" s="144"/>
      <c r="D919" s="341"/>
      <c r="F919" s="343"/>
      <c r="G919" s="343"/>
      <c r="H919" s="343"/>
      <c r="I919" s="343"/>
      <c r="J919" s="343"/>
      <c r="K919" s="343"/>
      <c r="L919" s="343"/>
    </row>
    <row r="920" spans="2:12" x14ac:dyDescent="0.2">
      <c r="B920" s="144"/>
      <c r="D920" s="341"/>
      <c r="F920" s="343"/>
      <c r="G920" s="343"/>
      <c r="H920" s="343"/>
      <c r="I920" s="343"/>
      <c r="J920" s="343"/>
      <c r="K920" s="343"/>
      <c r="L920" s="343"/>
    </row>
    <row r="921" spans="2:12" x14ac:dyDescent="0.2">
      <c r="B921" s="144"/>
      <c r="D921" s="341"/>
      <c r="F921" s="343"/>
      <c r="G921" s="343"/>
      <c r="H921" s="343"/>
      <c r="I921" s="343"/>
      <c r="J921" s="343"/>
      <c r="K921" s="343"/>
      <c r="L921" s="343"/>
    </row>
    <row r="922" spans="2:12" x14ac:dyDescent="0.2">
      <c r="B922" s="144"/>
      <c r="D922" s="341"/>
      <c r="F922" s="343"/>
      <c r="G922" s="343"/>
      <c r="H922" s="343"/>
      <c r="I922" s="343"/>
      <c r="J922" s="343"/>
      <c r="K922" s="343"/>
      <c r="L922" s="343"/>
    </row>
    <row r="923" spans="2:12" x14ac:dyDescent="0.2">
      <c r="B923" s="144"/>
      <c r="D923" s="341"/>
      <c r="F923" s="343"/>
      <c r="G923" s="343"/>
      <c r="H923" s="343"/>
      <c r="I923" s="343"/>
      <c r="J923" s="343"/>
      <c r="K923" s="343"/>
      <c r="L923" s="343"/>
    </row>
    <row r="924" spans="2:12" x14ac:dyDescent="0.2">
      <c r="B924" s="144"/>
      <c r="D924" s="341"/>
      <c r="F924" s="343"/>
      <c r="G924" s="343"/>
      <c r="H924" s="343"/>
      <c r="I924" s="343"/>
      <c r="J924" s="343"/>
      <c r="K924" s="343"/>
      <c r="L924" s="343"/>
    </row>
    <row r="925" spans="2:12" x14ac:dyDescent="0.2">
      <c r="B925" s="144"/>
      <c r="D925" s="341"/>
      <c r="F925" s="343"/>
      <c r="G925" s="343"/>
      <c r="H925" s="343"/>
      <c r="I925" s="343"/>
      <c r="J925" s="343"/>
      <c r="K925" s="343"/>
      <c r="L925" s="343"/>
    </row>
    <row r="926" spans="2:12" x14ac:dyDescent="0.2">
      <c r="B926" s="144"/>
      <c r="D926" s="341"/>
      <c r="F926" s="343"/>
      <c r="G926" s="343"/>
      <c r="H926" s="343"/>
      <c r="I926" s="343"/>
      <c r="J926" s="343"/>
      <c r="K926" s="343"/>
      <c r="L926" s="343"/>
    </row>
    <row r="927" spans="2:12" x14ac:dyDescent="0.2">
      <c r="B927" s="144"/>
      <c r="D927" s="341"/>
      <c r="F927" s="343"/>
      <c r="G927" s="343"/>
      <c r="H927" s="343"/>
      <c r="I927" s="343"/>
      <c r="J927" s="343"/>
      <c r="K927" s="343"/>
      <c r="L927" s="343"/>
    </row>
    <row r="928" spans="2:12" x14ac:dyDescent="0.2">
      <c r="B928" s="144"/>
      <c r="D928" s="341"/>
      <c r="F928" s="343"/>
      <c r="G928" s="343"/>
      <c r="H928" s="343"/>
      <c r="I928" s="343"/>
      <c r="J928" s="343"/>
      <c r="K928" s="343"/>
      <c r="L928" s="343"/>
    </row>
    <row r="929" spans="2:12" x14ac:dyDescent="0.2">
      <c r="B929" s="144"/>
      <c r="D929" s="341"/>
      <c r="F929" s="343"/>
      <c r="G929" s="343"/>
      <c r="H929" s="343"/>
      <c r="I929" s="343"/>
      <c r="J929" s="343"/>
      <c r="K929" s="343"/>
      <c r="L929" s="343"/>
    </row>
    <row r="930" spans="2:12" x14ac:dyDescent="0.2">
      <c r="B930" s="144"/>
      <c r="D930" s="341"/>
      <c r="F930" s="343"/>
      <c r="G930" s="343"/>
      <c r="H930" s="343"/>
      <c r="I930" s="343"/>
      <c r="J930" s="343"/>
      <c r="K930" s="343"/>
      <c r="L930" s="343"/>
    </row>
    <row r="931" spans="2:12" x14ac:dyDescent="0.2">
      <c r="B931" s="144"/>
      <c r="D931" s="341"/>
      <c r="F931" s="343"/>
      <c r="G931" s="343"/>
      <c r="H931" s="343"/>
      <c r="I931" s="343"/>
      <c r="J931" s="343"/>
      <c r="K931" s="343"/>
      <c r="L931" s="343"/>
    </row>
    <row r="932" spans="2:12" x14ac:dyDescent="0.2">
      <c r="B932" s="144"/>
      <c r="D932" s="341"/>
      <c r="F932" s="343"/>
      <c r="G932" s="343"/>
      <c r="H932" s="343"/>
      <c r="I932" s="343"/>
      <c r="J932" s="343"/>
      <c r="K932" s="343"/>
      <c r="L932" s="343"/>
    </row>
    <row r="933" spans="2:12" x14ac:dyDescent="0.2">
      <c r="B933" s="144"/>
      <c r="D933" s="341"/>
      <c r="F933" s="343"/>
      <c r="G933" s="343"/>
      <c r="H933" s="343"/>
      <c r="I933" s="343"/>
      <c r="J933" s="343"/>
      <c r="K933" s="343"/>
      <c r="L933" s="343"/>
    </row>
    <row r="934" spans="2:12" x14ac:dyDescent="0.2">
      <c r="B934" s="144"/>
      <c r="D934" s="341"/>
      <c r="F934" s="343"/>
      <c r="G934" s="343"/>
      <c r="H934" s="343"/>
      <c r="I934" s="343"/>
      <c r="J934" s="343"/>
      <c r="K934" s="343"/>
      <c r="L934" s="343"/>
    </row>
    <row r="935" spans="2:12" x14ac:dyDescent="0.2">
      <c r="B935" s="144"/>
      <c r="D935" s="341"/>
      <c r="F935" s="343"/>
      <c r="G935" s="343"/>
      <c r="H935" s="343"/>
      <c r="I935" s="343"/>
      <c r="J935" s="343"/>
      <c r="K935" s="343"/>
      <c r="L935" s="343"/>
    </row>
    <row r="936" spans="2:12" x14ac:dyDescent="0.2">
      <c r="B936" s="144"/>
      <c r="D936" s="341"/>
      <c r="F936" s="343"/>
      <c r="G936" s="343"/>
      <c r="H936" s="343"/>
      <c r="I936" s="343"/>
      <c r="J936" s="343"/>
      <c r="K936" s="343"/>
      <c r="L936" s="343"/>
    </row>
    <row r="937" spans="2:12" x14ac:dyDescent="0.2">
      <c r="B937" s="144"/>
      <c r="D937" s="341"/>
      <c r="F937" s="343"/>
      <c r="G937" s="343"/>
      <c r="H937" s="343"/>
      <c r="I937" s="343"/>
      <c r="J937" s="343"/>
      <c r="K937" s="343"/>
      <c r="L937" s="343"/>
    </row>
    <row r="938" spans="2:12" x14ac:dyDescent="0.2">
      <c r="B938" s="144"/>
      <c r="D938" s="341"/>
      <c r="F938" s="343"/>
      <c r="G938" s="343"/>
      <c r="H938" s="343"/>
      <c r="I938" s="343"/>
      <c r="J938" s="343"/>
      <c r="K938" s="343"/>
      <c r="L938" s="343"/>
    </row>
    <row r="939" spans="2:12" x14ac:dyDescent="0.2">
      <c r="B939" s="144"/>
      <c r="D939" s="341"/>
      <c r="F939" s="343"/>
      <c r="G939" s="343"/>
      <c r="H939" s="343"/>
      <c r="I939" s="343"/>
      <c r="J939" s="343"/>
      <c r="K939" s="343"/>
      <c r="L939" s="343"/>
    </row>
    <row r="940" spans="2:12" x14ac:dyDescent="0.2">
      <c r="B940" s="144"/>
      <c r="D940" s="341"/>
      <c r="F940" s="343"/>
      <c r="G940" s="343"/>
      <c r="H940" s="343"/>
      <c r="I940" s="343"/>
      <c r="J940" s="343"/>
      <c r="K940" s="343"/>
      <c r="L940" s="343"/>
    </row>
    <row r="941" spans="2:12" x14ac:dyDescent="0.2">
      <c r="B941" s="144"/>
      <c r="D941" s="341"/>
      <c r="F941" s="343"/>
      <c r="G941" s="343"/>
      <c r="H941" s="343"/>
      <c r="I941" s="343"/>
      <c r="J941" s="343"/>
      <c r="K941" s="343"/>
      <c r="L941" s="343"/>
    </row>
    <row r="942" spans="2:12" x14ac:dyDescent="0.2">
      <c r="B942" s="144"/>
      <c r="D942" s="341"/>
      <c r="F942" s="343"/>
      <c r="G942" s="343"/>
      <c r="H942" s="343"/>
      <c r="I942" s="343"/>
      <c r="J942" s="343"/>
      <c r="K942" s="343"/>
      <c r="L942" s="343"/>
    </row>
    <row r="943" spans="2:12" x14ac:dyDescent="0.2">
      <c r="B943" s="144"/>
      <c r="D943" s="341"/>
      <c r="F943" s="343"/>
      <c r="G943" s="343"/>
      <c r="H943" s="343"/>
      <c r="I943" s="343"/>
      <c r="J943" s="343"/>
      <c r="K943" s="343"/>
      <c r="L943" s="343"/>
    </row>
    <row r="944" spans="2:12" x14ac:dyDescent="0.2">
      <c r="B944" s="144"/>
      <c r="D944" s="341"/>
      <c r="F944" s="343"/>
      <c r="G944" s="343"/>
      <c r="H944" s="343"/>
      <c r="I944" s="343"/>
      <c r="J944" s="343"/>
      <c r="K944" s="343"/>
      <c r="L944" s="343"/>
    </row>
    <row r="945" spans="2:12" x14ac:dyDescent="0.2">
      <c r="B945" s="144"/>
      <c r="D945" s="341"/>
      <c r="F945" s="343"/>
      <c r="G945" s="343"/>
      <c r="H945" s="343"/>
      <c r="I945" s="343"/>
      <c r="J945" s="343"/>
      <c r="K945" s="343"/>
      <c r="L945" s="343"/>
    </row>
    <row r="946" spans="2:12" x14ac:dyDescent="0.2">
      <c r="B946" s="144"/>
      <c r="D946" s="341"/>
      <c r="F946" s="343"/>
      <c r="G946" s="343"/>
      <c r="H946" s="343"/>
      <c r="I946" s="343"/>
      <c r="J946" s="343"/>
      <c r="K946" s="343"/>
      <c r="L946" s="343"/>
    </row>
    <row r="947" spans="2:12" x14ac:dyDescent="0.2">
      <c r="B947" s="144"/>
      <c r="D947" s="341"/>
      <c r="F947" s="343"/>
      <c r="G947" s="343"/>
      <c r="H947" s="343"/>
      <c r="I947" s="343"/>
      <c r="J947" s="343"/>
      <c r="K947" s="343"/>
      <c r="L947" s="343"/>
    </row>
    <row r="948" spans="2:12" x14ac:dyDescent="0.2">
      <c r="B948" s="144"/>
      <c r="D948" s="341"/>
      <c r="F948" s="343"/>
      <c r="G948" s="343"/>
      <c r="H948" s="343"/>
      <c r="I948" s="343"/>
      <c r="J948" s="343"/>
      <c r="K948" s="343"/>
      <c r="L948" s="343"/>
    </row>
    <row r="949" spans="2:12" x14ac:dyDescent="0.2">
      <c r="B949" s="144"/>
      <c r="D949" s="341"/>
      <c r="F949" s="343"/>
      <c r="G949" s="343"/>
      <c r="H949" s="343"/>
      <c r="I949" s="343"/>
      <c r="J949" s="343"/>
      <c r="K949" s="343"/>
      <c r="L949" s="343"/>
    </row>
    <row r="950" spans="2:12" x14ac:dyDescent="0.2">
      <c r="B950" s="144"/>
      <c r="D950" s="341"/>
      <c r="F950" s="343"/>
      <c r="G950" s="343"/>
      <c r="H950" s="343"/>
      <c r="I950" s="343"/>
      <c r="J950" s="343"/>
      <c r="K950" s="343"/>
      <c r="L950" s="343"/>
    </row>
    <row r="951" spans="2:12" x14ac:dyDescent="0.2">
      <c r="B951" s="144"/>
      <c r="D951" s="341"/>
      <c r="F951" s="343"/>
      <c r="G951" s="343"/>
      <c r="H951" s="343"/>
      <c r="I951" s="343"/>
      <c r="J951" s="343"/>
      <c r="K951" s="343"/>
      <c r="L951" s="343"/>
    </row>
    <row r="952" spans="2:12" x14ac:dyDescent="0.2">
      <c r="B952" s="144"/>
      <c r="D952" s="341"/>
      <c r="F952" s="343"/>
      <c r="G952" s="343"/>
      <c r="H952" s="343"/>
      <c r="I952" s="343"/>
      <c r="J952" s="343"/>
      <c r="K952" s="343"/>
      <c r="L952" s="343"/>
    </row>
    <row r="953" spans="2:12" x14ac:dyDescent="0.2">
      <c r="B953" s="144"/>
      <c r="D953" s="341"/>
      <c r="F953" s="343"/>
      <c r="G953" s="343"/>
      <c r="H953" s="343"/>
      <c r="I953" s="343"/>
      <c r="J953" s="343"/>
      <c r="K953" s="343"/>
      <c r="L953" s="343"/>
    </row>
    <row r="954" spans="2:12" x14ac:dyDescent="0.2">
      <c r="B954" s="144"/>
      <c r="D954" s="341"/>
      <c r="F954" s="343"/>
      <c r="G954" s="343"/>
      <c r="H954" s="343"/>
      <c r="I954" s="343"/>
      <c r="J954" s="343"/>
      <c r="K954" s="343"/>
      <c r="L954" s="343"/>
    </row>
    <row r="955" spans="2:12" x14ac:dyDescent="0.2">
      <c r="B955" s="144"/>
      <c r="D955" s="341"/>
      <c r="F955" s="343"/>
      <c r="G955" s="343"/>
      <c r="H955" s="343"/>
      <c r="I955" s="343"/>
      <c r="J955" s="343"/>
      <c r="K955" s="343"/>
      <c r="L955" s="343"/>
    </row>
    <row r="956" spans="2:12" x14ac:dyDescent="0.2">
      <c r="B956" s="144"/>
      <c r="D956" s="341"/>
      <c r="F956" s="343"/>
      <c r="G956" s="343"/>
      <c r="H956" s="343"/>
      <c r="I956" s="343"/>
      <c r="J956" s="343"/>
      <c r="K956" s="343"/>
      <c r="L956" s="343"/>
    </row>
    <row r="957" spans="2:12" x14ac:dyDescent="0.2">
      <c r="B957" s="144"/>
      <c r="D957" s="341"/>
      <c r="F957" s="343"/>
      <c r="G957" s="343"/>
      <c r="H957" s="343"/>
      <c r="I957" s="343"/>
      <c r="J957" s="343"/>
      <c r="K957" s="343"/>
      <c r="L957" s="343"/>
    </row>
    <row r="958" spans="2:12" x14ac:dyDescent="0.2">
      <c r="B958" s="144"/>
      <c r="D958" s="341"/>
      <c r="F958" s="343"/>
      <c r="G958" s="343"/>
      <c r="H958" s="343"/>
      <c r="I958" s="343"/>
      <c r="J958" s="343"/>
      <c r="K958" s="343"/>
      <c r="L958" s="343"/>
    </row>
    <row r="959" spans="2:12" x14ac:dyDescent="0.2">
      <c r="B959" s="144"/>
      <c r="D959" s="341"/>
      <c r="F959" s="343"/>
      <c r="G959" s="343"/>
      <c r="H959" s="343"/>
      <c r="I959" s="343"/>
      <c r="J959" s="343"/>
      <c r="K959" s="343"/>
      <c r="L959" s="343"/>
    </row>
    <row r="960" spans="2:12" x14ac:dyDescent="0.2">
      <c r="B960" s="144"/>
      <c r="D960" s="341"/>
      <c r="F960" s="343"/>
      <c r="G960" s="343"/>
      <c r="H960" s="343"/>
      <c r="I960" s="343"/>
      <c r="J960" s="343"/>
      <c r="K960" s="343"/>
      <c r="L960" s="343"/>
    </row>
    <row r="961" spans="2:12" x14ac:dyDescent="0.2">
      <c r="B961" s="144"/>
      <c r="D961" s="341"/>
      <c r="F961" s="343"/>
      <c r="G961" s="343"/>
      <c r="H961" s="343"/>
      <c r="I961" s="343"/>
      <c r="J961" s="343"/>
      <c r="K961" s="343"/>
      <c r="L961" s="343"/>
    </row>
    <row r="962" spans="2:12" x14ac:dyDescent="0.2">
      <c r="B962" s="144"/>
      <c r="D962" s="341"/>
      <c r="F962" s="343"/>
      <c r="G962" s="343"/>
      <c r="H962" s="343"/>
      <c r="I962" s="343"/>
      <c r="J962" s="343"/>
      <c r="K962" s="343"/>
      <c r="L962" s="343"/>
    </row>
    <row r="963" spans="2:12" x14ac:dyDescent="0.2">
      <c r="B963" s="144"/>
      <c r="D963" s="341"/>
      <c r="F963" s="343"/>
      <c r="G963" s="343"/>
      <c r="H963" s="343"/>
      <c r="I963" s="343"/>
      <c r="J963" s="343"/>
      <c r="K963" s="343"/>
      <c r="L963" s="343"/>
    </row>
    <row r="964" spans="2:12" x14ac:dyDescent="0.2">
      <c r="B964" s="144"/>
      <c r="D964" s="341"/>
      <c r="F964" s="343"/>
      <c r="G964" s="343"/>
      <c r="H964" s="343"/>
      <c r="I964" s="343"/>
      <c r="J964" s="343"/>
      <c r="K964" s="343"/>
      <c r="L964" s="343"/>
    </row>
    <row r="965" spans="2:12" x14ac:dyDescent="0.2">
      <c r="B965" s="144"/>
      <c r="D965" s="341"/>
      <c r="F965" s="343"/>
      <c r="G965" s="343"/>
      <c r="H965" s="343"/>
      <c r="I965" s="343"/>
      <c r="J965" s="343"/>
      <c r="K965" s="343"/>
      <c r="L965" s="343"/>
    </row>
    <row r="966" spans="2:12" x14ac:dyDescent="0.2">
      <c r="B966" s="144"/>
      <c r="D966" s="341"/>
      <c r="F966" s="343"/>
      <c r="G966" s="343"/>
      <c r="H966" s="343"/>
      <c r="I966" s="343"/>
      <c r="J966" s="343"/>
      <c r="K966" s="343"/>
      <c r="L966" s="343"/>
    </row>
    <row r="967" spans="2:12" x14ac:dyDescent="0.2">
      <c r="B967" s="144"/>
      <c r="D967" s="341"/>
      <c r="F967" s="343"/>
      <c r="G967" s="343"/>
      <c r="H967" s="343"/>
      <c r="I967" s="343"/>
      <c r="J967" s="343"/>
      <c r="K967" s="343"/>
      <c r="L967" s="343"/>
    </row>
    <row r="968" spans="2:12" x14ac:dyDescent="0.2">
      <c r="B968" s="144"/>
      <c r="D968" s="341"/>
      <c r="F968" s="343"/>
      <c r="G968" s="343"/>
      <c r="H968" s="343"/>
      <c r="I968" s="343"/>
      <c r="J968" s="343"/>
      <c r="K968" s="343"/>
      <c r="L968" s="343"/>
    </row>
    <row r="969" spans="2:12" x14ac:dyDescent="0.2">
      <c r="B969" s="144"/>
      <c r="D969" s="341"/>
      <c r="F969" s="343"/>
      <c r="G969" s="343"/>
      <c r="H969" s="343"/>
      <c r="I969" s="343"/>
      <c r="J969" s="343"/>
      <c r="K969" s="343"/>
      <c r="L969" s="343"/>
    </row>
    <row r="970" spans="2:12" x14ac:dyDescent="0.2">
      <c r="B970" s="144"/>
      <c r="D970" s="341"/>
      <c r="F970" s="343"/>
      <c r="G970" s="343"/>
      <c r="H970" s="343"/>
      <c r="I970" s="343"/>
      <c r="J970" s="343"/>
      <c r="K970" s="343"/>
      <c r="L970" s="343"/>
    </row>
    <row r="971" spans="2:12" x14ac:dyDescent="0.2">
      <c r="B971" s="144"/>
      <c r="D971" s="341"/>
      <c r="F971" s="343"/>
      <c r="G971" s="343"/>
      <c r="H971" s="343"/>
      <c r="I971" s="343"/>
      <c r="J971" s="343"/>
      <c r="K971" s="343"/>
      <c r="L971" s="343"/>
    </row>
    <row r="972" spans="2:12" x14ac:dyDescent="0.2">
      <c r="B972" s="144"/>
      <c r="D972" s="341"/>
      <c r="F972" s="343"/>
      <c r="G972" s="343"/>
      <c r="H972" s="343"/>
      <c r="I972" s="343"/>
      <c r="J972" s="343"/>
      <c r="K972" s="343"/>
      <c r="L972" s="343"/>
    </row>
    <row r="973" spans="2:12" x14ac:dyDescent="0.2">
      <c r="B973" s="144"/>
      <c r="D973" s="341"/>
      <c r="F973" s="343"/>
      <c r="G973" s="343"/>
      <c r="H973" s="343"/>
      <c r="I973" s="343"/>
      <c r="J973" s="343"/>
      <c r="K973" s="343"/>
      <c r="L973" s="343"/>
    </row>
    <row r="974" spans="2:12" x14ac:dyDescent="0.2">
      <c r="B974" s="144"/>
      <c r="D974" s="341"/>
      <c r="F974" s="343"/>
      <c r="G974" s="343"/>
      <c r="H974" s="343"/>
      <c r="I974" s="343"/>
      <c r="J974" s="343"/>
      <c r="K974" s="343"/>
      <c r="L974" s="343"/>
    </row>
    <row r="975" spans="2:12" x14ac:dyDescent="0.2">
      <c r="B975" s="144"/>
      <c r="D975" s="341"/>
      <c r="F975" s="343"/>
      <c r="G975" s="343"/>
      <c r="H975" s="343"/>
      <c r="I975" s="343"/>
      <c r="J975" s="343"/>
      <c r="K975" s="343"/>
      <c r="L975" s="343"/>
    </row>
    <row r="976" spans="2:12" x14ac:dyDescent="0.2">
      <c r="B976" s="144"/>
      <c r="D976" s="341"/>
      <c r="F976" s="343"/>
      <c r="G976" s="343"/>
      <c r="H976" s="343"/>
      <c r="I976" s="343"/>
      <c r="J976" s="343"/>
      <c r="K976" s="343"/>
      <c r="L976" s="343"/>
    </row>
    <row r="977" spans="2:12" x14ac:dyDescent="0.2">
      <c r="B977" s="144"/>
      <c r="D977" s="341"/>
      <c r="F977" s="343"/>
      <c r="G977" s="343"/>
      <c r="H977" s="343"/>
      <c r="I977" s="343"/>
      <c r="J977" s="343"/>
      <c r="K977" s="343"/>
      <c r="L977" s="343"/>
    </row>
    <row r="978" spans="2:12" x14ac:dyDescent="0.2">
      <c r="B978" s="144"/>
      <c r="D978" s="341"/>
      <c r="F978" s="343"/>
      <c r="G978" s="343"/>
      <c r="H978" s="343"/>
      <c r="I978" s="343"/>
      <c r="J978" s="343"/>
      <c r="K978" s="343"/>
      <c r="L978" s="343"/>
    </row>
    <row r="979" spans="2:12" x14ac:dyDescent="0.2">
      <c r="B979" s="144"/>
      <c r="D979" s="341"/>
      <c r="F979" s="343"/>
      <c r="G979" s="343"/>
      <c r="H979" s="343"/>
      <c r="I979" s="343"/>
      <c r="J979" s="343"/>
      <c r="K979" s="343"/>
      <c r="L979" s="343"/>
    </row>
    <row r="980" spans="2:12" x14ac:dyDescent="0.2">
      <c r="B980" s="144"/>
      <c r="D980" s="341"/>
      <c r="F980" s="343"/>
      <c r="G980" s="343"/>
      <c r="H980" s="343"/>
      <c r="I980" s="343"/>
      <c r="J980" s="343"/>
      <c r="K980" s="343"/>
      <c r="L980" s="343"/>
    </row>
    <row r="981" spans="2:12" x14ac:dyDescent="0.2">
      <c r="B981" s="144"/>
      <c r="D981" s="341"/>
      <c r="F981" s="343"/>
      <c r="G981" s="343"/>
      <c r="H981" s="343"/>
      <c r="I981" s="343"/>
      <c r="J981" s="343"/>
      <c r="K981" s="343"/>
      <c r="L981" s="343"/>
    </row>
    <row r="982" spans="2:12" x14ac:dyDescent="0.2">
      <c r="B982" s="144"/>
      <c r="D982" s="341"/>
      <c r="F982" s="343"/>
      <c r="G982" s="343"/>
      <c r="H982" s="343"/>
      <c r="I982" s="343"/>
      <c r="J982" s="343"/>
      <c r="K982" s="343"/>
      <c r="L982" s="343"/>
    </row>
    <row r="983" spans="2:12" x14ac:dyDescent="0.2">
      <c r="B983" s="144"/>
      <c r="D983" s="341"/>
      <c r="F983" s="343"/>
      <c r="G983" s="343"/>
      <c r="H983" s="343"/>
      <c r="I983" s="343"/>
      <c r="J983" s="343"/>
      <c r="K983" s="343"/>
      <c r="L983" s="343"/>
    </row>
    <row r="984" spans="2:12" x14ac:dyDescent="0.2">
      <c r="B984" s="144"/>
      <c r="D984" s="341"/>
      <c r="F984" s="343"/>
      <c r="G984" s="343"/>
      <c r="H984" s="343"/>
      <c r="I984" s="343"/>
      <c r="J984" s="343"/>
      <c r="K984" s="343"/>
      <c r="L984" s="343"/>
    </row>
    <row r="985" spans="2:12" x14ac:dyDescent="0.2">
      <c r="B985" s="144"/>
      <c r="D985" s="341"/>
      <c r="F985" s="343"/>
      <c r="G985" s="343"/>
      <c r="H985" s="343"/>
      <c r="I985" s="343"/>
      <c r="J985" s="343"/>
      <c r="K985" s="343"/>
      <c r="L985" s="343"/>
    </row>
    <row r="986" spans="2:12" x14ac:dyDescent="0.2">
      <c r="B986" s="144"/>
      <c r="D986" s="341"/>
      <c r="F986" s="343"/>
      <c r="G986" s="343"/>
      <c r="H986" s="343"/>
      <c r="I986" s="343"/>
      <c r="J986" s="343"/>
      <c r="K986" s="343"/>
      <c r="L986" s="343"/>
    </row>
    <row r="987" spans="2:12" x14ac:dyDescent="0.2">
      <c r="B987" s="144"/>
      <c r="D987" s="341"/>
      <c r="F987" s="343"/>
      <c r="G987" s="343"/>
      <c r="H987" s="343"/>
      <c r="I987" s="343"/>
      <c r="J987" s="343"/>
      <c r="K987" s="343"/>
      <c r="L987" s="343"/>
    </row>
    <row r="988" spans="2:12" x14ac:dyDescent="0.2">
      <c r="B988" s="144"/>
      <c r="D988" s="341"/>
      <c r="F988" s="343"/>
      <c r="G988" s="343"/>
      <c r="H988" s="343"/>
      <c r="I988" s="343"/>
      <c r="J988" s="343"/>
      <c r="K988" s="343"/>
      <c r="L988" s="343"/>
    </row>
    <row r="989" spans="2:12" x14ac:dyDescent="0.2">
      <c r="B989" s="144"/>
      <c r="D989" s="341"/>
      <c r="F989" s="343"/>
      <c r="G989" s="343"/>
      <c r="H989" s="343"/>
      <c r="I989" s="343"/>
      <c r="J989" s="343"/>
      <c r="K989" s="343"/>
      <c r="L989" s="343"/>
    </row>
    <row r="990" spans="2:12" x14ac:dyDescent="0.2">
      <c r="B990" s="144"/>
      <c r="D990" s="341"/>
      <c r="F990" s="343"/>
      <c r="G990" s="343"/>
      <c r="H990" s="343"/>
      <c r="I990" s="343"/>
      <c r="J990" s="343"/>
      <c r="K990" s="343"/>
      <c r="L990" s="343"/>
    </row>
    <row r="991" spans="2:12" x14ac:dyDescent="0.2">
      <c r="B991" s="144"/>
      <c r="D991" s="341"/>
      <c r="F991" s="343"/>
      <c r="G991" s="343"/>
      <c r="H991" s="343"/>
      <c r="I991" s="343"/>
      <c r="J991" s="343"/>
      <c r="K991" s="343"/>
      <c r="L991" s="343"/>
    </row>
    <row r="992" spans="2:12" x14ac:dyDescent="0.2">
      <c r="B992" s="144"/>
      <c r="D992" s="341"/>
      <c r="F992" s="343"/>
      <c r="G992" s="343"/>
      <c r="H992" s="343"/>
      <c r="I992" s="343"/>
      <c r="J992" s="343"/>
      <c r="K992" s="343"/>
      <c r="L992" s="343"/>
    </row>
    <row r="993" spans="2:12" x14ac:dyDescent="0.2">
      <c r="B993" s="144"/>
      <c r="D993" s="341"/>
      <c r="F993" s="343"/>
      <c r="G993" s="343"/>
      <c r="H993" s="343"/>
      <c r="I993" s="343"/>
      <c r="J993" s="343"/>
      <c r="K993" s="343"/>
      <c r="L993" s="343"/>
    </row>
    <row r="994" spans="2:12" x14ac:dyDescent="0.2">
      <c r="B994" s="144"/>
      <c r="D994" s="341"/>
      <c r="F994" s="343"/>
      <c r="G994" s="343"/>
      <c r="H994" s="343"/>
      <c r="I994" s="343"/>
      <c r="J994" s="343"/>
      <c r="K994" s="343"/>
      <c r="L994" s="343"/>
    </row>
    <row r="995" spans="2:12" x14ac:dyDescent="0.2">
      <c r="B995" s="144"/>
      <c r="D995" s="341"/>
      <c r="F995" s="343"/>
      <c r="G995" s="343"/>
      <c r="H995" s="343"/>
      <c r="I995" s="343"/>
      <c r="J995" s="343"/>
      <c r="K995" s="343"/>
      <c r="L995" s="343"/>
    </row>
    <row r="996" spans="2:12" x14ac:dyDescent="0.2">
      <c r="B996" s="144"/>
      <c r="D996" s="341"/>
      <c r="F996" s="343"/>
      <c r="G996" s="343"/>
      <c r="H996" s="343"/>
      <c r="I996" s="343"/>
      <c r="J996" s="343"/>
      <c r="K996" s="343"/>
      <c r="L996" s="343"/>
    </row>
    <row r="997" spans="2:12" x14ac:dyDescent="0.2">
      <c r="B997" s="144"/>
      <c r="D997" s="341"/>
      <c r="F997" s="343"/>
      <c r="G997" s="343"/>
      <c r="H997" s="343"/>
      <c r="I997" s="343"/>
      <c r="J997" s="343"/>
      <c r="K997" s="343"/>
      <c r="L997" s="343"/>
    </row>
    <row r="998" spans="2:12" x14ac:dyDescent="0.2">
      <c r="B998" s="144"/>
      <c r="D998" s="341"/>
      <c r="F998" s="343"/>
      <c r="G998" s="343"/>
      <c r="H998" s="343"/>
      <c r="I998" s="343"/>
      <c r="J998" s="343"/>
      <c r="K998" s="343"/>
      <c r="L998" s="343"/>
    </row>
    <row r="999" spans="2:12" x14ac:dyDescent="0.2">
      <c r="B999" s="144"/>
      <c r="D999" s="341"/>
      <c r="F999" s="343"/>
      <c r="G999" s="343"/>
      <c r="H999" s="343"/>
      <c r="I999" s="343"/>
      <c r="J999" s="343"/>
      <c r="K999" s="343"/>
      <c r="L999" s="343"/>
    </row>
    <row r="1000" spans="2:12" x14ac:dyDescent="0.2">
      <c r="B1000" s="144"/>
      <c r="D1000" s="341"/>
      <c r="F1000" s="343"/>
      <c r="G1000" s="343"/>
      <c r="H1000" s="343"/>
      <c r="I1000" s="343"/>
      <c r="J1000" s="343"/>
      <c r="K1000" s="343"/>
      <c r="L1000" s="343"/>
    </row>
    <row r="1001" spans="2:12" x14ac:dyDescent="0.2">
      <c r="B1001" s="144"/>
      <c r="D1001" s="341"/>
      <c r="F1001" s="343"/>
      <c r="G1001" s="343"/>
      <c r="H1001" s="343"/>
      <c r="I1001" s="343"/>
      <c r="J1001" s="343"/>
      <c r="K1001" s="343"/>
      <c r="L1001" s="343"/>
    </row>
    <row r="1002" spans="2:12" x14ac:dyDescent="0.2">
      <c r="B1002" s="144"/>
      <c r="D1002" s="341"/>
      <c r="F1002" s="343"/>
      <c r="G1002" s="343"/>
      <c r="H1002" s="343"/>
      <c r="I1002" s="343"/>
      <c r="J1002" s="343"/>
      <c r="K1002" s="343"/>
      <c r="L1002" s="343"/>
    </row>
    <row r="1003" spans="2:12" x14ac:dyDescent="0.2">
      <c r="B1003" s="144"/>
      <c r="D1003" s="341"/>
      <c r="F1003" s="343"/>
      <c r="G1003" s="343"/>
      <c r="H1003" s="343"/>
      <c r="I1003" s="343"/>
      <c r="J1003" s="343"/>
      <c r="K1003" s="343"/>
      <c r="L1003" s="343"/>
    </row>
    <row r="1004" spans="2:12" x14ac:dyDescent="0.2">
      <c r="B1004" s="144"/>
      <c r="D1004" s="341"/>
      <c r="F1004" s="343"/>
      <c r="G1004" s="343"/>
      <c r="H1004" s="343"/>
      <c r="I1004" s="343"/>
      <c r="J1004" s="343"/>
      <c r="K1004" s="343"/>
      <c r="L1004" s="343"/>
    </row>
    <row r="1005" spans="2:12" x14ac:dyDescent="0.2">
      <c r="B1005" s="144"/>
      <c r="D1005" s="341"/>
      <c r="F1005" s="343"/>
      <c r="G1005" s="343"/>
      <c r="H1005" s="343"/>
      <c r="I1005" s="343"/>
      <c r="J1005" s="343"/>
      <c r="K1005" s="343"/>
      <c r="L1005" s="343"/>
    </row>
    <row r="1006" spans="2:12" x14ac:dyDescent="0.2">
      <c r="B1006" s="144"/>
      <c r="D1006" s="341"/>
      <c r="F1006" s="343"/>
      <c r="G1006" s="343"/>
      <c r="H1006" s="343"/>
      <c r="I1006" s="343"/>
      <c r="J1006" s="343"/>
      <c r="K1006" s="343"/>
      <c r="L1006" s="343"/>
    </row>
    <row r="1007" spans="2:12" x14ac:dyDescent="0.2">
      <c r="B1007" s="144"/>
      <c r="D1007" s="341"/>
      <c r="F1007" s="343"/>
      <c r="G1007" s="343"/>
      <c r="H1007" s="343"/>
      <c r="I1007" s="343"/>
      <c r="J1007" s="343"/>
      <c r="K1007" s="343"/>
      <c r="L1007" s="343"/>
    </row>
    <row r="1008" spans="2:12" x14ac:dyDescent="0.2">
      <c r="B1008" s="144"/>
      <c r="D1008" s="341"/>
      <c r="F1008" s="343"/>
      <c r="G1008" s="343"/>
      <c r="H1008" s="343"/>
      <c r="I1008" s="343"/>
      <c r="J1008" s="343"/>
      <c r="K1008" s="343"/>
      <c r="L1008" s="343"/>
    </row>
    <row r="1009" spans="2:12" x14ac:dyDescent="0.2">
      <c r="B1009" s="144"/>
      <c r="D1009" s="341"/>
      <c r="F1009" s="343"/>
      <c r="G1009" s="343"/>
      <c r="H1009" s="343"/>
      <c r="I1009" s="343"/>
      <c r="J1009" s="343"/>
      <c r="K1009" s="343"/>
      <c r="L1009" s="343"/>
    </row>
    <row r="1010" spans="2:12" x14ac:dyDescent="0.2">
      <c r="B1010" s="144"/>
      <c r="D1010" s="341"/>
      <c r="F1010" s="343"/>
      <c r="G1010" s="343"/>
      <c r="H1010" s="343"/>
      <c r="I1010" s="343"/>
      <c r="J1010" s="343"/>
      <c r="K1010" s="343"/>
      <c r="L1010" s="343"/>
    </row>
    <row r="1011" spans="2:12" x14ac:dyDescent="0.2">
      <c r="B1011" s="144"/>
      <c r="D1011" s="341"/>
      <c r="F1011" s="343"/>
      <c r="G1011" s="343"/>
      <c r="H1011" s="343"/>
      <c r="I1011" s="343"/>
      <c r="J1011" s="343"/>
      <c r="K1011" s="343"/>
      <c r="L1011" s="343"/>
    </row>
    <row r="1012" spans="2:12" x14ac:dyDescent="0.2">
      <c r="B1012" s="144"/>
      <c r="D1012" s="341"/>
      <c r="F1012" s="343"/>
      <c r="G1012" s="343"/>
      <c r="H1012" s="343"/>
      <c r="I1012" s="343"/>
      <c r="J1012" s="343"/>
      <c r="K1012" s="343"/>
      <c r="L1012" s="343"/>
    </row>
    <row r="1013" spans="2:12" x14ac:dyDescent="0.2">
      <c r="B1013" s="144"/>
      <c r="D1013" s="341"/>
      <c r="F1013" s="343"/>
      <c r="G1013" s="343"/>
      <c r="H1013" s="343"/>
      <c r="I1013" s="343"/>
      <c r="J1013" s="343"/>
      <c r="K1013" s="343"/>
      <c r="L1013" s="343"/>
    </row>
    <row r="1014" spans="2:12" x14ac:dyDescent="0.2">
      <c r="B1014" s="144"/>
      <c r="D1014" s="341"/>
      <c r="F1014" s="343"/>
      <c r="G1014" s="343"/>
      <c r="H1014" s="343"/>
      <c r="I1014" s="343"/>
      <c r="J1014" s="343"/>
      <c r="K1014" s="343"/>
      <c r="L1014" s="343"/>
    </row>
    <row r="1015" spans="2:12" x14ac:dyDescent="0.2">
      <c r="B1015" s="144"/>
      <c r="D1015" s="341"/>
      <c r="F1015" s="343"/>
      <c r="G1015" s="343"/>
      <c r="H1015" s="343"/>
      <c r="I1015" s="343"/>
      <c r="J1015" s="343"/>
      <c r="K1015" s="343"/>
      <c r="L1015" s="343"/>
    </row>
    <row r="1016" spans="2:12" x14ac:dyDescent="0.2">
      <c r="B1016" s="144"/>
      <c r="D1016" s="341"/>
      <c r="F1016" s="343"/>
      <c r="G1016" s="343"/>
      <c r="H1016" s="343"/>
      <c r="I1016" s="343"/>
      <c r="J1016" s="343"/>
      <c r="K1016" s="343"/>
      <c r="L1016" s="343"/>
    </row>
    <row r="1017" spans="2:12" x14ac:dyDescent="0.2">
      <c r="B1017" s="144"/>
      <c r="D1017" s="341"/>
      <c r="F1017" s="343"/>
      <c r="G1017" s="343"/>
      <c r="H1017" s="343"/>
      <c r="I1017" s="343"/>
      <c r="J1017" s="343"/>
      <c r="K1017" s="343"/>
      <c r="L1017" s="343"/>
    </row>
    <row r="1018" spans="2:12" x14ac:dyDescent="0.2">
      <c r="B1018" s="144"/>
      <c r="D1018" s="341"/>
      <c r="F1018" s="343"/>
      <c r="G1018" s="343"/>
      <c r="H1018" s="343"/>
      <c r="I1018" s="343"/>
      <c r="J1018" s="343"/>
      <c r="K1018" s="343"/>
      <c r="L1018" s="343"/>
    </row>
    <row r="1019" spans="2:12" x14ac:dyDescent="0.2">
      <c r="B1019" s="144"/>
      <c r="D1019" s="341"/>
      <c r="F1019" s="343"/>
      <c r="G1019" s="343"/>
      <c r="H1019" s="343"/>
      <c r="I1019" s="343"/>
      <c r="J1019" s="343"/>
      <c r="K1019" s="343"/>
      <c r="L1019" s="343"/>
    </row>
    <row r="1020" spans="2:12" x14ac:dyDescent="0.2">
      <c r="B1020" s="144"/>
      <c r="D1020" s="341"/>
      <c r="F1020" s="343"/>
      <c r="G1020" s="343"/>
      <c r="H1020" s="343"/>
      <c r="I1020" s="343"/>
      <c r="J1020" s="343"/>
      <c r="K1020" s="343"/>
      <c r="L1020" s="343"/>
    </row>
    <row r="1021" spans="2:12" x14ac:dyDescent="0.2">
      <c r="B1021" s="144"/>
      <c r="D1021" s="341"/>
      <c r="F1021" s="343"/>
      <c r="G1021" s="343"/>
      <c r="H1021" s="343"/>
      <c r="I1021" s="343"/>
      <c r="J1021" s="343"/>
      <c r="K1021" s="343"/>
      <c r="L1021" s="343"/>
    </row>
    <row r="1022" spans="2:12" x14ac:dyDescent="0.2">
      <c r="B1022" s="144"/>
      <c r="D1022" s="341"/>
      <c r="F1022" s="343"/>
      <c r="G1022" s="343"/>
      <c r="H1022" s="343"/>
      <c r="I1022" s="343"/>
      <c r="J1022" s="343"/>
      <c r="K1022" s="343"/>
      <c r="L1022" s="343"/>
    </row>
    <row r="1023" spans="2:12" x14ac:dyDescent="0.2">
      <c r="B1023" s="144"/>
      <c r="D1023" s="341"/>
      <c r="F1023" s="343"/>
      <c r="G1023" s="343"/>
      <c r="H1023" s="343"/>
      <c r="I1023" s="343"/>
      <c r="J1023" s="343"/>
      <c r="K1023" s="343"/>
      <c r="L1023" s="343"/>
    </row>
    <row r="1024" spans="2:12" x14ac:dyDescent="0.2">
      <c r="B1024" s="144"/>
      <c r="D1024" s="341"/>
      <c r="F1024" s="343"/>
      <c r="G1024" s="343"/>
      <c r="H1024" s="343"/>
      <c r="I1024" s="343"/>
      <c r="J1024" s="343"/>
      <c r="K1024" s="343"/>
      <c r="L1024" s="343"/>
    </row>
    <row r="1025" spans="2:12" x14ac:dyDescent="0.2">
      <c r="B1025" s="144"/>
      <c r="D1025" s="341"/>
      <c r="F1025" s="343"/>
      <c r="G1025" s="343"/>
      <c r="H1025" s="343"/>
      <c r="I1025" s="343"/>
      <c r="J1025" s="343"/>
      <c r="K1025" s="343"/>
      <c r="L1025" s="343"/>
    </row>
    <row r="1026" spans="2:12" x14ac:dyDescent="0.2">
      <c r="B1026" s="144"/>
      <c r="D1026" s="341"/>
      <c r="F1026" s="343"/>
      <c r="G1026" s="343"/>
      <c r="H1026" s="343"/>
      <c r="I1026" s="343"/>
      <c r="J1026" s="343"/>
      <c r="K1026" s="343"/>
      <c r="L1026" s="343"/>
    </row>
    <row r="1027" spans="2:12" x14ac:dyDescent="0.2">
      <c r="B1027" s="144"/>
      <c r="D1027" s="341"/>
      <c r="F1027" s="343"/>
      <c r="G1027" s="343"/>
      <c r="H1027" s="343"/>
      <c r="I1027" s="343"/>
      <c r="J1027" s="343"/>
      <c r="K1027" s="343"/>
      <c r="L1027" s="343"/>
    </row>
    <row r="1028" spans="2:12" x14ac:dyDescent="0.2">
      <c r="B1028" s="144"/>
      <c r="D1028" s="341"/>
      <c r="F1028" s="343"/>
      <c r="G1028" s="343"/>
      <c r="H1028" s="343"/>
      <c r="I1028" s="343"/>
      <c r="J1028" s="343"/>
      <c r="K1028" s="343"/>
      <c r="L1028" s="343"/>
    </row>
    <row r="1029" spans="2:12" x14ac:dyDescent="0.2">
      <c r="B1029" s="144"/>
      <c r="D1029" s="341"/>
      <c r="F1029" s="343"/>
      <c r="G1029" s="343"/>
      <c r="H1029" s="343"/>
      <c r="I1029" s="343"/>
      <c r="J1029" s="343"/>
      <c r="K1029" s="343"/>
      <c r="L1029" s="343"/>
    </row>
    <row r="1030" spans="2:12" x14ac:dyDescent="0.2">
      <c r="B1030" s="144"/>
      <c r="D1030" s="341"/>
      <c r="F1030" s="343"/>
      <c r="G1030" s="343"/>
      <c r="H1030" s="343"/>
      <c r="I1030" s="343"/>
      <c r="J1030" s="343"/>
      <c r="K1030" s="343"/>
      <c r="L1030" s="343"/>
    </row>
    <row r="1031" spans="2:12" x14ac:dyDescent="0.2">
      <c r="B1031" s="144"/>
      <c r="D1031" s="341"/>
      <c r="F1031" s="343"/>
      <c r="G1031" s="343"/>
      <c r="H1031" s="343"/>
      <c r="I1031" s="343"/>
      <c r="J1031" s="343"/>
      <c r="K1031" s="343"/>
      <c r="L1031" s="343"/>
    </row>
    <row r="1032" spans="2:12" x14ac:dyDescent="0.2">
      <c r="B1032" s="144"/>
      <c r="D1032" s="341"/>
      <c r="F1032" s="343"/>
      <c r="G1032" s="343"/>
      <c r="H1032" s="343"/>
      <c r="I1032" s="343"/>
      <c r="J1032" s="343"/>
      <c r="K1032" s="343"/>
      <c r="L1032" s="343"/>
    </row>
    <row r="1033" spans="2:12" x14ac:dyDescent="0.2">
      <c r="B1033" s="144"/>
      <c r="D1033" s="341"/>
      <c r="F1033" s="343"/>
      <c r="G1033" s="343"/>
      <c r="H1033" s="343"/>
      <c r="I1033" s="343"/>
      <c r="J1033" s="343"/>
      <c r="K1033" s="343"/>
      <c r="L1033" s="343"/>
    </row>
    <row r="1034" spans="2:12" x14ac:dyDescent="0.2">
      <c r="B1034" s="144"/>
      <c r="D1034" s="341"/>
      <c r="F1034" s="343"/>
      <c r="G1034" s="343"/>
      <c r="H1034" s="343"/>
      <c r="I1034" s="343"/>
      <c r="J1034" s="343"/>
      <c r="K1034" s="343"/>
      <c r="L1034" s="343"/>
    </row>
    <row r="1035" spans="2:12" x14ac:dyDescent="0.2">
      <c r="B1035" s="144"/>
      <c r="D1035" s="341"/>
      <c r="F1035" s="343"/>
      <c r="G1035" s="343"/>
      <c r="H1035" s="343"/>
      <c r="I1035" s="343"/>
      <c r="J1035" s="343"/>
      <c r="K1035" s="343"/>
      <c r="L1035" s="343"/>
    </row>
    <row r="1036" spans="2:12" x14ac:dyDescent="0.2">
      <c r="B1036" s="144"/>
      <c r="D1036" s="341"/>
      <c r="F1036" s="343"/>
      <c r="G1036" s="343"/>
      <c r="H1036" s="343"/>
      <c r="I1036" s="343"/>
      <c r="J1036" s="343"/>
      <c r="K1036" s="343"/>
      <c r="L1036" s="343"/>
    </row>
    <row r="1037" spans="2:12" x14ac:dyDescent="0.2">
      <c r="B1037" s="144"/>
      <c r="D1037" s="341"/>
      <c r="F1037" s="343"/>
      <c r="G1037" s="343"/>
      <c r="H1037" s="343"/>
      <c r="I1037" s="343"/>
      <c r="J1037" s="343"/>
      <c r="K1037" s="343"/>
      <c r="L1037" s="343"/>
    </row>
    <row r="1038" spans="2:12" x14ac:dyDescent="0.2">
      <c r="B1038" s="144"/>
      <c r="D1038" s="341"/>
      <c r="F1038" s="343"/>
      <c r="G1038" s="343"/>
      <c r="H1038" s="343"/>
      <c r="I1038" s="343"/>
      <c r="J1038" s="343"/>
      <c r="K1038" s="343"/>
      <c r="L1038" s="343"/>
    </row>
    <row r="1039" spans="2:12" x14ac:dyDescent="0.2">
      <c r="B1039" s="144"/>
      <c r="D1039" s="341"/>
      <c r="F1039" s="343"/>
      <c r="G1039" s="343"/>
      <c r="H1039" s="343"/>
      <c r="I1039" s="343"/>
      <c r="J1039" s="343"/>
      <c r="K1039" s="343"/>
      <c r="L1039" s="343"/>
    </row>
    <row r="1040" spans="2:12" x14ac:dyDescent="0.2">
      <c r="B1040" s="144"/>
      <c r="D1040" s="341"/>
      <c r="F1040" s="343"/>
      <c r="G1040" s="343"/>
      <c r="H1040" s="343"/>
      <c r="I1040" s="343"/>
      <c r="J1040" s="343"/>
      <c r="K1040" s="343"/>
      <c r="L1040" s="343"/>
    </row>
    <row r="1041" spans="2:12" x14ac:dyDescent="0.2">
      <c r="B1041" s="144"/>
      <c r="D1041" s="341"/>
      <c r="F1041" s="343"/>
      <c r="G1041" s="343"/>
      <c r="H1041" s="343"/>
      <c r="I1041" s="343"/>
      <c r="J1041" s="343"/>
      <c r="K1041" s="343"/>
      <c r="L1041" s="343"/>
    </row>
    <row r="1042" spans="2:12" x14ac:dyDescent="0.2">
      <c r="B1042" s="144"/>
      <c r="D1042" s="341"/>
      <c r="F1042" s="343"/>
      <c r="G1042" s="343"/>
      <c r="H1042" s="343"/>
      <c r="I1042" s="343"/>
      <c r="J1042" s="343"/>
      <c r="K1042" s="343"/>
      <c r="L1042" s="343"/>
    </row>
    <row r="1043" spans="2:12" x14ac:dyDescent="0.2">
      <c r="B1043" s="144"/>
      <c r="D1043" s="341"/>
      <c r="F1043" s="343"/>
      <c r="G1043" s="343"/>
      <c r="H1043" s="343"/>
      <c r="I1043" s="343"/>
      <c r="J1043" s="343"/>
      <c r="K1043" s="343"/>
      <c r="L1043" s="343"/>
    </row>
    <row r="1044" spans="2:12" x14ac:dyDescent="0.2">
      <c r="B1044" s="144"/>
      <c r="D1044" s="341"/>
      <c r="F1044" s="343"/>
      <c r="G1044" s="343"/>
      <c r="H1044" s="343"/>
      <c r="I1044" s="343"/>
      <c r="J1044" s="343"/>
      <c r="K1044" s="343"/>
      <c r="L1044" s="343"/>
    </row>
    <row r="1045" spans="2:12" x14ac:dyDescent="0.2">
      <c r="B1045" s="144"/>
      <c r="D1045" s="341"/>
      <c r="F1045" s="343"/>
      <c r="G1045" s="343"/>
      <c r="H1045" s="343"/>
      <c r="I1045" s="343"/>
      <c r="J1045" s="343"/>
      <c r="K1045" s="343"/>
      <c r="L1045" s="343"/>
    </row>
    <row r="1046" spans="2:12" x14ac:dyDescent="0.2">
      <c r="B1046" s="144"/>
      <c r="D1046" s="341"/>
      <c r="F1046" s="343"/>
      <c r="G1046" s="343"/>
      <c r="H1046" s="343"/>
      <c r="I1046" s="343"/>
      <c r="J1046" s="343"/>
      <c r="K1046" s="343"/>
      <c r="L1046" s="343"/>
    </row>
    <row r="1047" spans="2:12" x14ac:dyDescent="0.2">
      <c r="B1047" s="144"/>
      <c r="D1047" s="341"/>
      <c r="F1047" s="343"/>
      <c r="G1047" s="343"/>
      <c r="H1047" s="343"/>
      <c r="I1047" s="343"/>
      <c r="J1047" s="343"/>
      <c r="K1047" s="343"/>
      <c r="L1047" s="343"/>
    </row>
    <row r="1048" spans="2:12" x14ac:dyDescent="0.2">
      <c r="B1048" s="144"/>
      <c r="D1048" s="341"/>
      <c r="F1048" s="343"/>
      <c r="G1048" s="343"/>
      <c r="H1048" s="343"/>
      <c r="I1048" s="343"/>
      <c r="J1048" s="343"/>
      <c r="K1048" s="343"/>
      <c r="L1048" s="343"/>
    </row>
    <row r="1049" spans="2:12" x14ac:dyDescent="0.2">
      <c r="B1049" s="144"/>
      <c r="D1049" s="341"/>
      <c r="F1049" s="343"/>
      <c r="G1049" s="343"/>
      <c r="H1049" s="343"/>
      <c r="I1049" s="343"/>
      <c r="J1049" s="343"/>
      <c r="K1049" s="343"/>
      <c r="L1049" s="343"/>
    </row>
    <row r="1050" spans="2:12" x14ac:dyDescent="0.2">
      <c r="B1050" s="144"/>
      <c r="D1050" s="341"/>
      <c r="F1050" s="343"/>
      <c r="G1050" s="343"/>
      <c r="H1050" s="343"/>
      <c r="I1050" s="343"/>
      <c r="J1050" s="343"/>
      <c r="K1050" s="343"/>
      <c r="L1050" s="343"/>
    </row>
    <row r="1051" spans="2:12" x14ac:dyDescent="0.2">
      <c r="B1051" s="144"/>
      <c r="D1051" s="341"/>
      <c r="F1051" s="343"/>
      <c r="G1051" s="343"/>
      <c r="H1051" s="343"/>
      <c r="I1051" s="343"/>
      <c r="J1051" s="343"/>
      <c r="K1051" s="343"/>
      <c r="L1051" s="343"/>
    </row>
    <row r="1052" spans="2:12" x14ac:dyDescent="0.2">
      <c r="B1052" s="144"/>
      <c r="D1052" s="341"/>
      <c r="F1052" s="343"/>
      <c r="G1052" s="343"/>
      <c r="H1052" s="343"/>
      <c r="I1052" s="343"/>
      <c r="J1052" s="343"/>
      <c r="K1052" s="343"/>
      <c r="L1052" s="343"/>
    </row>
    <row r="1053" spans="2:12" x14ac:dyDescent="0.2">
      <c r="B1053" s="144"/>
      <c r="D1053" s="341"/>
      <c r="F1053" s="343"/>
      <c r="G1053" s="343"/>
      <c r="H1053" s="343"/>
      <c r="I1053" s="343"/>
      <c r="J1053" s="343"/>
      <c r="K1053" s="343"/>
      <c r="L1053" s="343"/>
    </row>
    <row r="1054" spans="2:12" x14ac:dyDescent="0.2">
      <c r="B1054" s="144"/>
      <c r="D1054" s="341"/>
      <c r="F1054" s="343"/>
      <c r="G1054" s="343"/>
      <c r="H1054" s="343"/>
      <c r="I1054" s="343"/>
      <c r="J1054" s="343"/>
      <c r="K1054" s="343"/>
      <c r="L1054" s="343"/>
    </row>
    <row r="1055" spans="2:12" x14ac:dyDescent="0.2">
      <c r="B1055" s="144"/>
      <c r="D1055" s="341"/>
      <c r="F1055" s="343"/>
      <c r="G1055" s="343"/>
      <c r="H1055" s="343"/>
      <c r="I1055" s="343"/>
      <c r="J1055" s="343"/>
      <c r="K1055" s="343"/>
      <c r="L1055" s="343"/>
    </row>
    <row r="1056" spans="2:12" x14ac:dyDescent="0.2">
      <c r="B1056" s="144"/>
      <c r="D1056" s="341"/>
      <c r="F1056" s="343"/>
      <c r="G1056" s="343"/>
      <c r="H1056" s="343"/>
      <c r="I1056" s="343"/>
      <c r="J1056" s="343"/>
      <c r="K1056" s="343"/>
      <c r="L1056" s="343"/>
    </row>
    <row r="1057" spans="2:12" x14ac:dyDescent="0.2">
      <c r="B1057" s="144"/>
      <c r="D1057" s="341"/>
      <c r="F1057" s="343"/>
      <c r="G1057" s="343"/>
      <c r="H1057" s="343"/>
      <c r="I1057" s="343"/>
      <c r="J1057" s="343"/>
      <c r="K1057" s="343"/>
      <c r="L1057" s="343"/>
    </row>
    <row r="1058" spans="2:12" x14ac:dyDescent="0.2">
      <c r="B1058" s="144"/>
      <c r="D1058" s="341"/>
      <c r="F1058" s="343"/>
      <c r="G1058" s="343"/>
      <c r="H1058" s="343"/>
      <c r="I1058" s="343"/>
      <c r="J1058" s="343"/>
      <c r="K1058" s="343"/>
      <c r="L1058" s="343"/>
    </row>
    <row r="1059" spans="2:12" x14ac:dyDescent="0.2">
      <c r="B1059" s="144"/>
      <c r="D1059" s="341"/>
      <c r="F1059" s="343"/>
      <c r="G1059" s="343"/>
      <c r="H1059" s="343"/>
      <c r="I1059" s="343"/>
      <c r="J1059" s="343"/>
      <c r="K1059" s="343"/>
      <c r="L1059" s="343"/>
    </row>
    <row r="1060" spans="2:12" x14ac:dyDescent="0.2">
      <c r="B1060" s="144"/>
      <c r="D1060" s="341"/>
      <c r="F1060" s="343"/>
      <c r="G1060" s="343"/>
      <c r="H1060" s="343"/>
      <c r="I1060" s="343"/>
      <c r="J1060" s="343"/>
      <c r="K1060" s="343"/>
      <c r="L1060" s="343"/>
    </row>
    <row r="1061" spans="2:12" x14ac:dyDescent="0.2">
      <c r="B1061" s="144"/>
      <c r="D1061" s="341"/>
      <c r="F1061" s="343"/>
      <c r="G1061" s="343"/>
      <c r="H1061" s="343"/>
      <c r="I1061" s="343"/>
      <c r="J1061" s="343"/>
      <c r="K1061" s="343"/>
      <c r="L1061" s="343"/>
    </row>
    <row r="1062" spans="2:12" x14ac:dyDescent="0.2">
      <c r="B1062" s="144"/>
      <c r="D1062" s="341"/>
      <c r="F1062" s="343"/>
      <c r="G1062" s="343"/>
      <c r="H1062" s="343"/>
      <c r="I1062" s="343"/>
      <c r="J1062" s="343"/>
      <c r="K1062" s="343"/>
      <c r="L1062" s="343"/>
    </row>
    <row r="1063" spans="2:12" x14ac:dyDescent="0.2">
      <c r="B1063" s="144"/>
      <c r="D1063" s="341"/>
      <c r="F1063" s="343"/>
      <c r="G1063" s="343"/>
      <c r="H1063" s="343"/>
      <c r="I1063" s="343"/>
      <c r="J1063" s="343"/>
      <c r="K1063" s="343"/>
      <c r="L1063" s="343"/>
    </row>
    <row r="1064" spans="2:12" x14ac:dyDescent="0.2">
      <c r="B1064" s="144"/>
      <c r="D1064" s="341"/>
      <c r="F1064" s="343"/>
      <c r="G1064" s="343"/>
      <c r="H1064" s="343"/>
      <c r="I1064" s="343"/>
      <c r="J1064" s="343"/>
      <c r="K1064" s="343"/>
      <c r="L1064" s="343"/>
    </row>
    <row r="1065" spans="2:12" x14ac:dyDescent="0.2">
      <c r="B1065" s="144"/>
      <c r="D1065" s="341"/>
      <c r="F1065" s="343"/>
      <c r="G1065" s="343"/>
      <c r="H1065" s="343"/>
      <c r="I1065" s="343"/>
      <c r="J1065" s="343"/>
      <c r="K1065" s="343"/>
      <c r="L1065" s="343"/>
    </row>
    <row r="1066" spans="2:12" x14ac:dyDescent="0.2">
      <c r="B1066" s="144"/>
      <c r="D1066" s="341"/>
      <c r="F1066" s="343"/>
      <c r="G1066" s="343"/>
      <c r="H1066" s="343"/>
      <c r="I1066" s="343"/>
      <c r="J1066" s="343"/>
      <c r="K1066" s="343"/>
      <c r="L1066" s="343"/>
    </row>
    <row r="1067" spans="2:12" x14ac:dyDescent="0.2">
      <c r="B1067" s="144"/>
      <c r="D1067" s="341"/>
      <c r="F1067" s="343"/>
      <c r="G1067" s="343"/>
      <c r="H1067" s="343"/>
      <c r="I1067" s="343"/>
      <c r="J1067" s="343"/>
      <c r="K1067" s="343"/>
      <c r="L1067" s="343"/>
    </row>
    <row r="1068" spans="2:12" x14ac:dyDescent="0.2">
      <c r="B1068" s="144"/>
      <c r="D1068" s="341"/>
      <c r="F1068" s="343"/>
      <c r="G1068" s="343"/>
      <c r="H1068" s="343"/>
      <c r="I1068" s="343"/>
      <c r="J1068" s="343"/>
      <c r="K1068" s="343"/>
      <c r="L1068" s="343"/>
    </row>
    <row r="1069" spans="2:12" x14ac:dyDescent="0.2">
      <c r="B1069" s="144"/>
      <c r="D1069" s="341"/>
      <c r="F1069" s="343"/>
      <c r="G1069" s="343"/>
      <c r="H1069" s="343"/>
      <c r="I1069" s="343"/>
      <c r="J1069" s="343"/>
      <c r="K1069" s="343"/>
      <c r="L1069" s="343"/>
    </row>
    <row r="1070" spans="2:12" x14ac:dyDescent="0.2">
      <c r="B1070" s="144"/>
      <c r="D1070" s="341"/>
      <c r="F1070" s="343"/>
      <c r="G1070" s="343"/>
      <c r="H1070" s="343"/>
      <c r="I1070" s="343"/>
      <c r="J1070" s="343"/>
      <c r="K1070" s="343"/>
      <c r="L1070" s="343"/>
    </row>
    <row r="1071" spans="2:12" x14ac:dyDescent="0.2">
      <c r="B1071" s="144"/>
      <c r="D1071" s="341"/>
      <c r="F1071" s="343"/>
      <c r="G1071" s="343"/>
      <c r="H1071" s="343"/>
      <c r="I1071" s="343"/>
      <c r="J1071" s="343"/>
      <c r="K1071" s="343"/>
      <c r="L1071" s="343"/>
    </row>
    <row r="1072" spans="2:12" x14ac:dyDescent="0.2">
      <c r="B1072" s="144"/>
      <c r="D1072" s="341"/>
      <c r="F1072" s="343"/>
      <c r="G1072" s="343"/>
      <c r="H1072" s="343"/>
      <c r="I1072" s="343"/>
      <c r="J1072" s="343"/>
      <c r="K1072" s="343"/>
      <c r="L1072" s="343"/>
    </row>
    <row r="1073" spans="2:12" x14ac:dyDescent="0.2">
      <c r="B1073" s="144"/>
      <c r="D1073" s="341"/>
      <c r="F1073" s="343"/>
      <c r="G1073" s="343"/>
      <c r="H1073" s="343"/>
      <c r="I1073" s="343"/>
      <c r="J1073" s="343"/>
      <c r="K1073" s="343"/>
      <c r="L1073" s="343"/>
    </row>
    <row r="1074" spans="2:12" x14ac:dyDescent="0.2">
      <c r="B1074" s="144"/>
      <c r="D1074" s="341"/>
      <c r="F1074" s="343"/>
      <c r="G1074" s="343"/>
      <c r="H1074" s="343"/>
      <c r="I1074" s="343"/>
      <c r="J1074" s="343"/>
      <c r="K1074" s="343"/>
      <c r="L1074" s="343"/>
    </row>
    <row r="1075" spans="2:12" x14ac:dyDescent="0.2">
      <c r="B1075" s="144"/>
      <c r="D1075" s="341"/>
      <c r="F1075" s="343"/>
      <c r="G1075" s="343"/>
      <c r="H1075" s="343"/>
      <c r="I1075" s="343"/>
      <c r="J1075" s="343"/>
      <c r="K1075" s="343"/>
      <c r="L1075" s="343"/>
    </row>
    <row r="1076" spans="2:12" x14ac:dyDescent="0.2">
      <c r="B1076" s="144"/>
      <c r="D1076" s="341"/>
      <c r="F1076" s="343"/>
      <c r="G1076" s="343"/>
      <c r="H1076" s="343"/>
      <c r="I1076" s="343"/>
      <c r="J1076" s="343"/>
      <c r="K1076" s="343"/>
      <c r="L1076" s="343"/>
    </row>
    <row r="1077" spans="2:12" x14ac:dyDescent="0.2">
      <c r="B1077" s="144"/>
      <c r="D1077" s="341"/>
      <c r="F1077" s="343"/>
      <c r="G1077" s="343"/>
      <c r="H1077" s="343"/>
      <c r="I1077" s="343"/>
      <c r="J1077" s="343"/>
      <c r="K1077" s="343"/>
      <c r="L1077" s="343"/>
    </row>
    <row r="1078" spans="2:12" x14ac:dyDescent="0.2">
      <c r="B1078" s="144"/>
      <c r="D1078" s="341"/>
      <c r="F1078" s="343"/>
      <c r="G1078" s="343"/>
      <c r="H1078" s="343"/>
      <c r="I1078" s="343"/>
      <c r="J1078" s="343"/>
      <c r="K1078" s="343"/>
      <c r="L1078" s="343"/>
    </row>
    <row r="1079" spans="2:12" x14ac:dyDescent="0.2">
      <c r="B1079" s="144"/>
      <c r="D1079" s="341"/>
      <c r="F1079" s="343"/>
      <c r="G1079" s="343"/>
      <c r="H1079" s="343"/>
      <c r="I1079" s="343"/>
      <c r="J1079" s="343"/>
      <c r="K1079" s="343"/>
      <c r="L1079" s="343"/>
    </row>
    <row r="1080" spans="2:12" x14ac:dyDescent="0.2">
      <c r="B1080" s="144"/>
      <c r="D1080" s="341"/>
      <c r="F1080" s="343"/>
      <c r="G1080" s="343"/>
      <c r="H1080" s="343"/>
      <c r="I1080" s="343"/>
      <c r="J1080" s="343"/>
      <c r="K1080" s="343"/>
      <c r="L1080" s="343"/>
    </row>
    <row r="1081" spans="2:12" x14ac:dyDescent="0.2">
      <c r="B1081" s="144"/>
      <c r="D1081" s="341"/>
      <c r="F1081" s="343"/>
      <c r="G1081" s="343"/>
      <c r="H1081" s="343"/>
      <c r="I1081" s="343"/>
      <c r="J1081" s="343"/>
      <c r="K1081" s="343"/>
      <c r="L1081" s="343"/>
    </row>
    <row r="1082" spans="2:12" x14ac:dyDescent="0.2">
      <c r="B1082" s="144"/>
      <c r="D1082" s="341"/>
      <c r="F1082" s="343"/>
      <c r="G1082" s="343"/>
      <c r="H1082" s="343"/>
      <c r="I1082" s="343"/>
      <c r="J1082" s="343"/>
      <c r="K1082" s="343"/>
      <c r="L1082" s="343"/>
    </row>
    <row r="1083" spans="2:12" x14ac:dyDescent="0.2">
      <c r="B1083" s="144"/>
      <c r="D1083" s="341"/>
      <c r="F1083" s="343"/>
      <c r="G1083" s="343"/>
      <c r="H1083" s="343"/>
      <c r="I1083" s="343"/>
      <c r="J1083" s="343"/>
      <c r="K1083" s="343"/>
      <c r="L1083" s="343"/>
    </row>
    <row r="1084" spans="2:12" x14ac:dyDescent="0.2">
      <c r="B1084" s="144"/>
      <c r="D1084" s="341"/>
      <c r="F1084" s="343"/>
      <c r="G1084" s="343"/>
      <c r="H1084" s="343"/>
      <c r="I1084" s="343"/>
      <c r="J1084" s="343"/>
      <c r="K1084" s="343"/>
      <c r="L1084" s="343"/>
    </row>
    <row r="1085" spans="2:12" x14ac:dyDescent="0.2">
      <c r="B1085" s="144"/>
      <c r="D1085" s="341"/>
      <c r="F1085" s="343"/>
      <c r="G1085" s="343"/>
      <c r="H1085" s="343"/>
      <c r="I1085" s="343"/>
      <c r="J1085" s="343"/>
      <c r="K1085" s="343"/>
      <c r="L1085" s="343"/>
    </row>
    <row r="1086" spans="2:12" x14ac:dyDescent="0.2">
      <c r="B1086" s="144"/>
      <c r="D1086" s="341"/>
      <c r="F1086" s="343"/>
      <c r="G1086" s="343"/>
      <c r="H1086" s="343"/>
      <c r="I1086" s="343"/>
      <c r="J1086" s="343"/>
      <c r="K1086" s="343"/>
      <c r="L1086" s="343"/>
    </row>
    <row r="1087" spans="2:12" x14ac:dyDescent="0.2">
      <c r="B1087" s="144"/>
      <c r="D1087" s="341"/>
      <c r="F1087" s="343"/>
      <c r="G1087" s="343"/>
      <c r="H1087" s="343"/>
      <c r="I1087" s="343"/>
      <c r="J1087" s="343"/>
      <c r="K1087" s="343"/>
      <c r="L1087" s="343"/>
    </row>
    <row r="1088" spans="2:12" x14ac:dyDescent="0.2">
      <c r="B1088" s="144"/>
      <c r="D1088" s="341"/>
      <c r="F1088" s="343"/>
      <c r="G1088" s="343"/>
      <c r="H1088" s="343"/>
      <c r="I1088" s="343"/>
      <c r="J1088" s="343"/>
      <c r="K1088" s="343"/>
      <c r="L1088" s="343"/>
    </row>
    <row r="1089" spans="2:12" x14ac:dyDescent="0.2">
      <c r="B1089" s="144"/>
      <c r="D1089" s="341"/>
      <c r="F1089" s="343"/>
      <c r="G1089" s="343"/>
      <c r="H1089" s="343"/>
      <c r="I1089" s="343"/>
      <c r="J1089" s="343"/>
      <c r="K1089" s="343"/>
      <c r="L1089" s="343"/>
    </row>
    <row r="1090" spans="2:12" x14ac:dyDescent="0.2">
      <c r="B1090" s="144"/>
      <c r="D1090" s="341"/>
      <c r="F1090" s="343"/>
      <c r="G1090" s="343"/>
      <c r="H1090" s="343"/>
      <c r="I1090" s="343"/>
      <c r="J1090" s="343"/>
      <c r="K1090" s="343"/>
      <c r="L1090" s="343"/>
    </row>
    <row r="1091" spans="2:12" x14ac:dyDescent="0.2">
      <c r="B1091" s="144"/>
      <c r="D1091" s="341"/>
      <c r="F1091" s="343"/>
      <c r="G1091" s="343"/>
      <c r="H1091" s="343"/>
      <c r="I1091" s="343"/>
      <c r="J1091" s="343"/>
      <c r="K1091" s="343"/>
      <c r="L1091" s="343"/>
    </row>
    <row r="1092" spans="2:12" x14ac:dyDescent="0.2">
      <c r="B1092" s="144"/>
      <c r="D1092" s="341"/>
      <c r="F1092" s="343"/>
      <c r="G1092" s="343"/>
      <c r="H1092" s="343"/>
      <c r="I1092" s="343"/>
      <c r="J1092" s="343"/>
      <c r="K1092" s="343"/>
      <c r="L1092" s="343"/>
    </row>
    <row r="1093" spans="2:12" x14ac:dyDescent="0.2">
      <c r="B1093" s="144"/>
      <c r="D1093" s="341"/>
      <c r="F1093" s="343"/>
      <c r="G1093" s="343"/>
      <c r="H1093" s="343"/>
      <c r="I1093" s="343"/>
      <c r="J1093" s="343"/>
      <c r="K1093" s="343"/>
      <c r="L1093" s="343"/>
    </row>
    <row r="1094" spans="2:12" x14ac:dyDescent="0.2">
      <c r="B1094" s="144"/>
      <c r="D1094" s="341"/>
      <c r="F1094" s="343"/>
      <c r="G1094" s="343"/>
      <c r="H1094" s="343"/>
      <c r="I1094" s="343"/>
      <c r="J1094" s="343"/>
      <c r="K1094" s="343"/>
      <c r="L1094" s="343"/>
    </row>
    <row r="1095" spans="2:12" x14ac:dyDescent="0.2">
      <c r="B1095" s="144"/>
      <c r="D1095" s="341"/>
      <c r="F1095" s="343"/>
      <c r="G1095" s="343"/>
      <c r="H1095" s="343"/>
      <c r="I1095" s="343"/>
      <c r="J1095" s="343"/>
      <c r="K1095" s="343"/>
      <c r="L1095" s="343"/>
    </row>
    <row r="1096" spans="2:12" x14ac:dyDescent="0.2">
      <c r="B1096" s="144"/>
      <c r="D1096" s="341"/>
      <c r="F1096" s="343"/>
      <c r="G1096" s="343"/>
      <c r="H1096" s="343"/>
      <c r="I1096" s="343"/>
      <c r="J1096" s="343"/>
      <c r="K1096" s="343"/>
      <c r="L1096" s="343"/>
    </row>
    <row r="1097" spans="2:12" x14ac:dyDescent="0.2">
      <c r="B1097" s="144"/>
      <c r="D1097" s="341"/>
      <c r="F1097" s="343"/>
      <c r="G1097" s="343"/>
      <c r="H1097" s="343"/>
      <c r="I1097" s="343"/>
      <c r="J1097" s="343"/>
      <c r="K1097" s="343"/>
      <c r="L1097" s="343"/>
    </row>
    <row r="1098" spans="2:12" x14ac:dyDescent="0.2">
      <c r="B1098" s="144"/>
      <c r="D1098" s="341"/>
      <c r="F1098" s="343"/>
      <c r="G1098" s="343"/>
      <c r="H1098" s="343"/>
      <c r="I1098" s="343"/>
      <c r="J1098" s="343"/>
      <c r="K1098" s="343"/>
      <c r="L1098" s="343"/>
    </row>
    <row r="1099" spans="2:12" x14ac:dyDescent="0.2">
      <c r="B1099" s="144"/>
      <c r="D1099" s="341"/>
      <c r="F1099" s="343"/>
      <c r="G1099" s="343"/>
      <c r="H1099" s="343"/>
      <c r="I1099" s="343"/>
      <c r="J1099" s="343"/>
      <c r="K1099" s="343"/>
      <c r="L1099" s="343"/>
    </row>
    <row r="1100" spans="2:12" x14ac:dyDescent="0.2">
      <c r="B1100" s="144"/>
      <c r="D1100" s="341"/>
      <c r="F1100" s="343"/>
      <c r="G1100" s="343"/>
      <c r="H1100" s="343"/>
      <c r="I1100" s="343"/>
      <c r="J1100" s="343"/>
      <c r="K1100" s="343"/>
      <c r="L1100" s="343"/>
    </row>
    <row r="1101" spans="2:12" x14ac:dyDescent="0.2">
      <c r="B1101" s="144"/>
      <c r="D1101" s="341"/>
      <c r="F1101" s="343"/>
      <c r="G1101" s="343"/>
      <c r="H1101" s="343"/>
      <c r="I1101" s="343"/>
      <c r="J1101" s="343"/>
      <c r="K1101" s="343"/>
      <c r="L1101" s="343"/>
    </row>
    <row r="1102" spans="2:12" x14ac:dyDescent="0.2">
      <c r="B1102" s="144"/>
      <c r="D1102" s="341"/>
      <c r="F1102" s="343"/>
      <c r="G1102" s="343"/>
      <c r="H1102" s="343"/>
      <c r="I1102" s="343"/>
      <c r="J1102" s="343"/>
      <c r="K1102" s="343"/>
      <c r="L1102" s="343"/>
    </row>
    <row r="1103" spans="2:12" x14ac:dyDescent="0.2">
      <c r="B1103" s="144"/>
      <c r="D1103" s="341"/>
      <c r="F1103" s="343"/>
      <c r="G1103" s="343"/>
      <c r="H1103" s="343"/>
      <c r="I1103" s="343"/>
      <c r="J1103" s="343"/>
      <c r="K1103" s="343"/>
      <c r="L1103" s="343"/>
    </row>
    <row r="1104" spans="2:12" x14ac:dyDescent="0.2">
      <c r="B1104" s="144"/>
      <c r="D1104" s="341"/>
      <c r="F1104" s="343"/>
      <c r="G1104" s="343"/>
      <c r="H1104" s="343"/>
      <c r="I1104" s="343"/>
      <c r="J1104" s="343"/>
      <c r="K1104" s="343"/>
      <c r="L1104" s="343"/>
    </row>
    <row r="1105" spans="2:12" x14ac:dyDescent="0.2">
      <c r="B1105" s="144"/>
      <c r="D1105" s="341"/>
      <c r="F1105" s="343"/>
      <c r="G1105" s="343"/>
      <c r="H1105" s="343"/>
      <c r="I1105" s="343"/>
      <c r="J1105" s="343"/>
      <c r="K1105" s="343"/>
      <c r="L1105" s="343"/>
    </row>
    <row r="1106" spans="2:12" x14ac:dyDescent="0.2">
      <c r="B1106" s="144"/>
      <c r="D1106" s="341"/>
      <c r="F1106" s="343"/>
      <c r="G1106" s="343"/>
      <c r="H1106" s="343"/>
      <c r="I1106" s="343"/>
      <c r="J1106" s="343"/>
      <c r="K1106" s="343"/>
      <c r="L1106" s="343"/>
    </row>
    <row r="1107" spans="2:12" x14ac:dyDescent="0.2">
      <c r="B1107" s="144"/>
      <c r="D1107" s="341"/>
      <c r="F1107" s="343"/>
      <c r="G1107" s="343"/>
      <c r="H1107" s="343"/>
      <c r="I1107" s="343"/>
      <c r="J1107" s="343"/>
      <c r="K1107" s="343"/>
      <c r="L1107" s="343"/>
    </row>
    <row r="1108" spans="2:12" x14ac:dyDescent="0.2">
      <c r="B1108" s="144"/>
      <c r="D1108" s="341"/>
      <c r="F1108" s="343"/>
      <c r="G1108" s="343"/>
      <c r="H1108" s="343"/>
      <c r="I1108" s="343"/>
      <c r="J1108" s="343"/>
      <c r="K1108" s="343"/>
      <c r="L1108" s="343"/>
    </row>
    <row r="1109" spans="2:12" x14ac:dyDescent="0.2">
      <c r="B1109" s="144"/>
      <c r="D1109" s="341"/>
      <c r="F1109" s="343"/>
      <c r="G1109" s="343"/>
      <c r="H1109" s="343"/>
      <c r="I1109" s="343"/>
      <c r="J1109" s="343"/>
      <c r="K1109" s="343"/>
      <c r="L1109" s="343"/>
    </row>
    <row r="1110" spans="2:12" x14ac:dyDescent="0.2">
      <c r="B1110" s="144"/>
      <c r="D1110" s="341"/>
      <c r="F1110" s="343"/>
      <c r="G1110" s="343"/>
      <c r="H1110" s="343"/>
      <c r="I1110" s="343"/>
      <c r="J1110" s="343"/>
      <c r="K1110" s="343"/>
      <c r="L1110" s="343"/>
    </row>
    <row r="1111" spans="2:12" x14ac:dyDescent="0.2">
      <c r="B1111" s="144"/>
      <c r="D1111" s="341"/>
      <c r="F1111" s="343"/>
      <c r="G1111" s="343"/>
      <c r="H1111" s="343"/>
      <c r="I1111" s="343"/>
      <c r="J1111" s="343"/>
      <c r="K1111" s="343"/>
      <c r="L1111" s="343"/>
    </row>
    <row r="1112" spans="2:12" x14ac:dyDescent="0.2">
      <c r="B1112" s="144"/>
      <c r="D1112" s="341"/>
      <c r="F1112" s="343"/>
      <c r="G1112" s="343"/>
      <c r="H1112" s="343"/>
      <c r="I1112" s="343"/>
      <c r="J1112" s="343"/>
      <c r="K1112" s="343"/>
      <c r="L1112" s="343"/>
    </row>
    <row r="1113" spans="2:12" x14ac:dyDescent="0.2">
      <c r="B1113" s="144"/>
      <c r="D1113" s="341"/>
      <c r="F1113" s="343"/>
      <c r="G1113" s="343"/>
      <c r="H1113" s="343"/>
      <c r="I1113" s="343"/>
      <c r="J1113" s="343"/>
      <c r="K1113" s="343"/>
      <c r="L1113" s="343"/>
    </row>
    <row r="1114" spans="2:12" x14ac:dyDescent="0.2">
      <c r="B1114" s="144"/>
      <c r="D1114" s="341"/>
      <c r="F1114" s="343"/>
      <c r="G1114" s="343"/>
      <c r="H1114" s="343"/>
      <c r="I1114" s="343"/>
      <c r="J1114" s="343"/>
      <c r="K1114" s="343"/>
      <c r="L1114" s="343"/>
    </row>
    <row r="1115" spans="2:12" x14ac:dyDescent="0.2">
      <c r="B1115" s="144"/>
      <c r="D1115" s="341"/>
      <c r="F1115" s="343"/>
      <c r="G1115" s="343"/>
      <c r="H1115" s="343"/>
      <c r="I1115" s="343"/>
      <c r="J1115" s="343"/>
      <c r="K1115" s="343"/>
      <c r="L1115" s="343"/>
    </row>
    <row r="1116" spans="2:12" x14ac:dyDescent="0.2">
      <c r="B1116" s="144"/>
      <c r="D1116" s="341"/>
      <c r="F1116" s="343"/>
      <c r="G1116" s="343"/>
      <c r="H1116" s="343"/>
      <c r="I1116" s="343"/>
      <c r="J1116" s="343"/>
      <c r="K1116" s="343"/>
      <c r="L1116" s="343"/>
    </row>
    <row r="1117" spans="2:12" x14ac:dyDescent="0.2">
      <c r="B1117" s="144"/>
      <c r="D1117" s="341"/>
      <c r="F1117" s="343"/>
      <c r="G1117" s="343"/>
      <c r="H1117" s="343"/>
      <c r="I1117" s="343"/>
      <c r="J1117" s="343"/>
      <c r="K1117" s="343"/>
      <c r="L1117" s="343"/>
    </row>
    <row r="1118" spans="2:12" x14ac:dyDescent="0.2">
      <c r="B1118" s="144"/>
      <c r="D1118" s="341"/>
      <c r="F1118" s="343"/>
      <c r="G1118" s="343"/>
      <c r="H1118" s="343"/>
      <c r="I1118" s="343"/>
      <c r="J1118" s="343"/>
      <c r="K1118" s="343"/>
      <c r="L1118" s="343"/>
    </row>
    <row r="1119" spans="2:12" x14ac:dyDescent="0.2">
      <c r="B1119" s="144"/>
      <c r="D1119" s="341"/>
      <c r="F1119" s="343"/>
      <c r="G1119" s="343"/>
      <c r="H1119" s="343"/>
      <c r="I1119" s="343"/>
      <c r="J1119" s="343"/>
      <c r="K1119" s="343"/>
      <c r="L1119" s="343"/>
    </row>
    <row r="1120" spans="2:12" x14ac:dyDescent="0.2">
      <c r="B1120" s="144"/>
      <c r="D1120" s="341"/>
      <c r="F1120" s="343"/>
      <c r="G1120" s="343"/>
      <c r="H1120" s="343"/>
      <c r="I1120" s="343"/>
      <c r="J1120" s="343"/>
      <c r="K1120" s="343"/>
      <c r="L1120" s="343"/>
    </row>
    <row r="1121" spans="2:12" x14ac:dyDescent="0.2">
      <c r="B1121" s="144"/>
      <c r="D1121" s="341"/>
      <c r="F1121" s="343"/>
      <c r="G1121" s="343"/>
      <c r="H1121" s="343"/>
      <c r="I1121" s="343"/>
      <c r="J1121" s="343"/>
      <c r="K1121" s="343"/>
      <c r="L1121" s="343"/>
    </row>
    <row r="1122" spans="2:12" x14ac:dyDescent="0.2">
      <c r="B1122" s="144"/>
      <c r="D1122" s="341"/>
      <c r="F1122" s="343"/>
      <c r="G1122" s="343"/>
      <c r="H1122" s="343"/>
      <c r="I1122" s="343"/>
      <c r="J1122" s="343"/>
      <c r="K1122" s="343"/>
      <c r="L1122" s="343"/>
    </row>
    <row r="1123" spans="2:12" x14ac:dyDescent="0.2">
      <c r="B1123" s="144"/>
      <c r="D1123" s="341"/>
      <c r="F1123" s="343"/>
      <c r="G1123" s="343"/>
      <c r="H1123" s="343"/>
      <c r="I1123" s="343"/>
      <c r="J1123" s="343"/>
      <c r="K1123" s="343"/>
      <c r="L1123" s="343"/>
    </row>
    <row r="1124" spans="2:12" x14ac:dyDescent="0.2">
      <c r="B1124" s="144"/>
      <c r="D1124" s="341"/>
      <c r="F1124" s="343"/>
      <c r="G1124" s="343"/>
      <c r="H1124" s="343"/>
      <c r="I1124" s="343"/>
      <c r="J1124" s="343"/>
      <c r="K1124" s="343"/>
      <c r="L1124" s="343"/>
    </row>
    <row r="1125" spans="2:12" x14ac:dyDescent="0.2">
      <c r="B1125" s="144"/>
      <c r="D1125" s="341"/>
      <c r="F1125" s="343"/>
      <c r="G1125" s="343"/>
      <c r="H1125" s="343"/>
      <c r="I1125" s="343"/>
      <c r="J1125" s="343"/>
      <c r="K1125" s="343"/>
      <c r="L1125" s="343"/>
    </row>
    <row r="1126" spans="2:12" x14ac:dyDescent="0.2">
      <c r="B1126" s="144"/>
      <c r="D1126" s="341"/>
      <c r="F1126" s="343"/>
      <c r="G1126" s="343"/>
      <c r="H1126" s="343"/>
      <c r="I1126" s="343"/>
      <c r="J1126" s="343"/>
      <c r="K1126" s="343"/>
      <c r="L1126" s="343"/>
    </row>
    <row r="1127" spans="2:12" x14ac:dyDescent="0.2">
      <c r="B1127" s="144"/>
      <c r="D1127" s="341"/>
      <c r="F1127" s="343"/>
      <c r="G1127" s="343"/>
      <c r="H1127" s="343"/>
      <c r="I1127" s="343"/>
      <c r="J1127" s="343"/>
      <c r="K1127" s="343"/>
      <c r="L1127" s="343"/>
    </row>
    <row r="1128" spans="2:12" x14ac:dyDescent="0.2">
      <c r="B1128" s="144"/>
      <c r="D1128" s="341"/>
      <c r="F1128" s="343"/>
      <c r="G1128" s="343"/>
      <c r="H1128" s="343"/>
      <c r="I1128" s="343"/>
      <c r="J1128" s="343"/>
      <c r="K1128" s="343"/>
      <c r="L1128" s="343"/>
    </row>
    <row r="1129" spans="2:12" x14ac:dyDescent="0.2">
      <c r="B1129" s="144"/>
      <c r="D1129" s="341"/>
      <c r="F1129" s="343"/>
      <c r="G1129" s="343"/>
      <c r="H1129" s="343"/>
      <c r="I1129" s="343"/>
      <c r="J1129" s="343"/>
      <c r="K1129" s="343"/>
      <c r="L1129" s="343"/>
    </row>
    <row r="1130" spans="2:12" x14ac:dyDescent="0.2">
      <c r="B1130" s="144"/>
      <c r="D1130" s="341"/>
      <c r="F1130" s="343"/>
      <c r="G1130" s="343"/>
      <c r="H1130" s="343"/>
      <c r="I1130" s="343"/>
      <c r="J1130" s="343"/>
      <c r="K1130" s="343"/>
      <c r="L1130" s="343"/>
    </row>
    <row r="1131" spans="2:12" x14ac:dyDescent="0.2">
      <c r="B1131" s="144"/>
      <c r="D1131" s="341"/>
      <c r="F1131" s="343"/>
      <c r="G1131" s="343"/>
      <c r="H1131" s="343"/>
      <c r="I1131" s="343"/>
      <c r="J1131" s="343"/>
      <c r="K1131" s="343"/>
      <c r="L1131" s="343"/>
    </row>
    <row r="1132" spans="2:12" x14ac:dyDescent="0.2">
      <c r="B1132" s="144"/>
      <c r="D1132" s="341"/>
      <c r="F1132" s="343"/>
      <c r="G1132" s="343"/>
      <c r="H1132" s="343"/>
      <c r="I1132" s="343"/>
      <c r="J1132" s="343"/>
      <c r="K1132" s="343"/>
      <c r="L1132" s="343"/>
    </row>
    <row r="1133" spans="2:12" x14ac:dyDescent="0.2">
      <c r="B1133" s="144"/>
      <c r="D1133" s="341"/>
      <c r="F1133" s="343"/>
      <c r="G1133" s="343"/>
      <c r="H1133" s="343"/>
      <c r="I1133" s="343"/>
      <c r="J1133" s="343"/>
      <c r="K1133" s="343"/>
      <c r="L1133" s="343"/>
    </row>
    <row r="1134" spans="2:12" x14ac:dyDescent="0.2">
      <c r="B1134" s="144"/>
      <c r="D1134" s="341"/>
      <c r="F1134" s="343"/>
      <c r="G1134" s="343"/>
      <c r="H1134" s="343"/>
      <c r="I1134" s="343"/>
      <c r="J1134" s="343"/>
      <c r="K1134" s="343"/>
      <c r="L1134" s="343"/>
    </row>
    <row r="1135" spans="2:12" x14ac:dyDescent="0.2">
      <c r="B1135" s="144"/>
      <c r="D1135" s="341"/>
      <c r="F1135" s="343"/>
      <c r="G1135" s="343"/>
      <c r="H1135" s="343"/>
      <c r="I1135" s="343"/>
      <c r="J1135" s="343"/>
      <c r="K1135" s="343"/>
      <c r="L1135" s="343"/>
    </row>
    <row r="1136" spans="2:12" x14ac:dyDescent="0.2">
      <c r="B1136" s="144"/>
      <c r="D1136" s="341"/>
      <c r="F1136" s="343"/>
      <c r="G1136" s="343"/>
      <c r="H1136" s="343"/>
      <c r="I1136" s="343"/>
      <c r="J1136" s="343"/>
      <c r="K1136" s="343"/>
      <c r="L1136" s="343"/>
    </row>
    <row r="1137" spans="2:12" x14ac:dyDescent="0.2">
      <c r="B1137" s="144"/>
      <c r="D1137" s="341"/>
      <c r="F1137" s="343"/>
      <c r="G1137" s="343"/>
      <c r="H1137" s="343"/>
      <c r="I1137" s="343"/>
      <c r="J1137" s="343"/>
      <c r="K1137" s="343"/>
      <c r="L1137" s="343"/>
    </row>
    <row r="1138" spans="2:12" x14ac:dyDescent="0.2">
      <c r="B1138" s="144"/>
      <c r="D1138" s="341"/>
      <c r="F1138" s="343"/>
      <c r="G1138" s="343"/>
      <c r="H1138" s="343"/>
      <c r="I1138" s="343"/>
      <c r="J1138" s="343"/>
      <c r="K1138" s="343"/>
      <c r="L1138" s="343"/>
    </row>
    <row r="1139" spans="2:12" x14ac:dyDescent="0.2">
      <c r="B1139" s="144"/>
      <c r="D1139" s="341"/>
      <c r="F1139" s="343"/>
      <c r="G1139" s="343"/>
      <c r="H1139" s="343"/>
      <c r="I1139" s="343"/>
      <c r="J1139" s="343"/>
      <c r="K1139" s="343"/>
      <c r="L1139" s="343"/>
    </row>
    <row r="1140" spans="2:12" x14ac:dyDescent="0.2">
      <c r="B1140" s="144"/>
      <c r="D1140" s="341"/>
      <c r="F1140" s="343"/>
      <c r="G1140" s="343"/>
      <c r="H1140" s="343"/>
      <c r="I1140" s="343"/>
      <c r="J1140" s="343"/>
      <c r="K1140" s="343"/>
      <c r="L1140" s="343"/>
    </row>
    <row r="1141" spans="2:12" x14ac:dyDescent="0.2">
      <c r="B1141" s="144"/>
      <c r="D1141" s="341"/>
      <c r="F1141" s="343"/>
      <c r="G1141" s="343"/>
      <c r="H1141" s="343"/>
      <c r="I1141" s="343"/>
      <c r="J1141" s="343"/>
      <c r="K1141" s="343"/>
      <c r="L1141" s="343"/>
    </row>
    <row r="1142" spans="2:12" x14ac:dyDescent="0.2">
      <c r="B1142" s="144"/>
      <c r="D1142" s="341"/>
      <c r="F1142" s="343"/>
      <c r="G1142" s="343"/>
      <c r="H1142" s="343"/>
      <c r="I1142" s="343"/>
      <c r="J1142" s="343"/>
      <c r="K1142" s="343"/>
      <c r="L1142" s="343"/>
    </row>
    <row r="1143" spans="2:12" x14ac:dyDescent="0.2">
      <c r="B1143" s="144"/>
      <c r="D1143" s="341"/>
      <c r="F1143" s="343"/>
      <c r="G1143" s="343"/>
      <c r="H1143" s="343"/>
      <c r="I1143" s="343"/>
      <c r="J1143" s="343"/>
      <c r="K1143" s="343"/>
      <c r="L1143" s="343"/>
    </row>
    <row r="1144" spans="2:12" x14ac:dyDescent="0.2">
      <c r="B1144" s="144"/>
      <c r="D1144" s="341"/>
      <c r="F1144" s="343"/>
      <c r="G1144" s="343"/>
      <c r="H1144" s="343"/>
      <c r="I1144" s="343"/>
      <c r="J1144" s="343"/>
      <c r="K1144" s="343"/>
      <c r="L1144" s="343"/>
    </row>
    <row r="1145" spans="2:12" x14ac:dyDescent="0.2">
      <c r="B1145" s="144"/>
      <c r="D1145" s="341"/>
      <c r="F1145" s="343"/>
      <c r="G1145" s="343"/>
      <c r="H1145" s="343"/>
      <c r="I1145" s="343"/>
      <c r="J1145" s="343"/>
      <c r="K1145" s="343"/>
      <c r="L1145" s="343"/>
    </row>
    <row r="1146" spans="2:12" x14ac:dyDescent="0.2">
      <c r="B1146" s="144"/>
      <c r="D1146" s="341"/>
      <c r="F1146" s="343"/>
      <c r="G1146" s="343"/>
      <c r="H1146" s="343"/>
      <c r="I1146" s="343"/>
      <c r="J1146" s="343"/>
      <c r="K1146" s="343"/>
      <c r="L1146" s="343"/>
    </row>
    <row r="1147" spans="2:12" x14ac:dyDescent="0.2">
      <c r="B1147" s="144"/>
      <c r="D1147" s="341"/>
      <c r="F1147" s="343"/>
      <c r="G1147" s="343"/>
      <c r="H1147" s="343"/>
      <c r="I1147" s="343"/>
      <c r="J1147" s="343"/>
      <c r="K1147" s="343"/>
      <c r="L1147" s="343"/>
    </row>
    <row r="1148" spans="2:12" x14ac:dyDescent="0.2">
      <c r="B1148" s="144"/>
      <c r="D1148" s="341"/>
      <c r="F1148" s="343"/>
      <c r="G1148" s="343"/>
      <c r="H1148" s="343"/>
      <c r="I1148" s="343"/>
      <c r="J1148" s="343"/>
      <c r="K1148" s="343"/>
      <c r="L1148" s="343"/>
    </row>
    <row r="1149" spans="2:12" x14ac:dyDescent="0.2">
      <c r="B1149" s="144"/>
      <c r="D1149" s="341"/>
      <c r="F1149" s="343"/>
      <c r="G1149" s="343"/>
      <c r="H1149" s="343"/>
      <c r="I1149" s="343"/>
      <c r="J1149" s="343"/>
      <c r="K1149" s="343"/>
      <c r="L1149" s="343"/>
    </row>
    <row r="1150" spans="2:12" x14ac:dyDescent="0.2">
      <c r="B1150" s="144"/>
      <c r="D1150" s="341"/>
      <c r="F1150" s="343"/>
      <c r="G1150" s="343"/>
      <c r="H1150" s="343"/>
      <c r="I1150" s="343"/>
      <c r="J1150" s="343"/>
      <c r="K1150" s="343"/>
      <c r="L1150" s="343"/>
    </row>
    <row r="1151" spans="2:12" x14ac:dyDescent="0.2">
      <c r="B1151" s="144"/>
      <c r="D1151" s="341"/>
      <c r="F1151" s="343"/>
      <c r="G1151" s="343"/>
      <c r="H1151" s="343"/>
      <c r="I1151" s="343"/>
      <c r="J1151" s="343"/>
      <c r="K1151" s="343"/>
      <c r="L1151" s="343"/>
    </row>
    <row r="1152" spans="2:12" x14ac:dyDescent="0.2">
      <c r="B1152" s="144"/>
      <c r="D1152" s="341"/>
      <c r="F1152" s="343"/>
      <c r="G1152" s="343"/>
      <c r="H1152" s="343"/>
      <c r="I1152" s="343"/>
      <c r="J1152" s="343"/>
      <c r="K1152" s="343"/>
      <c r="L1152" s="343"/>
    </row>
    <row r="1153" spans="2:12" x14ac:dyDescent="0.2">
      <c r="B1153" s="144"/>
      <c r="D1153" s="341"/>
      <c r="F1153" s="343"/>
      <c r="G1153" s="343"/>
      <c r="H1153" s="343"/>
      <c r="I1153" s="343"/>
      <c r="J1153" s="343"/>
      <c r="K1153" s="343"/>
      <c r="L1153" s="343"/>
    </row>
    <row r="1154" spans="2:12" x14ac:dyDescent="0.2">
      <c r="B1154" s="144"/>
      <c r="D1154" s="341"/>
      <c r="F1154" s="343"/>
      <c r="G1154" s="343"/>
      <c r="H1154" s="343"/>
      <c r="I1154" s="343"/>
      <c r="J1154" s="343"/>
      <c r="K1154" s="343"/>
      <c r="L1154" s="343"/>
    </row>
    <row r="1155" spans="2:12" x14ac:dyDescent="0.2">
      <c r="B1155" s="144"/>
      <c r="D1155" s="341"/>
      <c r="F1155" s="343"/>
      <c r="G1155" s="343"/>
      <c r="H1155" s="343"/>
      <c r="I1155" s="343"/>
      <c r="J1155" s="343"/>
      <c r="K1155" s="343"/>
      <c r="L1155" s="343"/>
    </row>
    <row r="1156" spans="2:12" x14ac:dyDescent="0.2">
      <c r="B1156" s="144"/>
      <c r="D1156" s="341"/>
      <c r="F1156" s="343"/>
      <c r="G1156" s="343"/>
      <c r="H1156" s="343"/>
      <c r="I1156" s="343"/>
      <c r="J1156" s="343"/>
      <c r="K1156" s="343"/>
      <c r="L1156" s="343"/>
    </row>
    <row r="1157" spans="2:12" x14ac:dyDescent="0.2">
      <c r="B1157" s="144"/>
      <c r="D1157" s="341"/>
      <c r="F1157" s="343"/>
      <c r="G1157" s="343"/>
      <c r="H1157" s="343"/>
      <c r="I1157" s="343"/>
      <c r="J1157" s="343"/>
      <c r="K1157" s="343"/>
      <c r="L1157" s="343"/>
    </row>
    <row r="1158" spans="2:12" x14ac:dyDescent="0.2">
      <c r="B1158" s="144"/>
      <c r="D1158" s="341"/>
      <c r="F1158" s="343"/>
      <c r="G1158" s="343"/>
      <c r="H1158" s="343"/>
      <c r="I1158" s="343"/>
      <c r="J1158" s="343"/>
      <c r="K1158" s="343"/>
      <c r="L1158" s="343"/>
    </row>
    <row r="1159" spans="2:12" x14ac:dyDescent="0.2">
      <c r="B1159" s="144"/>
      <c r="D1159" s="341"/>
      <c r="F1159" s="343"/>
      <c r="G1159" s="343"/>
      <c r="H1159" s="343"/>
      <c r="I1159" s="343"/>
      <c r="J1159" s="343"/>
      <c r="K1159" s="343"/>
      <c r="L1159" s="343"/>
    </row>
    <row r="1160" spans="2:12" x14ac:dyDescent="0.2">
      <c r="B1160" s="144"/>
      <c r="D1160" s="341"/>
      <c r="F1160" s="343"/>
      <c r="G1160" s="343"/>
      <c r="H1160" s="343"/>
      <c r="I1160" s="343"/>
      <c r="J1160" s="343"/>
      <c r="K1160" s="343"/>
      <c r="L1160" s="343"/>
    </row>
    <row r="1161" spans="2:12" x14ac:dyDescent="0.2">
      <c r="B1161" s="144"/>
      <c r="D1161" s="341"/>
      <c r="F1161" s="343"/>
      <c r="G1161" s="343"/>
      <c r="H1161" s="343"/>
      <c r="I1161" s="343"/>
      <c r="J1161" s="343"/>
      <c r="K1161" s="343"/>
      <c r="L1161" s="343"/>
    </row>
    <row r="1162" spans="2:12" x14ac:dyDescent="0.2">
      <c r="B1162" s="144"/>
      <c r="D1162" s="341"/>
      <c r="F1162" s="343"/>
      <c r="G1162" s="343"/>
      <c r="H1162" s="343"/>
      <c r="I1162" s="343"/>
      <c r="J1162" s="343"/>
      <c r="K1162" s="343"/>
      <c r="L1162" s="343"/>
    </row>
    <row r="1163" spans="2:12" x14ac:dyDescent="0.2">
      <c r="B1163" s="144"/>
      <c r="D1163" s="341"/>
      <c r="F1163" s="343"/>
      <c r="G1163" s="343"/>
      <c r="H1163" s="343"/>
      <c r="I1163" s="343"/>
      <c r="J1163" s="343"/>
      <c r="K1163" s="343"/>
      <c r="L1163" s="343"/>
    </row>
    <row r="1164" spans="2:12" x14ac:dyDescent="0.2">
      <c r="B1164" s="144"/>
      <c r="D1164" s="341"/>
      <c r="F1164" s="343"/>
      <c r="G1164" s="343"/>
      <c r="H1164" s="343"/>
      <c r="I1164" s="343"/>
      <c r="J1164" s="343"/>
      <c r="K1164" s="343"/>
      <c r="L1164" s="343"/>
    </row>
    <row r="1165" spans="2:12" x14ac:dyDescent="0.2">
      <c r="B1165" s="144"/>
      <c r="D1165" s="341"/>
      <c r="F1165" s="343"/>
      <c r="G1165" s="343"/>
      <c r="H1165" s="343"/>
      <c r="I1165" s="343"/>
      <c r="J1165" s="343"/>
      <c r="K1165" s="343"/>
      <c r="L1165" s="343"/>
    </row>
    <row r="1166" spans="2:12" x14ac:dyDescent="0.2">
      <c r="B1166" s="144"/>
      <c r="D1166" s="341"/>
      <c r="F1166" s="343"/>
      <c r="G1166" s="343"/>
      <c r="H1166" s="343"/>
      <c r="I1166" s="343"/>
      <c r="J1166" s="343"/>
      <c r="K1166" s="343"/>
      <c r="L1166" s="343"/>
    </row>
    <row r="1167" spans="2:12" x14ac:dyDescent="0.2">
      <c r="B1167" s="144"/>
      <c r="D1167" s="341"/>
      <c r="F1167" s="343"/>
      <c r="G1167" s="343"/>
      <c r="H1167" s="343"/>
      <c r="I1167" s="343"/>
      <c r="J1167" s="343"/>
      <c r="K1167" s="343"/>
      <c r="L1167" s="343"/>
    </row>
    <row r="1168" spans="2:12" x14ac:dyDescent="0.2">
      <c r="B1168" s="144"/>
      <c r="D1168" s="341"/>
      <c r="F1168" s="343"/>
      <c r="G1168" s="343"/>
      <c r="H1168" s="343"/>
      <c r="I1168" s="343"/>
      <c r="J1168" s="343"/>
      <c r="K1168" s="343"/>
      <c r="L1168" s="343"/>
    </row>
    <row r="1169" spans="2:12" x14ac:dyDescent="0.2">
      <c r="B1169" s="144"/>
      <c r="D1169" s="341"/>
      <c r="F1169" s="343"/>
      <c r="G1169" s="343"/>
      <c r="H1169" s="343"/>
      <c r="I1169" s="343"/>
      <c r="J1169" s="343"/>
      <c r="K1169" s="343"/>
      <c r="L1169" s="343"/>
    </row>
    <row r="1170" spans="2:12" x14ac:dyDescent="0.2">
      <c r="B1170" s="144"/>
      <c r="D1170" s="341"/>
      <c r="F1170" s="343"/>
      <c r="G1170" s="343"/>
      <c r="H1170" s="343"/>
      <c r="I1170" s="343"/>
      <c r="J1170" s="343"/>
      <c r="K1170" s="343"/>
      <c r="L1170" s="343"/>
    </row>
    <row r="1171" spans="2:12" x14ac:dyDescent="0.2">
      <c r="B1171" s="144"/>
      <c r="D1171" s="341"/>
      <c r="F1171" s="343"/>
      <c r="G1171" s="343"/>
      <c r="H1171" s="343"/>
      <c r="I1171" s="343"/>
      <c r="J1171" s="343"/>
      <c r="K1171" s="343"/>
      <c r="L1171" s="343"/>
    </row>
    <row r="1172" spans="2:12" x14ac:dyDescent="0.2">
      <c r="B1172" s="144"/>
      <c r="D1172" s="341"/>
      <c r="F1172" s="343"/>
      <c r="G1172" s="343"/>
      <c r="H1172" s="343"/>
      <c r="I1172" s="343"/>
      <c r="J1172" s="343"/>
      <c r="K1172" s="343"/>
      <c r="L1172" s="343"/>
    </row>
    <row r="1173" spans="2:12" x14ac:dyDescent="0.2">
      <c r="B1173" s="144"/>
      <c r="D1173" s="341"/>
      <c r="F1173" s="343"/>
      <c r="G1173" s="343"/>
      <c r="H1173" s="343"/>
      <c r="I1173" s="343"/>
      <c r="J1173" s="343"/>
      <c r="K1173" s="343"/>
      <c r="L1173" s="343"/>
    </row>
    <row r="1174" spans="2:12" x14ac:dyDescent="0.2">
      <c r="B1174" s="144"/>
      <c r="D1174" s="341"/>
      <c r="F1174" s="343"/>
      <c r="G1174" s="343"/>
      <c r="H1174" s="343"/>
      <c r="I1174" s="343"/>
      <c r="J1174" s="343"/>
      <c r="K1174" s="343"/>
      <c r="L1174" s="343"/>
    </row>
    <row r="1175" spans="2:12" x14ac:dyDescent="0.2">
      <c r="B1175" s="144"/>
      <c r="D1175" s="341"/>
      <c r="F1175" s="343"/>
      <c r="G1175" s="343"/>
      <c r="H1175" s="343"/>
      <c r="I1175" s="343"/>
      <c r="J1175" s="343"/>
      <c r="K1175" s="343"/>
      <c r="L1175" s="343"/>
    </row>
    <row r="1176" spans="2:12" x14ac:dyDescent="0.2">
      <c r="B1176" s="144"/>
      <c r="D1176" s="341"/>
      <c r="F1176" s="343"/>
      <c r="G1176" s="343"/>
      <c r="H1176" s="343"/>
      <c r="I1176" s="343"/>
      <c r="J1176" s="343"/>
      <c r="K1176" s="343"/>
      <c r="L1176" s="343"/>
    </row>
    <row r="1177" spans="2:12" x14ac:dyDescent="0.2">
      <c r="B1177" s="144"/>
      <c r="D1177" s="341"/>
      <c r="F1177" s="343"/>
      <c r="G1177" s="343"/>
      <c r="H1177" s="343"/>
      <c r="I1177" s="343"/>
      <c r="J1177" s="343"/>
      <c r="K1177" s="343"/>
      <c r="L1177" s="343"/>
    </row>
    <row r="1178" spans="2:12" x14ac:dyDescent="0.2">
      <c r="B1178" s="144"/>
      <c r="D1178" s="341"/>
      <c r="F1178" s="343"/>
      <c r="G1178" s="343"/>
      <c r="H1178" s="343"/>
      <c r="I1178" s="343"/>
      <c r="J1178" s="343"/>
      <c r="K1178" s="343"/>
      <c r="L1178" s="343"/>
    </row>
    <row r="1179" spans="2:12" x14ac:dyDescent="0.2">
      <c r="B1179" s="144"/>
      <c r="D1179" s="341"/>
      <c r="F1179" s="343"/>
      <c r="G1179" s="343"/>
      <c r="H1179" s="343"/>
      <c r="I1179" s="343"/>
      <c r="J1179" s="343"/>
      <c r="K1179" s="343"/>
      <c r="L1179" s="343"/>
    </row>
    <row r="1180" spans="2:12" x14ac:dyDescent="0.2">
      <c r="B1180" s="144"/>
      <c r="D1180" s="341"/>
      <c r="F1180" s="343"/>
      <c r="G1180" s="343"/>
      <c r="H1180" s="343"/>
      <c r="I1180" s="343"/>
      <c r="J1180" s="343"/>
      <c r="K1180" s="343"/>
      <c r="L1180" s="343"/>
    </row>
    <row r="1181" spans="2:12" x14ac:dyDescent="0.2">
      <c r="B1181" s="144"/>
      <c r="D1181" s="341"/>
      <c r="F1181" s="343"/>
      <c r="G1181" s="343"/>
      <c r="H1181" s="343"/>
      <c r="I1181" s="343"/>
      <c r="J1181" s="343"/>
      <c r="K1181" s="343"/>
      <c r="L1181" s="343"/>
    </row>
    <row r="1182" spans="2:12" x14ac:dyDescent="0.2">
      <c r="B1182" s="144"/>
      <c r="D1182" s="341"/>
      <c r="F1182" s="343"/>
      <c r="G1182" s="343"/>
      <c r="H1182" s="343"/>
      <c r="I1182" s="343"/>
      <c r="J1182" s="343"/>
      <c r="K1182" s="343"/>
      <c r="L1182" s="343"/>
    </row>
    <row r="1183" spans="2:12" x14ac:dyDescent="0.2">
      <c r="B1183" s="144"/>
      <c r="D1183" s="341"/>
      <c r="F1183" s="343"/>
      <c r="G1183" s="343"/>
      <c r="H1183" s="343"/>
      <c r="I1183" s="343"/>
      <c r="J1183" s="343"/>
      <c r="K1183" s="343"/>
      <c r="L1183" s="343"/>
    </row>
    <row r="1184" spans="2:12" x14ac:dyDescent="0.2">
      <c r="B1184" s="144"/>
      <c r="D1184" s="341"/>
      <c r="F1184" s="343"/>
      <c r="G1184" s="343"/>
      <c r="H1184" s="343"/>
      <c r="I1184" s="343"/>
      <c r="J1184" s="343"/>
      <c r="K1184" s="343"/>
      <c r="L1184" s="343"/>
    </row>
    <row r="1185" spans="2:12" x14ac:dyDescent="0.2">
      <c r="B1185" s="144"/>
      <c r="D1185" s="341"/>
      <c r="F1185" s="343"/>
      <c r="G1185" s="343"/>
      <c r="H1185" s="343"/>
      <c r="I1185" s="343"/>
      <c r="J1185" s="343"/>
      <c r="K1185" s="343"/>
      <c r="L1185" s="343"/>
    </row>
    <row r="1186" spans="2:12" x14ac:dyDescent="0.2">
      <c r="B1186" s="144"/>
      <c r="D1186" s="341"/>
      <c r="F1186" s="343"/>
      <c r="G1186" s="343"/>
      <c r="H1186" s="343"/>
      <c r="I1186" s="343"/>
      <c r="J1186" s="343"/>
      <c r="K1186" s="343"/>
      <c r="L1186" s="343"/>
    </row>
    <row r="1187" spans="2:12" x14ac:dyDescent="0.2">
      <c r="B1187" s="144"/>
      <c r="D1187" s="341"/>
      <c r="F1187" s="343"/>
      <c r="G1187" s="343"/>
      <c r="H1187" s="343"/>
      <c r="I1187" s="343"/>
      <c r="J1187" s="343"/>
      <c r="K1187" s="343"/>
      <c r="L1187" s="343"/>
    </row>
    <row r="1188" spans="2:12" x14ac:dyDescent="0.2">
      <c r="B1188" s="144"/>
      <c r="D1188" s="341"/>
      <c r="F1188" s="343"/>
      <c r="G1188" s="343"/>
      <c r="H1188" s="343"/>
      <c r="I1188" s="343"/>
      <c r="J1188" s="343"/>
      <c r="K1188" s="343"/>
      <c r="L1188" s="343"/>
    </row>
    <row r="1189" spans="2:12" x14ac:dyDescent="0.2">
      <c r="B1189" s="144"/>
      <c r="D1189" s="341"/>
      <c r="F1189" s="343"/>
      <c r="G1189" s="343"/>
      <c r="H1189" s="343"/>
      <c r="I1189" s="343"/>
      <c r="J1189" s="343"/>
      <c r="K1189" s="343"/>
      <c r="L1189" s="343"/>
    </row>
    <row r="1190" spans="2:12" x14ac:dyDescent="0.2">
      <c r="B1190" s="144"/>
      <c r="D1190" s="341"/>
      <c r="F1190" s="343"/>
      <c r="G1190" s="343"/>
      <c r="H1190" s="343"/>
      <c r="I1190" s="343"/>
      <c r="J1190" s="343"/>
      <c r="K1190" s="343"/>
      <c r="L1190" s="343"/>
    </row>
    <row r="1191" spans="2:12" x14ac:dyDescent="0.2">
      <c r="B1191" s="144"/>
      <c r="D1191" s="341"/>
      <c r="F1191" s="343"/>
      <c r="G1191" s="343"/>
      <c r="H1191" s="343"/>
      <c r="I1191" s="343"/>
      <c r="J1191" s="343"/>
      <c r="K1191" s="343"/>
      <c r="L1191" s="343"/>
    </row>
    <row r="1192" spans="2:12" x14ac:dyDescent="0.2">
      <c r="B1192" s="144"/>
      <c r="D1192" s="341"/>
      <c r="F1192" s="343"/>
      <c r="G1192" s="343"/>
      <c r="H1192" s="343"/>
      <c r="I1192" s="343"/>
      <c r="J1192" s="343"/>
      <c r="K1192" s="343"/>
      <c r="L1192" s="343"/>
    </row>
    <row r="1193" spans="2:12" x14ac:dyDescent="0.2">
      <c r="B1193" s="144"/>
      <c r="D1193" s="341"/>
      <c r="F1193" s="343"/>
      <c r="G1193" s="343"/>
      <c r="H1193" s="343"/>
      <c r="I1193" s="343"/>
      <c r="J1193" s="343"/>
      <c r="K1193" s="343"/>
      <c r="L1193" s="343"/>
    </row>
    <row r="1194" spans="2:12" x14ac:dyDescent="0.2">
      <c r="B1194" s="144"/>
      <c r="D1194" s="341"/>
      <c r="F1194" s="343"/>
      <c r="G1194" s="343"/>
      <c r="H1194" s="343"/>
      <c r="I1194" s="343"/>
      <c r="J1194" s="343"/>
      <c r="K1194" s="343"/>
      <c r="L1194" s="343"/>
    </row>
    <row r="1195" spans="2:12" x14ac:dyDescent="0.2">
      <c r="B1195" s="144"/>
      <c r="D1195" s="341"/>
      <c r="F1195" s="343"/>
      <c r="G1195" s="343"/>
      <c r="H1195" s="343"/>
      <c r="I1195" s="343"/>
      <c r="J1195" s="343"/>
      <c r="K1195" s="343"/>
      <c r="L1195" s="343"/>
    </row>
    <row r="1196" spans="2:12" x14ac:dyDescent="0.2">
      <c r="B1196" s="144"/>
      <c r="D1196" s="341"/>
      <c r="F1196" s="343"/>
      <c r="G1196" s="343"/>
      <c r="H1196" s="343"/>
      <c r="I1196" s="343"/>
      <c r="J1196" s="343"/>
      <c r="K1196" s="343"/>
      <c r="L1196" s="343"/>
    </row>
    <row r="1197" spans="2:12" x14ac:dyDescent="0.2">
      <c r="B1197" s="144"/>
      <c r="D1197" s="341"/>
      <c r="F1197" s="343"/>
      <c r="G1197" s="343"/>
      <c r="H1197" s="343"/>
      <c r="I1197" s="343"/>
      <c r="J1197" s="343"/>
      <c r="K1197" s="343"/>
      <c r="L1197" s="343"/>
    </row>
    <row r="1198" spans="2:12" x14ac:dyDescent="0.2">
      <c r="B1198" s="144"/>
      <c r="D1198" s="341"/>
      <c r="F1198" s="343"/>
      <c r="G1198" s="343"/>
      <c r="H1198" s="343"/>
      <c r="I1198" s="343"/>
      <c r="J1198" s="343"/>
      <c r="K1198" s="343"/>
      <c r="L1198" s="343"/>
    </row>
    <row r="1199" spans="2:12" x14ac:dyDescent="0.2">
      <c r="B1199" s="144"/>
      <c r="D1199" s="341"/>
      <c r="F1199" s="343"/>
      <c r="G1199" s="343"/>
      <c r="H1199" s="343"/>
      <c r="I1199" s="343"/>
      <c r="J1199" s="343"/>
      <c r="K1199" s="343"/>
      <c r="L1199" s="343"/>
    </row>
    <row r="1200" spans="2:12" x14ac:dyDescent="0.2">
      <c r="B1200" s="144"/>
      <c r="D1200" s="341"/>
      <c r="F1200" s="343"/>
      <c r="G1200" s="343"/>
      <c r="H1200" s="343"/>
      <c r="I1200" s="343"/>
      <c r="J1200" s="343"/>
      <c r="K1200" s="343"/>
      <c r="L1200" s="343"/>
    </row>
    <row r="1201" spans="2:12" x14ac:dyDescent="0.2">
      <c r="B1201" s="144"/>
      <c r="D1201" s="341"/>
      <c r="F1201" s="343"/>
      <c r="G1201" s="343"/>
      <c r="H1201" s="343"/>
      <c r="I1201" s="343"/>
      <c r="J1201" s="343"/>
      <c r="K1201" s="343"/>
      <c r="L1201" s="343"/>
    </row>
    <row r="1202" spans="2:12" x14ac:dyDescent="0.2">
      <c r="B1202" s="144"/>
      <c r="D1202" s="341"/>
      <c r="F1202" s="343"/>
      <c r="G1202" s="343"/>
      <c r="H1202" s="343"/>
      <c r="I1202" s="343"/>
      <c r="J1202" s="343"/>
      <c r="K1202" s="343"/>
      <c r="L1202" s="343"/>
    </row>
    <row r="1203" spans="2:12" x14ac:dyDescent="0.2">
      <c r="B1203" s="144"/>
      <c r="D1203" s="341"/>
      <c r="F1203" s="343"/>
      <c r="G1203" s="343"/>
      <c r="H1203" s="343"/>
      <c r="I1203" s="343"/>
      <c r="J1203" s="343"/>
      <c r="K1203" s="343"/>
      <c r="L1203" s="343"/>
    </row>
    <row r="1204" spans="2:12" x14ac:dyDescent="0.2">
      <c r="B1204" s="144"/>
      <c r="D1204" s="341"/>
      <c r="F1204" s="343"/>
      <c r="G1204" s="343"/>
      <c r="H1204" s="343"/>
      <c r="I1204" s="343"/>
      <c r="J1204" s="343"/>
      <c r="K1204" s="343"/>
      <c r="L1204" s="343"/>
    </row>
    <row r="1205" spans="2:12" x14ac:dyDescent="0.2">
      <c r="B1205" s="144"/>
      <c r="D1205" s="341"/>
      <c r="F1205" s="343"/>
      <c r="G1205" s="343"/>
      <c r="H1205" s="343"/>
      <c r="I1205" s="343"/>
      <c r="J1205" s="343"/>
      <c r="K1205" s="343"/>
      <c r="L1205" s="343"/>
    </row>
    <row r="1206" spans="2:12" x14ac:dyDescent="0.2">
      <c r="B1206" s="144"/>
      <c r="D1206" s="341"/>
      <c r="F1206" s="343"/>
      <c r="G1206" s="343"/>
      <c r="H1206" s="343"/>
      <c r="I1206" s="343"/>
      <c r="J1206" s="343"/>
      <c r="K1206" s="343"/>
      <c r="L1206" s="343"/>
    </row>
    <row r="1207" spans="2:12" x14ac:dyDescent="0.2">
      <c r="B1207" s="144"/>
      <c r="D1207" s="341"/>
      <c r="F1207" s="343"/>
      <c r="G1207" s="343"/>
      <c r="H1207" s="343"/>
      <c r="I1207" s="343"/>
      <c r="J1207" s="343"/>
      <c r="K1207" s="343"/>
      <c r="L1207" s="343"/>
    </row>
    <row r="1208" spans="2:12" x14ac:dyDescent="0.2">
      <c r="B1208" s="144"/>
      <c r="D1208" s="341"/>
      <c r="F1208" s="343"/>
      <c r="G1208" s="343"/>
      <c r="H1208" s="343"/>
      <c r="I1208" s="343"/>
      <c r="J1208" s="343"/>
      <c r="K1208" s="343"/>
      <c r="L1208" s="343"/>
    </row>
    <row r="1209" spans="2:12" x14ac:dyDescent="0.2">
      <c r="B1209" s="144"/>
      <c r="D1209" s="341"/>
      <c r="F1209" s="343"/>
      <c r="G1209" s="343"/>
      <c r="H1209" s="343"/>
      <c r="I1209" s="343"/>
      <c r="J1209" s="343"/>
      <c r="K1209" s="343"/>
      <c r="L1209" s="343"/>
    </row>
    <row r="1210" spans="2:12" x14ac:dyDescent="0.2">
      <c r="B1210" s="144"/>
      <c r="D1210" s="341"/>
      <c r="F1210" s="343"/>
      <c r="G1210" s="343"/>
      <c r="H1210" s="343"/>
      <c r="I1210" s="343"/>
      <c r="J1210" s="343"/>
      <c r="K1210" s="343"/>
      <c r="L1210" s="343"/>
    </row>
    <row r="1211" spans="2:12" x14ac:dyDescent="0.2">
      <c r="B1211" s="144"/>
      <c r="D1211" s="341"/>
      <c r="F1211" s="343"/>
      <c r="G1211" s="343"/>
      <c r="H1211" s="343"/>
      <c r="I1211" s="343"/>
      <c r="J1211" s="343"/>
      <c r="K1211" s="343"/>
      <c r="L1211" s="343"/>
    </row>
    <row r="1212" spans="2:12" x14ac:dyDescent="0.2">
      <c r="B1212" s="144"/>
      <c r="D1212" s="341"/>
      <c r="F1212" s="343"/>
      <c r="G1212" s="343"/>
      <c r="H1212" s="343"/>
      <c r="I1212" s="343"/>
      <c r="J1212" s="343"/>
      <c r="K1212" s="343"/>
      <c r="L1212" s="343"/>
    </row>
    <row r="1213" spans="2:12" x14ac:dyDescent="0.2">
      <c r="B1213" s="144"/>
      <c r="D1213" s="341"/>
      <c r="F1213" s="343"/>
      <c r="G1213" s="343"/>
      <c r="H1213" s="343"/>
      <c r="I1213" s="343"/>
      <c r="J1213" s="343"/>
      <c r="K1213" s="343"/>
      <c r="L1213" s="343"/>
    </row>
    <row r="1214" spans="2:12" x14ac:dyDescent="0.2">
      <c r="B1214" s="144"/>
      <c r="D1214" s="341"/>
      <c r="F1214" s="343"/>
      <c r="G1214" s="343"/>
      <c r="H1214" s="343"/>
      <c r="I1214" s="343"/>
      <c r="J1214" s="343"/>
      <c r="K1214" s="343"/>
      <c r="L1214" s="343"/>
    </row>
    <row r="1215" spans="2:12" x14ac:dyDescent="0.2">
      <c r="B1215" s="144"/>
      <c r="D1215" s="341"/>
      <c r="F1215" s="343"/>
      <c r="G1215" s="343"/>
      <c r="H1215" s="343"/>
      <c r="I1215" s="343"/>
      <c r="J1215" s="343"/>
      <c r="K1215" s="343"/>
      <c r="L1215" s="343"/>
    </row>
    <row r="1216" spans="2:12" x14ac:dyDescent="0.2">
      <c r="B1216" s="144"/>
      <c r="D1216" s="341"/>
      <c r="F1216" s="343"/>
      <c r="G1216" s="343"/>
      <c r="H1216" s="343"/>
      <c r="I1216" s="343"/>
      <c r="J1216" s="343"/>
      <c r="K1216" s="343"/>
      <c r="L1216" s="343"/>
    </row>
    <row r="1217" spans="2:12" x14ac:dyDescent="0.2">
      <c r="B1217" s="144"/>
      <c r="D1217" s="341"/>
      <c r="F1217" s="343"/>
      <c r="G1217" s="343"/>
      <c r="H1217" s="343"/>
      <c r="I1217" s="343"/>
      <c r="J1217" s="343"/>
      <c r="K1217" s="343"/>
      <c r="L1217" s="343"/>
    </row>
    <row r="1218" spans="2:12" x14ac:dyDescent="0.2">
      <c r="B1218" s="144"/>
      <c r="D1218" s="341"/>
      <c r="F1218" s="343"/>
      <c r="G1218" s="343"/>
      <c r="H1218" s="343"/>
      <c r="I1218" s="343"/>
      <c r="J1218" s="343"/>
      <c r="K1218" s="343"/>
      <c r="L1218" s="343"/>
    </row>
    <row r="1219" spans="2:12" x14ac:dyDescent="0.2">
      <c r="B1219" s="144"/>
      <c r="D1219" s="341"/>
      <c r="F1219" s="343"/>
      <c r="G1219" s="343"/>
      <c r="H1219" s="343"/>
      <c r="I1219" s="343"/>
      <c r="J1219" s="343"/>
      <c r="K1219" s="343"/>
      <c r="L1219" s="343"/>
    </row>
    <row r="1220" spans="2:12" x14ac:dyDescent="0.2">
      <c r="B1220" s="144"/>
      <c r="D1220" s="341"/>
      <c r="F1220" s="343"/>
      <c r="G1220" s="343"/>
      <c r="H1220" s="343"/>
      <c r="I1220" s="343"/>
      <c r="J1220" s="343"/>
      <c r="K1220" s="343"/>
      <c r="L1220" s="343"/>
    </row>
    <row r="1221" spans="2:12" x14ac:dyDescent="0.2">
      <c r="B1221" s="144"/>
      <c r="D1221" s="341"/>
      <c r="F1221" s="343"/>
      <c r="G1221" s="343"/>
      <c r="H1221" s="343"/>
      <c r="I1221" s="343"/>
      <c r="J1221" s="343"/>
      <c r="K1221" s="343"/>
      <c r="L1221" s="343"/>
    </row>
    <row r="1222" spans="2:12" x14ac:dyDescent="0.2">
      <c r="B1222" s="144"/>
      <c r="D1222" s="341"/>
      <c r="F1222" s="343"/>
      <c r="G1222" s="343"/>
      <c r="H1222" s="343"/>
      <c r="I1222" s="343"/>
      <c r="J1222" s="343"/>
      <c r="K1222" s="343"/>
      <c r="L1222" s="343"/>
    </row>
    <row r="1223" spans="2:12" x14ac:dyDescent="0.2">
      <c r="B1223" s="144"/>
      <c r="D1223" s="341"/>
      <c r="F1223" s="343"/>
      <c r="G1223" s="343"/>
      <c r="H1223" s="343"/>
      <c r="I1223" s="343"/>
      <c r="J1223" s="343"/>
      <c r="K1223" s="343"/>
      <c r="L1223" s="343"/>
    </row>
    <row r="1224" spans="2:12" x14ac:dyDescent="0.2">
      <c r="B1224" s="144"/>
      <c r="D1224" s="341"/>
      <c r="F1224" s="343"/>
      <c r="G1224" s="343"/>
      <c r="H1224" s="343"/>
      <c r="I1224" s="343"/>
      <c r="J1224" s="343"/>
      <c r="K1224" s="343"/>
      <c r="L1224" s="343"/>
    </row>
    <row r="1225" spans="2:12" x14ac:dyDescent="0.2">
      <c r="B1225" s="144"/>
      <c r="D1225" s="341"/>
      <c r="F1225" s="343"/>
      <c r="G1225" s="343"/>
      <c r="H1225" s="343"/>
      <c r="I1225" s="343"/>
      <c r="J1225" s="343"/>
      <c r="K1225" s="343"/>
      <c r="L1225" s="343"/>
    </row>
    <row r="1226" spans="2:12" x14ac:dyDescent="0.2">
      <c r="B1226" s="144"/>
      <c r="D1226" s="341"/>
      <c r="F1226" s="343"/>
      <c r="G1226" s="343"/>
      <c r="H1226" s="343"/>
      <c r="I1226" s="343"/>
      <c r="J1226" s="343"/>
      <c r="K1226" s="343"/>
      <c r="L1226" s="343"/>
    </row>
    <row r="1227" spans="2:12" x14ac:dyDescent="0.2">
      <c r="B1227" s="144"/>
      <c r="D1227" s="341"/>
      <c r="F1227" s="343"/>
      <c r="G1227" s="343"/>
      <c r="H1227" s="343"/>
      <c r="I1227" s="343"/>
      <c r="J1227" s="343"/>
      <c r="K1227" s="343"/>
      <c r="L1227" s="343"/>
    </row>
    <row r="1228" spans="2:12" x14ac:dyDescent="0.2">
      <c r="B1228" s="144"/>
      <c r="D1228" s="341"/>
      <c r="F1228" s="343"/>
      <c r="G1228" s="343"/>
      <c r="H1228" s="343"/>
      <c r="I1228" s="343"/>
      <c r="J1228" s="343"/>
      <c r="K1228" s="343"/>
      <c r="L1228" s="343"/>
    </row>
    <row r="1229" spans="2:12" x14ac:dyDescent="0.2">
      <c r="B1229" s="144"/>
      <c r="D1229" s="341"/>
      <c r="F1229" s="343"/>
      <c r="G1229" s="343"/>
      <c r="H1229" s="343"/>
      <c r="I1229" s="343"/>
      <c r="J1229" s="343"/>
      <c r="K1229" s="343"/>
      <c r="L1229" s="343"/>
    </row>
    <row r="1230" spans="2:12" x14ac:dyDescent="0.2">
      <c r="B1230" s="144"/>
      <c r="D1230" s="341"/>
      <c r="F1230" s="343"/>
      <c r="G1230" s="343"/>
      <c r="H1230" s="343"/>
      <c r="I1230" s="343"/>
      <c r="J1230" s="343"/>
      <c r="K1230" s="343"/>
      <c r="L1230" s="343"/>
    </row>
    <row r="1231" spans="2:12" x14ac:dyDescent="0.2">
      <c r="B1231" s="144"/>
      <c r="D1231" s="341"/>
      <c r="F1231" s="343"/>
      <c r="G1231" s="343"/>
      <c r="H1231" s="343"/>
      <c r="I1231" s="343"/>
      <c r="J1231" s="343"/>
      <c r="K1231" s="343"/>
      <c r="L1231" s="343"/>
    </row>
    <row r="1232" spans="2:12" x14ac:dyDescent="0.2">
      <c r="B1232" s="144"/>
      <c r="D1232" s="341"/>
      <c r="F1232" s="343"/>
      <c r="G1232" s="343"/>
      <c r="H1232" s="343"/>
      <c r="I1232" s="343"/>
      <c r="J1232" s="343"/>
      <c r="K1232" s="343"/>
      <c r="L1232" s="343"/>
    </row>
    <row r="1233" spans="2:12" x14ac:dyDescent="0.2">
      <c r="B1233" s="144"/>
      <c r="D1233" s="341"/>
      <c r="F1233" s="343"/>
      <c r="G1233" s="343"/>
      <c r="H1233" s="343"/>
      <c r="I1233" s="343"/>
      <c r="J1233" s="343"/>
      <c r="K1233" s="343"/>
      <c r="L1233" s="343"/>
    </row>
    <row r="1234" spans="2:12" x14ac:dyDescent="0.2">
      <c r="B1234" s="144"/>
      <c r="D1234" s="341"/>
      <c r="F1234" s="343"/>
      <c r="G1234" s="343"/>
      <c r="H1234" s="343"/>
      <c r="I1234" s="343"/>
      <c r="J1234" s="343"/>
      <c r="K1234" s="343"/>
      <c r="L1234" s="343"/>
    </row>
    <row r="1235" spans="2:12" x14ac:dyDescent="0.2">
      <c r="B1235" s="144"/>
      <c r="D1235" s="341"/>
      <c r="F1235" s="343"/>
      <c r="G1235" s="343"/>
      <c r="H1235" s="343"/>
      <c r="I1235" s="343"/>
      <c r="J1235" s="343"/>
      <c r="K1235" s="343"/>
      <c r="L1235" s="343"/>
    </row>
    <row r="1236" spans="2:12" x14ac:dyDescent="0.2">
      <c r="B1236" s="144"/>
      <c r="D1236" s="341"/>
      <c r="F1236" s="343"/>
      <c r="G1236" s="343"/>
      <c r="H1236" s="343"/>
      <c r="I1236" s="343"/>
      <c r="J1236" s="343"/>
      <c r="K1236" s="343"/>
      <c r="L1236" s="343"/>
    </row>
    <row r="1237" spans="2:12" x14ac:dyDescent="0.2">
      <c r="B1237" s="144"/>
      <c r="D1237" s="341"/>
      <c r="F1237" s="343"/>
      <c r="G1237" s="343"/>
      <c r="H1237" s="343"/>
      <c r="I1237" s="343"/>
      <c r="J1237" s="343"/>
      <c r="K1237" s="343"/>
      <c r="L1237" s="343"/>
    </row>
    <row r="1238" spans="2:12" x14ac:dyDescent="0.2">
      <c r="B1238" s="144"/>
      <c r="D1238" s="341"/>
      <c r="F1238" s="343"/>
      <c r="G1238" s="343"/>
      <c r="H1238" s="343"/>
      <c r="I1238" s="343"/>
      <c r="J1238" s="343"/>
      <c r="K1238" s="343"/>
      <c r="L1238" s="343"/>
    </row>
    <row r="1239" spans="2:12" x14ac:dyDescent="0.2">
      <c r="B1239" s="144"/>
      <c r="D1239" s="341"/>
      <c r="F1239" s="343"/>
      <c r="G1239" s="343"/>
      <c r="H1239" s="343"/>
      <c r="I1239" s="343"/>
      <c r="J1239" s="343"/>
      <c r="K1239" s="343"/>
      <c r="L1239" s="343"/>
    </row>
    <row r="1240" spans="2:12" x14ac:dyDescent="0.2">
      <c r="B1240" s="144"/>
      <c r="D1240" s="341"/>
      <c r="F1240" s="343"/>
      <c r="G1240" s="343"/>
      <c r="H1240" s="343"/>
      <c r="I1240" s="343"/>
      <c r="J1240" s="343"/>
      <c r="K1240" s="343"/>
      <c r="L1240" s="343"/>
    </row>
    <row r="1241" spans="2:12" x14ac:dyDescent="0.2">
      <c r="B1241" s="144"/>
      <c r="D1241" s="341"/>
      <c r="F1241" s="343"/>
      <c r="G1241" s="343"/>
      <c r="H1241" s="343"/>
      <c r="I1241" s="343"/>
      <c r="J1241" s="343"/>
      <c r="K1241" s="343"/>
      <c r="L1241" s="343"/>
    </row>
    <row r="1242" spans="2:12" x14ac:dyDescent="0.2">
      <c r="B1242" s="144"/>
      <c r="D1242" s="341"/>
      <c r="F1242" s="343"/>
      <c r="G1242" s="343"/>
      <c r="H1242" s="343"/>
      <c r="I1242" s="343"/>
      <c r="J1242" s="343"/>
      <c r="K1242" s="343"/>
      <c r="L1242" s="343"/>
    </row>
    <row r="1243" spans="2:12" x14ac:dyDescent="0.2">
      <c r="B1243" s="144"/>
      <c r="D1243" s="341"/>
      <c r="F1243" s="343"/>
      <c r="G1243" s="343"/>
      <c r="H1243" s="343"/>
      <c r="I1243" s="343"/>
      <c r="J1243" s="343"/>
      <c r="K1243" s="343"/>
      <c r="L1243" s="343"/>
    </row>
    <row r="1244" spans="2:12" x14ac:dyDescent="0.2">
      <c r="B1244" s="144"/>
      <c r="D1244" s="341"/>
      <c r="F1244" s="343"/>
      <c r="G1244" s="343"/>
      <c r="H1244" s="343"/>
      <c r="I1244" s="343"/>
      <c r="J1244" s="343"/>
      <c r="K1244" s="343"/>
      <c r="L1244" s="343"/>
    </row>
    <row r="1245" spans="2:12" x14ac:dyDescent="0.2">
      <c r="B1245" s="144"/>
      <c r="D1245" s="341"/>
      <c r="F1245" s="343"/>
      <c r="G1245" s="343"/>
      <c r="H1245" s="343"/>
      <c r="I1245" s="343"/>
      <c r="J1245" s="343"/>
      <c r="K1245" s="343"/>
      <c r="L1245" s="343"/>
    </row>
    <row r="1246" spans="2:12" x14ac:dyDescent="0.2">
      <c r="B1246" s="144"/>
      <c r="D1246" s="341"/>
      <c r="F1246" s="343"/>
      <c r="G1246" s="343"/>
      <c r="H1246" s="343"/>
      <c r="I1246" s="343"/>
      <c r="J1246" s="343"/>
      <c r="K1246" s="343"/>
      <c r="L1246" s="343"/>
    </row>
    <row r="1247" spans="2:12" x14ac:dyDescent="0.2">
      <c r="B1247" s="144"/>
      <c r="D1247" s="341"/>
      <c r="F1247" s="343"/>
      <c r="G1247" s="343"/>
      <c r="H1247" s="343"/>
      <c r="I1247" s="343"/>
      <c r="J1247" s="343"/>
      <c r="K1247" s="343"/>
      <c r="L1247" s="343"/>
    </row>
    <row r="1248" spans="2:12" x14ac:dyDescent="0.2">
      <c r="B1248" s="144"/>
      <c r="D1248" s="341"/>
      <c r="F1248" s="343"/>
      <c r="G1248" s="343"/>
      <c r="H1248" s="343"/>
      <c r="I1248" s="343"/>
      <c r="J1248" s="343"/>
      <c r="K1248" s="343"/>
      <c r="L1248" s="343"/>
    </row>
    <row r="1249" spans="2:12" x14ac:dyDescent="0.2">
      <c r="B1249" s="144"/>
      <c r="D1249" s="341"/>
      <c r="F1249" s="343"/>
      <c r="G1249" s="343"/>
      <c r="H1249" s="343"/>
      <c r="I1249" s="343"/>
      <c r="J1249" s="343"/>
      <c r="K1249" s="343"/>
      <c r="L1249" s="343"/>
    </row>
    <row r="1250" spans="2:12" x14ac:dyDescent="0.2">
      <c r="B1250" s="144"/>
      <c r="D1250" s="341"/>
      <c r="F1250" s="343"/>
      <c r="G1250" s="343"/>
      <c r="H1250" s="343"/>
      <c r="I1250" s="343"/>
      <c r="J1250" s="343"/>
      <c r="K1250" s="343"/>
      <c r="L1250" s="343"/>
    </row>
    <row r="1251" spans="2:12" x14ac:dyDescent="0.2">
      <c r="B1251" s="144"/>
      <c r="D1251" s="341"/>
      <c r="F1251" s="343"/>
      <c r="G1251" s="343"/>
      <c r="H1251" s="343"/>
      <c r="I1251" s="343"/>
      <c r="J1251" s="343"/>
      <c r="K1251" s="343"/>
      <c r="L1251" s="343"/>
    </row>
    <row r="1252" spans="2:12" x14ac:dyDescent="0.2">
      <c r="B1252" s="144"/>
      <c r="D1252" s="341"/>
      <c r="F1252" s="343"/>
      <c r="G1252" s="343"/>
      <c r="H1252" s="343"/>
      <c r="I1252" s="343"/>
      <c r="J1252" s="343"/>
      <c r="K1252" s="343"/>
      <c r="L1252" s="343"/>
    </row>
    <row r="1253" spans="2:12" x14ac:dyDescent="0.2">
      <c r="B1253" s="144"/>
      <c r="D1253" s="341"/>
      <c r="F1253" s="343"/>
      <c r="G1253" s="343"/>
      <c r="H1253" s="343"/>
      <c r="I1253" s="343"/>
      <c r="J1253" s="343"/>
      <c r="K1253" s="343"/>
      <c r="L1253" s="343"/>
    </row>
    <row r="1254" spans="2:12" x14ac:dyDescent="0.2">
      <c r="B1254" s="144"/>
      <c r="D1254" s="341"/>
      <c r="F1254" s="343"/>
      <c r="G1254" s="343"/>
      <c r="H1254" s="343"/>
      <c r="I1254" s="343"/>
      <c r="J1254" s="343"/>
      <c r="K1254" s="343"/>
      <c r="L1254" s="343"/>
    </row>
    <row r="1255" spans="2:12" x14ac:dyDescent="0.2">
      <c r="B1255" s="144"/>
      <c r="D1255" s="341"/>
      <c r="F1255" s="343"/>
      <c r="G1255" s="343"/>
      <c r="H1255" s="343"/>
      <c r="I1255" s="343"/>
      <c r="J1255" s="343"/>
      <c r="K1255" s="343"/>
      <c r="L1255" s="343"/>
    </row>
    <row r="1256" spans="2:12" x14ac:dyDescent="0.2">
      <c r="B1256" s="144"/>
      <c r="D1256" s="341"/>
      <c r="F1256" s="343"/>
      <c r="G1256" s="343"/>
      <c r="H1256" s="343"/>
      <c r="I1256" s="343"/>
      <c r="J1256" s="343"/>
      <c r="K1256" s="343"/>
      <c r="L1256" s="343"/>
    </row>
    <row r="1257" spans="2:12" x14ac:dyDescent="0.2">
      <c r="B1257" s="144"/>
      <c r="D1257" s="341"/>
      <c r="F1257" s="343"/>
      <c r="G1257" s="343"/>
      <c r="H1257" s="343"/>
      <c r="I1257" s="343"/>
      <c r="J1257" s="343"/>
      <c r="K1257" s="343"/>
      <c r="L1257" s="343"/>
    </row>
    <row r="1258" spans="2:12" x14ac:dyDescent="0.2">
      <c r="B1258" s="144"/>
      <c r="D1258" s="341"/>
      <c r="F1258" s="343"/>
      <c r="G1258" s="343"/>
      <c r="H1258" s="343"/>
      <c r="I1258" s="343"/>
      <c r="J1258" s="343"/>
      <c r="K1258" s="343"/>
      <c r="L1258" s="343"/>
    </row>
    <row r="1259" spans="2:12" x14ac:dyDescent="0.2">
      <c r="B1259" s="144"/>
      <c r="D1259" s="341"/>
      <c r="F1259" s="343"/>
      <c r="G1259" s="343"/>
      <c r="H1259" s="343"/>
      <c r="I1259" s="343"/>
      <c r="J1259" s="343"/>
      <c r="K1259" s="343"/>
      <c r="L1259" s="343"/>
    </row>
    <row r="1260" spans="2:12" x14ac:dyDescent="0.2">
      <c r="B1260" s="144"/>
      <c r="D1260" s="341"/>
      <c r="F1260" s="343"/>
      <c r="G1260" s="343"/>
      <c r="H1260" s="343"/>
      <c r="I1260" s="343"/>
      <c r="J1260" s="343"/>
      <c r="K1260" s="343"/>
      <c r="L1260" s="343"/>
    </row>
    <row r="1261" spans="2:12" x14ac:dyDescent="0.2">
      <c r="B1261" s="144"/>
      <c r="D1261" s="341"/>
      <c r="F1261" s="343"/>
      <c r="G1261" s="343"/>
      <c r="H1261" s="343"/>
      <c r="I1261" s="343"/>
      <c r="J1261" s="343"/>
      <c r="K1261" s="343"/>
      <c r="L1261" s="343"/>
    </row>
    <row r="1262" spans="2:12" x14ac:dyDescent="0.2">
      <c r="B1262" s="144"/>
      <c r="D1262" s="341"/>
      <c r="F1262" s="343"/>
      <c r="G1262" s="343"/>
      <c r="H1262" s="343"/>
      <c r="I1262" s="343"/>
      <c r="J1262" s="343"/>
      <c r="K1262" s="343"/>
      <c r="L1262" s="343"/>
    </row>
    <row r="1263" spans="2:12" x14ac:dyDescent="0.2">
      <c r="B1263" s="144"/>
      <c r="D1263" s="341"/>
      <c r="F1263" s="343"/>
      <c r="G1263" s="343"/>
      <c r="H1263" s="343"/>
      <c r="I1263" s="343"/>
      <c r="J1263" s="343"/>
      <c r="K1263" s="343"/>
      <c r="L1263" s="343"/>
    </row>
    <row r="1264" spans="2:12" x14ac:dyDescent="0.2">
      <c r="B1264" s="144"/>
      <c r="D1264" s="341"/>
      <c r="F1264" s="343"/>
      <c r="G1264" s="343"/>
      <c r="H1264" s="343"/>
      <c r="I1264" s="343"/>
      <c r="J1264" s="343"/>
      <c r="K1264" s="343"/>
      <c r="L1264" s="343"/>
    </row>
    <row r="1265" spans="2:12" x14ac:dyDescent="0.2">
      <c r="B1265" s="144"/>
      <c r="D1265" s="341"/>
      <c r="F1265" s="343"/>
      <c r="G1265" s="343"/>
      <c r="H1265" s="343"/>
      <c r="I1265" s="343"/>
      <c r="J1265" s="343"/>
      <c r="K1265" s="343"/>
      <c r="L1265" s="343"/>
    </row>
    <row r="1266" spans="2:12" x14ac:dyDescent="0.2">
      <c r="B1266" s="144"/>
      <c r="D1266" s="341"/>
      <c r="F1266" s="343"/>
      <c r="G1266" s="343"/>
      <c r="H1266" s="343"/>
      <c r="I1266" s="343"/>
      <c r="J1266" s="343"/>
      <c r="K1266" s="343"/>
      <c r="L1266" s="343"/>
    </row>
    <row r="1267" spans="2:12" x14ac:dyDescent="0.2">
      <c r="B1267" s="144"/>
      <c r="D1267" s="341"/>
      <c r="F1267" s="343"/>
      <c r="G1267" s="343"/>
      <c r="H1267" s="343"/>
      <c r="I1267" s="343"/>
      <c r="J1267" s="343"/>
      <c r="K1267" s="343"/>
      <c r="L1267" s="343"/>
    </row>
    <row r="1268" spans="2:12" x14ac:dyDescent="0.2">
      <c r="B1268" s="144"/>
      <c r="D1268" s="341"/>
      <c r="F1268" s="343"/>
      <c r="G1268" s="343"/>
      <c r="H1268" s="343"/>
      <c r="I1268" s="343"/>
      <c r="J1268" s="343"/>
      <c r="K1268" s="343"/>
      <c r="L1268" s="343"/>
    </row>
    <row r="1269" spans="2:12" x14ac:dyDescent="0.2">
      <c r="B1269" s="144"/>
      <c r="D1269" s="341"/>
      <c r="F1269" s="343"/>
      <c r="G1269" s="343"/>
      <c r="H1269" s="343"/>
      <c r="I1269" s="343"/>
      <c r="J1269" s="343"/>
      <c r="K1269" s="343"/>
      <c r="L1269" s="343"/>
    </row>
    <row r="1270" spans="2:12" x14ac:dyDescent="0.2">
      <c r="B1270" s="144"/>
      <c r="D1270" s="341"/>
      <c r="F1270" s="343"/>
      <c r="G1270" s="343"/>
      <c r="H1270" s="343"/>
      <c r="I1270" s="343"/>
      <c r="J1270" s="343"/>
      <c r="K1270" s="343"/>
      <c r="L1270" s="343"/>
    </row>
    <row r="1271" spans="2:12" x14ac:dyDescent="0.2">
      <c r="B1271" s="144"/>
      <c r="D1271" s="341"/>
      <c r="F1271" s="343"/>
      <c r="G1271" s="343"/>
      <c r="H1271" s="343"/>
      <c r="I1271" s="343"/>
      <c r="J1271" s="343"/>
      <c r="K1271" s="343"/>
      <c r="L1271" s="343"/>
    </row>
    <row r="1272" spans="2:12" x14ac:dyDescent="0.2">
      <c r="B1272" s="144"/>
      <c r="D1272" s="341"/>
      <c r="F1272" s="343"/>
      <c r="G1272" s="343"/>
      <c r="H1272" s="343"/>
      <c r="I1272" s="343"/>
      <c r="J1272" s="343"/>
      <c r="K1272" s="343"/>
      <c r="L1272" s="343"/>
    </row>
    <row r="1273" spans="2:12" x14ac:dyDescent="0.2">
      <c r="B1273" s="144"/>
      <c r="D1273" s="341"/>
      <c r="F1273" s="343"/>
      <c r="G1273" s="343"/>
      <c r="H1273" s="343"/>
      <c r="I1273" s="343"/>
      <c r="J1273" s="343"/>
      <c r="K1273" s="343"/>
      <c r="L1273" s="343"/>
    </row>
    <row r="1274" spans="2:12" x14ac:dyDescent="0.2">
      <c r="B1274" s="144"/>
      <c r="D1274" s="341"/>
      <c r="F1274" s="343"/>
      <c r="G1274" s="343"/>
      <c r="H1274" s="343"/>
      <c r="I1274" s="343"/>
      <c r="J1274" s="343"/>
      <c r="K1274" s="343"/>
      <c r="L1274" s="343"/>
    </row>
    <row r="1275" spans="2:12" x14ac:dyDescent="0.2">
      <c r="B1275" s="144"/>
      <c r="D1275" s="341"/>
      <c r="F1275" s="343"/>
      <c r="G1275" s="343"/>
      <c r="H1275" s="343"/>
      <c r="I1275" s="343"/>
      <c r="J1275" s="343"/>
      <c r="K1275" s="343"/>
      <c r="L1275" s="343"/>
    </row>
    <row r="1276" spans="2:12" x14ac:dyDescent="0.2">
      <c r="B1276" s="144"/>
      <c r="D1276" s="341"/>
      <c r="F1276" s="343"/>
      <c r="G1276" s="343"/>
      <c r="H1276" s="343"/>
      <c r="I1276" s="343"/>
      <c r="J1276" s="343"/>
      <c r="K1276" s="343"/>
      <c r="L1276" s="343"/>
    </row>
    <row r="1277" spans="2:12" x14ac:dyDescent="0.2">
      <c r="B1277" s="144"/>
      <c r="D1277" s="341"/>
      <c r="F1277" s="343"/>
      <c r="G1277" s="343"/>
      <c r="H1277" s="343"/>
      <c r="I1277" s="343"/>
      <c r="J1277" s="343"/>
      <c r="K1277" s="343"/>
      <c r="L1277" s="343"/>
    </row>
    <row r="1278" spans="2:12" x14ac:dyDescent="0.2">
      <c r="B1278" s="144"/>
      <c r="D1278" s="341"/>
      <c r="F1278" s="343"/>
      <c r="G1278" s="343"/>
      <c r="H1278" s="343"/>
      <c r="I1278" s="343"/>
      <c r="J1278" s="343"/>
      <c r="K1278" s="343"/>
      <c r="L1278" s="343"/>
    </row>
    <row r="1279" spans="2:12" x14ac:dyDescent="0.2">
      <c r="B1279" s="144"/>
      <c r="D1279" s="341"/>
      <c r="F1279" s="343"/>
      <c r="G1279" s="343"/>
      <c r="H1279" s="343"/>
      <c r="I1279" s="343"/>
      <c r="J1279" s="343"/>
      <c r="K1279" s="343"/>
      <c r="L1279" s="343"/>
    </row>
    <row r="1280" spans="2:12" x14ac:dyDescent="0.2">
      <c r="B1280" s="144"/>
      <c r="D1280" s="341"/>
      <c r="F1280" s="343"/>
      <c r="G1280" s="343"/>
      <c r="H1280" s="343"/>
      <c r="I1280" s="343"/>
      <c r="J1280" s="343"/>
      <c r="K1280" s="343"/>
      <c r="L1280" s="343"/>
    </row>
    <row r="1281" spans="2:12" x14ac:dyDescent="0.2">
      <c r="B1281" s="144"/>
      <c r="D1281" s="341"/>
      <c r="F1281" s="343"/>
      <c r="G1281" s="343"/>
      <c r="H1281" s="343"/>
      <c r="I1281" s="343"/>
      <c r="J1281" s="343"/>
      <c r="K1281" s="343"/>
      <c r="L1281" s="343"/>
    </row>
    <row r="1282" spans="2:12" x14ac:dyDescent="0.2">
      <c r="B1282" s="144"/>
      <c r="D1282" s="341"/>
      <c r="F1282" s="343"/>
      <c r="G1282" s="343"/>
      <c r="H1282" s="343"/>
      <c r="I1282" s="343"/>
      <c r="J1282" s="343"/>
      <c r="K1282" s="343"/>
      <c r="L1282" s="343"/>
    </row>
    <row r="1283" spans="2:12" x14ac:dyDescent="0.2">
      <c r="B1283" s="144"/>
      <c r="D1283" s="341"/>
      <c r="F1283" s="343"/>
      <c r="G1283" s="343"/>
      <c r="H1283" s="343"/>
      <c r="I1283" s="343"/>
      <c r="J1283" s="343"/>
      <c r="K1283" s="343"/>
      <c r="L1283" s="343"/>
    </row>
    <row r="1284" spans="2:12" x14ac:dyDescent="0.2">
      <c r="B1284" s="144"/>
      <c r="D1284" s="341"/>
      <c r="F1284" s="343"/>
      <c r="G1284" s="343"/>
      <c r="H1284" s="343"/>
      <c r="I1284" s="343"/>
      <c r="J1284" s="343"/>
      <c r="K1284" s="343"/>
      <c r="L1284" s="343"/>
    </row>
    <row r="1285" spans="2:12" x14ac:dyDescent="0.2">
      <c r="B1285" s="144"/>
      <c r="D1285" s="341"/>
      <c r="F1285" s="343"/>
      <c r="G1285" s="343"/>
      <c r="H1285" s="343"/>
      <c r="I1285" s="343"/>
      <c r="J1285" s="343"/>
      <c r="K1285" s="343"/>
      <c r="L1285" s="343"/>
    </row>
    <row r="1286" spans="2:12" x14ac:dyDescent="0.2">
      <c r="B1286" s="144"/>
      <c r="D1286" s="341"/>
      <c r="F1286" s="343"/>
      <c r="G1286" s="343"/>
      <c r="H1286" s="343"/>
      <c r="I1286" s="343"/>
      <c r="J1286" s="343"/>
      <c r="K1286" s="343"/>
      <c r="L1286" s="343"/>
    </row>
    <row r="1287" spans="2:12" x14ac:dyDescent="0.2">
      <c r="B1287" s="144"/>
      <c r="D1287" s="341"/>
      <c r="F1287" s="343"/>
      <c r="G1287" s="343"/>
      <c r="H1287" s="343"/>
      <c r="I1287" s="343"/>
      <c r="J1287" s="343"/>
      <c r="K1287" s="343"/>
      <c r="L1287" s="343"/>
    </row>
    <row r="1288" spans="2:12" x14ac:dyDescent="0.2">
      <c r="B1288" s="144"/>
      <c r="D1288" s="341"/>
      <c r="F1288" s="343"/>
      <c r="G1288" s="343"/>
      <c r="H1288" s="343"/>
      <c r="I1288" s="343"/>
      <c r="J1288" s="343"/>
      <c r="K1288" s="343"/>
      <c r="L1288" s="343"/>
    </row>
    <row r="1289" spans="2:12" x14ac:dyDescent="0.2">
      <c r="B1289" s="144"/>
      <c r="D1289" s="341"/>
      <c r="F1289" s="343"/>
      <c r="G1289" s="343"/>
      <c r="H1289" s="343"/>
      <c r="I1289" s="343"/>
      <c r="J1289" s="343"/>
      <c r="K1289" s="343"/>
      <c r="L1289" s="343"/>
    </row>
    <row r="1290" spans="2:12" x14ac:dyDescent="0.2">
      <c r="B1290" s="144"/>
      <c r="D1290" s="341"/>
      <c r="F1290" s="343"/>
      <c r="G1290" s="343"/>
      <c r="H1290" s="343"/>
      <c r="I1290" s="343"/>
      <c r="J1290" s="343"/>
      <c r="K1290" s="343"/>
      <c r="L1290" s="343"/>
    </row>
    <row r="1291" spans="2:12" x14ac:dyDescent="0.2">
      <c r="B1291" s="144"/>
      <c r="D1291" s="341"/>
      <c r="F1291" s="343"/>
      <c r="G1291" s="343"/>
      <c r="H1291" s="343"/>
      <c r="I1291" s="343"/>
      <c r="J1291" s="343"/>
      <c r="K1291" s="343"/>
      <c r="L1291" s="343"/>
    </row>
    <row r="1292" spans="2:12" x14ac:dyDescent="0.2">
      <c r="B1292" s="144"/>
      <c r="D1292" s="341"/>
      <c r="F1292" s="343"/>
      <c r="G1292" s="343"/>
      <c r="H1292" s="343"/>
      <c r="I1292" s="343"/>
      <c r="J1292" s="343"/>
      <c r="K1292" s="343"/>
      <c r="L1292" s="343"/>
    </row>
    <row r="1293" spans="2:12" x14ac:dyDescent="0.2">
      <c r="B1293" s="144"/>
      <c r="D1293" s="341"/>
      <c r="F1293" s="343"/>
      <c r="G1293" s="343"/>
      <c r="H1293" s="343"/>
      <c r="I1293" s="343"/>
      <c r="J1293" s="343"/>
      <c r="K1293" s="343"/>
      <c r="L1293" s="343"/>
    </row>
    <row r="1294" spans="2:12" x14ac:dyDescent="0.2">
      <c r="B1294" s="144"/>
      <c r="D1294" s="341"/>
      <c r="F1294" s="343"/>
      <c r="G1294" s="343"/>
      <c r="H1294" s="343"/>
      <c r="I1294" s="343"/>
      <c r="J1294" s="343"/>
      <c r="K1294" s="343"/>
      <c r="L1294" s="343"/>
    </row>
    <row r="1295" spans="2:12" x14ac:dyDescent="0.2">
      <c r="B1295" s="144"/>
      <c r="D1295" s="341"/>
      <c r="F1295" s="343"/>
      <c r="G1295" s="343"/>
      <c r="H1295" s="343"/>
      <c r="I1295" s="343"/>
      <c r="J1295" s="343"/>
      <c r="K1295" s="343"/>
      <c r="L1295" s="343"/>
    </row>
    <row r="1296" spans="2:12" x14ac:dyDescent="0.2">
      <c r="B1296" s="144"/>
      <c r="D1296" s="341"/>
      <c r="F1296" s="343"/>
      <c r="G1296" s="343"/>
      <c r="H1296" s="343"/>
      <c r="I1296" s="343"/>
      <c r="J1296" s="343"/>
      <c r="K1296" s="343"/>
      <c r="L1296" s="343"/>
    </row>
    <row r="1297" spans="2:12" x14ac:dyDescent="0.2">
      <c r="B1297" s="144"/>
      <c r="D1297" s="341"/>
      <c r="F1297" s="343"/>
      <c r="G1297" s="343"/>
      <c r="H1297" s="343"/>
      <c r="I1297" s="343"/>
      <c r="J1297" s="343"/>
      <c r="K1297" s="343"/>
      <c r="L1297" s="343"/>
    </row>
    <row r="1298" spans="2:12" x14ac:dyDescent="0.2">
      <c r="B1298" s="144"/>
      <c r="D1298" s="341"/>
      <c r="F1298" s="343"/>
      <c r="G1298" s="343"/>
      <c r="H1298" s="343"/>
      <c r="I1298" s="343"/>
      <c r="J1298" s="343"/>
      <c r="K1298" s="343"/>
      <c r="L1298" s="343"/>
    </row>
    <row r="1299" spans="2:12" x14ac:dyDescent="0.2">
      <c r="B1299" s="144"/>
      <c r="D1299" s="341"/>
      <c r="F1299" s="343"/>
      <c r="G1299" s="343"/>
      <c r="H1299" s="343"/>
      <c r="I1299" s="343"/>
      <c r="J1299" s="343"/>
      <c r="K1299" s="343"/>
      <c r="L1299" s="343"/>
    </row>
    <row r="1300" spans="2:12" x14ac:dyDescent="0.2">
      <c r="B1300" s="144"/>
      <c r="D1300" s="341"/>
      <c r="F1300" s="343"/>
      <c r="G1300" s="343"/>
      <c r="H1300" s="343"/>
      <c r="I1300" s="343"/>
      <c r="J1300" s="343"/>
      <c r="K1300" s="343"/>
      <c r="L1300" s="343"/>
    </row>
    <row r="1301" spans="2:12" x14ac:dyDescent="0.2">
      <c r="B1301" s="144"/>
      <c r="D1301" s="341"/>
      <c r="F1301" s="343"/>
      <c r="G1301" s="343"/>
      <c r="H1301" s="343"/>
      <c r="I1301" s="343"/>
      <c r="J1301" s="343"/>
      <c r="K1301" s="343"/>
      <c r="L1301" s="343"/>
    </row>
    <row r="1302" spans="2:12" x14ac:dyDescent="0.2">
      <c r="B1302" s="144"/>
      <c r="D1302" s="341"/>
      <c r="F1302" s="343"/>
      <c r="G1302" s="343"/>
      <c r="H1302" s="343"/>
      <c r="I1302" s="343"/>
      <c r="J1302" s="343"/>
      <c r="K1302" s="343"/>
      <c r="L1302" s="343"/>
    </row>
    <row r="1303" spans="2:12" x14ac:dyDescent="0.2">
      <c r="B1303" s="144"/>
      <c r="D1303" s="341"/>
      <c r="F1303" s="343"/>
      <c r="G1303" s="343"/>
      <c r="H1303" s="343"/>
      <c r="I1303" s="343"/>
      <c r="J1303" s="343"/>
      <c r="K1303" s="343"/>
      <c r="L1303" s="343"/>
    </row>
    <row r="1304" spans="2:12" x14ac:dyDescent="0.2">
      <c r="B1304" s="144"/>
      <c r="D1304" s="341"/>
      <c r="F1304" s="343"/>
      <c r="G1304" s="343"/>
      <c r="H1304" s="343"/>
      <c r="I1304" s="343"/>
      <c r="J1304" s="343"/>
      <c r="K1304" s="343"/>
      <c r="L1304" s="343"/>
    </row>
    <row r="1305" spans="2:12" x14ac:dyDescent="0.2">
      <c r="B1305" s="144"/>
      <c r="D1305" s="341"/>
      <c r="F1305" s="343"/>
      <c r="G1305" s="343"/>
      <c r="H1305" s="343"/>
      <c r="I1305" s="343"/>
      <c r="J1305" s="343"/>
      <c r="K1305" s="343"/>
      <c r="L1305" s="343"/>
    </row>
    <row r="1306" spans="2:12" x14ac:dyDescent="0.2">
      <c r="B1306" s="144"/>
      <c r="D1306" s="341"/>
      <c r="F1306" s="343"/>
      <c r="G1306" s="343"/>
      <c r="H1306" s="343"/>
      <c r="I1306" s="343"/>
      <c r="J1306" s="343"/>
      <c r="K1306" s="343"/>
      <c r="L1306" s="343"/>
    </row>
    <row r="1307" spans="2:12" x14ac:dyDescent="0.2">
      <c r="B1307" s="144"/>
      <c r="D1307" s="341"/>
      <c r="F1307" s="343"/>
      <c r="G1307" s="343"/>
      <c r="H1307" s="343"/>
      <c r="I1307" s="343"/>
      <c r="J1307" s="343"/>
      <c r="K1307" s="343"/>
      <c r="L1307" s="343"/>
    </row>
    <row r="1308" spans="2:12" x14ac:dyDescent="0.2">
      <c r="B1308" s="144"/>
      <c r="D1308" s="341"/>
      <c r="F1308" s="343"/>
      <c r="G1308" s="343"/>
      <c r="H1308" s="343"/>
      <c r="I1308" s="343"/>
      <c r="J1308" s="343"/>
      <c r="K1308" s="343"/>
      <c r="L1308" s="343"/>
    </row>
    <row r="1309" spans="2:12" x14ac:dyDescent="0.2">
      <c r="B1309" s="144"/>
      <c r="D1309" s="341"/>
      <c r="F1309" s="343"/>
      <c r="G1309" s="343"/>
      <c r="H1309" s="343"/>
      <c r="I1309" s="343"/>
      <c r="J1309" s="343"/>
      <c r="K1309" s="343"/>
      <c r="L1309" s="343"/>
    </row>
    <row r="1310" spans="2:12" x14ac:dyDescent="0.2">
      <c r="B1310" s="144"/>
      <c r="D1310" s="341"/>
      <c r="F1310" s="343"/>
      <c r="G1310" s="343"/>
      <c r="H1310" s="343"/>
      <c r="I1310" s="343"/>
      <c r="J1310" s="343"/>
      <c r="K1310" s="343"/>
      <c r="L1310" s="343"/>
    </row>
    <row r="1311" spans="2:12" x14ac:dyDescent="0.2">
      <c r="B1311" s="144"/>
      <c r="D1311" s="341"/>
      <c r="F1311" s="343"/>
      <c r="G1311" s="343"/>
      <c r="H1311" s="343"/>
      <c r="I1311" s="343"/>
      <c r="J1311" s="343"/>
      <c r="K1311" s="343"/>
      <c r="L1311" s="343"/>
    </row>
    <row r="1312" spans="2:12" x14ac:dyDescent="0.2">
      <c r="B1312" s="144"/>
      <c r="D1312" s="341"/>
      <c r="F1312" s="343"/>
      <c r="G1312" s="343"/>
      <c r="H1312" s="343"/>
      <c r="I1312" s="343"/>
      <c r="J1312" s="343"/>
      <c r="K1312" s="343"/>
      <c r="L1312" s="343"/>
    </row>
    <row r="1313" spans="2:12" x14ac:dyDescent="0.2">
      <c r="B1313" s="144"/>
      <c r="D1313" s="341"/>
      <c r="F1313" s="343"/>
      <c r="G1313" s="343"/>
      <c r="H1313" s="343"/>
      <c r="I1313" s="343"/>
      <c r="J1313" s="343"/>
      <c r="K1313" s="343"/>
      <c r="L1313" s="343"/>
    </row>
    <row r="1314" spans="2:12" x14ac:dyDescent="0.2">
      <c r="B1314" s="144"/>
      <c r="D1314" s="341"/>
      <c r="F1314" s="343"/>
      <c r="G1314" s="343"/>
      <c r="H1314" s="343"/>
      <c r="I1314" s="343"/>
      <c r="J1314" s="343"/>
      <c r="K1314" s="343"/>
      <c r="L1314" s="343"/>
    </row>
    <row r="1315" spans="2:12" x14ac:dyDescent="0.2">
      <c r="B1315" s="144"/>
      <c r="D1315" s="341"/>
      <c r="F1315" s="343"/>
      <c r="G1315" s="343"/>
      <c r="H1315" s="343"/>
      <c r="I1315" s="343"/>
      <c r="J1315" s="343"/>
      <c r="K1315" s="343"/>
      <c r="L1315" s="343"/>
    </row>
    <row r="1316" spans="2:12" x14ac:dyDescent="0.2">
      <c r="B1316" s="144"/>
      <c r="D1316" s="341"/>
      <c r="F1316" s="343"/>
      <c r="G1316" s="343"/>
      <c r="H1316" s="343"/>
      <c r="I1316" s="343"/>
      <c r="J1316" s="343"/>
      <c r="K1316" s="343"/>
      <c r="L1316" s="343"/>
    </row>
    <row r="1317" spans="2:12" x14ac:dyDescent="0.2">
      <c r="B1317" s="144"/>
      <c r="D1317" s="341"/>
      <c r="F1317" s="343"/>
      <c r="G1317" s="343"/>
      <c r="H1317" s="343"/>
      <c r="I1317" s="343"/>
      <c r="J1317" s="343"/>
      <c r="K1317" s="343"/>
      <c r="L1317" s="343"/>
    </row>
    <row r="1318" spans="2:12" x14ac:dyDescent="0.2">
      <c r="B1318" s="144"/>
      <c r="D1318" s="341"/>
      <c r="F1318" s="343"/>
      <c r="G1318" s="343"/>
      <c r="H1318" s="343"/>
      <c r="I1318" s="343"/>
      <c r="J1318" s="343"/>
      <c r="K1318" s="343"/>
      <c r="L1318" s="343"/>
    </row>
    <row r="1319" spans="2:12" x14ac:dyDescent="0.2">
      <c r="B1319" s="144"/>
      <c r="D1319" s="341"/>
      <c r="F1319" s="343"/>
      <c r="G1319" s="343"/>
      <c r="H1319" s="343"/>
      <c r="I1319" s="343"/>
      <c r="J1319" s="343"/>
      <c r="K1319" s="343"/>
      <c r="L1319" s="343"/>
    </row>
    <row r="1320" spans="2:12" x14ac:dyDescent="0.2">
      <c r="B1320" s="144"/>
      <c r="D1320" s="341"/>
      <c r="F1320" s="343"/>
      <c r="G1320" s="343"/>
      <c r="H1320" s="343"/>
      <c r="I1320" s="343"/>
      <c r="J1320" s="343"/>
      <c r="K1320" s="343"/>
      <c r="L1320" s="343"/>
    </row>
    <row r="1321" spans="2:12" x14ac:dyDescent="0.2">
      <c r="B1321" s="144"/>
      <c r="D1321" s="341"/>
      <c r="F1321" s="343"/>
      <c r="G1321" s="343"/>
      <c r="H1321" s="343"/>
      <c r="I1321" s="343"/>
      <c r="J1321" s="343"/>
      <c r="K1321" s="343"/>
      <c r="L1321" s="343"/>
    </row>
    <row r="1322" spans="2:12" x14ac:dyDescent="0.2">
      <c r="B1322" s="144"/>
      <c r="D1322" s="341"/>
      <c r="F1322" s="343"/>
      <c r="G1322" s="343"/>
      <c r="H1322" s="343"/>
      <c r="I1322" s="343"/>
      <c r="J1322" s="343"/>
      <c r="K1322" s="343"/>
      <c r="L1322" s="343"/>
    </row>
    <row r="1323" spans="2:12" x14ac:dyDescent="0.2">
      <c r="B1323" s="144"/>
      <c r="D1323" s="341"/>
      <c r="F1323" s="343"/>
      <c r="G1323" s="343"/>
      <c r="H1323" s="343"/>
      <c r="I1323" s="343"/>
      <c r="J1323" s="343"/>
      <c r="K1323" s="343"/>
      <c r="L1323" s="343"/>
    </row>
    <row r="1324" spans="2:12" x14ac:dyDescent="0.2">
      <c r="B1324" s="144"/>
      <c r="D1324" s="341"/>
      <c r="F1324" s="343"/>
      <c r="G1324" s="343"/>
      <c r="H1324" s="343"/>
      <c r="I1324" s="343"/>
      <c r="J1324" s="343"/>
      <c r="K1324" s="343"/>
      <c r="L1324" s="343"/>
    </row>
    <row r="1325" spans="2:12" x14ac:dyDescent="0.2">
      <c r="B1325" s="144"/>
      <c r="D1325" s="341"/>
      <c r="F1325" s="343"/>
      <c r="G1325" s="343"/>
      <c r="H1325" s="343"/>
      <c r="I1325" s="343"/>
      <c r="J1325" s="343"/>
      <c r="K1325" s="343"/>
      <c r="L1325" s="343"/>
    </row>
    <row r="1326" spans="2:12" x14ac:dyDescent="0.2">
      <c r="B1326" s="144"/>
      <c r="D1326" s="341"/>
      <c r="F1326" s="343"/>
      <c r="G1326" s="343"/>
      <c r="H1326" s="343"/>
      <c r="I1326" s="343"/>
      <c r="J1326" s="343"/>
      <c r="K1326" s="343"/>
      <c r="L1326" s="343"/>
    </row>
    <row r="1327" spans="2:12" x14ac:dyDescent="0.2">
      <c r="B1327" s="144"/>
      <c r="D1327" s="341"/>
      <c r="F1327" s="343"/>
      <c r="G1327" s="343"/>
      <c r="H1327" s="343"/>
      <c r="I1327" s="343"/>
      <c r="J1327" s="343"/>
      <c r="K1327" s="343"/>
      <c r="L1327" s="343"/>
    </row>
    <row r="1328" spans="2:12" x14ac:dyDescent="0.2">
      <c r="B1328" s="144"/>
      <c r="D1328" s="341"/>
      <c r="F1328" s="343"/>
      <c r="G1328" s="343"/>
      <c r="H1328" s="343"/>
      <c r="I1328" s="343"/>
      <c r="J1328" s="343"/>
      <c r="K1328" s="343"/>
      <c r="L1328" s="343"/>
    </row>
    <row r="1329" spans="2:12" x14ac:dyDescent="0.2">
      <c r="B1329" s="144"/>
      <c r="D1329" s="341"/>
      <c r="F1329" s="343"/>
      <c r="G1329" s="343"/>
      <c r="H1329" s="343"/>
      <c r="I1329" s="343"/>
      <c r="J1329" s="343"/>
      <c r="K1329" s="343"/>
      <c r="L1329" s="343"/>
    </row>
    <row r="1330" spans="2:12" x14ac:dyDescent="0.2">
      <c r="B1330" s="144"/>
      <c r="D1330" s="341"/>
      <c r="F1330" s="343"/>
      <c r="G1330" s="343"/>
      <c r="H1330" s="343"/>
      <c r="I1330" s="343"/>
      <c r="J1330" s="343"/>
      <c r="K1330" s="343"/>
      <c r="L1330" s="343"/>
    </row>
    <row r="1331" spans="2:12" x14ac:dyDescent="0.2">
      <c r="B1331" s="144"/>
      <c r="D1331" s="341"/>
      <c r="F1331" s="343"/>
      <c r="G1331" s="343"/>
      <c r="H1331" s="343"/>
      <c r="I1331" s="343"/>
      <c r="J1331" s="343"/>
      <c r="K1331" s="343"/>
      <c r="L1331" s="343"/>
    </row>
    <row r="1332" spans="2:12" x14ac:dyDescent="0.2">
      <c r="B1332" s="144"/>
      <c r="D1332" s="341"/>
      <c r="F1332" s="343"/>
      <c r="G1332" s="343"/>
      <c r="H1332" s="343"/>
      <c r="I1332" s="343"/>
      <c r="J1332" s="343"/>
      <c r="K1332" s="343"/>
      <c r="L1332" s="343"/>
    </row>
    <row r="1333" spans="2:12" x14ac:dyDescent="0.2">
      <c r="B1333" s="144"/>
      <c r="D1333" s="341"/>
      <c r="F1333" s="343"/>
      <c r="G1333" s="343"/>
      <c r="H1333" s="343"/>
      <c r="I1333" s="343"/>
      <c r="J1333" s="343"/>
      <c r="K1333" s="343"/>
      <c r="L1333" s="343"/>
    </row>
    <row r="1334" spans="2:12" x14ac:dyDescent="0.2">
      <c r="B1334" s="144"/>
      <c r="D1334" s="341"/>
      <c r="F1334" s="343"/>
      <c r="G1334" s="343"/>
      <c r="H1334" s="343"/>
      <c r="I1334" s="343"/>
      <c r="J1334" s="343"/>
      <c r="K1334" s="343"/>
      <c r="L1334" s="343"/>
    </row>
    <row r="1335" spans="2:12" x14ac:dyDescent="0.2">
      <c r="B1335" s="144"/>
      <c r="D1335" s="341"/>
      <c r="F1335" s="343"/>
      <c r="G1335" s="343"/>
      <c r="H1335" s="343"/>
      <c r="I1335" s="343"/>
      <c r="J1335" s="343"/>
      <c r="K1335" s="343"/>
      <c r="L1335" s="343"/>
    </row>
    <row r="1336" spans="2:12" x14ac:dyDescent="0.2">
      <c r="B1336" s="144"/>
      <c r="D1336" s="341"/>
      <c r="F1336" s="343"/>
      <c r="G1336" s="343"/>
      <c r="H1336" s="343"/>
      <c r="I1336" s="343"/>
      <c r="J1336" s="343"/>
      <c r="K1336" s="343"/>
      <c r="L1336" s="343"/>
    </row>
    <row r="1337" spans="2:12" x14ac:dyDescent="0.2">
      <c r="B1337" s="144"/>
      <c r="D1337" s="341"/>
      <c r="F1337" s="343"/>
      <c r="G1337" s="343"/>
      <c r="H1337" s="343"/>
      <c r="I1337" s="343"/>
      <c r="J1337" s="343"/>
      <c r="K1337" s="343"/>
      <c r="L1337" s="343"/>
    </row>
    <row r="1338" spans="2:12" x14ac:dyDescent="0.2">
      <c r="B1338" s="144"/>
      <c r="D1338" s="341"/>
      <c r="F1338" s="343"/>
      <c r="G1338" s="343"/>
      <c r="H1338" s="343"/>
      <c r="I1338" s="343"/>
      <c r="J1338" s="343"/>
      <c r="K1338" s="343"/>
      <c r="L1338" s="343"/>
    </row>
    <row r="1339" spans="2:12" x14ac:dyDescent="0.2">
      <c r="B1339" s="144"/>
      <c r="D1339" s="341"/>
      <c r="F1339" s="343"/>
      <c r="G1339" s="343"/>
      <c r="H1339" s="343"/>
      <c r="I1339" s="343"/>
      <c r="J1339" s="343"/>
      <c r="K1339" s="343"/>
      <c r="L1339" s="343"/>
    </row>
    <row r="1340" spans="2:12" x14ac:dyDescent="0.2">
      <c r="B1340" s="144"/>
      <c r="D1340" s="341"/>
      <c r="F1340" s="343"/>
      <c r="G1340" s="343"/>
      <c r="H1340" s="343"/>
      <c r="I1340" s="343"/>
      <c r="J1340" s="343"/>
      <c r="K1340" s="343"/>
      <c r="L1340" s="343"/>
    </row>
    <row r="1341" spans="2:12" x14ac:dyDescent="0.2">
      <c r="B1341" s="144"/>
      <c r="D1341" s="341"/>
      <c r="F1341" s="343"/>
      <c r="G1341" s="343"/>
      <c r="H1341" s="343"/>
      <c r="I1341" s="343"/>
      <c r="J1341" s="343"/>
      <c r="K1341" s="343"/>
      <c r="L1341" s="343"/>
    </row>
    <row r="1342" spans="2:12" x14ac:dyDescent="0.2">
      <c r="B1342" s="144"/>
      <c r="D1342" s="341"/>
      <c r="F1342" s="343"/>
      <c r="G1342" s="343"/>
      <c r="H1342" s="343"/>
      <c r="I1342" s="343"/>
      <c r="J1342" s="343"/>
      <c r="K1342" s="343"/>
      <c r="L1342" s="343"/>
    </row>
    <row r="1343" spans="2:12" x14ac:dyDescent="0.2">
      <c r="B1343" s="144"/>
      <c r="D1343" s="341"/>
      <c r="F1343" s="343"/>
      <c r="G1343" s="343"/>
      <c r="H1343" s="343"/>
      <c r="I1343" s="343"/>
      <c r="J1343" s="343"/>
      <c r="K1343" s="343"/>
      <c r="L1343" s="343"/>
    </row>
    <row r="1344" spans="2:12" x14ac:dyDescent="0.2">
      <c r="B1344" s="144"/>
      <c r="D1344" s="341"/>
      <c r="F1344" s="343"/>
      <c r="G1344" s="343"/>
      <c r="H1344" s="343"/>
      <c r="I1344" s="343"/>
      <c r="J1344" s="343"/>
      <c r="K1344" s="343"/>
      <c r="L1344" s="343"/>
    </row>
    <row r="1345" spans="2:12" x14ac:dyDescent="0.2">
      <c r="B1345" s="144"/>
      <c r="D1345" s="341"/>
      <c r="F1345" s="343"/>
      <c r="G1345" s="343"/>
      <c r="H1345" s="343"/>
      <c r="I1345" s="343"/>
      <c r="J1345" s="343"/>
      <c r="K1345" s="343"/>
      <c r="L1345" s="343"/>
    </row>
    <row r="1346" spans="2:12" x14ac:dyDescent="0.2">
      <c r="B1346" s="144"/>
      <c r="D1346" s="341"/>
      <c r="F1346" s="343"/>
      <c r="G1346" s="343"/>
      <c r="H1346" s="343"/>
      <c r="I1346" s="343"/>
      <c r="J1346" s="343"/>
      <c r="K1346" s="343"/>
      <c r="L1346" s="343"/>
    </row>
    <row r="1347" spans="2:12" x14ac:dyDescent="0.2">
      <c r="B1347" s="144"/>
      <c r="D1347" s="341"/>
      <c r="F1347" s="343"/>
      <c r="G1347" s="343"/>
      <c r="H1347" s="343"/>
      <c r="I1347" s="343"/>
      <c r="J1347" s="343"/>
      <c r="K1347" s="343"/>
      <c r="L1347" s="343"/>
    </row>
    <row r="1348" spans="2:12" x14ac:dyDescent="0.2">
      <c r="B1348" s="144"/>
      <c r="D1348" s="341"/>
      <c r="F1348" s="343"/>
      <c r="G1348" s="343"/>
      <c r="H1348" s="343"/>
      <c r="I1348" s="343"/>
      <c r="J1348" s="343"/>
      <c r="K1348" s="343"/>
      <c r="L1348" s="343"/>
    </row>
    <row r="1349" spans="2:12" x14ac:dyDescent="0.2">
      <c r="B1349" s="144"/>
      <c r="D1349" s="341"/>
      <c r="F1349" s="343"/>
      <c r="G1349" s="343"/>
      <c r="H1349" s="343"/>
      <c r="I1349" s="343"/>
      <c r="J1349" s="343"/>
      <c r="K1349" s="343"/>
      <c r="L1349" s="343"/>
    </row>
    <row r="1350" spans="2:12" x14ac:dyDescent="0.2">
      <c r="B1350" s="144"/>
      <c r="D1350" s="341"/>
      <c r="F1350" s="343"/>
      <c r="G1350" s="343"/>
      <c r="H1350" s="343"/>
      <c r="I1350" s="343"/>
      <c r="J1350" s="343"/>
      <c r="K1350" s="343"/>
      <c r="L1350" s="343"/>
    </row>
    <row r="1351" spans="2:12" x14ac:dyDescent="0.2">
      <c r="B1351" s="144"/>
      <c r="D1351" s="341"/>
      <c r="F1351" s="343"/>
      <c r="G1351" s="343"/>
      <c r="H1351" s="343"/>
      <c r="I1351" s="343"/>
      <c r="J1351" s="343"/>
      <c r="K1351" s="343"/>
      <c r="L1351" s="343"/>
    </row>
    <row r="1352" spans="2:12" x14ac:dyDescent="0.2">
      <c r="B1352" s="144"/>
      <c r="D1352" s="341"/>
      <c r="F1352" s="343"/>
      <c r="G1352" s="343"/>
      <c r="H1352" s="343"/>
      <c r="I1352" s="343"/>
      <c r="J1352" s="343"/>
      <c r="K1352" s="343"/>
      <c r="L1352" s="343"/>
    </row>
    <row r="1353" spans="2:12" x14ac:dyDescent="0.2">
      <c r="B1353" s="144"/>
      <c r="D1353" s="341"/>
      <c r="F1353" s="343"/>
      <c r="G1353" s="343"/>
      <c r="H1353" s="343"/>
      <c r="I1353" s="343"/>
      <c r="J1353" s="343"/>
      <c r="K1353" s="343"/>
      <c r="L1353" s="343"/>
    </row>
    <row r="1354" spans="2:12" x14ac:dyDescent="0.2">
      <c r="B1354" s="144"/>
      <c r="D1354" s="341"/>
      <c r="F1354" s="343"/>
      <c r="G1354" s="343"/>
      <c r="H1354" s="343"/>
      <c r="I1354" s="343"/>
      <c r="J1354" s="343"/>
      <c r="K1354" s="343"/>
      <c r="L1354" s="343"/>
    </row>
    <row r="1355" spans="2:12" x14ac:dyDescent="0.2">
      <c r="B1355" s="144"/>
      <c r="D1355" s="341"/>
      <c r="F1355" s="343"/>
      <c r="G1355" s="343"/>
      <c r="H1355" s="343"/>
      <c r="I1355" s="343"/>
      <c r="J1355" s="343"/>
      <c r="K1355" s="343"/>
      <c r="L1355" s="343"/>
    </row>
    <row r="1356" spans="2:12" x14ac:dyDescent="0.2">
      <c r="B1356" s="144"/>
      <c r="D1356" s="341"/>
      <c r="F1356" s="343"/>
      <c r="G1356" s="343"/>
      <c r="H1356" s="343"/>
      <c r="I1356" s="343"/>
      <c r="J1356" s="343"/>
      <c r="K1356" s="343"/>
      <c r="L1356" s="343"/>
    </row>
    <row r="1357" spans="2:12" x14ac:dyDescent="0.2">
      <c r="B1357" s="144"/>
      <c r="D1357" s="341"/>
      <c r="F1357" s="343"/>
      <c r="G1357" s="343"/>
      <c r="H1357" s="343"/>
      <c r="I1357" s="343"/>
      <c r="J1357" s="343"/>
      <c r="K1357" s="343"/>
      <c r="L1357" s="343"/>
    </row>
    <row r="1358" spans="2:12" x14ac:dyDescent="0.2">
      <c r="B1358" s="144"/>
      <c r="D1358" s="341"/>
      <c r="F1358" s="343"/>
      <c r="G1358" s="343"/>
      <c r="H1358" s="343"/>
      <c r="I1358" s="343"/>
      <c r="J1358" s="343"/>
      <c r="K1358" s="343"/>
      <c r="L1358" s="343"/>
    </row>
    <row r="1359" spans="2:12" x14ac:dyDescent="0.2">
      <c r="B1359" s="144"/>
      <c r="D1359" s="341"/>
      <c r="F1359" s="343"/>
      <c r="G1359" s="343"/>
      <c r="H1359" s="343"/>
      <c r="I1359" s="343"/>
      <c r="J1359" s="343"/>
      <c r="K1359" s="343"/>
      <c r="L1359" s="343"/>
    </row>
    <row r="1360" spans="2:12" x14ac:dyDescent="0.2">
      <c r="B1360" s="144"/>
      <c r="D1360" s="341"/>
      <c r="F1360" s="343"/>
      <c r="G1360" s="343"/>
      <c r="H1360" s="343"/>
      <c r="I1360" s="343"/>
      <c r="J1360" s="343"/>
      <c r="K1360" s="343"/>
      <c r="L1360" s="343"/>
    </row>
    <row r="1361" spans="2:12" x14ac:dyDescent="0.2">
      <c r="B1361" s="144"/>
      <c r="D1361" s="341"/>
      <c r="F1361" s="343"/>
      <c r="G1361" s="343"/>
      <c r="H1361" s="343"/>
      <c r="I1361" s="343"/>
      <c r="J1361" s="343"/>
      <c r="K1361" s="343"/>
      <c r="L1361" s="343"/>
    </row>
    <row r="1362" spans="2:12" x14ac:dyDescent="0.2">
      <c r="B1362" s="144"/>
      <c r="D1362" s="341"/>
      <c r="F1362" s="343"/>
      <c r="G1362" s="343"/>
      <c r="H1362" s="343"/>
      <c r="I1362" s="343"/>
      <c r="J1362" s="343"/>
      <c r="K1362" s="343"/>
      <c r="L1362" s="343"/>
    </row>
    <row r="1363" spans="2:12" x14ac:dyDescent="0.2">
      <c r="B1363" s="144"/>
      <c r="D1363" s="341"/>
      <c r="F1363" s="343"/>
      <c r="G1363" s="343"/>
      <c r="H1363" s="343"/>
      <c r="I1363" s="343"/>
      <c r="J1363" s="343"/>
      <c r="K1363" s="343"/>
      <c r="L1363" s="343"/>
    </row>
    <row r="1364" spans="2:12" x14ac:dyDescent="0.2">
      <c r="B1364" s="144"/>
      <c r="D1364" s="341"/>
      <c r="F1364" s="343"/>
      <c r="G1364" s="343"/>
      <c r="H1364" s="343"/>
      <c r="I1364" s="343"/>
      <c r="J1364" s="343"/>
      <c r="K1364" s="343"/>
      <c r="L1364" s="343"/>
    </row>
    <row r="1365" spans="2:12" x14ac:dyDescent="0.2">
      <c r="B1365" s="144"/>
      <c r="D1365" s="341"/>
      <c r="F1365" s="343"/>
      <c r="G1365" s="343"/>
      <c r="H1365" s="343"/>
      <c r="I1365" s="343"/>
      <c r="J1365" s="343"/>
      <c r="K1365" s="343"/>
      <c r="L1365" s="343"/>
    </row>
    <row r="1366" spans="2:12" x14ac:dyDescent="0.2">
      <c r="B1366" s="144"/>
      <c r="D1366" s="341"/>
      <c r="F1366" s="343"/>
      <c r="G1366" s="343"/>
      <c r="H1366" s="343"/>
      <c r="I1366" s="343"/>
      <c r="J1366" s="343"/>
      <c r="K1366" s="343"/>
      <c r="L1366" s="343"/>
    </row>
    <row r="1367" spans="2:12" x14ac:dyDescent="0.2">
      <c r="B1367" s="144"/>
      <c r="D1367" s="341"/>
      <c r="F1367" s="343"/>
      <c r="G1367" s="343"/>
      <c r="H1367" s="343"/>
      <c r="I1367" s="343"/>
      <c r="J1367" s="343"/>
      <c r="K1367" s="343"/>
      <c r="L1367" s="343"/>
    </row>
    <row r="1368" spans="2:12" x14ac:dyDescent="0.2">
      <c r="B1368" s="144"/>
      <c r="D1368" s="341"/>
      <c r="F1368" s="343"/>
      <c r="G1368" s="343"/>
      <c r="H1368" s="343"/>
      <c r="I1368" s="343"/>
      <c r="J1368" s="343"/>
      <c r="K1368" s="343"/>
      <c r="L1368" s="343"/>
    </row>
    <row r="1369" spans="2:12" x14ac:dyDescent="0.2">
      <c r="B1369" s="144"/>
      <c r="D1369" s="341"/>
      <c r="F1369" s="343"/>
      <c r="G1369" s="343"/>
      <c r="H1369" s="343"/>
      <c r="I1369" s="343"/>
      <c r="J1369" s="343"/>
      <c r="K1369" s="343"/>
      <c r="L1369" s="343"/>
    </row>
    <row r="1370" spans="2:12" x14ac:dyDescent="0.2">
      <c r="B1370" s="144"/>
      <c r="D1370" s="341"/>
      <c r="F1370" s="343"/>
      <c r="G1370" s="343"/>
      <c r="H1370" s="343"/>
      <c r="I1370" s="343"/>
      <c r="J1370" s="343"/>
      <c r="K1370" s="343"/>
      <c r="L1370" s="343"/>
    </row>
    <row r="1371" spans="2:12" x14ac:dyDescent="0.2">
      <c r="B1371" s="144"/>
      <c r="D1371" s="341"/>
      <c r="F1371" s="343"/>
      <c r="G1371" s="343"/>
      <c r="H1371" s="343"/>
      <c r="I1371" s="343"/>
      <c r="J1371" s="343"/>
      <c r="K1371" s="343"/>
      <c r="L1371" s="343"/>
    </row>
    <row r="1372" spans="2:12" x14ac:dyDescent="0.2">
      <c r="B1372" s="144"/>
      <c r="D1372" s="341"/>
      <c r="F1372" s="343"/>
      <c r="G1372" s="343"/>
      <c r="H1372" s="343"/>
      <c r="I1372" s="343"/>
      <c r="J1372" s="343"/>
      <c r="K1372" s="343"/>
      <c r="L1372" s="343"/>
    </row>
    <row r="1373" spans="2:12" x14ac:dyDescent="0.2">
      <c r="B1373" s="144"/>
      <c r="D1373" s="341"/>
      <c r="F1373" s="343"/>
      <c r="G1373" s="343"/>
      <c r="H1373" s="343"/>
      <c r="I1373" s="343"/>
      <c r="J1373" s="343"/>
      <c r="K1373" s="343"/>
      <c r="L1373" s="343"/>
    </row>
    <row r="1374" spans="2:12" x14ac:dyDescent="0.2">
      <c r="B1374" s="144"/>
      <c r="D1374" s="341"/>
      <c r="F1374" s="343"/>
      <c r="G1374" s="343"/>
      <c r="H1374" s="343"/>
      <c r="I1374" s="343"/>
      <c r="J1374" s="343"/>
      <c r="K1374" s="343"/>
      <c r="L1374" s="343"/>
    </row>
    <row r="1375" spans="2:12" x14ac:dyDescent="0.2">
      <c r="B1375" s="144"/>
      <c r="D1375" s="341"/>
      <c r="F1375" s="343"/>
      <c r="G1375" s="343"/>
      <c r="H1375" s="343"/>
      <c r="I1375" s="343"/>
      <c r="J1375" s="343"/>
      <c r="K1375" s="343"/>
      <c r="L1375" s="343"/>
    </row>
    <row r="1376" spans="2:12" x14ac:dyDescent="0.2">
      <c r="B1376" s="144"/>
      <c r="D1376" s="341"/>
      <c r="F1376" s="343"/>
      <c r="G1376" s="343"/>
      <c r="H1376" s="343"/>
      <c r="I1376" s="343"/>
      <c r="J1376" s="343"/>
      <c r="K1376" s="343"/>
      <c r="L1376" s="343"/>
    </row>
    <row r="1377" spans="2:12" x14ac:dyDescent="0.2">
      <c r="B1377" s="144"/>
      <c r="D1377" s="341"/>
      <c r="F1377" s="343"/>
      <c r="G1377" s="343"/>
      <c r="H1377" s="343"/>
      <c r="I1377" s="343"/>
      <c r="J1377" s="343"/>
      <c r="K1377" s="343"/>
      <c r="L1377" s="343"/>
    </row>
    <row r="1378" spans="2:12" x14ac:dyDescent="0.2">
      <c r="B1378" s="144"/>
      <c r="D1378" s="341"/>
      <c r="F1378" s="343"/>
      <c r="G1378" s="343"/>
      <c r="H1378" s="343"/>
      <c r="I1378" s="343"/>
      <c r="J1378" s="343"/>
      <c r="K1378" s="343"/>
      <c r="L1378" s="343"/>
    </row>
    <row r="1379" spans="2:12" x14ac:dyDescent="0.2">
      <c r="B1379" s="144"/>
      <c r="D1379" s="341"/>
      <c r="F1379" s="343"/>
      <c r="G1379" s="343"/>
      <c r="H1379" s="343"/>
      <c r="I1379" s="343"/>
      <c r="J1379" s="343"/>
      <c r="K1379" s="343"/>
      <c r="L1379" s="343"/>
    </row>
    <row r="1380" spans="2:12" x14ac:dyDescent="0.2">
      <c r="B1380" s="144"/>
      <c r="D1380" s="341"/>
      <c r="F1380" s="343"/>
      <c r="G1380" s="343"/>
      <c r="H1380" s="343"/>
      <c r="I1380" s="343"/>
      <c r="J1380" s="343"/>
      <c r="K1380" s="343"/>
      <c r="L1380" s="343"/>
    </row>
    <row r="1381" spans="2:12" x14ac:dyDescent="0.2">
      <c r="B1381" s="144"/>
      <c r="D1381" s="341"/>
      <c r="F1381" s="343"/>
      <c r="G1381" s="343"/>
      <c r="H1381" s="343"/>
      <c r="I1381" s="343"/>
      <c r="J1381" s="343"/>
      <c r="K1381" s="343"/>
      <c r="L1381" s="343"/>
    </row>
    <row r="1382" spans="2:12" x14ac:dyDescent="0.2">
      <c r="B1382" s="144"/>
      <c r="D1382" s="341"/>
      <c r="F1382" s="343"/>
      <c r="G1382" s="343"/>
      <c r="H1382" s="343"/>
      <c r="I1382" s="343"/>
      <c r="J1382" s="343"/>
      <c r="K1382" s="343"/>
      <c r="L1382" s="343"/>
    </row>
    <row r="1383" spans="2:12" x14ac:dyDescent="0.2">
      <c r="B1383" s="144"/>
      <c r="D1383" s="341"/>
      <c r="F1383" s="343"/>
      <c r="G1383" s="343"/>
      <c r="H1383" s="343"/>
      <c r="I1383" s="343"/>
      <c r="J1383" s="343"/>
      <c r="K1383" s="343"/>
      <c r="L1383" s="343"/>
    </row>
    <row r="1384" spans="2:12" x14ac:dyDescent="0.2">
      <c r="B1384" s="144"/>
      <c r="D1384" s="341"/>
      <c r="F1384" s="343"/>
      <c r="G1384" s="343"/>
      <c r="H1384" s="343"/>
      <c r="I1384" s="343"/>
      <c r="J1384" s="343"/>
      <c r="K1384" s="343"/>
      <c r="L1384" s="343"/>
    </row>
    <row r="1385" spans="2:12" x14ac:dyDescent="0.2">
      <c r="B1385" s="144"/>
      <c r="D1385" s="341"/>
      <c r="F1385" s="343"/>
      <c r="G1385" s="343"/>
      <c r="H1385" s="343"/>
      <c r="I1385" s="343"/>
      <c r="J1385" s="343"/>
      <c r="K1385" s="343"/>
      <c r="L1385" s="343"/>
    </row>
    <row r="1386" spans="2:12" x14ac:dyDescent="0.2">
      <c r="B1386" s="144"/>
      <c r="D1386" s="341"/>
      <c r="F1386" s="343"/>
      <c r="G1386" s="343"/>
      <c r="H1386" s="343"/>
      <c r="I1386" s="343"/>
      <c r="J1386" s="343"/>
      <c r="K1386" s="343"/>
      <c r="L1386" s="343"/>
    </row>
    <row r="1387" spans="2:12" x14ac:dyDescent="0.2">
      <c r="B1387" s="144"/>
      <c r="D1387" s="341"/>
      <c r="F1387" s="343"/>
      <c r="G1387" s="343"/>
      <c r="H1387" s="343"/>
      <c r="I1387" s="343"/>
      <c r="J1387" s="343"/>
      <c r="K1387" s="343"/>
      <c r="L1387" s="343"/>
    </row>
    <row r="1388" spans="2:12" x14ac:dyDescent="0.2">
      <c r="B1388" s="144"/>
      <c r="D1388" s="341"/>
      <c r="F1388" s="343"/>
      <c r="G1388" s="343"/>
      <c r="H1388" s="343"/>
      <c r="I1388" s="343"/>
      <c r="J1388" s="343"/>
      <c r="K1388" s="343"/>
      <c r="L1388" s="343"/>
    </row>
    <row r="1389" spans="2:12" x14ac:dyDescent="0.2">
      <c r="B1389" s="144"/>
      <c r="D1389" s="341"/>
      <c r="F1389" s="343"/>
      <c r="G1389" s="343"/>
      <c r="H1389" s="343"/>
      <c r="I1389" s="343"/>
      <c r="J1389" s="343"/>
      <c r="K1389" s="343"/>
      <c r="L1389" s="343"/>
    </row>
    <row r="1390" spans="2:12" x14ac:dyDescent="0.2">
      <c r="B1390" s="144"/>
      <c r="D1390" s="341"/>
      <c r="F1390" s="343"/>
      <c r="G1390" s="343"/>
      <c r="H1390" s="343"/>
      <c r="I1390" s="343"/>
      <c r="J1390" s="343"/>
      <c r="K1390" s="343"/>
      <c r="L1390" s="343"/>
    </row>
    <row r="1391" spans="2:12" x14ac:dyDescent="0.2">
      <c r="B1391" s="144"/>
      <c r="D1391" s="341"/>
      <c r="F1391" s="343"/>
      <c r="G1391" s="343"/>
      <c r="H1391" s="343"/>
      <c r="I1391" s="343"/>
      <c r="J1391" s="343"/>
      <c r="K1391" s="343"/>
      <c r="L1391" s="343"/>
    </row>
    <row r="1392" spans="2:12" x14ac:dyDescent="0.2">
      <c r="B1392" s="144"/>
      <c r="D1392" s="341"/>
      <c r="F1392" s="343"/>
      <c r="G1392" s="343"/>
      <c r="H1392" s="343"/>
      <c r="I1392" s="343"/>
      <c r="J1392" s="343"/>
      <c r="K1392" s="343"/>
      <c r="L1392" s="343"/>
    </row>
    <row r="1393" spans="2:12" x14ac:dyDescent="0.2">
      <c r="B1393" s="144"/>
      <c r="D1393" s="341"/>
      <c r="F1393" s="343"/>
      <c r="G1393" s="343"/>
      <c r="H1393" s="343"/>
      <c r="I1393" s="343"/>
      <c r="J1393" s="343"/>
      <c r="K1393" s="343"/>
      <c r="L1393" s="343"/>
    </row>
    <row r="1394" spans="2:12" x14ac:dyDescent="0.2">
      <c r="B1394" s="144"/>
      <c r="D1394" s="341"/>
      <c r="F1394" s="343"/>
      <c r="G1394" s="343"/>
      <c r="H1394" s="343"/>
      <c r="I1394" s="343"/>
      <c r="J1394" s="343"/>
      <c r="K1394" s="343"/>
      <c r="L1394" s="343"/>
    </row>
    <row r="1395" spans="2:12" x14ac:dyDescent="0.2">
      <c r="B1395" s="144"/>
      <c r="D1395" s="341"/>
      <c r="F1395" s="343"/>
      <c r="G1395" s="343"/>
      <c r="H1395" s="343"/>
      <c r="I1395" s="343"/>
      <c r="J1395" s="343"/>
      <c r="K1395" s="343"/>
      <c r="L1395" s="343"/>
    </row>
    <row r="1396" spans="2:12" x14ac:dyDescent="0.2">
      <c r="B1396" s="144"/>
      <c r="D1396" s="341"/>
      <c r="F1396" s="343"/>
      <c r="G1396" s="343"/>
      <c r="H1396" s="343"/>
      <c r="I1396" s="343"/>
      <c r="J1396" s="343"/>
      <c r="K1396" s="343"/>
      <c r="L1396" s="343"/>
    </row>
    <row r="1397" spans="2:12" x14ac:dyDescent="0.2">
      <c r="B1397" s="144"/>
      <c r="D1397" s="341"/>
      <c r="F1397" s="343"/>
      <c r="G1397" s="343"/>
      <c r="H1397" s="343"/>
      <c r="I1397" s="343"/>
      <c r="J1397" s="343"/>
      <c r="K1397" s="343"/>
      <c r="L1397" s="343"/>
    </row>
    <row r="1398" spans="2:12" x14ac:dyDescent="0.2">
      <c r="B1398" s="144"/>
      <c r="D1398" s="341"/>
      <c r="F1398" s="343"/>
      <c r="G1398" s="343"/>
      <c r="H1398" s="343"/>
      <c r="I1398" s="343"/>
      <c r="J1398" s="343"/>
      <c r="K1398" s="343"/>
      <c r="L1398" s="343"/>
    </row>
    <row r="1399" spans="2:12" x14ac:dyDescent="0.2">
      <c r="B1399" s="144"/>
      <c r="D1399" s="341"/>
      <c r="F1399" s="343"/>
      <c r="G1399" s="343"/>
      <c r="H1399" s="343"/>
      <c r="I1399" s="343"/>
      <c r="J1399" s="343"/>
      <c r="K1399" s="343"/>
      <c r="L1399" s="343"/>
    </row>
    <row r="1400" spans="2:12" x14ac:dyDescent="0.2">
      <c r="B1400" s="144"/>
      <c r="D1400" s="341"/>
      <c r="F1400" s="343"/>
      <c r="G1400" s="343"/>
      <c r="H1400" s="343"/>
      <c r="I1400" s="343"/>
      <c r="J1400" s="343"/>
      <c r="K1400" s="343"/>
      <c r="L1400" s="343"/>
    </row>
    <row r="1401" spans="2:12" x14ac:dyDescent="0.2">
      <c r="B1401" s="144"/>
      <c r="D1401" s="341"/>
      <c r="F1401" s="343"/>
      <c r="G1401" s="343"/>
      <c r="H1401" s="343"/>
      <c r="I1401" s="343"/>
      <c r="J1401" s="343"/>
      <c r="K1401" s="343"/>
      <c r="L1401" s="343"/>
    </row>
    <row r="1402" spans="2:12" x14ac:dyDescent="0.2">
      <c r="B1402" s="144"/>
      <c r="D1402" s="341"/>
      <c r="F1402" s="343"/>
      <c r="G1402" s="343"/>
      <c r="H1402" s="343"/>
      <c r="I1402" s="343"/>
      <c r="J1402" s="343"/>
      <c r="K1402" s="343"/>
      <c r="L1402" s="343"/>
    </row>
    <row r="1403" spans="2:12" x14ac:dyDescent="0.2">
      <c r="B1403" s="144"/>
      <c r="D1403" s="341"/>
      <c r="F1403" s="343"/>
      <c r="G1403" s="343"/>
      <c r="H1403" s="343"/>
      <c r="I1403" s="343"/>
      <c r="J1403" s="343"/>
      <c r="K1403" s="343"/>
      <c r="L1403" s="343"/>
    </row>
    <row r="1404" spans="2:12" x14ac:dyDescent="0.2">
      <c r="B1404" s="144"/>
      <c r="D1404" s="341"/>
      <c r="F1404" s="343"/>
      <c r="G1404" s="343"/>
      <c r="H1404" s="343"/>
      <c r="I1404" s="343"/>
      <c r="J1404" s="343"/>
      <c r="K1404" s="343"/>
      <c r="L1404" s="343"/>
    </row>
    <row r="1405" spans="2:12" x14ac:dyDescent="0.2">
      <c r="B1405" s="144"/>
      <c r="D1405" s="341"/>
      <c r="F1405" s="343"/>
      <c r="G1405" s="343"/>
      <c r="H1405" s="343"/>
      <c r="I1405" s="343"/>
      <c r="J1405" s="343"/>
      <c r="K1405" s="343"/>
      <c r="L1405" s="343"/>
    </row>
    <row r="1406" spans="2:12" x14ac:dyDescent="0.2">
      <c r="B1406" s="144"/>
      <c r="D1406" s="341"/>
      <c r="F1406" s="343"/>
      <c r="G1406" s="343"/>
      <c r="H1406" s="343"/>
      <c r="I1406" s="343"/>
      <c r="J1406" s="343"/>
      <c r="K1406" s="343"/>
      <c r="L1406" s="343"/>
    </row>
    <row r="1407" spans="2:12" x14ac:dyDescent="0.2">
      <c r="B1407" s="144"/>
      <c r="D1407" s="341"/>
      <c r="F1407" s="343"/>
      <c r="G1407" s="343"/>
      <c r="H1407" s="343"/>
      <c r="I1407" s="343"/>
      <c r="J1407" s="343"/>
      <c r="K1407" s="343"/>
      <c r="L1407" s="343"/>
    </row>
    <row r="1408" spans="2:12" x14ac:dyDescent="0.2">
      <c r="B1408" s="144"/>
      <c r="D1408" s="341"/>
      <c r="F1408" s="343"/>
      <c r="G1408" s="343"/>
      <c r="H1408" s="343"/>
      <c r="I1408" s="343"/>
      <c r="J1408" s="343"/>
      <c r="K1408" s="343"/>
      <c r="L1408" s="343"/>
    </row>
    <row r="1409" spans="2:12" x14ac:dyDescent="0.2">
      <c r="B1409" s="144"/>
      <c r="D1409" s="341"/>
      <c r="F1409" s="343"/>
      <c r="G1409" s="343"/>
      <c r="H1409" s="343"/>
      <c r="I1409" s="343"/>
      <c r="J1409" s="343"/>
      <c r="K1409" s="343"/>
      <c r="L1409" s="343"/>
    </row>
    <row r="1410" spans="2:12" x14ac:dyDescent="0.2">
      <c r="B1410" s="144"/>
      <c r="D1410" s="341"/>
      <c r="F1410" s="343"/>
      <c r="G1410" s="343"/>
      <c r="H1410" s="343"/>
      <c r="I1410" s="343"/>
      <c r="J1410" s="343"/>
      <c r="K1410" s="343"/>
      <c r="L1410" s="343"/>
    </row>
    <row r="1411" spans="2:12" x14ac:dyDescent="0.2">
      <c r="B1411" s="144"/>
      <c r="D1411" s="341"/>
      <c r="F1411" s="343"/>
      <c r="G1411" s="343"/>
      <c r="H1411" s="343"/>
      <c r="I1411" s="343"/>
      <c r="J1411" s="343"/>
      <c r="K1411" s="343"/>
      <c r="L1411" s="343"/>
    </row>
    <row r="1412" spans="2:12" x14ac:dyDescent="0.2">
      <c r="B1412" s="144"/>
      <c r="D1412" s="341"/>
      <c r="F1412" s="343"/>
      <c r="G1412" s="343"/>
      <c r="H1412" s="343"/>
      <c r="I1412" s="343"/>
      <c r="J1412" s="343"/>
      <c r="K1412" s="343"/>
      <c r="L1412" s="343"/>
    </row>
    <row r="1413" spans="2:12" x14ac:dyDescent="0.2">
      <c r="B1413" s="144"/>
      <c r="D1413" s="341"/>
      <c r="F1413" s="343"/>
      <c r="G1413" s="343"/>
      <c r="H1413" s="343"/>
      <c r="I1413" s="343"/>
      <c r="J1413" s="343"/>
      <c r="K1413" s="343"/>
      <c r="L1413" s="343"/>
    </row>
    <row r="1414" spans="2:12" x14ac:dyDescent="0.2">
      <c r="B1414" s="144"/>
      <c r="D1414" s="341"/>
      <c r="F1414" s="343"/>
      <c r="G1414" s="343"/>
      <c r="H1414" s="343"/>
      <c r="I1414" s="343"/>
      <c r="J1414" s="343"/>
      <c r="K1414" s="343"/>
      <c r="L1414" s="343"/>
    </row>
    <row r="1415" spans="2:12" x14ac:dyDescent="0.2">
      <c r="B1415" s="144"/>
      <c r="D1415" s="341"/>
      <c r="F1415" s="343"/>
      <c r="G1415" s="343"/>
      <c r="H1415" s="343"/>
      <c r="I1415" s="343"/>
      <c r="J1415" s="343"/>
      <c r="K1415" s="343"/>
      <c r="L1415" s="343"/>
    </row>
    <row r="1416" spans="2:12" x14ac:dyDescent="0.2">
      <c r="B1416" s="144"/>
      <c r="D1416" s="341"/>
      <c r="F1416" s="343"/>
      <c r="G1416" s="343"/>
      <c r="H1416" s="343"/>
      <c r="I1416" s="343"/>
      <c r="J1416" s="343"/>
      <c r="K1416" s="343"/>
      <c r="L1416" s="343"/>
    </row>
    <row r="1417" spans="2:12" x14ac:dyDescent="0.2">
      <c r="B1417" s="144"/>
      <c r="D1417" s="341"/>
      <c r="F1417" s="343"/>
      <c r="G1417" s="343"/>
      <c r="H1417" s="343"/>
      <c r="I1417" s="343"/>
      <c r="J1417" s="343"/>
      <c r="K1417" s="343"/>
      <c r="L1417" s="343"/>
    </row>
    <row r="1418" spans="2:12" x14ac:dyDescent="0.2">
      <c r="B1418" s="144"/>
      <c r="D1418" s="341"/>
      <c r="F1418" s="343"/>
      <c r="G1418" s="343"/>
      <c r="H1418" s="343"/>
      <c r="I1418" s="343"/>
      <c r="J1418" s="343"/>
      <c r="K1418" s="343"/>
      <c r="L1418" s="343"/>
    </row>
    <row r="1419" spans="2:12" x14ac:dyDescent="0.2">
      <c r="B1419" s="144"/>
      <c r="D1419" s="341"/>
      <c r="F1419" s="343"/>
      <c r="G1419" s="343"/>
      <c r="H1419" s="343"/>
      <c r="I1419" s="343"/>
      <c r="J1419" s="343"/>
      <c r="K1419" s="343"/>
      <c r="L1419" s="343"/>
    </row>
    <row r="1420" spans="2:12" x14ac:dyDescent="0.2">
      <c r="B1420" s="144"/>
      <c r="D1420" s="341"/>
      <c r="F1420" s="343"/>
      <c r="G1420" s="343"/>
      <c r="H1420" s="343"/>
      <c r="I1420" s="343"/>
      <c r="J1420" s="343"/>
      <c r="K1420" s="343"/>
      <c r="L1420" s="343"/>
    </row>
    <row r="1421" spans="2:12" x14ac:dyDescent="0.2">
      <c r="B1421" s="144"/>
      <c r="D1421" s="341"/>
      <c r="F1421" s="343"/>
      <c r="G1421" s="343"/>
      <c r="H1421" s="343"/>
      <c r="I1421" s="343"/>
      <c r="J1421" s="343"/>
      <c r="K1421" s="343"/>
      <c r="L1421" s="343"/>
    </row>
    <row r="1422" spans="2:12" x14ac:dyDescent="0.2">
      <c r="B1422" s="144"/>
      <c r="D1422" s="341"/>
      <c r="F1422" s="343"/>
      <c r="G1422" s="343"/>
      <c r="H1422" s="343"/>
      <c r="I1422" s="343"/>
      <c r="J1422" s="343"/>
      <c r="K1422" s="343"/>
      <c r="L1422" s="343"/>
    </row>
    <row r="1423" spans="2:12" x14ac:dyDescent="0.2">
      <c r="B1423" s="144"/>
      <c r="D1423" s="341"/>
      <c r="F1423" s="343"/>
      <c r="G1423" s="343"/>
      <c r="H1423" s="343"/>
      <c r="I1423" s="343"/>
      <c r="J1423" s="343"/>
      <c r="K1423" s="343"/>
      <c r="L1423" s="343"/>
    </row>
    <row r="1424" spans="2:12" x14ac:dyDescent="0.2">
      <c r="B1424" s="144"/>
      <c r="D1424" s="341"/>
      <c r="F1424" s="343"/>
      <c r="G1424" s="343"/>
      <c r="H1424" s="343"/>
      <c r="I1424" s="343"/>
      <c r="J1424" s="343"/>
      <c r="K1424" s="343"/>
      <c r="L1424" s="343"/>
    </row>
    <row r="1425" spans="2:12" x14ac:dyDescent="0.2">
      <c r="B1425" s="144"/>
      <c r="D1425" s="341"/>
      <c r="F1425" s="343"/>
      <c r="G1425" s="343"/>
      <c r="H1425" s="343"/>
      <c r="I1425" s="343"/>
      <c r="J1425" s="343"/>
      <c r="K1425" s="343"/>
      <c r="L1425" s="343"/>
    </row>
    <row r="1426" spans="2:12" x14ac:dyDescent="0.2">
      <c r="B1426" s="144"/>
      <c r="D1426" s="341"/>
      <c r="F1426" s="343"/>
      <c r="G1426" s="343"/>
      <c r="H1426" s="343"/>
      <c r="I1426" s="343"/>
      <c r="J1426" s="343"/>
      <c r="K1426" s="343"/>
      <c r="L1426" s="343"/>
    </row>
    <row r="1427" spans="2:12" x14ac:dyDescent="0.2">
      <c r="B1427" s="144"/>
      <c r="D1427" s="341"/>
      <c r="F1427" s="343"/>
      <c r="G1427" s="343"/>
      <c r="H1427" s="343"/>
      <c r="I1427" s="343"/>
      <c r="J1427" s="343"/>
      <c r="K1427" s="343"/>
      <c r="L1427" s="343"/>
    </row>
    <row r="1428" spans="2:12" x14ac:dyDescent="0.2">
      <c r="B1428" s="144"/>
      <c r="D1428" s="341"/>
      <c r="F1428" s="343"/>
      <c r="G1428" s="343"/>
      <c r="H1428" s="343"/>
      <c r="I1428" s="343"/>
      <c r="J1428" s="343"/>
      <c r="K1428" s="343"/>
      <c r="L1428" s="343"/>
    </row>
    <row r="1429" spans="2:12" x14ac:dyDescent="0.2">
      <c r="B1429" s="144"/>
      <c r="D1429" s="341"/>
      <c r="F1429" s="343"/>
      <c r="G1429" s="343"/>
      <c r="H1429" s="343"/>
      <c r="I1429" s="343"/>
      <c r="J1429" s="343"/>
      <c r="K1429" s="343"/>
      <c r="L1429" s="343"/>
    </row>
    <row r="1430" spans="2:12" x14ac:dyDescent="0.2">
      <c r="B1430" s="144"/>
      <c r="D1430" s="341"/>
      <c r="F1430" s="343"/>
      <c r="G1430" s="343"/>
      <c r="H1430" s="343"/>
      <c r="I1430" s="343"/>
      <c r="J1430" s="343"/>
      <c r="K1430" s="343"/>
      <c r="L1430" s="343"/>
    </row>
    <row r="1431" spans="2:12" x14ac:dyDescent="0.2">
      <c r="B1431" s="144"/>
      <c r="D1431" s="341"/>
      <c r="F1431" s="343"/>
      <c r="G1431" s="343"/>
      <c r="H1431" s="343"/>
      <c r="I1431" s="343"/>
      <c r="J1431" s="343"/>
      <c r="K1431" s="343"/>
      <c r="L1431" s="343"/>
    </row>
    <row r="1432" spans="2:12" x14ac:dyDescent="0.2">
      <c r="B1432" s="144"/>
      <c r="D1432" s="341"/>
      <c r="F1432" s="343"/>
      <c r="G1432" s="343"/>
      <c r="H1432" s="343"/>
      <c r="I1432" s="343"/>
      <c r="J1432" s="343"/>
      <c r="K1432" s="343"/>
      <c r="L1432" s="343"/>
    </row>
    <row r="1433" spans="2:12" x14ac:dyDescent="0.2">
      <c r="B1433" s="144"/>
      <c r="D1433" s="341"/>
      <c r="F1433" s="343"/>
      <c r="G1433" s="343"/>
      <c r="H1433" s="343"/>
      <c r="I1433" s="343"/>
      <c r="J1433" s="343"/>
      <c r="K1433" s="343"/>
      <c r="L1433" s="343"/>
    </row>
    <row r="1434" spans="2:12" x14ac:dyDescent="0.2">
      <c r="B1434" s="144"/>
      <c r="D1434" s="341"/>
      <c r="F1434" s="343"/>
      <c r="G1434" s="343"/>
      <c r="H1434" s="343"/>
      <c r="I1434" s="343"/>
      <c r="J1434" s="343"/>
      <c r="K1434" s="343"/>
      <c r="L1434" s="343"/>
    </row>
    <row r="1435" spans="2:12" x14ac:dyDescent="0.2">
      <c r="B1435" s="144"/>
      <c r="D1435" s="341"/>
      <c r="F1435" s="343"/>
      <c r="G1435" s="343"/>
      <c r="H1435" s="343"/>
      <c r="I1435" s="343"/>
      <c r="J1435" s="343"/>
      <c r="K1435" s="343"/>
      <c r="L1435" s="343"/>
    </row>
    <row r="1436" spans="2:12" x14ac:dyDescent="0.2">
      <c r="B1436" s="144"/>
      <c r="D1436" s="341"/>
      <c r="F1436" s="343"/>
      <c r="G1436" s="343"/>
      <c r="H1436" s="343"/>
      <c r="I1436" s="343"/>
      <c r="J1436" s="343"/>
      <c r="K1436" s="343"/>
      <c r="L1436" s="343"/>
    </row>
    <row r="1437" spans="2:12" x14ac:dyDescent="0.2">
      <c r="B1437" s="144"/>
      <c r="D1437" s="341"/>
      <c r="F1437" s="343"/>
      <c r="G1437" s="343"/>
      <c r="H1437" s="343"/>
      <c r="I1437" s="343"/>
      <c r="J1437" s="343"/>
      <c r="K1437" s="343"/>
      <c r="L1437" s="343"/>
    </row>
    <row r="1438" spans="2:12" x14ac:dyDescent="0.2">
      <c r="B1438" s="144"/>
      <c r="D1438" s="341"/>
      <c r="F1438" s="343"/>
      <c r="G1438" s="343"/>
      <c r="H1438" s="343"/>
      <c r="I1438" s="343"/>
      <c r="J1438" s="343"/>
      <c r="K1438" s="343"/>
      <c r="L1438" s="343"/>
    </row>
    <row r="1439" spans="2:12" x14ac:dyDescent="0.2">
      <c r="B1439" s="144"/>
      <c r="D1439" s="341"/>
      <c r="F1439" s="343"/>
      <c r="G1439" s="343"/>
      <c r="H1439" s="343"/>
      <c r="I1439" s="343"/>
      <c r="J1439" s="343"/>
      <c r="K1439" s="343"/>
      <c r="L1439" s="343"/>
    </row>
    <row r="1440" spans="2:12" x14ac:dyDescent="0.2">
      <c r="B1440" s="144"/>
      <c r="D1440" s="341"/>
      <c r="F1440" s="343"/>
      <c r="G1440" s="343"/>
      <c r="H1440" s="343"/>
      <c r="I1440" s="343"/>
      <c r="J1440" s="343"/>
      <c r="K1440" s="343"/>
      <c r="L1440" s="343"/>
    </row>
    <row r="1441" spans="2:12" x14ac:dyDescent="0.2">
      <c r="B1441" s="144"/>
      <c r="D1441" s="341"/>
      <c r="F1441" s="343"/>
      <c r="G1441" s="343"/>
      <c r="H1441" s="343"/>
      <c r="I1441" s="343"/>
      <c r="J1441" s="343"/>
      <c r="K1441" s="343"/>
      <c r="L1441" s="343"/>
    </row>
    <row r="1442" spans="2:12" x14ac:dyDescent="0.2">
      <c r="B1442" s="144"/>
      <c r="D1442" s="341"/>
      <c r="F1442" s="343"/>
      <c r="G1442" s="343"/>
      <c r="H1442" s="343"/>
      <c r="I1442" s="343"/>
      <c r="J1442" s="343"/>
      <c r="K1442" s="343"/>
      <c r="L1442" s="343"/>
    </row>
    <row r="1443" spans="2:12" x14ac:dyDescent="0.2">
      <c r="B1443" s="144"/>
      <c r="D1443" s="341"/>
      <c r="F1443" s="343"/>
      <c r="G1443" s="343"/>
      <c r="H1443" s="343"/>
      <c r="I1443" s="343"/>
      <c r="J1443" s="343"/>
      <c r="K1443" s="343"/>
      <c r="L1443" s="343"/>
    </row>
    <row r="1444" spans="2:12" x14ac:dyDescent="0.2">
      <c r="B1444" s="144"/>
      <c r="D1444" s="341"/>
      <c r="F1444" s="343"/>
      <c r="G1444" s="343"/>
      <c r="H1444" s="343"/>
      <c r="I1444" s="343"/>
      <c r="J1444" s="343"/>
      <c r="K1444" s="343"/>
      <c r="L1444" s="343"/>
    </row>
    <row r="1445" spans="2:12" x14ac:dyDescent="0.2">
      <c r="B1445" s="144"/>
      <c r="D1445" s="341"/>
      <c r="F1445" s="343"/>
      <c r="G1445" s="343"/>
      <c r="H1445" s="343"/>
      <c r="I1445" s="343"/>
      <c r="J1445" s="343"/>
      <c r="K1445" s="343"/>
      <c r="L1445" s="343"/>
    </row>
    <row r="1446" spans="2:12" x14ac:dyDescent="0.2">
      <c r="B1446" s="144"/>
      <c r="D1446" s="341"/>
      <c r="F1446" s="343"/>
      <c r="G1446" s="343"/>
      <c r="H1446" s="343"/>
      <c r="I1446" s="343"/>
      <c r="J1446" s="343"/>
      <c r="K1446" s="343"/>
      <c r="L1446" s="343"/>
    </row>
    <row r="1447" spans="2:12" x14ac:dyDescent="0.2">
      <c r="B1447" s="144"/>
      <c r="D1447" s="341"/>
      <c r="F1447" s="343"/>
      <c r="G1447" s="343"/>
      <c r="H1447" s="343"/>
      <c r="I1447" s="343"/>
      <c r="J1447" s="343"/>
      <c r="K1447" s="343"/>
      <c r="L1447" s="343"/>
    </row>
    <row r="1448" spans="2:12" x14ac:dyDescent="0.2">
      <c r="B1448" s="144"/>
      <c r="D1448" s="341"/>
      <c r="F1448" s="343"/>
      <c r="G1448" s="343"/>
      <c r="H1448" s="343"/>
      <c r="I1448" s="343"/>
      <c r="J1448" s="343"/>
      <c r="K1448" s="343"/>
      <c r="L1448" s="343"/>
    </row>
    <row r="1449" spans="2:12" x14ac:dyDescent="0.2">
      <c r="B1449" s="144"/>
      <c r="D1449" s="341"/>
      <c r="F1449" s="343"/>
      <c r="G1449" s="343"/>
      <c r="H1449" s="343"/>
      <c r="I1449" s="343"/>
      <c r="J1449" s="343"/>
      <c r="K1449" s="343"/>
      <c r="L1449" s="343"/>
    </row>
    <row r="1450" spans="2:12" x14ac:dyDescent="0.2">
      <c r="B1450" s="144"/>
      <c r="D1450" s="341"/>
      <c r="F1450" s="343"/>
      <c r="G1450" s="343"/>
      <c r="H1450" s="343"/>
      <c r="I1450" s="343"/>
      <c r="J1450" s="343"/>
      <c r="K1450" s="343"/>
      <c r="L1450" s="343"/>
    </row>
    <row r="1451" spans="2:12" x14ac:dyDescent="0.2">
      <c r="B1451" s="144"/>
      <c r="D1451" s="341"/>
      <c r="F1451" s="343"/>
      <c r="G1451" s="343"/>
      <c r="H1451" s="343"/>
      <c r="I1451" s="343"/>
      <c r="J1451" s="343"/>
      <c r="K1451" s="343"/>
      <c r="L1451" s="343"/>
    </row>
    <row r="1452" spans="2:12" x14ac:dyDescent="0.2">
      <c r="B1452" s="144"/>
      <c r="D1452" s="341"/>
      <c r="F1452" s="343"/>
      <c r="G1452" s="343"/>
      <c r="H1452" s="343"/>
      <c r="I1452" s="343"/>
      <c r="J1452" s="343"/>
      <c r="K1452" s="343"/>
      <c r="L1452" s="343"/>
    </row>
    <row r="1453" spans="2:12" x14ac:dyDescent="0.2">
      <c r="B1453" s="144"/>
      <c r="D1453" s="341"/>
      <c r="F1453" s="343"/>
      <c r="G1453" s="343"/>
      <c r="H1453" s="343"/>
      <c r="I1453" s="343"/>
      <c r="J1453" s="343"/>
      <c r="K1453" s="343"/>
      <c r="L1453" s="343"/>
    </row>
    <row r="1454" spans="2:12" x14ac:dyDescent="0.2">
      <c r="B1454" s="144"/>
      <c r="D1454" s="341"/>
      <c r="F1454" s="343"/>
      <c r="G1454" s="343"/>
      <c r="H1454" s="343"/>
      <c r="I1454" s="343"/>
      <c r="J1454" s="343"/>
      <c r="K1454" s="343"/>
      <c r="L1454" s="343"/>
    </row>
    <row r="1455" spans="2:12" x14ac:dyDescent="0.2">
      <c r="B1455" s="144"/>
      <c r="D1455" s="341"/>
      <c r="F1455" s="343"/>
      <c r="G1455" s="343"/>
      <c r="H1455" s="343"/>
      <c r="I1455" s="343"/>
      <c r="J1455" s="343"/>
      <c r="K1455" s="343"/>
      <c r="L1455" s="343"/>
    </row>
    <row r="1456" spans="2:12" x14ac:dyDescent="0.2">
      <c r="B1456" s="144"/>
      <c r="D1456" s="341"/>
      <c r="F1456" s="343"/>
      <c r="G1456" s="343"/>
      <c r="H1456" s="343"/>
      <c r="I1456" s="343"/>
      <c r="J1456" s="343"/>
      <c r="K1456" s="343"/>
      <c r="L1456" s="343"/>
    </row>
    <row r="1457" spans="2:12" x14ac:dyDescent="0.2">
      <c r="B1457" s="144"/>
      <c r="D1457" s="341"/>
      <c r="F1457" s="343"/>
      <c r="G1457" s="343"/>
      <c r="H1457" s="343"/>
      <c r="I1457" s="343"/>
      <c r="J1457" s="343"/>
      <c r="K1457" s="343"/>
      <c r="L1457" s="343"/>
    </row>
    <row r="1458" spans="2:12" x14ac:dyDescent="0.2">
      <c r="B1458" s="144"/>
      <c r="D1458" s="341"/>
      <c r="F1458" s="343"/>
      <c r="G1458" s="343"/>
      <c r="H1458" s="343"/>
      <c r="I1458" s="343"/>
      <c r="J1458" s="343"/>
      <c r="K1458" s="343"/>
      <c r="L1458" s="343"/>
    </row>
    <row r="1459" spans="2:12" x14ac:dyDescent="0.2">
      <c r="B1459" s="144"/>
      <c r="D1459" s="341"/>
      <c r="F1459" s="343"/>
      <c r="G1459" s="343"/>
      <c r="H1459" s="343"/>
      <c r="I1459" s="343"/>
      <c r="J1459" s="343"/>
      <c r="K1459" s="343"/>
      <c r="L1459" s="343"/>
    </row>
    <row r="1460" spans="2:12" x14ac:dyDescent="0.2">
      <c r="B1460" s="144"/>
      <c r="D1460" s="341"/>
      <c r="F1460" s="343"/>
      <c r="G1460" s="343"/>
      <c r="H1460" s="343"/>
      <c r="I1460" s="343"/>
      <c r="J1460" s="343"/>
      <c r="K1460" s="343"/>
      <c r="L1460" s="343"/>
    </row>
    <row r="1461" spans="2:12" x14ac:dyDescent="0.2">
      <c r="B1461" s="144"/>
      <c r="D1461" s="341"/>
      <c r="F1461" s="343"/>
      <c r="G1461" s="343"/>
      <c r="H1461" s="343"/>
      <c r="I1461" s="343"/>
      <c r="J1461" s="343"/>
      <c r="K1461" s="343"/>
      <c r="L1461" s="343"/>
    </row>
    <row r="1462" spans="2:12" x14ac:dyDescent="0.2">
      <c r="B1462" s="144"/>
      <c r="D1462" s="341"/>
      <c r="F1462" s="343"/>
      <c r="G1462" s="343"/>
      <c r="H1462" s="343"/>
      <c r="I1462" s="343"/>
      <c r="J1462" s="343"/>
      <c r="K1462" s="343"/>
      <c r="L1462" s="343"/>
    </row>
    <row r="1463" spans="2:12" x14ac:dyDescent="0.2">
      <c r="B1463" s="144"/>
      <c r="D1463" s="341"/>
      <c r="F1463" s="343"/>
      <c r="G1463" s="343"/>
      <c r="H1463" s="343"/>
      <c r="I1463" s="343"/>
      <c r="J1463" s="343"/>
      <c r="K1463" s="343"/>
      <c r="L1463" s="343"/>
    </row>
    <row r="1464" spans="2:12" x14ac:dyDescent="0.2">
      <c r="B1464" s="144"/>
      <c r="D1464" s="341"/>
      <c r="F1464" s="343"/>
      <c r="G1464" s="343"/>
      <c r="H1464" s="343"/>
      <c r="I1464" s="343"/>
      <c r="J1464" s="343"/>
      <c r="K1464" s="343"/>
      <c r="L1464" s="343"/>
    </row>
    <row r="1465" spans="2:12" x14ac:dyDescent="0.2">
      <c r="B1465" s="144"/>
      <c r="D1465" s="341"/>
      <c r="F1465" s="343"/>
      <c r="G1465" s="343"/>
      <c r="H1465" s="343"/>
      <c r="I1465" s="343"/>
      <c r="J1465" s="343"/>
      <c r="K1465" s="343"/>
      <c r="L1465" s="343"/>
    </row>
    <row r="1466" spans="2:12" x14ac:dyDescent="0.2">
      <c r="B1466" s="144"/>
      <c r="D1466" s="341"/>
      <c r="F1466" s="343"/>
      <c r="G1466" s="343"/>
      <c r="H1466" s="343"/>
      <c r="I1466" s="343"/>
      <c r="J1466" s="343"/>
      <c r="K1466" s="343"/>
      <c r="L1466" s="343"/>
    </row>
    <row r="1467" spans="2:12" x14ac:dyDescent="0.2">
      <c r="B1467" s="144"/>
      <c r="D1467" s="341"/>
      <c r="F1467" s="343"/>
      <c r="G1467" s="343"/>
      <c r="H1467" s="343"/>
      <c r="I1467" s="343"/>
      <c r="J1467" s="343"/>
      <c r="K1467" s="343"/>
      <c r="L1467" s="343"/>
    </row>
    <row r="1468" spans="2:12" x14ac:dyDescent="0.2">
      <c r="B1468" s="144"/>
      <c r="D1468" s="341"/>
      <c r="F1468" s="343"/>
      <c r="G1468" s="343"/>
      <c r="H1468" s="343"/>
      <c r="I1468" s="343"/>
      <c r="J1468" s="343"/>
      <c r="K1468" s="343"/>
      <c r="L1468" s="343"/>
    </row>
    <row r="1469" spans="2:12" x14ac:dyDescent="0.2">
      <c r="B1469" s="144"/>
      <c r="D1469" s="341"/>
      <c r="F1469" s="343"/>
      <c r="G1469" s="343"/>
      <c r="H1469" s="343"/>
      <c r="I1469" s="343"/>
      <c r="J1469" s="343"/>
      <c r="K1469" s="343"/>
      <c r="L1469" s="343"/>
    </row>
    <row r="1470" spans="2:12" x14ac:dyDescent="0.2">
      <c r="B1470" s="144"/>
      <c r="D1470" s="341"/>
      <c r="F1470" s="343"/>
      <c r="G1470" s="343"/>
      <c r="H1470" s="343"/>
      <c r="I1470" s="343"/>
      <c r="J1470" s="343"/>
      <c r="K1470" s="343"/>
      <c r="L1470" s="343"/>
    </row>
    <row r="1471" spans="2:12" x14ac:dyDescent="0.2">
      <c r="B1471" s="144"/>
      <c r="D1471" s="341"/>
      <c r="F1471" s="343"/>
      <c r="G1471" s="343"/>
      <c r="H1471" s="343"/>
      <c r="I1471" s="343"/>
      <c r="J1471" s="343"/>
      <c r="K1471" s="343"/>
      <c r="L1471" s="343"/>
    </row>
    <row r="1472" spans="2:12" x14ac:dyDescent="0.2">
      <c r="B1472" s="144"/>
      <c r="D1472" s="341"/>
      <c r="F1472" s="343"/>
      <c r="G1472" s="343"/>
      <c r="H1472" s="343"/>
      <c r="I1472" s="343"/>
      <c r="J1472" s="343"/>
      <c r="K1472" s="343"/>
      <c r="L1472" s="343"/>
    </row>
    <row r="1473" spans="2:12" x14ac:dyDescent="0.2">
      <c r="B1473" s="144"/>
      <c r="D1473" s="341"/>
      <c r="F1473" s="343"/>
      <c r="G1473" s="343"/>
      <c r="H1473" s="343"/>
      <c r="I1473" s="343"/>
      <c r="J1473" s="343"/>
      <c r="K1473" s="343"/>
      <c r="L1473" s="343"/>
    </row>
    <row r="1474" spans="2:12" x14ac:dyDescent="0.2">
      <c r="B1474" s="144"/>
      <c r="D1474" s="341"/>
      <c r="F1474" s="343"/>
      <c r="G1474" s="343"/>
      <c r="H1474" s="343"/>
      <c r="I1474" s="343"/>
      <c r="J1474" s="343"/>
      <c r="K1474" s="343"/>
      <c r="L1474" s="343"/>
    </row>
    <row r="1475" spans="2:12" x14ac:dyDescent="0.2">
      <c r="B1475" s="144"/>
      <c r="D1475" s="341"/>
      <c r="F1475" s="343"/>
      <c r="G1475" s="343"/>
      <c r="H1475" s="343"/>
      <c r="I1475" s="343"/>
      <c r="J1475" s="343"/>
      <c r="K1475" s="343"/>
      <c r="L1475" s="343"/>
    </row>
    <row r="1476" spans="2:12" x14ac:dyDescent="0.2">
      <c r="B1476" s="144"/>
      <c r="D1476" s="341"/>
      <c r="F1476" s="343"/>
      <c r="G1476" s="343"/>
      <c r="H1476" s="343"/>
      <c r="I1476" s="343"/>
      <c r="J1476" s="343"/>
      <c r="K1476" s="343"/>
      <c r="L1476" s="343"/>
    </row>
    <row r="1477" spans="2:12" x14ac:dyDescent="0.2">
      <c r="B1477" s="144"/>
      <c r="D1477" s="341"/>
      <c r="F1477" s="343"/>
      <c r="G1477" s="343"/>
      <c r="H1477" s="343"/>
      <c r="I1477" s="343"/>
      <c r="J1477" s="343"/>
      <c r="K1477" s="343"/>
      <c r="L1477" s="343"/>
    </row>
    <row r="1478" spans="2:12" x14ac:dyDescent="0.2">
      <c r="B1478" s="144"/>
      <c r="D1478" s="341"/>
      <c r="F1478" s="343"/>
      <c r="G1478" s="343"/>
      <c r="H1478" s="343"/>
      <c r="I1478" s="343"/>
      <c r="J1478" s="343"/>
      <c r="K1478" s="343"/>
      <c r="L1478" s="343"/>
    </row>
    <row r="1479" spans="2:12" x14ac:dyDescent="0.2">
      <c r="B1479" s="144"/>
      <c r="D1479" s="341"/>
      <c r="F1479" s="343"/>
      <c r="G1479" s="343"/>
      <c r="H1479" s="343"/>
      <c r="I1479" s="343"/>
      <c r="J1479" s="343"/>
      <c r="K1479" s="343"/>
      <c r="L1479" s="343"/>
    </row>
    <row r="1480" spans="2:12" x14ac:dyDescent="0.2">
      <c r="B1480" s="144"/>
      <c r="D1480" s="341"/>
      <c r="F1480" s="343"/>
      <c r="G1480" s="343"/>
      <c r="H1480" s="343"/>
      <c r="I1480" s="343"/>
      <c r="J1480" s="343"/>
      <c r="K1480" s="343"/>
      <c r="L1480" s="343"/>
    </row>
    <row r="1481" spans="2:12" x14ac:dyDescent="0.2">
      <c r="B1481" s="144"/>
      <c r="D1481" s="341"/>
      <c r="F1481" s="343"/>
      <c r="G1481" s="343"/>
      <c r="H1481" s="343"/>
      <c r="I1481" s="343"/>
      <c r="J1481" s="343"/>
      <c r="K1481" s="343"/>
      <c r="L1481" s="343"/>
    </row>
    <row r="1482" spans="2:12" x14ac:dyDescent="0.2">
      <c r="B1482" s="144"/>
      <c r="D1482" s="341"/>
      <c r="F1482" s="343"/>
      <c r="G1482" s="343"/>
      <c r="H1482" s="343"/>
      <c r="I1482" s="343"/>
      <c r="J1482" s="343"/>
      <c r="K1482" s="343"/>
      <c r="L1482" s="343"/>
    </row>
    <row r="1483" spans="2:12" x14ac:dyDescent="0.2">
      <c r="B1483" s="144"/>
      <c r="D1483" s="341"/>
      <c r="F1483" s="343"/>
      <c r="G1483" s="343"/>
      <c r="H1483" s="343"/>
      <c r="I1483" s="343"/>
      <c r="J1483" s="343"/>
      <c r="K1483" s="343"/>
      <c r="L1483" s="343"/>
    </row>
    <row r="1484" spans="2:12" x14ac:dyDescent="0.2">
      <c r="B1484" s="144"/>
      <c r="D1484" s="341"/>
      <c r="F1484" s="343"/>
      <c r="G1484" s="343"/>
      <c r="H1484" s="343"/>
      <c r="I1484" s="343"/>
      <c r="J1484" s="343"/>
      <c r="K1484" s="343"/>
      <c r="L1484" s="343"/>
    </row>
    <row r="1485" spans="2:12" x14ac:dyDescent="0.2">
      <c r="B1485" s="144"/>
      <c r="D1485" s="341"/>
      <c r="F1485" s="343"/>
      <c r="G1485" s="343"/>
      <c r="H1485" s="343"/>
      <c r="I1485" s="343"/>
      <c r="J1485" s="343"/>
      <c r="K1485" s="343"/>
      <c r="L1485" s="343"/>
    </row>
    <row r="1486" spans="2:12" x14ac:dyDescent="0.2">
      <c r="B1486" s="144"/>
      <c r="D1486" s="341"/>
      <c r="F1486" s="343"/>
      <c r="G1486" s="343"/>
      <c r="H1486" s="343"/>
      <c r="I1486" s="343"/>
      <c r="J1486" s="343"/>
      <c r="K1486" s="343"/>
      <c r="L1486" s="343"/>
    </row>
    <row r="1487" spans="2:12" x14ac:dyDescent="0.2">
      <c r="B1487" s="144"/>
      <c r="D1487" s="341"/>
      <c r="F1487" s="343"/>
      <c r="G1487" s="343"/>
      <c r="H1487" s="343"/>
      <c r="I1487" s="343"/>
      <c r="J1487" s="343"/>
      <c r="K1487" s="343"/>
      <c r="L1487" s="343"/>
    </row>
    <row r="1488" spans="2:12" x14ac:dyDescent="0.2">
      <c r="B1488" s="144"/>
      <c r="D1488" s="341"/>
      <c r="F1488" s="343"/>
      <c r="G1488" s="343"/>
      <c r="H1488" s="343"/>
      <c r="I1488" s="343"/>
      <c r="J1488" s="343"/>
      <c r="K1488" s="343"/>
      <c r="L1488" s="343"/>
    </row>
    <row r="1489" spans="2:12" x14ac:dyDescent="0.2">
      <c r="B1489" s="144"/>
      <c r="D1489" s="341"/>
      <c r="F1489" s="343"/>
      <c r="G1489" s="343"/>
      <c r="H1489" s="343"/>
      <c r="I1489" s="343"/>
      <c r="J1489" s="343"/>
      <c r="K1489" s="343"/>
      <c r="L1489" s="343"/>
    </row>
    <row r="1490" spans="2:12" x14ac:dyDescent="0.2">
      <c r="B1490" s="144"/>
      <c r="D1490" s="341"/>
      <c r="F1490" s="343"/>
      <c r="G1490" s="343"/>
      <c r="H1490" s="343"/>
      <c r="I1490" s="343"/>
      <c r="J1490" s="343"/>
      <c r="K1490" s="343"/>
      <c r="L1490" s="343"/>
    </row>
    <row r="1491" spans="2:12" x14ac:dyDescent="0.2">
      <c r="B1491" s="144"/>
      <c r="D1491" s="341"/>
      <c r="F1491" s="343"/>
      <c r="G1491" s="343"/>
      <c r="H1491" s="343"/>
      <c r="I1491" s="343"/>
      <c r="J1491" s="343"/>
      <c r="K1491" s="343"/>
      <c r="L1491" s="343"/>
    </row>
    <row r="1492" spans="2:12" x14ac:dyDescent="0.2">
      <c r="B1492" s="144"/>
      <c r="D1492" s="341"/>
      <c r="F1492" s="343"/>
      <c r="G1492" s="343"/>
      <c r="H1492" s="343"/>
      <c r="I1492" s="343"/>
      <c r="J1492" s="343"/>
      <c r="K1492" s="343"/>
      <c r="L1492" s="343"/>
    </row>
    <row r="1493" spans="2:12" x14ac:dyDescent="0.2">
      <c r="B1493" s="144"/>
      <c r="D1493" s="341"/>
      <c r="F1493" s="343"/>
      <c r="G1493" s="343"/>
      <c r="H1493" s="343"/>
      <c r="I1493" s="343"/>
      <c r="J1493" s="343"/>
      <c r="K1493" s="343"/>
      <c r="L1493" s="343"/>
    </row>
    <row r="1494" spans="2:12" x14ac:dyDescent="0.2">
      <c r="B1494" s="144"/>
      <c r="D1494" s="341"/>
      <c r="F1494" s="343"/>
      <c r="G1494" s="343"/>
      <c r="H1494" s="343"/>
      <c r="I1494" s="343"/>
      <c r="J1494" s="343"/>
      <c r="K1494" s="343"/>
      <c r="L1494" s="343"/>
    </row>
    <row r="1495" spans="2:12" x14ac:dyDescent="0.2">
      <c r="B1495" s="144"/>
      <c r="D1495" s="341"/>
      <c r="F1495" s="343"/>
      <c r="G1495" s="343"/>
      <c r="H1495" s="343"/>
      <c r="I1495" s="343"/>
      <c r="J1495" s="343"/>
      <c r="K1495" s="343"/>
      <c r="L1495" s="343"/>
    </row>
    <row r="1496" spans="2:12" x14ac:dyDescent="0.2">
      <c r="B1496" s="144"/>
      <c r="D1496" s="341"/>
      <c r="F1496" s="343"/>
      <c r="G1496" s="343"/>
      <c r="H1496" s="343"/>
      <c r="I1496" s="343"/>
      <c r="J1496" s="343"/>
      <c r="K1496" s="343"/>
      <c r="L1496" s="343"/>
    </row>
    <row r="1497" spans="2:12" x14ac:dyDescent="0.2">
      <c r="B1497" s="144"/>
      <c r="D1497" s="341"/>
      <c r="F1497" s="343"/>
      <c r="G1497" s="343"/>
      <c r="H1497" s="343"/>
      <c r="I1497" s="343"/>
      <c r="J1497" s="343"/>
      <c r="K1497" s="343"/>
      <c r="L1497" s="343"/>
    </row>
    <row r="1498" spans="2:12" x14ac:dyDescent="0.2">
      <c r="B1498" s="144"/>
      <c r="D1498" s="341"/>
      <c r="F1498" s="343"/>
      <c r="G1498" s="343"/>
      <c r="H1498" s="343"/>
      <c r="I1498" s="343"/>
      <c r="J1498" s="343"/>
      <c r="K1498" s="343"/>
      <c r="L1498" s="343"/>
    </row>
    <row r="1499" spans="2:12" x14ac:dyDescent="0.2">
      <c r="B1499" s="144"/>
      <c r="D1499" s="341"/>
      <c r="F1499" s="343"/>
      <c r="G1499" s="343"/>
      <c r="H1499" s="343"/>
      <c r="I1499" s="343"/>
      <c r="J1499" s="343"/>
      <c r="K1499" s="343"/>
      <c r="L1499" s="343"/>
    </row>
    <row r="1500" spans="2:12" x14ac:dyDescent="0.2">
      <c r="B1500" s="144"/>
      <c r="D1500" s="341"/>
      <c r="F1500" s="343"/>
      <c r="G1500" s="343"/>
      <c r="H1500" s="343"/>
      <c r="I1500" s="343"/>
      <c r="J1500" s="343"/>
      <c r="K1500" s="343"/>
      <c r="L1500" s="343"/>
    </row>
    <row r="1501" spans="2:12" x14ac:dyDescent="0.2">
      <c r="B1501" s="144"/>
      <c r="D1501" s="341"/>
      <c r="F1501" s="343"/>
      <c r="G1501" s="343"/>
      <c r="H1501" s="343"/>
      <c r="I1501" s="343"/>
      <c r="J1501" s="343"/>
      <c r="K1501" s="343"/>
      <c r="L1501" s="343"/>
    </row>
    <row r="1502" spans="2:12" x14ac:dyDescent="0.2">
      <c r="B1502" s="144"/>
      <c r="D1502" s="341"/>
      <c r="F1502" s="343"/>
      <c r="G1502" s="343"/>
      <c r="H1502" s="343"/>
      <c r="I1502" s="343"/>
      <c r="J1502" s="343"/>
      <c r="K1502" s="343"/>
      <c r="L1502" s="343"/>
    </row>
    <row r="1503" spans="2:12" x14ac:dyDescent="0.2">
      <c r="B1503" s="144"/>
      <c r="D1503" s="341"/>
      <c r="F1503" s="343"/>
      <c r="G1503" s="343"/>
      <c r="H1503" s="343"/>
      <c r="I1503" s="343"/>
      <c r="J1503" s="343"/>
      <c r="K1503" s="343"/>
      <c r="L1503" s="343"/>
    </row>
    <row r="1504" spans="2:12" x14ac:dyDescent="0.2">
      <c r="B1504" s="144"/>
      <c r="D1504" s="341"/>
      <c r="F1504" s="343"/>
      <c r="G1504" s="343"/>
      <c r="H1504" s="343"/>
      <c r="I1504" s="343"/>
      <c r="J1504" s="343"/>
      <c r="K1504" s="343"/>
      <c r="L1504" s="343"/>
    </row>
    <row r="1505" spans="2:12" x14ac:dyDescent="0.2">
      <c r="B1505" s="144"/>
      <c r="D1505" s="341"/>
      <c r="F1505" s="343"/>
      <c r="G1505" s="343"/>
      <c r="H1505" s="343"/>
      <c r="I1505" s="343"/>
      <c r="J1505" s="343"/>
      <c r="K1505" s="343"/>
      <c r="L1505" s="343"/>
    </row>
    <row r="1506" spans="2:12" x14ac:dyDescent="0.2">
      <c r="B1506" s="144"/>
      <c r="D1506" s="341"/>
      <c r="F1506" s="343"/>
      <c r="G1506" s="343"/>
      <c r="H1506" s="343"/>
      <c r="I1506" s="343"/>
      <c r="J1506" s="343"/>
      <c r="K1506" s="343"/>
      <c r="L1506" s="343"/>
    </row>
    <row r="1507" spans="2:12" x14ac:dyDescent="0.2">
      <c r="B1507" s="144"/>
      <c r="D1507" s="341"/>
      <c r="F1507" s="343"/>
      <c r="G1507" s="343"/>
      <c r="H1507" s="343"/>
      <c r="I1507" s="343"/>
      <c r="J1507" s="343"/>
      <c r="K1507" s="343"/>
      <c r="L1507" s="343"/>
    </row>
    <row r="1508" spans="2:12" x14ac:dyDescent="0.2">
      <c r="B1508" s="144"/>
      <c r="D1508" s="341"/>
      <c r="F1508" s="343"/>
      <c r="G1508" s="343"/>
      <c r="H1508" s="343"/>
      <c r="I1508" s="343"/>
      <c r="J1508" s="343"/>
      <c r="K1508" s="343"/>
      <c r="L1508" s="343"/>
    </row>
    <row r="1509" spans="2:12" x14ac:dyDescent="0.2">
      <c r="B1509" s="144"/>
      <c r="D1509" s="341"/>
      <c r="F1509" s="343"/>
      <c r="G1509" s="343"/>
      <c r="H1509" s="343"/>
      <c r="I1509" s="343"/>
      <c r="J1509" s="343"/>
      <c r="K1509" s="343"/>
      <c r="L1509" s="343"/>
    </row>
    <row r="1510" spans="2:12" x14ac:dyDescent="0.2">
      <c r="B1510" s="144"/>
      <c r="D1510" s="341"/>
      <c r="F1510" s="343"/>
      <c r="G1510" s="343"/>
      <c r="H1510" s="343"/>
      <c r="I1510" s="343"/>
      <c r="J1510" s="343"/>
      <c r="K1510" s="343"/>
      <c r="L1510" s="343"/>
    </row>
    <row r="1511" spans="2:12" x14ac:dyDescent="0.2">
      <c r="B1511" s="144"/>
      <c r="D1511" s="341"/>
      <c r="F1511" s="343"/>
      <c r="G1511" s="343"/>
      <c r="H1511" s="343"/>
      <c r="I1511" s="343"/>
      <c r="J1511" s="343"/>
      <c r="K1511" s="343"/>
      <c r="L1511" s="343"/>
    </row>
    <row r="1512" spans="2:12" x14ac:dyDescent="0.2">
      <c r="B1512" s="144"/>
      <c r="D1512" s="341"/>
      <c r="F1512" s="343"/>
      <c r="G1512" s="343"/>
      <c r="H1512" s="343"/>
      <c r="I1512" s="343"/>
      <c r="J1512" s="343"/>
      <c r="K1512" s="343"/>
      <c r="L1512" s="343"/>
    </row>
    <row r="1513" spans="2:12" x14ac:dyDescent="0.2">
      <c r="B1513" s="144"/>
      <c r="D1513" s="341"/>
      <c r="F1513" s="343"/>
      <c r="G1513" s="343"/>
      <c r="H1513" s="343"/>
      <c r="I1513" s="343"/>
      <c r="J1513" s="343"/>
      <c r="K1513" s="343"/>
      <c r="L1513" s="343"/>
    </row>
    <row r="1514" spans="2:12" x14ac:dyDescent="0.2">
      <c r="B1514" s="144"/>
      <c r="D1514" s="341"/>
      <c r="F1514" s="343"/>
      <c r="G1514" s="343"/>
      <c r="H1514" s="343"/>
      <c r="I1514" s="343"/>
      <c r="J1514" s="343"/>
      <c r="K1514" s="343"/>
      <c r="L1514" s="343"/>
    </row>
    <row r="1515" spans="2:12" x14ac:dyDescent="0.2">
      <c r="B1515" s="144"/>
      <c r="D1515" s="341"/>
      <c r="F1515" s="343"/>
      <c r="G1515" s="343"/>
      <c r="H1515" s="343"/>
      <c r="I1515" s="343"/>
      <c r="J1515" s="343"/>
      <c r="K1515" s="343"/>
      <c r="L1515" s="343"/>
    </row>
    <row r="1516" spans="2:12" x14ac:dyDescent="0.2">
      <c r="B1516" s="144"/>
      <c r="D1516" s="341"/>
      <c r="F1516" s="343"/>
      <c r="G1516" s="343"/>
      <c r="H1516" s="343"/>
      <c r="I1516" s="343"/>
      <c r="J1516" s="343"/>
      <c r="K1516" s="343"/>
      <c r="L1516" s="343"/>
    </row>
    <row r="1517" spans="2:12" x14ac:dyDescent="0.2">
      <c r="B1517" s="144"/>
      <c r="D1517" s="341"/>
      <c r="F1517" s="343"/>
      <c r="G1517" s="343"/>
      <c r="H1517" s="343"/>
      <c r="I1517" s="343"/>
      <c r="J1517" s="343"/>
      <c r="K1517" s="343"/>
      <c r="L1517" s="343"/>
    </row>
    <row r="1518" spans="2:12" x14ac:dyDescent="0.2">
      <c r="B1518" s="144"/>
      <c r="D1518" s="341"/>
      <c r="F1518" s="343"/>
      <c r="G1518" s="343"/>
      <c r="H1518" s="343"/>
      <c r="I1518" s="343"/>
      <c r="J1518" s="343"/>
      <c r="K1518" s="343"/>
      <c r="L1518" s="343"/>
    </row>
    <row r="1519" spans="2:12" x14ac:dyDescent="0.2">
      <c r="B1519" s="144"/>
      <c r="D1519" s="341"/>
      <c r="F1519" s="343"/>
      <c r="G1519" s="343"/>
      <c r="H1519" s="343"/>
      <c r="I1519" s="343"/>
      <c r="J1519" s="343"/>
      <c r="K1519" s="343"/>
      <c r="L1519" s="343"/>
    </row>
    <row r="1520" spans="2:12" x14ac:dyDescent="0.2">
      <c r="B1520" s="144"/>
      <c r="D1520" s="341"/>
      <c r="F1520" s="343"/>
      <c r="G1520" s="343"/>
      <c r="H1520" s="343"/>
      <c r="I1520" s="343"/>
      <c r="J1520" s="343"/>
      <c r="K1520" s="343"/>
      <c r="L1520" s="343"/>
    </row>
    <row r="1521" spans="2:12" x14ac:dyDescent="0.2">
      <c r="B1521" s="144"/>
      <c r="D1521" s="341"/>
      <c r="F1521" s="343"/>
      <c r="G1521" s="343"/>
      <c r="H1521" s="343"/>
      <c r="I1521" s="343"/>
      <c r="J1521" s="343"/>
      <c r="K1521" s="343"/>
      <c r="L1521" s="343"/>
    </row>
    <row r="1522" spans="2:12" x14ac:dyDescent="0.2">
      <c r="B1522" s="144"/>
      <c r="D1522" s="341"/>
      <c r="F1522" s="343"/>
      <c r="G1522" s="343"/>
      <c r="H1522" s="343"/>
      <c r="I1522" s="343"/>
      <c r="J1522" s="343"/>
      <c r="K1522" s="343"/>
      <c r="L1522" s="343"/>
    </row>
    <row r="1523" spans="2:12" x14ac:dyDescent="0.2">
      <c r="B1523" s="144"/>
      <c r="D1523" s="341"/>
      <c r="F1523" s="343"/>
      <c r="G1523" s="343"/>
      <c r="H1523" s="343"/>
      <c r="I1523" s="343"/>
      <c r="J1523" s="343"/>
      <c r="K1523" s="343"/>
      <c r="L1523" s="343"/>
    </row>
    <row r="1524" spans="2:12" x14ac:dyDescent="0.2">
      <c r="B1524" s="144"/>
      <c r="D1524" s="341"/>
      <c r="F1524" s="343"/>
      <c r="G1524" s="343"/>
      <c r="H1524" s="343"/>
      <c r="I1524" s="343"/>
      <c r="J1524" s="343"/>
      <c r="K1524" s="343"/>
      <c r="L1524" s="343"/>
    </row>
    <row r="1525" spans="2:12" x14ac:dyDescent="0.2">
      <c r="B1525" s="144"/>
      <c r="D1525" s="341"/>
      <c r="F1525" s="343"/>
      <c r="G1525" s="343"/>
      <c r="H1525" s="343"/>
      <c r="I1525" s="343"/>
      <c r="J1525" s="343"/>
      <c r="K1525" s="343"/>
      <c r="L1525" s="343"/>
    </row>
    <row r="1526" spans="2:12" x14ac:dyDescent="0.2">
      <c r="B1526" s="144"/>
      <c r="D1526" s="341"/>
      <c r="F1526" s="343"/>
      <c r="G1526" s="343"/>
      <c r="H1526" s="343"/>
      <c r="I1526" s="343"/>
      <c r="J1526" s="343"/>
      <c r="K1526" s="343"/>
      <c r="L1526" s="343"/>
    </row>
    <row r="1527" spans="2:12" x14ac:dyDescent="0.2">
      <c r="B1527" s="144"/>
      <c r="D1527" s="341"/>
      <c r="F1527" s="343"/>
      <c r="G1527" s="343"/>
      <c r="H1527" s="343"/>
      <c r="I1527" s="343"/>
      <c r="J1527" s="343"/>
      <c r="K1527" s="343"/>
      <c r="L1527" s="343"/>
    </row>
    <row r="1528" spans="2:12" x14ac:dyDescent="0.2">
      <c r="B1528" s="144"/>
      <c r="D1528" s="341"/>
      <c r="F1528" s="343"/>
      <c r="G1528" s="343"/>
      <c r="H1528" s="343"/>
      <c r="I1528" s="343"/>
      <c r="J1528" s="343"/>
      <c r="K1528" s="343"/>
      <c r="L1528" s="343"/>
    </row>
    <row r="1529" spans="2:12" x14ac:dyDescent="0.2">
      <c r="B1529" s="144"/>
      <c r="D1529" s="341"/>
      <c r="F1529" s="343"/>
      <c r="G1529" s="343"/>
      <c r="H1529" s="343"/>
      <c r="I1529" s="343"/>
      <c r="J1529" s="343"/>
      <c r="K1529" s="343"/>
      <c r="L1529" s="343"/>
    </row>
    <row r="1530" spans="2:12" x14ac:dyDescent="0.2">
      <c r="B1530" s="144"/>
      <c r="D1530" s="341"/>
      <c r="F1530" s="343"/>
      <c r="G1530" s="343"/>
      <c r="H1530" s="343"/>
      <c r="I1530" s="343"/>
      <c r="J1530" s="343"/>
      <c r="K1530" s="343"/>
      <c r="L1530" s="343"/>
    </row>
    <row r="1531" spans="2:12" x14ac:dyDescent="0.2">
      <c r="B1531" s="144"/>
      <c r="D1531" s="341"/>
      <c r="F1531" s="343"/>
      <c r="G1531" s="343"/>
      <c r="H1531" s="343"/>
      <c r="I1531" s="343"/>
      <c r="J1531" s="343"/>
      <c r="K1531" s="343"/>
      <c r="L1531" s="343"/>
    </row>
    <row r="1532" spans="2:12" x14ac:dyDescent="0.2">
      <c r="B1532" s="144"/>
      <c r="D1532" s="341"/>
      <c r="F1532" s="343"/>
      <c r="G1532" s="343"/>
      <c r="H1532" s="343"/>
      <c r="I1532" s="343"/>
      <c r="J1532" s="343"/>
      <c r="K1532" s="343"/>
      <c r="L1532" s="343"/>
    </row>
    <row r="1533" spans="2:12" x14ac:dyDescent="0.2">
      <c r="B1533" s="144"/>
      <c r="D1533" s="341"/>
      <c r="F1533" s="343"/>
      <c r="G1533" s="343"/>
      <c r="H1533" s="343"/>
      <c r="I1533" s="343"/>
      <c r="J1533" s="343"/>
      <c r="K1533" s="343"/>
      <c r="L1533" s="343"/>
    </row>
    <row r="1534" spans="2:12" x14ac:dyDescent="0.2">
      <c r="B1534" s="144"/>
      <c r="D1534" s="341"/>
      <c r="F1534" s="343"/>
      <c r="G1534" s="343"/>
      <c r="H1534" s="343"/>
      <c r="I1534" s="343"/>
      <c r="J1534" s="343"/>
      <c r="K1534" s="343"/>
      <c r="L1534" s="343"/>
    </row>
    <row r="1535" spans="2:12" x14ac:dyDescent="0.2">
      <c r="B1535" s="144"/>
      <c r="D1535" s="341"/>
      <c r="F1535" s="343"/>
      <c r="G1535" s="343"/>
      <c r="H1535" s="343"/>
      <c r="I1535" s="343"/>
      <c r="J1535" s="343"/>
      <c r="K1535" s="343"/>
      <c r="L1535" s="343"/>
    </row>
    <row r="1536" spans="2:12" x14ac:dyDescent="0.2">
      <c r="B1536" s="144"/>
      <c r="D1536" s="341"/>
      <c r="F1536" s="343"/>
      <c r="G1536" s="343"/>
      <c r="H1536" s="343"/>
      <c r="I1536" s="343"/>
      <c r="J1536" s="343"/>
      <c r="K1536" s="343"/>
      <c r="L1536" s="343"/>
    </row>
    <row r="1537" spans="2:12" x14ac:dyDescent="0.2">
      <c r="B1537" s="144"/>
      <c r="D1537" s="341"/>
      <c r="F1537" s="343"/>
      <c r="G1537" s="343"/>
      <c r="H1537" s="343"/>
      <c r="I1537" s="343"/>
      <c r="J1537" s="343"/>
      <c r="K1537" s="343"/>
      <c r="L1537" s="343"/>
    </row>
    <row r="1538" spans="2:12" x14ac:dyDescent="0.2">
      <c r="B1538" s="144"/>
      <c r="D1538" s="341"/>
      <c r="F1538" s="343"/>
      <c r="G1538" s="343"/>
      <c r="H1538" s="343"/>
      <c r="I1538" s="343"/>
      <c r="J1538" s="343"/>
      <c r="K1538" s="343"/>
      <c r="L1538" s="343"/>
    </row>
    <row r="1539" spans="2:12" x14ac:dyDescent="0.2">
      <c r="B1539" s="144"/>
      <c r="D1539" s="341"/>
      <c r="F1539" s="343"/>
      <c r="G1539" s="343"/>
      <c r="H1539" s="343"/>
      <c r="I1539" s="343"/>
      <c r="J1539" s="343"/>
      <c r="K1539" s="343"/>
      <c r="L1539" s="343"/>
    </row>
    <row r="1540" spans="2:12" x14ac:dyDescent="0.2">
      <c r="B1540" s="144"/>
      <c r="D1540" s="341"/>
      <c r="F1540" s="343"/>
      <c r="G1540" s="343"/>
      <c r="H1540" s="343"/>
      <c r="I1540" s="343"/>
      <c r="J1540" s="343"/>
      <c r="K1540" s="343"/>
      <c r="L1540" s="343"/>
    </row>
    <row r="1541" spans="2:12" x14ac:dyDescent="0.2">
      <c r="B1541" s="144"/>
      <c r="D1541" s="341"/>
      <c r="F1541" s="343"/>
      <c r="G1541" s="343"/>
      <c r="H1541" s="343"/>
      <c r="I1541" s="343"/>
      <c r="J1541" s="343"/>
      <c r="K1541" s="343"/>
      <c r="L1541" s="343"/>
    </row>
    <row r="1542" spans="2:12" x14ac:dyDescent="0.2">
      <c r="B1542" s="144"/>
      <c r="D1542" s="341"/>
      <c r="F1542" s="343"/>
      <c r="G1542" s="343"/>
      <c r="H1542" s="343"/>
      <c r="I1542" s="343"/>
      <c r="J1542" s="343"/>
      <c r="K1542" s="343"/>
      <c r="L1542" s="343"/>
    </row>
    <row r="1543" spans="2:12" x14ac:dyDescent="0.2">
      <c r="B1543" s="144"/>
      <c r="D1543" s="341"/>
      <c r="F1543" s="343"/>
      <c r="G1543" s="343"/>
      <c r="H1543" s="343"/>
      <c r="I1543" s="343"/>
      <c r="J1543" s="343"/>
      <c r="K1543" s="343"/>
      <c r="L1543" s="343"/>
    </row>
    <row r="1544" spans="2:12" x14ac:dyDescent="0.2">
      <c r="B1544" s="144"/>
      <c r="D1544" s="341"/>
      <c r="F1544" s="343"/>
      <c r="G1544" s="343"/>
      <c r="H1544" s="343"/>
      <c r="I1544" s="343"/>
      <c r="J1544" s="343"/>
      <c r="K1544" s="343"/>
      <c r="L1544" s="343"/>
    </row>
    <row r="1545" spans="2:12" x14ac:dyDescent="0.2">
      <c r="B1545" s="144"/>
      <c r="D1545" s="341"/>
      <c r="F1545" s="343"/>
      <c r="G1545" s="343"/>
      <c r="H1545" s="343"/>
      <c r="I1545" s="343"/>
      <c r="J1545" s="343"/>
      <c r="K1545" s="343"/>
      <c r="L1545" s="343"/>
    </row>
    <row r="1546" spans="2:12" x14ac:dyDescent="0.2">
      <c r="B1546" s="144"/>
      <c r="D1546" s="341"/>
      <c r="F1546" s="343"/>
      <c r="G1546" s="343"/>
      <c r="H1546" s="343"/>
      <c r="I1546" s="343"/>
      <c r="J1546" s="343"/>
      <c r="K1546" s="343"/>
      <c r="L1546" s="343"/>
    </row>
    <row r="1547" spans="2:12" x14ac:dyDescent="0.2">
      <c r="B1547" s="144"/>
      <c r="D1547" s="341"/>
      <c r="F1547" s="343"/>
      <c r="G1547" s="343"/>
      <c r="H1547" s="343"/>
      <c r="I1547" s="343"/>
      <c r="J1547" s="343"/>
      <c r="K1547" s="343"/>
      <c r="L1547" s="343"/>
    </row>
    <row r="1548" spans="2:12" x14ac:dyDescent="0.2">
      <c r="B1548" s="144"/>
      <c r="D1548" s="341"/>
      <c r="F1548" s="343"/>
      <c r="G1548" s="343"/>
      <c r="H1548" s="343"/>
      <c r="I1548" s="343"/>
      <c r="J1548" s="343"/>
      <c r="K1548" s="343"/>
      <c r="L1548" s="343"/>
    </row>
    <row r="1549" spans="2:12" x14ac:dyDescent="0.2">
      <c r="B1549" s="144"/>
      <c r="D1549" s="341"/>
      <c r="F1549" s="343"/>
      <c r="G1549" s="343"/>
      <c r="H1549" s="343"/>
      <c r="I1549" s="343"/>
      <c r="J1549" s="343"/>
      <c r="K1549" s="343"/>
      <c r="L1549" s="343"/>
    </row>
    <row r="1550" spans="2:12" x14ac:dyDescent="0.2">
      <c r="B1550" s="144"/>
      <c r="D1550" s="341"/>
      <c r="F1550" s="343"/>
      <c r="G1550" s="343"/>
      <c r="H1550" s="343"/>
      <c r="I1550" s="343"/>
      <c r="J1550" s="343"/>
      <c r="K1550" s="343"/>
      <c r="L1550" s="343"/>
    </row>
    <row r="1551" spans="2:12" x14ac:dyDescent="0.2">
      <c r="B1551" s="144"/>
      <c r="D1551" s="341"/>
      <c r="F1551" s="343"/>
      <c r="G1551" s="343"/>
      <c r="H1551" s="343"/>
      <c r="I1551" s="343"/>
      <c r="J1551" s="343"/>
      <c r="K1551" s="343"/>
      <c r="L1551" s="343"/>
    </row>
    <row r="1552" spans="2:12" x14ac:dyDescent="0.2">
      <c r="B1552" s="144"/>
      <c r="D1552" s="341"/>
      <c r="F1552" s="343"/>
      <c r="G1552" s="343"/>
      <c r="H1552" s="343"/>
      <c r="I1552" s="343"/>
      <c r="J1552" s="343"/>
      <c r="K1552" s="343"/>
      <c r="L1552" s="343"/>
    </row>
    <row r="1553" spans="2:12" x14ac:dyDescent="0.2">
      <c r="B1553" s="144"/>
      <c r="D1553" s="341"/>
      <c r="F1553" s="343"/>
      <c r="G1553" s="343"/>
      <c r="H1553" s="343"/>
      <c r="I1553" s="343"/>
      <c r="J1553" s="343"/>
      <c r="K1553" s="343"/>
      <c r="L1553" s="343"/>
    </row>
    <row r="1554" spans="2:12" x14ac:dyDescent="0.2">
      <c r="B1554" s="144"/>
      <c r="D1554" s="341"/>
      <c r="F1554" s="343"/>
      <c r="G1554" s="343"/>
      <c r="H1554" s="343"/>
      <c r="I1554" s="343"/>
      <c r="J1554" s="343"/>
      <c r="K1554" s="343"/>
      <c r="L1554" s="343"/>
    </row>
    <row r="1555" spans="2:12" x14ac:dyDescent="0.2">
      <c r="B1555" s="144"/>
      <c r="D1555" s="341"/>
      <c r="F1555" s="343"/>
      <c r="G1555" s="343"/>
      <c r="H1555" s="343"/>
      <c r="I1555" s="343"/>
      <c r="J1555" s="343"/>
      <c r="K1555" s="343"/>
      <c r="L1555" s="343"/>
    </row>
    <row r="1556" spans="2:12" x14ac:dyDescent="0.2">
      <c r="B1556" s="144"/>
      <c r="D1556" s="341"/>
      <c r="F1556" s="343"/>
      <c r="G1556" s="343"/>
      <c r="H1556" s="343"/>
      <c r="I1556" s="343"/>
      <c r="J1556" s="343"/>
      <c r="K1556" s="343"/>
      <c r="L1556" s="343"/>
    </row>
    <row r="1557" spans="2:12" x14ac:dyDescent="0.2">
      <c r="B1557" s="144"/>
      <c r="D1557" s="341"/>
      <c r="F1557" s="343"/>
      <c r="G1557" s="343"/>
      <c r="H1557" s="343"/>
      <c r="I1557" s="343"/>
      <c r="J1557" s="343"/>
      <c r="K1557" s="343"/>
      <c r="L1557" s="343"/>
    </row>
    <row r="1558" spans="2:12" x14ac:dyDescent="0.2">
      <c r="B1558" s="144"/>
      <c r="D1558" s="341"/>
      <c r="F1558" s="343"/>
      <c r="G1558" s="343"/>
      <c r="H1558" s="343"/>
      <c r="I1558" s="343"/>
      <c r="J1558" s="343"/>
      <c r="K1558" s="343"/>
      <c r="L1558" s="343"/>
    </row>
    <row r="1559" spans="2:12" x14ac:dyDescent="0.2">
      <c r="B1559" s="144"/>
      <c r="D1559" s="341"/>
      <c r="F1559" s="343"/>
      <c r="G1559" s="343"/>
      <c r="H1559" s="343"/>
      <c r="I1559" s="343"/>
      <c r="J1559" s="343"/>
      <c r="K1559" s="343"/>
      <c r="L1559" s="343"/>
    </row>
    <row r="1560" spans="2:12" x14ac:dyDescent="0.2">
      <c r="B1560" s="144"/>
      <c r="D1560" s="341"/>
      <c r="F1560" s="343"/>
      <c r="G1560" s="343"/>
      <c r="H1560" s="343"/>
      <c r="I1560" s="343"/>
      <c r="J1560" s="343"/>
      <c r="K1560" s="343"/>
      <c r="L1560" s="343"/>
    </row>
    <row r="1561" spans="2:12" x14ac:dyDescent="0.2">
      <c r="B1561" s="144"/>
      <c r="D1561" s="341"/>
      <c r="F1561" s="343"/>
      <c r="G1561" s="343"/>
      <c r="H1561" s="343"/>
      <c r="I1561" s="343"/>
      <c r="J1561" s="343"/>
      <c r="K1561" s="343"/>
      <c r="L1561" s="343"/>
    </row>
    <row r="1562" spans="2:12" x14ac:dyDescent="0.2">
      <c r="B1562" s="144"/>
      <c r="D1562" s="341"/>
      <c r="F1562" s="343"/>
      <c r="G1562" s="343"/>
      <c r="H1562" s="343"/>
      <c r="I1562" s="343"/>
      <c r="J1562" s="343"/>
      <c r="K1562" s="343"/>
      <c r="L1562" s="343"/>
    </row>
    <row r="1563" spans="2:12" x14ac:dyDescent="0.2">
      <c r="B1563" s="144"/>
      <c r="D1563" s="341"/>
      <c r="F1563" s="343"/>
      <c r="G1563" s="343"/>
      <c r="H1563" s="343"/>
      <c r="I1563" s="343"/>
      <c r="J1563" s="343"/>
      <c r="K1563" s="343"/>
      <c r="L1563" s="343"/>
    </row>
    <row r="1564" spans="2:12" x14ac:dyDescent="0.2">
      <c r="B1564" s="144"/>
      <c r="D1564" s="341"/>
      <c r="F1564" s="343"/>
      <c r="G1564" s="343"/>
      <c r="H1564" s="343"/>
      <c r="I1564" s="343"/>
      <c r="J1564" s="343"/>
      <c r="K1564" s="343"/>
      <c r="L1564" s="343"/>
    </row>
    <row r="1565" spans="2:12" x14ac:dyDescent="0.2">
      <c r="B1565" s="144"/>
      <c r="D1565" s="341"/>
      <c r="F1565" s="343"/>
      <c r="G1565" s="343"/>
      <c r="H1565" s="343"/>
      <c r="I1565" s="343"/>
      <c r="J1565" s="343"/>
      <c r="K1565" s="343"/>
      <c r="L1565" s="343"/>
    </row>
    <row r="1566" spans="2:12" x14ac:dyDescent="0.2">
      <c r="B1566" s="144"/>
      <c r="D1566" s="341"/>
      <c r="F1566" s="343"/>
      <c r="G1566" s="343"/>
      <c r="H1566" s="343"/>
      <c r="I1566" s="343"/>
      <c r="J1566" s="343"/>
      <c r="K1566" s="343"/>
      <c r="L1566" s="343"/>
    </row>
    <row r="1567" spans="2:12" x14ac:dyDescent="0.2">
      <c r="B1567" s="144"/>
      <c r="D1567" s="341"/>
      <c r="F1567" s="343"/>
      <c r="G1567" s="343"/>
      <c r="H1567" s="343"/>
      <c r="I1567" s="343"/>
      <c r="J1567" s="343"/>
      <c r="K1567" s="343"/>
      <c r="L1567" s="343"/>
    </row>
    <row r="1568" spans="2:12" x14ac:dyDescent="0.2">
      <c r="B1568" s="144"/>
      <c r="D1568" s="341"/>
      <c r="F1568" s="343"/>
      <c r="G1568" s="343"/>
      <c r="H1568" s="343"/>
      <c r="I1568" s="343"/>
      <c r="J1568" s="343"/>
      <c r="K1568" s="343"/>
      <c r="L1568" s="343"/>
    </row>
    <row r="1569" spans="2:12" x14ac:dyDescent="0.2">
      <c r="B1569" s="144"/>
      <c r="D1569" s="341"/>
      <c r="F1569" s="343"/>
      <c r="G1569" s="343"/>
      <c r="H1569" s="343"/>
      <c r="I1569" s="343"/>
      <c r="J1569" s="343"/>
      <c r="K1569" s="343"/>
      <c r="L1569" s="343"/>
    </row>
    <row r="1570" spans="2:12" x14ac:dyDescent="0.2">
      <c r="B1570" s="144"/>
      <c r="D1570" s="341"/>
      <c r="F1570" s="343"/>
      <c r="G1570" s="343"/>
      <c r="H1570" s="343"/>
      <c r="I1570" s="343"/>
      <c r="J1570" s="343"/>
      <c r="K1570" s="343"/>
      <c r="L1570" s="343"/>
    </row>
    <row r="1571" spans="2:12" x14ac:dyDescent="0.2">
      <c r="B1571" s="144"/>
      <c r="D1571" s="341"/>
      <c r="F1571" s="343"/>
      <c r="G1571" s="343"/>
      <c r="H1571" s="343"/>
      <c r="I1571" s="343"/>
      <c r="J1571" s="343"/>
      <c r="K1571" s="343"/>
      <c r="L1571" s="343"/>
    </row>
    <row r="1572" spans="2:12" x14ac:dyDescent="0.2">
      <c r="B1572" s="144"/>
      <c r="D1572" s="341"/>
      <c r="F1572" s="343"/>
      <c r="G1572" s="343"/>
      <c r="H1572" s="343"/>
      <c r="I1572" s="343"/>
      <c r="J1572" s="343"/>
      <c r="K1572" s="343"/>
      <c r="L1572" s="343"/>
    </row>
    <row r="1573" spans="2:12" x14ac:dyDescent="0.2">
      <c r="B1573" s="144"/>
      <c r="D1573" s="341"/>
      <c r="F1573" s="343"/>
      <c r="G1573" s="343"/>
      <c r="H1573" s="343"/>
      <c r="I1573" s="343"/>
      <c r="J1573" s="343"/>
      <c r="K1573" s="343"/>
      <c r="L1573" s="343"/>
    </row>
    <row r="1574" spans="2:12" x14ac:dyDescent="0.2">
      <c r="B1574" s="144"/>
      <c r="D1574" s="341"/>
      <c r="F1574" s="343"/>
      <c r="G1574" s="343"/>
      <c r="H1574" s="343"/>
      <c r="I1574" s="343"/>
      <c r="J1574" s="343"/>
      <c r="K1574" s="343"/>
      <c r="L1574" s="343"/>
    </row>
    <row r="1575" spans="2:12" x14ac:dyDescent="0.2">
      <c r="B1575" s="144"/>
      <c r="D1575" s="341"/>
      <c r="F1575" s="343"/>
      <c r="G1575" s="343"/>
      <c r="H1575" s="343"/>
      <c r="I1575" s="343"/>
      <c r="J1575" s="343"/>
      <c r="K1575" s="343"/>
      <c r="L1575" s="343"/>
    </row>
    <row r="1576" spans="2:12" x14ac:dyDescent="0.2">
      <c r="B1576" s="144"/>
      <c r="D1576" s="341"/>
      <c r="F1576" s="343"/>
      <c r="G1576" s="343"/>
      <c r="H1576" s="343"/>
      <c r="I1576" s="343"/>
      <c r="J1576" s="343"/>
      <c r="K1576" s="343"/>
      <c r="L1576" s="343"/>
    </row>
    <row r="1577" spans="2:12" x14ac:dyDescent="0.2">
      <c r="B1577" s="144"/>
      <c r="D1577" s="341"/>
      <c r="F1577" s="343"/>
      <c r="G1577" s="343"/>
      <c r="H1577" s="343"/>
      <c r="I1577" s="343"/>
      <c r="J1577" s="343"/>
      <c r="K1577" s="343"/>
      <c r="L1577" s="343"/>
    </row>
    <row r="1578" spans="2:12" x14ac:dyDescent="0.2">
      <c r="B1578" s="144"/>
      <c r="D1578" s="341"/>
      <c r="F1578" s="343"/>
      <c r="G1578" s="343"/>
      <c r="H1578" s="343"/>
      <c r="I1578" s="343"/>
      <c r="J1578" s="343"/>
      <c r="K1578" s="343"/>
      <c r="L1578" s="343"/>
    </row>
    <row r="1579" spans="2:12" x14ac:dyDescent="0.2">
      <c r="B1579" s="144"/>
      <c r="D1579" s="341"/>
      <c r="F1579" s="343"/>
      <c r="G1579" s="343"/>
      <c r="H1579" s="343"/>
      <c r="I1579" s="343"/>
      <c r="J1579" s="343"/>
      <c r="K1579" s="343"/>
      <c r="L1579" s="343"/>
    </row>
    <row r="1580" spans="2:12" x14ac:dyDescent="0.2">
      <c r="B1580" s="144"/>
      <c r="D1580" s="341"/>
      <c r="F1580" s="343"/>
      <c r="G1580" s="343"/>
      <c r="H1580" s="343"/>
      <c r="I1580" s="343"/>
      <c r="J1580" s="343"/>
      <c r="K1580" s="343"/>
      <c r="L1580" s="343"/>
    </row>
    <row r="1581" spans="2:12" x14ac:dyDescent="0.2">
      <c r="B1581" s="144"/>
      <c r="D1581" s="341"/>
      <c r="F1581" s="343"/>
      <c r="G1581" s="343"/>
      <c r="H1581" s="343"/>
      <c r="I1581" s="343"/>
      <c r="J1581" s="343"/>
      <c r="K1581" s="343"/>
      <c r="L1581" s="343"/>
    </row>
    <row r="1582" spans="2:12" x14ac:dyDescent="0.2">
      <c r="B1582" s="144"/>
      <c r="D1582" s="341"/>
      <c r="F1582" s="343"/>
      <c r="G1582" s="343"/>
      <c r="H1582" s="343"/>
      <c r="I1582" s="343"/>
      <c r="J1582" s="343"/>
      <c r="K1582" s="343"/>
      <c r="L1582" s="343"/>
    </row>
    <row r="1583" spans="2:12" x14ac:dyDescent="0.2">
      <c r="B1583" s="144"/>
      <c r="D1583" s="341"/>
      <c r="F1583" s="343"/>
      <c r="G1583" s="343"/>
      <c r="H1583" s="343"/>
      <c r="I1583" s="343"/>
      <c r="J1583" s="343"/>
      <c r="K1583" s="343"/>
      <c r="L1583" s="343"/>
    </row>
    <row r="1584" spans="2:12" x14ac:dyDescent="0.2">
      <c r="B1584" s="144"/>
      <c r="D1584" s="341"/>
      <c r="F1584" s="343"/>
      <c r="G1584" s="343"/>
      <c r="H1584" s="343"/>
      <c r="I1584" s="343"/>
      <c r="J1584" s="343"/>
      <c r="K1584" s="343"/>
      <c r="L1584" s="343"/>
    </row>
    <row r="1585" spans="2:12" x14ac:dyDescent="0.2">
      <c r="B1585" s="144"/>
      <c r="D1585" s="341"/>
      <c r="F1585" s="343"/>
      <c r="G1585" s="343"/>
      <c r="H1585" s="343"/>
      <c r="I1585" s="343"/>
      <c r="J1585" s="343"/>
      <c r="K1585" s="343"/>
      <c r="L1585" s="343"/>
    </row>
    <row r="1586" spans="2:12" x14ac:dyDescent="0.2">
      <c r="B1586" s="144"/>
      <c r="D1586" s="341"/>
      <c r="F1586" s="343"/>
      <c r="G1586" s="343"/>
      <c r="H1586" s="343"/>
      <c r="I1586" s="343"/>
      <c r="J1586" s="343"/>
      <c r="K1586" s="343"/>
      <c r="L1586" s="343"/>
    </row>
    <row r="1587" spans="2:12" x14ac:dyDescent="0.2">
      <c r="B1587" s="144"/>
      <c r="D1587" s="341"/>
      <c r="F1587" s="343"/>
      <c r="G1587" s="343"/>
      <c r="H1587" s="343"/>
      <c r="I1587" s="343"/>
      <c r="J1587" s="343"/>
      <c r="K1587" s="343"/>
      <c r="L1587" s="343"/>
    </row>
    <row r="1588" spans="2:12" x14ac:dyDescent="0.2">
      <c r="B1588" s="144"/>
      <c r="D1588" s="341"/>
      <c r="F1588" s="343"/>
      <c r="G1588" s="343"/>
      <c r="H1588" s="343"/>
      <c r="I1588" s="343"/>
      <c r="J1588" s="343"/>
      <c r="K1588" s="343"/>
      <c r="L1588" s="343"/>
    </row>
    <row r="1589" spans="2:12" x14ac:dyDescent="0.2">
      <c r="B1589" s="144"/>
      <c r="D1589" s="341"/>
      <c r="F1589" s="343"/>
      <c r="G1589" s="343"/>
      <c r="H1589" s="343"/>
      <c r="I1589" s="343"/>
      <c r="J1589" s="343"/>
      <c r="K1589" s="343"/>
      <c r="L1589" s="343"/>
    </row>
    <row r="1590" spans="2:12" x14ac:dyDescent="0.2">
      <c r="B1590" s="144"/>
      <c r="D1590" s="341"/>
      <c r="F1590" s="343"/>
      <c r="G1590" s="343"/>
      <c r="H1590" s="343"/>
      <c r="I1590" s="343"/>
      <c r="J1590" s="343"/>
      <c r="K1590" s="343"/>
      <c r="L1590" s="343"/>
    </row>
    <row r="1591" spans="2:12" x14ac:dyDescent="0.2">
      <c r="B1591" s="144"/>
      <c r="D1591" s="341"/>
      <c r="F1591" s="343"/>
      <c r="G1591" s="343"/>
      <c r="H1591" s="343"/>
      <c r="I1591" s="343"/>
      <c r="J1591" s="343"/>
      <c r="K1591" s="343"/>
      <c r="L1591" s="343"/>
    </row>
    <row r="1592" spans="2:12" x14ac:dyDescent="0.2">
      <c r="B1592" s="144"/>
      <c r="D1592" s="341"/>
      <c r="F1592" s="343"/>
      <c r="G1592" s="343"/>
      <c r="H1592" s="343"/>
      <c r="I1592" s="343"/>
      <c r="J1592" s="343"/>
      <c r="K1592" s="343"/>
      <c r="L1592" s="343"/>
    </row>
    <row r="1593" spans="2:12" x14ac:dyDescent="0.2">
      <c r="B1593" s="144"/>
      <c r="D1593" s="341"/>
      <c r="F1593" s="343"/>
      <c r="G1593" s="343"/>
      <c r="H1593" s="343"/>
      <c r="I1593" s="343"/>
      <c r="J1593" s="343"/>
      <c r="K1593" s="343"/>
      <c r="L1593" s="343"/>
    </row>
    <row r="1594" spans="2:12" x14ac:dyDescent="0.2">
      <c r="B1594" s="144"/>
      <c r="D1594" s="341"/>
      <c r="F1594" s="343"/>
      <c r="G1594" s="343"/>
      <c r="H1594" s="343"/>
      <c r="I1594" s="343"/>
      <c r="J1594" s="343"/>
      <c r="K1594" s="343"/>
      <c r="L1594" s="343"/>
    </row>
    <row r="1595" spans="2:12" x14ac:dyDescent="0.2">
      <c r="B1595" s="144"/>
      <c r="D1595" s="341"/>
      <c r="F1595" s="343"/>
      <c r="G1595" s="343"/>
      <c r="H1595" s="343"/>
      <c r="I1595" s="343"/>
      <c r="J1595" s="343"/>
      <c r="K1595" s="343"/>
      <c r="L1595" s="343"/>
    </row>
    <row r="1596" spans="2:12" x14ac:dyDescent="0.2">
      <c r="B1596" s="144"/>
      <c r="D1596" s="341"/>
      <c r="F1596" s="343"/>
      <c r="G1596" s="343"/>
      <c r="H1596" s="343"/>
      <c r="I1596" s="343"/>
      <c r="J1596" s="343"/>
      <c r="K1596" s="343"/>
      <c r="L1596" s="343"/>
    </row>
    <row r="1597" spans="2:12" x14ac:dyDescent="0.2">
      <c r="B1597" s="144"/>
      <c r="D1597" s="341"/>
      <c r="F1597" s="343"/>
      <c r="G1597" s="343"/>
      <c r="H1597" s="343"/>
      <c r="I1597" s="343"/>
      <c r="J1597" s="343"/>
      <c r="K1597" s="343"/>
      <c r="L1597" s="343"/>
    </row>
    <row r="1598" spans="2:12" x14ac:dyDescent="0.2">
      <c r="B1598" s="144"/>
      <c r="D1598" s="341"/>
      <c r="F1598" s="343"/>
      <c r="G1598" s="343"/>
      <c r="H1598" s="343"/>
      <c r="I1598" s="343"/>
      <c r="J1598" s="343"/>
      <c r="K1598" s="343"/>
      <c r="L1598" s="343"/>
    </row>
    <row r="1599" spans="2:12" x14ac:dyDescent="0.2">
      <c r="B1599" s="144"/>
      <c r="D1599" s="341"/>
      <c r="F1599" s="343"/>
      <c r="G1599" s="343"/>
      <c r="H1599" s="343"/>
      <c r="I1599" s="343"/>
      <c r="J1599" s="343"/>
      <c r="K1599" s="343"/>
      <c r="L1599" s="343"/>
    </row>
    <row r="1600" spans="2:12" x14ac:dyDescent="0.2">
      <c r="B1600" s="144"/>
      <c r="D1600" s="341"/>
      <c r="F1600" s="343"/>
      <c r="G1600" s="343"/>
      <c r="H1600" s="343"/>
      <c r="I1600" s="343"/>
      <c r="J1600" s="343"/>
      <c r="K1600" s="343"/>
      <c r="L1600" s="343"/>
    </row>
    <row r="1601" spans="2:12" x14ac:dyDescent="0.2">
      <c r="B1601" s="144"/>
      <c r="D1601" s="341"/>
      <c r="F1601" s="343"/>
      <c r="G1601" s="343"/>
      <c r="H1601" s="343"/>
      <c r="I1601" s="343"/>
      <c r="J1601" s="343"/>
      <c r="K1601" s="343"/>
      <c r="L1601" s="343"/>
    </row>
    <row r="1602" spans="2:12" x14ac:dyDescent="0.2">
      <c r="B1602" s="144"/>
      <c r="D1602" s="341"/>
      <c r="F1602" s="343"/>
      <c r="G1602" s="343"/>
      <c r="H1602" s="343"/>
      <c r="I1602" s="343"/>
      <c r="J1602" s="343"/>
      <c r="K1602" s="343"/>
      <c r="L1602" s="343"/>
    </row>
    <row r="1603" spans="2:12" x14ac:dyDescent="0.2">
      <c r="B1603" s="144"/>
      <c r="D1603" s="341"/>
      <c r="F1603" s="343"/>
      <c r="G1603" s="343"/>
      <c r="H1603" s="343"/>
      <c r="I1603" s="343"/>
      <c r="J1603" s="343"/>
      <c r="K1603" s="343"/>
      <c r="L1603" s="343"/>
    </row>
    <row r="1604" spans="2:12" x14ac:dyDescent="0.2">
      <c r="B1604" s="144"/>
      <c r="D1604" s="341"/>
      <c r="F1604" s="343"/>
      <c r="G1604" s="343"/>
      <c r="H1604" s="343"/>
      <c r="I1604" s="343"/>
      <c r="J1604" s="343"/>
      <c r="K1604" s="343"/>
      <c r="L1604" s="343"/>
    </row>
    <row r="1605" spans="2:12" x14ac:dyDescent="0.2">
      <c r="B1605" s="144"/>
      <c r="D1605" s="341"/>
      <c r="F1605" s="343"/>
      <c r="G1605" s="343"/>
      <c r="H1605" s="343"/>
      <c r="I1605" s="343"/>
      <c r="J1605" s="343"/>
      <c r="K1605" s="343"/>
      <c r="L1605" s="343"/>
    </row>
    <row r="1606" spans="2:12" x14ac:dyDescent="0.2">
      <c r="B1606" s="144"/>
      <c r="D1606" s="341"/>
      <c r="F1606" s="343"/>
      <c r="G1606" s="343"/>
      <c r="H1606" s="343"/>
      <c r="I1606" s="343"/>
      <c r="J1606" s="343"/>
      <c r="K1606" s="343"/>
      <c r="L1606" s="343"/>
    </row>
    <row r="1607" spans="2:12" x14ac:dyDescent="0.2">
      <c r="B1607" s="144"/>
      <c r="D1607" s="341"/>
      <c r="F1607" s="343"/>
      <c r="G1607" s="343"/>
      <c r="H1607" s="343"/>
      <c r="I1607" s="343"/>
      <c r="J1607" s="343"/>
      <c r="K1607" s="343"/>
      <c r="L1607" s="343"/>
    </row>
    <row r="1608" spans="2:12" x14ac:dyDescent="0.2">
      <c r="B1608" s="144"/>
      <c r="D1608" s="341"/>
      <c r="F1608" s="343"/>
      <c r="G1608" s="343"/>
      <c r="H1608" s="343"/>
      <c r="I1608" s="343"/>
      <c r="J1608" s="343"/>
      <c r="K1608" s="343"/>
      <c r="L1608" s="343"/>
    </row>
    <row r="1609" spans="2:12" x14ac:dyDescent="0.2">
      <c r="B1609" s="144"/>
      <c r="D1609" s="341"/>
      <c r="F1609" s="343"/>
      <c r="G1609" s="343"/>
      <c r="H1609" s="343"/>
      <c r="I1609" s="343"/>
      <c r="J1609" s="343"/>
      <c r="K1609" s="343"/>
      <c r="L1609" s="343"/>
    </row>
    <row r="1610" spans="2:12" x14ac:dyDescent="0.2">
      <c r="B1610" s="144"/>
      <c r="D1610" s="341"/>
      <c r="F1610" s="343"/>
      <c r="G1610" s="343"/>
      <c r="H1610" s="343"/>
      <c r="I1610" s="343"/>
      <c r="J1610" s="343"/>
      <c r="K1610" s="343"/>
      <c r="L1610" s="343"/>
    </row>
    <row r="1611" spans="2:12" x14ac:dyDescent="0.2">
      <c r="B1611" s="144"/>
      <c r="D1611" s="341"/>
      <c r="F1611" s="343"/>
      <c r="G1611" s="343"/>
      <c r="H1611" s="343"/>
      <c r="I1611" s="343"/>
      <c r="J1611" s="343"/>
      <c r="K1611" s="343"/>
      <c r="L1611" s="343"/>
    </row>
    <row r="1612" spans="2:12" x14ac:dyDescent="0.2">
      <c r="B1612" s="144"/>
      <c r="D1612" s="341"/>
      <c r="F1612" s="343"/>
      <c r="G1612" s="343"/>
      <c r="H1612" s="343"/>
      <c r="I1612" s="343"/>
      <c r="J1612" s="343"/>
      <c r="K1612" s="343"/>
      <c r="L1612" s="343"/>
    </row>
    <row r="1613" spans="2:12" x14ac:dyDescent="0.2">
      <c r="B1613" s="144"/>
      <c r="D1613" s="341"/>
      <c r="F1613" s="343"/>
      <c r="G1613" s="343"/>
      <c r="H1613" s="343"/>
      <c r="I1613" s="343"/>
      <c r="J1613" s="343"/>
      <c r="K1613" s="343"/>
      <c r="L1613" s="343"/>
    </row>
    <row r="1614" spans="2:12" x14ac:dyDescent="0.2">
      <c r="B1614" s="144"/>
      <c r="D1614" s="341"/>
      <c r="F1614" s="343"/>
      <c r="G1614" s="343"/>
      <c r="H1614" s="343"/>
      <c r="I1614" s="343"/>
      <c r="J1614" s="343"/>
      <c r="K1614" s="343"/>
      <c r="L1614" s="343"/>
    </row>
    <row r="1615" spans="2:12" x14ac:dyDescent="0.2">
      <c r="B1615" s="144"/>
      <c r="D1615" s="341"/>
      <c r="F1615" s="343"/>
      <c r="G1615" s="343"/>
      <c r="H1615" s="343"/>
      <c r="I1615" s="343"/>
      <c r="J1615" s="343"/>
      <c r="K1615" s="343"/>
      <c r="L1615" s="343"/>
    </row>
    <row r="1616" spans="2:12" x14ac:dyDescent="0.2">
      <c r="B1616" s="144"/>
      <c r="D1616" s="341"/>
      <c r="F1616" s="343"/>
      <c r="G1616" s="343"/>
      <c r="H1616" s="343"/>
      <c r="I1616" s="343"/>
      <c r="J1616" s="343"/>
      <c r="K1616" s="343"/>
      <c r="L1616" s="343"/>
    </row>
    <row r="1617" spans="2:12" x14ac:dyDescent="0.2">
      <c r="B1617" s="144"/>
      <c r="D1617" s="341"/>
      <c r="F1617" s="343"/>
      <c r="G1617" s="343"/>
      <c r="H1617" s="343"/>
      <c r="I1617" s="343"/>
      <c r="J1617" s="343"/>
      <c r="K1617" s="343"/>
      <c r="L1617" s="343"/>
    </row>
    <row r="1618" spans="2:12" x14ac:dyDescent="0.2">
      <c r="B1618" s="144"/>
      <c r="D1618" s="341"/>
      <c r="F1618" s="343"/>
      <c r="G1618" s="343"/>
      <c r="H1618" s="343"/>
      <c r="I1618" s="343"/>
      <c r="J1618" s="343"/>
      <c r="K1618" s="343"/>
      <c r="L1618" s="343"/>
    </row>
    <row r="1619" spans="2:12" x14ac:dyDescent="0.2">
      <c r="B1619" s="144"/>
      <c r="D1619" s="341"/>
      <c r="F1619" s="343"/>
      <c r="G1619" s="343"/>
      <c r="H1619" s="343"/>
      <c r="I1619" s="343"/>
      <c r="J1619" s="343"/>
      <c r="K1619" s="343"/>
      <c r="L1619" s="343"/>
    </row>
    <row r="1620" spans="2:12" x14ac:dyDescent="0.2">
      <c r="B1620" s="144"/>
      <c r="D1620" s="341"/>
      <c r="F1620" s="343"/>
      <c r="G1620" s="343"/>
      <c r="H1620" s="343"/>
      <c r="I1620" s="343"/>
      <c r="J1620" s="343"/>
      <c r="K1620" s="343"/>
      <c r="L1620" s="343"/>
    </row>
    <row r="1621" spans="2:12" x14ac:dyDescent="0.2">
      <c r="B1621" s="144"/>
      <c r="D1621" s="341"/>
      <c r="F1621" s="343"/>
      <c r="G1621" s="343"/>
      <c r="H1621" s="343"/>
      <c r="I1621" s="343"/>
      <c r="J1621" s="343"/>
      <c r="K1621" s="343"/>
      <c r="L1621" s="343"/>
    </row>
    <row r="1622" spans="2:12" x14ac:dyDescent="0.2">
      <c r="B1622" s="144"/>
      <c r="D1622" s="341"/>
      <c r="F1622" s="343"/>
      <c r="G1622" s="343"/>
      <c r="H1622" s="343"/>
      <c r="I1622" s="343"/>
      <c r="J1622" s="343"/>
      <c r="K1622" s="343"/>
      <c r="L1622" s="343"/>
    </row>
    <row r="1623" spans="2:12" x14ac:dyDescent="0.2">
      <c r="B1623" s="144"/>
      <c r="D1623" s="341"/>
      <c r="F1623" s="343"/>
      <c r="G1623" s="343"/>
      <c r="H1623" s="343"/>
      <c r="I1623" s="343"/>
      <c r="J1623" s="343"/>
      <c r="K1623" s="343"/>
      <c r="L1623" s="343"/>
    </row>
    <row r="1624" spans="2:12" x14ac:dyDescent="0.2">
      <c r="B1624" s="144"/>
      <c r="D1624" s="341"/>
      <c r="F1624" s="343"/>
      <c r="G1624" s="343"/>
      <c r="H1624" s="343"/>
      <c r="I1624" s="343"/>
      <c r="J1624" s="343"/>
      <c r="K1624" s="343"/>
      <c r="L1624" s="343"/>
    </row>
    <row r="1625" spans="2:12" x14ac:dyDescent="0.2">
      <c r="B1625" s="144"/>
      <c r="D1625" s="341"/>
      <c r="F1625" s="343"/>
      <c r="G1625" s="343"/>
      <c r="H1625" s="343"/>
      <c r="I1625" s="343"/>
      <c r="J1625" s="343"/>
      <c r="K1625" s="343"/>
      <c r="L1625" s="343"/>
    </row>
    <row r="1626" spans="2:12" x14ac:dyDescent="0.2">
      <c r="B1626" s="144"/>
      <c r="D1626" s="341"/>
      <c r="F1626" s="343"/>
      <c r="G1626" s="343"/>
      <c r="H1626" s="343"/>
      <c r="I1626" s="343"/>
      <c r="J1626" s="343"/>
      <c r="K1626" s="343"/>
      <c r="L1626" s="343"/>
    </row>
    <row r="1627" spans="2:12" x14ac:dyDescent="0.2">
      <c r="B1627" s="144"/>
      <c r="D1627" s="341"/>
      <c r="F1627" s="343"/>
      <c r="G1627" s="343"/>
      <c r="H1627" s="343"/>
      <c r="I1627" s="343"/>
      <c r="J1627" s="343"/>
      <c r="K1627" s="343"/>
      <c r="L1627" s="343"/>
    </row>
    <row r="1628" spans="2:12" x14ac:dyDescent="0.2">
      <c r="B1628" s="144"/>
      <c r="D1628" s="341"/>
      <c r="F1628" s="343"/>
      <c r="G1628" s="343"/>
      <c r="H1628" s="343"/>
      <c r="I1628" s="343"/>
      <c r="J1628" s="343"/>
      <c r="K1628" s="343"/>
      <c r="L1628" s="343"/>
    </row>
    <row r="1629" spans="2:12" x14ac:dyDescent="0.2">
      <c r="B1629" s="144"/>
      <c r="D1629" s="341"/>
      <c r="F1629" s="343"/>
      <c r="G1629" s="343"/>
      <c r="H1629" s="343"/>
      <c r="I1629" s="343"/>
      <c r="J1629" s="343"/>
      <c r="K1629" s="343"/>
      <c r="L1629" s="343"/>
    </row>
    <row r="1630" spans="2:12" x14ac:dyDescent="0.2">
      <c r="B1630" s="144"/>
      <c r="D1630" s="341"/>
      <c r="F1630" s="343"/>
      <c r="G1630" s="343"/>
      <c r="H1630" s="343"/>
      <c r="I1630" s="343"/>
      <c r="J1630" s="343"/>
      <c r="K1630" s="343"/>
      <c r="L1630" s="343"/>
    </row>
    <row r="1631" spans="2:12" x14ac:dyDescent="0.2">
      <c r="B1631" s="144"/>
      <c r="D1631" s="341"/>
      <c r="F1631" s="343"/>
      <c r="G1631" s="343"/>
      <c r="H1631" s="343"/>
      <c r="I1631" s="343"/>
      <c r="J1631" s="343"/>
      <c r="K1631" s="343"/>
      <c r="L1631" s="343"/>
    </row>
    <row r="1632" spans="2:12" x14ac:dyDescent="0.2">
      <c r="B1632" s="144"/>
      <c r="D1632" s="341"/>
      <c r="F1632" s="343"/>
      <c r="G1632" s="343"/>
      <c r="H1632" s="343"/>
      <c r="I1632" s="343"/>
      <c r="J1632" s="343"/>
      <c r="K1632" s="343"/>
      <c r="L1632" s="343"/>
    </row>
    <row r="1633" spans="2:12" x14ac:dyDescent="0.2">
      <c r="B1633" s="144"/>
      <c r="D1633" s="341"/>
      <c r="F1633" s="343"/>
      <c r="G1633" s="343"/>
      <c r="H1633" s="343"/>
      <c r="I1633" s="343"/>
      <c r="J1633" s="343"/>
      <c r="K1633" s="343"/>
      <c r="L1633" s="343"/>
    </row>
    <row r="1634" spans="2:12" x14ac:dyDescent="0.2">
      <c r="B1634" s="144"/>
      <c r="D1634" s="341"/>
      <c r="F1634" s="343"/>
      <c r="G1634" s="343"/>
      <c r="H1634" s="343"/>
      <c r="I1634" s="343"/>
      <c r="J1634" s="343"/>
      <c r="K1634" s="343"/>
      <c r="L1634" s="343"/>
    </row>
    <row r="1635" spans="2:12" x14ac:dyDescent="0.2">
      <c r="B1635" s="144"/>
      <c r="D1635" s="341"/>
      <c r="F1635" s="343"/>
      <c r="G1635" s="343"/>
      <c r="H1635" s="343"/>
      <c r="I1635" s="343"/>
      <c r="J1635" s="343"/>
      <c r="K1635" s="343"/>
      <c r="L1635" s="343"/>
    </row>
    <row r="1636" spans="2:12" x14ac:dyDescent="0.2">
      <c r="B1636" s="144"/>
      <c r="D1636" s="341"/>
      <c r="F1636" s="343"/>
      <c r="G1636" s="343"/>
      <c r="H1636" s="343"/>
      <c r="I1636" s="343"/>
      <c r="J1636" s="343"/>
      <c r="K1636" s="343"/>
      <c r="L1636" s="343"/>
    </row>
    <row r="1637" spans="2:12" x14ac:dyDescent="0.2">
      <c r="B1637" s="144"/>
      <c r="D1637" s="341"/>
      <c r="F1637" s="343"/>
      <c r="G1637" s="343"/>
      <c r="H1637" s="343"/>
      <c r="I1637" s="343"/>
      <c r="J1637" s="343"/>
      <c r="K1637" s="343"/>
      <c r="L1637" s="343"/>
    </row>
    <row r="1638" spans="2:12" x14ac:dyDescent="0.2">
      <c r="B1638" s="144"/>
      <c r="D1638" s="341"/>
      <c r="F1638" s="343"/>
      <c r="G1638" s="343"/>
      <c r="H1638" s="343"/>
      <c r="I1638" s="343"/>
      <c r="J1638" s="343"/>
      <c r="K1638" s="343"/>
      <c r="L1638" s="343"/>
    </row>
    <row r="1639" spans="2:12" x14ac:dyDescent="0.2">
      <c r="B1639" s="144"/>
      <c r="D1639" s="341"/>
      <c r="F1639" s="343"/>
      <c r="G1639" s="343"/>
      <c r="H1639" s="343"/>
      <c r="I1639" s="343"/>
      <c r="J1639" s="343"/>
      <c r="K1639" s="343"/>
      <c r="L1639" s="343"/>
    </row>
    <row r="1640" spans="2:12" x14ac:dyDescent="0.2">
      <c r="B1640" s="144"/>
      <c r="D1640" s="341"/>
      <c r="F1640" s="343"/>
      <c r="G1640" s="343"/>
      <c r="H1640" s="343"/>
      <c r="I1640" s="343"/>
      <c r="J1640" s="343"/>
      <c r="K1640" s="343"/>
      <c r="L1640" s="343"/>
    </row>
    <row r="1641" spans="2:12" x14ac:dyDescent="0.2">
      <c r="B1641" s="144"/>
      <c r="D1641" s="341"/>
      <c r="F1641" s="343"/>
      <c r="G1641" s="343"/>
      <c r="H1641" s="343"/>
      <c r="I1641" s="343"/>
      <c r="J1641" s="343"/>
      <c r="K1641" s="343"/>
      <c r="L1641" s="343"/>
    </row>
    <row r="1642" spans="2:12" x14ac:dyDescent="0.2">
      <c r="B1642" s="144"/>
      <c r="D1642" s="341"/>
      <c r="F1642" s="343"/>
      <c r="G1642" s="343"/>
      <c r="H1642" s="343"/>
      <c r="I1642" s="343"/>
      <c r="J1642" s="343"/>
      <c r="K1642" s="343"/>
      <c r="L1642" s="343"/>
    </row>
    <row r="1643" spans="2:12" x14ac:dyDescent="0.2">
      <c r="B1643" s="144"/>
      <c r="D1643" s="341"/>
      <c r="F1643" s="343"/>
      <c r="G1643" s="343"/>
      <c r="H1643" s="343"/>
      <c r="I1643" s="343"/>
      <c r="J1643" s="343"/>
      <c r="K1643" s="343"/>
      <c r="L1643" s="343"/>
    </row>
    <row r="1644" spans="2:12" x14ac:dyDescent="0.2">
      <c r="B1644" s="144"/>
      <c r="D1644" s="341"/>
      <c r="F1644" s="343"/>
      <c r="G1644" s="343"/>
      <c r="H1644" s="343"/>
      <c r="I1644" s="343"/>
      <c r="J1644" s="343"/>
      <c r="K1644" s="343"/>
      <c r="L1644" s="343"/>
    </row>
    <row r="1645" spans="2:12" x14ac:dyDescent="0.2">
      <c r="B1645" s="144"/>
      <c r="D1645" s="341"/>
      <c r="F1645" s="343"/>
      <c r="G1645" s="343"/>
      <c r="H1645" s="343"/>
      <c r="I1645" s="343"/>
      <c r="J1645" s="343"/>
      <c r="K1645" s="343"/>
      <c r="L1645" s="343"/>
    </row>
    <row r="1646" spans="2:12" x14ac:dyDescent="0.2">
      <c r="B1646" s="144"/>
      <c r="D1646" s="341"/>
      <c r="F1646" s="343"/>
      <c r="G1646" s="343"/>
      <c r="H1646" s="343"/>
      <c r="I1646" s="343"/>
      <c r="J1646" s="343"/>
      <c r="K1646" s="343"/>
      <c r="L1646" s="343"/>
    </row>
    <row r="1647" spans="2:12" x14ac:dyDescent="0.2">
      <c r="B1647" s="144"/>
      <c r="D1647" s="341"/>
      <c r="F1647" s="343"/>
      <c r="G1647" s="343"/>
      <c r="H1647" s="343"/>
      <c r="I1647" s="343"/>
      <c r="J1647" s="343"/>
      <c r="K1647" s="343"/>
      <c r="L1647" s="343"/>
    </row>
    <row r="1648" spans="2:12" x14ac:dyDescent="0.2">
      <c r="B1648" s="144"/>
      <c r="D1648" s="341"/>
      <c r="F1648" s="343"/>
      <c r="G1648" s="343"/>
      <c r="H1648" s="343"/>
      <c r="I1648" s="343"/>
      <c r="J1648" s="343"/>
      <c r="K1648" s="343"/>
      <c r="L1648" s="343"/>
    </row>
    <row r="1649" spans="2:12" x14ac:dyDescent="0.2">
      <c r="B1649" s="144"/>
      <c r="D1649" s="341"/>
      <c r="F1649" s="343"/>
      <c r="G1649" s="343"/>
      <c r="H1649" s="343"/>
      <c r="I1649" s="343"/>
      <c r="J1649" s="343"/>
      <c r="K1649" s="343"/>
      <c r="L1649" s="343"/>
    </row>
    <row r="1650" spans="2:12" x14ac:dyDescent="0.2">
      <c r="B1650" s="144"/>
      <c r="D1650" s="341"/>
      <c r="F1650" s="343"/>
      <c r="G1650" s="343"/>
      <c r="H1650" s="343"/>
      <c r="I1650" s="343"/>
      <c r="J1650" s="343"/>
      <c r="K1650" s="343"/>
      <c r="L1650" s="343"/>
    </row>
    <row r="1651" spans="2:12" x14ac:dyDescent="0.2">
      <c r="B1651" s="144"/>
      <c r="D1651" s="341"/>
      <c r="F1651" s="343"/>
      <c r="G1651" s="343"/>
      <c r="H1651" s="343"/>
      <c r="I1651" s="343"/>
      <c r="J1651" s="343"/>
      <c r="K1651" s="343"/>
      <c r="L1651" s="343"/>
    </row>
    <row r="1652" spans="2:12" x14ac:dyDescent="0.2">
      <c r="B1652" s="144"/>
      <c r="D1652" s="341"/>
      <c r="F1652" s="343"/>
      <c r="G1652" s="343"/>
      <c r="H1652" s="343"/>
      <c r="I1652" s="343"/>
      <c r="J1652" s="343"/>
      <c r="K1652" s="343"/>
      <c r="L1652" s="343"/>
    </row>
    <row r="1653" spans="2:12" x14ac:dyDescent="0.2">
      <c r="B1653" s="144"/>
      <c r="D1653" s="341"/>
      <c r="F1653" s="343"/>
      <c r="G1653" s="343"/>
      <c r="H1653" s="343"/>
      <c r="I1653" s="343"/>
      <c r="J1653" s="343"/>
      <c r="K1653" s="343"/>
      <c r="L1653" s="343"/>
    </row>
    <row r="1654" spans="2:12" x14ac:dyDescent="0.2">
      <c r="B1654" s="144"/>
      <c r="D1654" s="341"/>
      <c r="F1654" s="343"/>
      <c r="G1654" s="343"/>
      <c r="H1654" s="343"/>
      <c r="I1654" s="343"/>
      <c r="J1654" s="343"/>
      <c r="K1654" s="343"/>
      <c r="L1654" s="343"/>
    </row>
    <row r="1655" spans="2:12" x14ac:dyDescent="0.2">
      <c r="B1655" s="144"/>
      <c r="D1655" s="341"/>
      <c r="F1655" s="343"/>
      <c r="G1655" s="343"/>
      <c r="H1655" s="343"/>
      <c r="I1655" s="343"/>
      <c r="J1655" s="343"/>
      <c r="K1655" s="343"/>
      <c r="L1655" s="343"/>
    </row>
    <row r="1656" spans="2:12" x14ac:dyDescent="0.2">
      <c r="B1656" s="144"/>
      <c r="D1656" s="341"/>
      <c r="F1656" s="343"/>
      <c r="G1656" s="343"/>
      <c r="H1656" s="343"/>
      <c r="I1656" s="343"/>
      <c r="J1656" s="343"/>
      <c r="K1656" s="343"/>
      <c r="L1656" s="343"/>
    </row>
    <row r="1657" spans="2:12" x14ac:dyDescent="0.2">
      <c r="B1657" s="144"/>
      <c r="D1657" s="341"/>
      <c r="F1657" s="343"/>
      <c r="G1657" s="343"/>
      <c r="H1657" s="343"/>
      <c r="I1657" s="343"/>
      <c r="J1657" s="343"/>
      <c r="K1657" s="343"/>
      <c r="L1657" s="343"/>
    </row>
    <row r="1658" spans="2:12" x14ac:dyDescent="0.2">
      <c r="B1658" s="144"/>
      <c r="D1658" s="341"/>
      <c r="F1658" s="343"/>
      <c r="G1658" s="343"/>
      <c r="H1658" s="343"/>
      <c r="I1658" s="343"/>
      <c r="J1658" s="343"/>
      <c r="K1658" s="343"/>
      <c r="L1658" s="343"/>
    </row>
    <row r="1659" spans="2:12" x14ac:dyDescent="0.2">
      <c r="B1659" s="144"/>
      <c r="D1659" s="341"/>
      <c r="F1659" s="343"/>
      <c r="G1659" s="343"/>
      <c r="H1659" s="343"/>
      <c r="I1659" s="343"/>
      <c r="J1659" s="343"/>
      <c r="K1659" s="343"/>
      <c r="L1659" s="343"/>
    </row>
    <row r="1660" spans="2:12" x14ac:dyDescent="0.2">
      <c r="B1660" s="144"/>
      <c r="D1660" s="341"/>
      <c r="F1660" s="343"/>
      <c r="G1660" s="343"/>
      <c r="H1660" s="343"/>
      <c r="I1660" s="343"/>
      <c r="J1660" s="343"/>
      <c r="K1660" s="343"/>
      <c r="L1660" s="343"/>
    </row>
    <row r="1661" spans="2:12" x14ac:dyDescent="0.2">
      <c r="B1661" s="144"/>
      <c r="D1661" s="341"/>
      <c r="F1661" s="343"/>
      <c r="G1661" s="343"/>
      <c r="H1661" s="343"/>
      <c r="I1661" s="343"/>
      <c r="J1661" s="343"/>
      <c r="K1661" s="343"/>
      <c r="L1661" s="343"/>
    </row>
    <row r="1662" spans="2:12" x14ac:dyDescent="0.2">
      <c r="B1662" s="144"/>
      <c r="D1662" s="341"/>
      <c r="F1662" s="343"/>
      <c r="G1662" s="343"/>
      <c r="H1662" s="343"/>
      <c r="I1662" s="343"/>
      <c r="J1662" s="343"/>
      <c r="K1662" s="343"/>
      <c r="L1662" s="343"/>
    </row>
    <row r="1663" spans="2:12" x14ac:dyDescent="0.2">
      <c r="B1663" s="144"/>
      <c r="D1663" s="341"/>
      <c r="F1663" s="343"/>
      <c r="G1663" s="343"/>
      <c r="H1663" s="343"/>
      <c r="I1663" s="343"/>
      <c r="J1663" s="343"/>
      <c r="K1663" s="343"/>
      <c r="L1663" s="343"/>
    </row>
    <row r="1664" spans="2:12" x14ac:dyDescent="0.2">
      <c r="B1664" s="144"/>
      <c r="D1664" s="341"/>
      <c r="F1664" s="343"/>
      <c r="G1664" s="343"/>
      <c r="H1664" s="343"/>
      <c r="I1664" s="343"/>
      <c r="J1664" s="343"/>
      <c r="K1664" s="343"/>
      <c r="L1664" s="343"/>
    </row>
    <row r="1665" spans="2:12" x14ac:dyDescent="0.2">
      <c r="B1665" s="144"/>
      <c r="D1665" s="341"/>
      <c r="F1665" s="343"/>
      <c r="G1665" s="343"/>
      <c r="H1665" s="343"/>
      <c r="I1665" s="343"/>
      <c r="J1665" s="343"/>
      <c r="K1665" s="343"/>
      <c r="L1665" s="343"/>
    </row>
    <row r="1666" spans="2:12" x14ac:dyDescent="0.2">
      <c r="B1666" s="144"/>
      <c r="D1666" s="341"/>
      <c r="F1666" s="343"/>
      <c r="G1666" s="343"/>
      <c r="H1666" s="343"/>
      <c r="I1666" s="343"/>
      <c r="J1666" s="343"/>
      <c r="K1666" s="343"/>
      <c r="L1666" s="343"/>
    </row>
    <row r="1667" spans="2:12" x14ac:dyDescent="0.2">
      <c r="B1667" s="144"/>
      <c r="D1667" s="341"/>
      <c r="F1667" s="343"/>
      <c r="G1667" s="343"/>
      <c r="H1667" s="343"/>
      <c r="I1667" s="343"/>
      <c r="J1667" s="343"/>
      <c r="K1667" s="343"/>
      <c r="L1667" s="343"/>
    </row>
    <row r="1668" spans="2:12" x14ac:dyDescent="0.2">
      <c r="B1668" s="144"/>
      <c r="D1668" s="341"/>
      <c r="F1668" s="343"/>
      <c r="G1668" s="343"/>
      <c r="H1668" s="343"/>
      <c r="I1668" s="343"/>
      <c r="J1668" s="343"/>
      <c r="K1668" s="343"/>
      <c r="L1668" s="343"/>
    </row>
    <row r="1669" spans="2:12" x14ac:dyDescent="0.2">
      <c r="B1669" s="144"/>
      <c r="D1669" s="341"/>
      <c r="F1669" s="343"/>
      <c r="G1669" s="343"/>
      <c r="H1669" s="343"/>
      <c r="I1669" s="343"/>
      <c r="J1669" s="343"/>
      <c r="K1669" s="343"/>
      <c r="L1669" s="343"/>
    </row>
    <row r="1670" spans="2:12" x14ac:dyDescent="0.2">
      <c r="B1670" s="144"/>
      <c r="D1670" s="341"/>
      <c r="F1670" s="343"/>
      <c r="G1670" s="343"/>
      <c r="H1670" s="343"/>
      <c r="I1670" s="343"/>
      <c r="J1670" s="343"/>
      <c r="K1670" s="343"/>
      <c r="L1670" s="343"/>
    </row>
    <row r="1671" spans="2:12" x14ac:dyDescent="0.2">
      <c r="B1671" s="144"/>
      <c r="D1671" s="341"/>
      <c r="F1671" s="343"/>
      <c r="G1671" s="343"/>
      <c r="H1671" s="343"/>
      <c r="I1671" s="343"/>
      <c r="J1671" s="343"/>
      <c r="K1671" s="343"/>
      <c r="L1671" s="343"/>
    </row>
    <row r="1672" spans="2:12" x14ac:dyDescent="0.2">
      <c r="B1672" s="144"/>
      <c r="D1672" s="341"/>
      <c r="F1672" s="343"/>
      <c r="G1672" s="343"/>
      <c r="H1672" s="343"/>
      <c r="I1672" s="343"/>
      <c r="J1672" s="343"/>
      <c r="K1672" s="343"/>
      <c r="L1672" s="343"/>
    </row>
    <row r="1673" spans="2:12" x14ac:dyDescent="0.2">
      <c r="B1673" s="144"/>
      <c r="D1673" s="341"/>
      <c r="F1673" s="343"/>
      <c r="G1673" s="343"/>
      <c r="H1673" s="343"/>
      <c r="I1673" s="343"/>
      <c r="J1673" s="343"/>
      <c r="K1673" s="343"/>
      <c r="L1673" s="343"/>
    </row>
    <row r="1674" spans="2:12" x14ac:dyDescent="0.2">
      <c r="B1674" s="144"/>
      <c r="D1674" s="341"/>
      <c r="F1674" s="343"/>
      <c r="G1674" s="343"/>
      <c r="H1674" s="343"/>
      <c r="I1674" s="343"/>
      <c r="J1674" s="343"/>
      <c r="K1674" s="343"/>
      <c r="L1674" s="343"/>
    </row>
    <row r="1675" spans="2:12" x14ac:dyDescent="0.2">
      <c r="B1675" s="144"/>
      <c r="D1675" s="341"/>
      <c r="F1675" s="343"/>
      <c r="G1675" s="343"/>
      <c r="H1675" s="343"/>
      <c r="I1675" s="343"/>
      <c r="J1675" s="343"/>
      <c r="K1675" s="343"/>
      <c r="L1675" s="343"/>
    </row>
    <row r="1676" spans="2:12" x14ac:dyDescent="0.2">
      <c r="B1676" s="144"/>
      <c r="D1676" s="341"/>
      <c r="F1676" s="343"/>
      <c r="G1676" s="343"/>
      <c r="H1676" s="343"/>
      <c r="I1676" s="343"/>
      <c r="J1676" s="343"/>
      <c r="K1676" s="343"/>
      <c r="L1676" s="343"/>
    </row>
    <row r="1677" spans="2:12" x14ac:dyDescent="0.2">
      <c r="B1677" s="144"/>
      <c r="D1677" s="341"/>
      <c r="F1677" s="343"/>
      <c r="G1677" s="343"/>
      <c r="H1677" s="343"/>
      <c r="I1677" s="343"/>
      <c r="J1677" s="343"/>
      <c r="K1677" s="343"/>
      <c r="L1677" s="343"/>
    </row>
    <row r="1678" spans="2:12" x14ac:dyDescent="0.2">
      <c r="B1678" s="144"/>
      <c r="D1678" s="341"/>
      <c r="F1678" s="343"/>
      <c r="G1678" s="343"/>
      <c r="H1678" s="343"/>
      <c r="I1678" s="343"/>
      <c r="J1678" s="343"/>
      <c r="K1678" s="343"/>
      <c r="L1678" s="343"/>
    </row>
    <row r="1679" spans="2:12" x14ac:dyDescent="0.2">
      <c r="B1679" s="144"/>
      <c r="D1679" s="341"/>
      <c r="F1679" s="343"/>
      <c r="G1679" s="343"/>
      <c r="H1679" s="343"/>
      <c r="I1679" s="343"/>
      <c r="J1679" s="343"/>
      <c r="K1679" s="343"/>
      <c r="L1679" s="343"/>
    </row>
    <row r="1680" spans="2:12" x14ac:dyDescent="0.2">
      <c r="B1680" s="144"/>
      <c r="D1680" s="341"/>
      <c r="F1680" s="343"/>
      <c r="G1680" s="343"/>
      <c r="H1680" s="343"/>
      <c r="I1680" s="343"/>
      <c r="J1680" s="343"/>
      <c r="K1680" s="343"/>
      <c r="L1680" s="343"/>
    </row>
    <row r="1681" spans="2:12" x14ac:dyDescent="0.2">
      <c r="B1681" s="144"/>
      <c r="D1681" s="341"/>
      <c r="F1681" s="343"/>
      <c r="G1681" s="343"/>
      <c r="H1681" s="343"/>
      <c r="I1681" s="343"/>
      <c r="J1681" s="343"/>
      <c r="K1681" s="343"/>
      <c r="L1681" s="343"/>
    </row>
    <row r="1682" spans="2:12" x14ac:dyDescent="0.2">
      <c r="B1682" s="144"/>
      <c r="D1682" s="341"/>
      <c r="F1682" s="343"/>
      <c r="G1682" s="343"/>
      <c r="H1682" s="343"/>
      <c r="I1682" s="343"/>
      <c r="J1682" s="343"/>
      <c r="K1682" s="343"/>
      <c r="L1682" s="343"/>
    </row>
    <row r="1683" spans="2:12" x14ac:dyDescent="0.2">
      <c r="B1683" s="144"/>
      <c r="D1683" s="341"/>
      <c r="F1683" s="343"/>
      <c r="G1683" s="343"/>
      <c r="H1683" s="343"/>
      <c r="I1683" s="343"/>
      <c r="J1683" s="343"/>
      <c r="K1683" s="343"/>
      <c r="L1683" s="343"/>
    </row>
    <row r="1684" spans="2:12" x14ac:dyDescent="0.2">
      <c r="B1684" s="144"/>
      <c r="D1684" s="341"/>
      <c r="F1684" s="343"/>
      <c r="G1684" s="343"/>
      <c r="H1684" s="343"/>
      <c r="I1684" s="343"/>
      <c r="J1684" s="343"/>
      <c r="K1684" s="343"/>
      <c r="L1684" s="343"/>
    </row>
    <row r="1685" spans="2:12" x14ac:dyDescent="0.2">
      <c r="B1685" s="144"/>
      <c r="D1685" s="341"/>
      <c r="F1685" s="343"/>
      <c r="G1685" s="343"/>
      <c r="H1685" s="343"/>
      <c r="I1685" s="343"/>
      <c r="J1685" s="343"/>
      <c r="K1685" s="343"/>
      <c r="L1685" s="343"/>
    </row>
    <row r="1686" spans="2:12" x14ac:dyDescent="0.2">
      <c r="B1686" s="144"/>
      <c r="D1686" s="341"/>
      <c r="F1686" s="343"/>
      <c r="G1686" s="343"/>
      <c r="H1686" s="343"/>
      <c r="I1686" s="343"/>
      <c r="J1686" s="343"/>
      <c r="K1686" s="343"/>
      <c r="L1686" s="343"/>
    </row>
    <row r="1687" spans="2:12" x14ac:dyDescent="0.2">
      <c r="B1687" s="144"/>
      <c r="D1687" s="341"/>
      <c r="F1687" s="343"/>
      <c r="G1687" s="343"/>
      <c r="H1687" s="343"/>
      <c r="I1687" s="343"/>
      <c r="J1687" s="343"/>
      <c r="K1687" s="343"/>
      <c r="L1687" s="343"/>
    </row>
    <row r="1688" spans="2:12" x14ac:dyDescent="0.2">
      <c r="B1688" s="144"/>
      <c r="D1688" s="341"/>
      <c r="F1688" s="343"/>
      <c r="G1688" s="343"/>
      <c r="H1688" s="343"/>
      <c r="I1688" s="343"/>
      <c r="J1688" s="343"/>
      <c r="K1688" s="343"/>
      <c r="L1688" s="343"/>
    </row>
    <row r="1689" spans="2:12" x14ac:dyDescent="0.2">
      <c r="B1689" s="144"/>
      <c r="D1689" s="341"/>
      <c r="F1689" s="343"/>
      <c r="G1689" s="343"/>
      <c r="H1689" s="343"/>
      <c r="I1689" s="343"/>
      <c r="J1689" s="343"/>
      <c r="K1689" s="343"/>
      <c r="L1689" s="343"/>
    </row>
    <row r="1690" spans="2:12" x14ac:dyDescent="0.2">
      <c r="B1690" s="144"/>
      <c r="D1690" s="341"/>
      <c r="F1690" s="343"/>
      <c r="G1690" s="343"/>
      <c r="H1690" s="343"/>
      <c r="I1690" s="343"/>
      <c r="J1690" s="343"/>
      <c r="K1690" s="343"/>
      <c r="L1690" s="343"/>
    </row>
    <row r="1691" spans="2:12" x14ac:dyDescent="0.2">
      <c r="B1691" s="144"/>
      <c r="D1691" s="341"/>
      <c r="F1691" s="343"/>
      <c r="G1691" s="343"/>
      <c r="H1691" s="343"/>
      <c r="I1691" s="343"/>
      <c r="J1691" s="343"/>
      <c r="K1691" s="343"/>
      <c r="L1691" s="343"/>
    </row>
    <row r="1692" spans="2:12" x14ac:dyDescent="0.2">
      <c r="B1692" s="144"/>
      <c r="D1692" s="341"/>
      <c r="F1692" s="343"/>
      <c r="G1692" s="343"/>
      <c r="H1692" s="343"/>
      <c r="I1692" s="343"/>
      <c r="J1692" s="343"/>
      <c r="K1692" s="343"/>
      <c r="L1692" s="343"/>
    </row>
    <row r="1693" spans="2:12" x14ac:dyDescent="0.2">
      <c r="B1693" s="144"/>
      <c r="D1693" s="341"/>
      <c r="F1693" s="343"/>
      <c r="G1693" s="343"/>
      <c r="H1693" s="343"/>
      <c r="I1693" s="343"/>
      <c r="J1693" s="343"/>
      <c r="K1693" s="343"/>
      <c r="L1693" s="343"/>
    </row>
    <row r="1694" spans="2:12" x14ac:dyDescent="0.2">
      <c r="B1694" s="144"/>
      <c r="D1694" s="341"/>
      <c r="F1694" s="343"/>
      <c r="G1694" s="343"/>
      <c r="H1694" s="343"/>
      <c r="I1694" s="343"/>
      <c r="J1694" s="343"/>
      <c r="K1694" s="343"/>
      <c r="L1694" s="343"/>
    </row>
    <row r="1695" spans="2:12" x14ac:dyDescent="0.2">
      <c r="B1695" s="144"/>
      <c r="D1695" s="341"/>
      <c r="F1695" s="343"/>
      <c r="G1695" s="343"/>
      <c r="H1695" s="343"/>
      <c r="I1695" s="343"/>
      <c r="J1695" s="343"/>
      <c r="K1695" s="343"/>
      <c r="L1695" s="343"/>
    </row>
    <row r="1696" spans="2:12" x14ac:dyDescent="0.2">
      <c r="B1696" s="144"/>
      <c r="D1696" s="341"/>
      <c r="F1696" s="343"/>
      <c r="G1696" s="343"/>
      <c r="H1696" s="343"/>
      <c r="I1696" s="343"/>
      <c r="J1696" s="343"/>
      <c r="K1696" s="343"/>
      <c r="L1696" s="343"/>
    </row>
    <row r="1697" spans="2:12" x14ac:dyDescent="0.2">
      <c r="B1697" s="144"/>
      <c r="D1697" s="341"/>
      <c r="F1697" s="343"/>
      <c r="G1697" s="343"/>
      <c r="H1697" s="343"/>
      <c r="I1697" s="343"/>
      <c r="J1697" s="343"/>
      <c r="K1697" s="343"/>
      <c r="L1697" s="343"/>
    </row>
    <row r="1698" spans="2:12" x14ac:dyDescent="0.2">
      <c r="B1698" s="144"/>
      <c r="D1698" s="341"/>
      <c r="F1698" s="343"/>
      <c r="G1698" s="343"/>
      <c r="H1698" s="343"/>
      <c r="I1698" s="343"/>
      <c r="J1698" s="343"/>
      <c r="K1698" s="343"/>
      <c r="L1698" s="343"/>
    </row>
    <row r="1699" spans="2:12" x14ac:dyDescent="0.2">
      <c r="B1699" s="144"/>
      <c r="D1699" s="341"/>
      <c r="F1699" s="343"/>
      <c r="G1699" s="343"/>
      <c r="H1699" s="343"/>
      <c r="I1699" s="343"/>
      <c r="J1699" s="343"/>
      <c r="K1699" s="343"/>
      <c r="L1699" s="343"/>
    </row>
    <row r="1700" spans="2:12" x14ac:dyDescent="0.2">
      <c r="B1700" s="144"/>
      <c r="D1700" s="341"/>
      <c r="F1700" s="343"/>
      <c r="G1700" s="343"/>
      <c r="H1700" s="343"/>
      <c r="I1700" s="343"/>
      <c r="J1700" s="343"/>
      <c r="K1700" s="343"/>
      <c r="L1700" s="343"/>
    </row>
    <row r="1701" spans="2:12" x14ac:dyDescent="0.2">
      <c r="B1701" s="144"/>
      <c r="D1701" s="341"/>
      <c r="F1701" s="343"/>
      <c r="G1701" s="343"/>
      <c r="H1701" s="343"/>
      <c r="I1701" s="343"/>
      <c r="J1701" s="343"/>
      <c r="K1701" s="343"/>
      <c r="L1701" s="343"/>
    </row>
    <row r="1702" spans="2:12" x14ac:dyDescent="0.2">
      <c r="B1702" s="144"/>
      <c r="D1702" s="341"/>
      <c r="F1702" s="343"/>
      <c r="G1702" s="343"/>
      <c r="H1702" s="343"/>
      <c r="I1702" s="343"/>
      <c r="J1702" s="343"/>
      <c r="K1702" s="343"/>
      <c r="L1702" s="343"/>
    </row>
    <row r="1703" spans="2:12" x14ac:dyDescent="0.2">
      <c r="B1703" s="144"/>
      <c r="D1703" s="341"/>
      <c r="F1703" s="343"/>
      <c r="G1703" s="343"/>
      <c r="H1703" s="343"/>
      <c r="I1703" s="343"/>
      <c r="J1703" s="343"/>
      <c r="K1703" s="343"/>
      <c r="L1703" s="343"/>
    </row>
    <row r="1704" spans="2:12" x14ac:dyDescent="0.2">
      <c r="B1704" s="144"/>
      <c r="D1704" s="341"/>
      <c r="F1704" s="343"/>
      <c r="G1704" s="343"/>
      <c r="H1704" s="343"/>
      <c r="I1704" s="343"/>
      <c r="J1704" s="343"/>
      <c r="K1704" s="343"/>
      <c r="L1704" s="343"/>
    </row>
    <row r="1705" spans="2:12" x14ac:dyDescent="0.2">
      <c r="B1705" s="144"/>
      <c r="D1705" s="341"/>
      <c r="F1705" s="343"/>
      <c r="G1705" s="343"/>
      <c r="H1705" s="343"/>
      <c r="I1705" s="343"/>
      <c r="J1705" s="343"/>
      <c r="K1705" s="343"/>
      <c r="L1705" s="343"/>
    </row>
    <row r="1706" spans="2:12" x14ac:dyDescent="0.2">
      <c r="B1706" s="144"/>
      <c r="D1706" s="341"/>
      <c r="F1706" s="343"/>
      <c r="G1706" s="343"/>
      <c r="H1706" s="343"/>
      <c r="I1706" s="343"/>
      <c r="J1706" s="343"/>
      <c r="K1706" s="343"/>
      <c r="L1706" s="343"/>
    </row>
    <row r="1707" spans="2:12" x14ac:dyDescent="0.2">
      <c r="B1707" s="144"/>
      <c r="D1707" s="341"/>
      <c r="F1707" s="343"/>
      <c r="G1707" s="343"/>
      <c r="H1707" s="343"/>
      <c r="I1707" s="343"/>
      <c r="J1707" s="343"/>
      <c r="K1707" s="343"/>
      <c r="L1707" s="343"/>
    </row>
    <row r="1708" spans="2:12" x14ac:dyDescent="0.2">
      <c r="B1708" s="144"/>
      <c r="D1708" s="341"/>
      <c r="F1708" s="343"/>
      <c r="G1708" s="343"/>
      <c r="H1708" s="343"/>
      <c r="I1708" s="343"/>
      <c r="J1708" s="343"/>
      <c r="K1708" s="343"/>
      <c r="L1708" s="343"/>
    </row>
    <row r="1709" spans="2:12" x14ac:dyDescent="0.2">
      <c r="B1709" s="144"/>
      <c r="D1709" s="341"/>
      <c r="F1709" s="343"/>
      <c r="G1709" s="343"/>
      <c r="H1709" s="343"/>
      <c r="I1709" s="343"/>
      <c r="J1709" s="343"/>
      <c r="K1709" s="343"/>
      <c r="L1709" s="343"/>
    </row>
    <row r="1710" spans="2:12" x14ac:dyDescent="0.2">
      <c r="B1710" s="144"/>
      <c r="D1710" s="341"/>
      <c r="F1710" s="343"/>
      <c r="G1710" s="343"/>
      <c r="H1710" s="343"/>
      <c r="I1710" s="343"/>
      <c r="J1710" s="343"/>
      <c r="K1710" s="343"/>
      <c r="L1710" s="343"/>
    </row>
    <row r="1711" spans="2:12" x14ac:dyDescent="0.2">
      <c r="B1711" s="144"/>
      <c r="D1711" s="341"/>
      <c r="F1711" s="343"/>
      <c r="G1711" s="343"/>
      <c r="H1711" s="343"/>
      <c r="I1711" s="343"/>
      <c r="J1711" s="343"/>
      <c r="K1711" s="343"/>
      <c r="L1711" s="343"/>
    </row>
    <row r="1712" spans="2:12" x14ac:dyDescent="0.2">
      <c r="B1712" s="144"/>
      <c r="D1712" s="341"/>
      <c r="F1712" s="343"/>
      <c r="G1712" s="343"/>
      <c r="H1712" s="343"/>
      <c r="I1712" s="343"/>
      <c r="J1712" s="343"/>
      <c r="K1712" s="343"/>
      <c r="L1712" s="343"/>
    </row>
    <row r="1713" spans="2:12" x14ac:dyDescent="0.2">
      <c r="B1713" s="144"/>
      <c r="D1713" s="341"/>
      <c r="F1713" s="343"/>
      <c r="G1713" s="343"/>
      <c r="H1713" s="343"/>
      <c r="I1713" s="343"/>
      <c r="J1713" s="343"/>
      <c r="K1713" s="343"/>
      <c r="L1713" s="343"/>
    </row>
    <row r="1714" spans="2:12" x14ac:dyDescent="0.2">
      <c r="B1714" s="144"/>
      <c r="D1714" s="341"/>
      <c r="F1714" s="343"/>
      <c r="G1714" s="343"/>
      <c r="H1714" s="343"/>
      <c r="I1714" s="343"/>
      <c r="J1714" s="343"/>
      <c r="K1714" s="343"/>
      <c r="L1714" s="343"/>
    </row>
    <row r="1715" spans="2:12" x14ac:dyDescent="0.2">
      <c r="B1715" s="144"/>
      <c r="D1715" s="341"/>
      <c r="F1715" s="343"/>
      <c r="G1715" s="343"/>
      <c r="H1715" s="343"/>
      <c r="I1715" s="343"/>
      <c r="J1715" s="343"/>
      <c r="K1715" s="343"/>
      <c r="L1715" s="343"/>
    </row>
    <row r="1716" spans="2:12" x14ac:dyDescent="0.2">
      <c r="B1716" s="144"/>
      <c r="D1716" s="341"/>
      <c r="F1716" s="343"/>
      <c r="G1716" s="343"/>
      <c r="H1716" s="343"/>
      <c r="I1716" s="343"/>
      <c r="J1716" s="343"/>
      <c r="K1716" s="343"/>
      <c r="L1716" s="343"/>
    </row>
    <row r="1717" spans="2:12" x14ac:dyDescent="0.2">
      <c r="B1717" s="144"/>
      <c r="D1717" s="341"/>
      <c r="F1717" s="343"/>
      <c r="G1717" s="343"/>
      <c r="H1717" s="343"/>
      <c r="I1717" s="343"/>
      <c r="J1717" s="343"/>
      <c r="K1717" s="343"/>
      <c r="L1717" s="343"/>
    </row>
    <row r="1718" spans="2:12" x14ac:dyDescent="0.2">
      <c r="B1718" s="144"/>
      <c r="D1718" s="341"/>
      <c r="F1718" s="343"/>
      <c r="G1718" s="343"/>
      <c r="H1718" s="343"/>
      <c r="I1718" s="343"/>
      <c r="J1718" s="343"/>
      <c r="K1718" s="343"/>
      <c r="L1718" s="343"/>
    </row>
    <row r="1719" spans="2:12" x14ac:dyDescent="0.2">
      <c r="B1719" s="144"/>
      <c r="D1719" s="341"/>
      <c r="F1719" s="343"/>
      <c r="G1719" s="343"/>
      <c r="H1719" s="343"/>
      <c r="I1719" s="343"/>
      <c r="J1719" s="343"/>
      <c r="K1719" s="343"/>
      <c r="L1719" s="343"/>
    </row>
    <row r="1720" spans="2:12" x14ac:dyDescent="0.2">
      <c r="B1720" s="144"/>
      <c r="D1720" s="341"/>
      <c r="F1720" s="343"/>
      <c r="G1720" s="343"/>
      <c r="H1720" s="343"/>
      <c r="I1720" s="343"/>
      <c r="J1720" s="343"/>
      <c r="K1720" s="343"/>
      <c r="L1720" s="343"/>
    </row>
    <row r="1721" spans="2:12" x14ac:dyDescent="0.2">
      <c r="B1721" s="144"/>
      <c r="D1721" s="341"/>
      <c r="F1721" s="343"/>
      <c r="G1721" s="343"/>
      <c r="H1721" s="343"/>
      <c r="I1721" s="343"/>
      <c r="J1721" s="343"/>
      <c r="K1721" s="343"/>
      <c r="L1721" s="343"/>
    </row>
    <row r="1722" spans="2:12" x14ac:dyDescent="0.2">
      <c r="B1722" s="144"/>
      <c r="D1722" s="341"/>
      <c r="F1722" s="343"/>
      <c r="G1722" s="343"/>
      <c r="H1722" s="343"/>
      <c r="I1722" s="343"/>
      <c r="J1722" s="343"/>
      <c r="K1722" s="343"/>
      <c r="L1722" s="343"/>
    </row>
    <row r="1723" spans="2:12" x14ac:dyDescent="0.2">
      <c r="B1723" s="144"/>
      <c r="D1723" s="341"/>
      <c r="F1723" s="343"/>
      <c r="G1723" s="343"/>
      <c r="H1723" s="343"/>
      <c r="I1723" s="343"/>
      <c r="J1723" s="343"/>
      <c r="K1723" s="343"/>
      <c r="L1723" s="343"/>
    </row>
    <row r="1724" spans="2:12" x14ac:dyDescent="0.2">
      <c r="B1724" s="144"/>
      <c r="D1724" s="341"/>
      <c r="F1724" s="343"/>
      <c r="G1724" s="343"/>
      <c r="H1724" s="343"/>
      <c r="I1724" s="343"/>
      <c r="J1724" s="343"/>
      <c r="K1724" s="343"/>
      <c r="L1724" s="343"/>
    </row>
    <row r="1725" spans="2:12" x14ac:dyDescent="0.2">
      <c r="B1725" s="144"/>
      <c r="D1725" s="341"/>
      <c r="F1725" s="343"/>
      <c r="G1725" s="343"/>
      <c r="H1725" s="343"/>
      <c r="I1725" s="343"/>
      <c r="J1725" s="343"/>
      <c r="K1725" s="343"/>
      <c r="L1725" s="343"/>
    </row>
    <row r="1726" spans="2:12" x14ac:dyDescent="0.2">
      <c r="B1726" s="144"/>
      <c r="D1726" s="341"/>
      <c r="F1726" s="343"/>
      <c r="G1726" s="343"/>
      <c r="H1726" s="343"/>
      <c r="I1726" s="343"/>
      <c r="J1726" s="343"/>
      <c r="K1726" s="343"/>
      <c r="L1726" s="343"/>
    </row>
    <row r="1727" spans="2:12" x14ac:dyDescent="0.2">
      <c r="B1727" s="144"/>
      <c r="D1727" s="341"/>
      <c r="F1727" s="343"/>
      <c r="G1727" s="343"/>
      <c r="H1727" s="343"/>
      <c r="I1727" s="343"/>
      <c r="J1727" s="343"/>
      <c r="K1727" s="343"/>
      <c r="L1727" s="343"/>
    </row>
    <row r="1728" spans="2:12" x14ac:dyDescent="0.2">
      <c r="B1728" s="144"/>
      <c r="D1728" s="341"/>
      <c r="F1728" s="343"/>
      <c r="G1728" s="343"/>
      <c r="H1728" s="343"/>
      <c r="I1728" s="343"/>
      <c r="J1728" s="343"/>
      <c r="K1728" s="343"/>
      <c r="L1728" s="343"/>
    </row>
    <row r="1729" spans="2:12" x14ac:dyDescent="0.2">
      <c r="B1729" s="144"/>
      <c r="D1729" s="341"/>
      <c r="F1729" s="343"/>
      <c r="G1729" s="343"/>
      <c r="H1729" s="343"/>
      <c r="I1729" s="343"/>
      <c r="J1729" s="343"/>
      <c r="K1729" s="343"/>
      <c r="L1729" s="343"/>
    </row>
    <row r="1730" spans="2:12" x14ac:dyDescent="0.2">
      <c r="B1730" s="144"/>
      <c r="D1730" s="341"/>
      <c r="F1730" s="343"/>
      <c r="G1730" s="343"/>
      <c r="H1730" s="343"/>
      <c r="I1730" s="343"/>
      <c r="J1730" s="343"/>
      <c r="K1730" s="343"/>
      <c r="L1730" s="343"/>
    </row>
    <row r="1731" spans="2:12" x14ac:dyDescent="0.2">
      <c r="B1731" s="144"/>
      <c r="D1731" s="341"/>
      <c r="F1731" s="343"/>
      <c r="G1731" s="343"/>
      <c r="H1731" s="343"/>
      <c r="I1731" s="343"/>
      <c r="J1731" s="343"/>
      <c r="K1731" s="343"/>
      <c r="L1731" s="343"/>
    </row>
    <row r="1732" spans="2:12" x14ac:dyDescent="0.2">
      <c r="B1732" s="144"/>
      <c r="D1732" s="341"/>
      <c r="F1732" s="343"/>
      <c r="G1732" s="343"/>
      <c r="H1732" s="343"/>
      <c r="I1732" s="343"/>
      <c r="J1732" s="343"/>
      <c r="K1732" s="343"/>
      <c r="L1732" s="343"/>
    </row>
    <row r="1733" spans="2:12" x14ac:dyDescent="0.2">
      <c r="B1733" s="144"/>
      <c r="D1733" s="341"/>
      <c r="F1733" s="343"/>
      <c r="G1733" s="343"/>
      <c r="H1733" s="343"/>
      <c r="I1733" s="343"/>
      <c r="J1733" s="343"/>
      <c r="K1733" s="343"/>
      <c r="L1733" s="343"/>
    </row>
    <row r="1734" spans="2:12" x14ac:dyDescent="0.2">
      <c r="B1734" s="144"/>
      <c r="D1734" s="341"/>
      <c r="F1734" s="343"/>
      <c r="G1734" s="343"/>
      <c r="H1734" s="343"/>
      <c r="I1734" s="343"/>
      <c r="J1734" s="343"/>
      <c r="K1734" s="343"/>
      <c r="L1734" s="343"/>
    </row>
    <row r="1735" spans="2:12" x14ac:dyDescent="0.2">
      <c r="B1735" s="144"/>
      <c r="D1735" s="341"/>
      <c r="F1735" s="343"/>
      <c r="G1735" s="343"/>
      <c r="H1735" s="343"/>
      <c r="I1735" s="343"/>
      <c r="J1735" s="343"/>
      <c r="K1735" s="343"/>
      <c r="L1735" s="343"/>
    </row>
    <row r="1736" spans="2:12" x14ac:dyDescent="0.2">
      <c r="B1736" s="144"/>
      <c r="D1736" s="341"/>
      <c r="F1736" s="343"/>
      <c r="G1736" s="343"/>
      <c r="H1736" s="343"/>
      <c r="I1736" s="343"/>
      <c r="J1736" s="343"/>
      <c r="K1736" s="343"/>
      <c r="L1736" s="343"/>
    </row>
    <row r="1737" spans="2:12" x14ac:dyDescent="0.2">
      <c r="B1737" s="144"/>
      <c r="D1737" s="341"/>
      <c r="F1737" s="343"/>
      <c r="G1737" s="343"/>
      <c r="H1737" s="343"/>
      <c r="I1737" s="343"/>
      <c r="J1737" s="343"/>
      <c r="K1737" s="343"/>
      <c r="L1737" s="343"/>
    </row>
    <row r="1738" spans="2:12" x14ac:dyDescent="0.2">
      <c r="B1738" s="144"/>
      <c r="D1738" s="341"/>
      <c r="F1738" s="343"/>
      <c r="G1738" s="343"/>
      <c r="H1738" s="343"/>
      <c r="I1738" s="343"/>
      <c r="J1738" s="343"/>
      <c r="K1738" s="343"/>
      <c r="L1738" s="343"/>
    </row>
    <row r="1739" spans="2:12" x14ac:dyDescent="0.2">
      <c r="B1739" s="144"/>
      <c r="D1739" s="341"/>
      <c r="F1739" s="343"/>
      <c r="G1739" s="343"/>
      <c r="H1739" s="343"/>
      <c r="I1739" s="343"/>
      <c r="J1739" s="343"/>
      <c r="K1739" s="343"/>
      <c r="L1739" s="343"/>
    </row>
    <row r="1740" spans="2:12" x14ac:dyDescent="0.2">
      <c r="B1740" s="144"/>
      <c r="D1740" s="341"/>
      <c r="F1740" s="343"/>
      <c r="G1740" s="343"/>
      <c r="H1740" s="343"/>
      <c r="I1740" s="343"/>
      <c r="J1740" s="343"/>
      <c r="K1740" s="343"/>
      <c r="L1740" s="343"/>
    </row>
    <row r="1741" spans="2:12" x14ac:dyDescent="0.2">
      <c r="B1741" s="144"/>
      <c r="D1741" s="341"/>
      <c r="F1741" s="343"/>
      <c r="G1741" s="343"/>
      <c r="H1741" s="343"/>
      <c r="I1741" s="343"/>
      <c r="J1741" s="343"/>
      <c r="K1741" s="343"/>
      <c r="L1741" s="343"/>
    </row>
    <row r="1742" spans="2:12" x14ac:dyDescent="0.2">
      <c r="B1742" s="144"/>
      <c r="D1742" s="341"/>
      <c r="F1742" s="343"/>
      <c r="G1742" s="343"/>
      <c r="H1742" s="343"/>
      <c r="I1742" s="343"/>
      <c r="J1742" s="343"/>
      <c r="K1742" s="343"/>
      <c r="L1742" s="343"/>
    </row>
    <row r="1743" spans="2:12" x14ac:dyDescent="0.2">
      <c r="B1743" s="144"/>
      <c r="D1743" s="341"/>
      <c r="F1743" s="343"/>
      <c r="G1743" s="343"/>
      <c r="H1743" s="343"/>
      <c r="I1743" s="343"/>
      <c r="J1743" s="343"/>
      <c r="K1743" s="343"/>
      <c r="L1743" s="343"/>
    </row>
    <row r="1744" spans="2:12" x14ac:dyDescent="0.2">
      <c r="B1744" s="144"/>
      <c r="D1744" s="341"/>
      <c r="F1744" s="343"/>
      <c r="G1744" s="343"/>
      <c r="H1744" s="343"/>
      <c r="I1744" s="343"/>
      <c r="J1744" s="343"/>
      <c r="K1744" s="343"/>
      <c r="L1744" s="343"/>
    </row>
    <row r="1745" spans="2:12" x14ac:dyDescent="0.2">
      <c r="B1745" s="144"/>
      <c r="D1745" s="341"/>
      <c r="F1745" s="343"/>
      <c r="G1745" s="343"/>
      <c r="H1745" s="343"/>
      <c r="I1745" s="343"/>
      <c r="J1745" s="343"/>
      <c r="K1745" s="343"/>
      <c r="L1745" s="343"/>
    </row>
    <row r="1746" spans="2:12" x14ac:dyDescent="0.2">
      <c r="B1746" s="144"/>
      <c r="D1746" s="341"/>
      <c r="F1746" s="343"/>
      <c r="G1746" s="343"/>
      <c r="H1746" s="343"/>
      <c r="I1746" s="343"/>
      <c r="J1746" s="343"/>
      <c r="K1746" s="343"/>
      <c r="L1746" s="343"/>
    </row>
    <row r="1747" spans="2:12" x14ac:dyDescent="0.2">
      <c r="B1747" s="144"/>
      <c r="D1747" s="341"/>
      <c r="F1747" s="343"/>
      <c r="G1747" s="343"/>
      <c r="H1747" s="343"/>
      <c r="I1747" s="343"/>
      <c r="J1747" s="343"/>
      <c r="K1747" s="343"/>
      <c r="L1747" s="343"/>
    </row>
    <row r="1748" spans="2:12" x14ac:dyDescent="0.2">
      <c r="B1748" s="144"/>
      <c r="D1748" s="341"/>
      <c r="F1748" s="343"/>
      <c r="G1748" s="343"/>
      <c r="H1748" s="343"/>
      <c r="I1748" s="343"/>
      <c r="J1748" s="343"/>
      <c r="K1748" s="343"/>
      <c r="L1748" s="343"/>
    </row>
    <row r="1749" spans="2:12" x14ac:dyDescent="0.2">
      <c r="B1749" s="144"/>
      <c r="D1749" s="341"/>
      <c r="F1749" s="343"/>
      <c r="G1749" s="343"/>
      <c r="H1749" s="343"/>
      <c r="I1749" s="343"/>
      <c r="J1749" s="343"/>
      <c r="K1749" s="343"/>
      <c r="L1749" s="343"/>
    </row>
    <row r="1750" spans="2:12" x14ac:dyDescent="0.2">
      <c r="B1750" s="144"/>
      <c r="D1750" s="341"/>
      <c r="F1750" s="343"/>
      <c r="G1750" s="343"/>
      <c r="H1750" s="343"/>
      <c r="I1750" s="343"/>
      <c r="J1750" s="343"/>
      <c r="K1750" s="343"/>
      <c r="L1750" s="343"/>
    </row>
    <row r="1751" spans="2:12" x14ac:dyDescent="0.2">
      <c r="B1751" s="144"/>
      <c r="D1751" s="341"/>
      <c r="F1751" s="343"/>
      <c r="G1751" s="343"/>
      <c r="H1751" s="343"/>
      <c r="I1751" s="343"/>
      <c r="J1751" s="343"/>
      <c r="K1751" s="343"/>
      <c r="L1751" s="343"/>
    </row>
    <row r="1752" spans="2:12" x14ac:dyDescent="0.2">
      <c r="B1752" s="144"/>
      <c r="D1752" s="341"/>
      <c r="F1752" s="343"/>
      <c r="G1752" s="343"/>
      <c r="H1752" s="343"/>
      <c r="I1752" s="343"/>
      <c r="J1752" s="343"/>
      <c r="K1752" s="343"/>
      <c r="L1752" s="343"/>
    </row>
    <row r="1753" spans="2:12" x14ac:dyDescent="0.2">
      <c r="B1753" s="144"/>
      <c r="D1753" s="341"/>
      <c r="F1753" s="343"/>
      <c r="G1753" s="343"/>
      <c r="H1753" s="343"/>
      <c r="I1753" s="343"/>
      <c r="J1753" s="343"/>
      <c r="K1753" s="343"/>
      <c r="L1753" s="343"/>
    </row>
    <row r="1754" spans="2:12" x14ac:dyDescent="0.2">
      <c r="B1754" s="144"/>
      <c r="D1754" s="341"/>
      <c r="F1754" s="343"/>
      <c r="G1754" s="343"/>
      <c r="H1754" s="343"/>
      <c r="I1754" s="343"/>
      <c r="J1754" s="343"/>
      <c r="K1754" s="343"/>
      <c r="L1754" s="343"/>
    </row>
    <row r="1755" spans="2:12" x14ac:dyDescent="0.2">
      <c r="B1755" s="144"/>
      <c r="D1755" s="341"/>
      <c r="F1755" s="343"/>
      <c r="G1755" s="343"/>
      <c r="H1755" s="343"/>
      <c r="I1755" s="343"/>
      <c r="J1755" s="343"/>
      <c r="K1755" s="343"/>
      <c r="L1755" s="343"/>
    </row>
    <row r="1756" spans="2:12" x14ac:dyDescent="0.2">
      <c r="B1756" s="144"/>
      <c r="D1756" s="341"/>
      <c r="F1756" s="343"/>
      <c r="G1756" s="343"/>
      <c r="H1756" s="343"/>
      <c r="I1756" s="343"/>
      <c r="J1756" s="343"/>
      <c r="K1756" s="343"/>
      <c r="L1756" s="343"/>
    </row>
    <row r="1757" spans="2:12" x14ac:dyDescent="0.2">
      <c r="B1757" s="144"/>
      <c r="D1757" s="341"/>
      <c r="F1757" s="343"/>
      <c r="G1757" s="343"/>
      <c r="H1757" s="343"/>
      <c r="I1757" s="343"/>
      <c r="J1757" s="343"/>
      <c r="K1757" s="343"/>
      <c r="L1757" s="343"/>
    </row>
    <row r="1758" spans="2:12" x14ac:dyDescent="0.2">
      <c r="B1758" s="144"/>
      <c r="D1758" s="341"/>
      <c r="F1758" s="343"/>
      <c r="G1758" s="343"/>
      <c r="H1758" s="343"/>
      <c r="I1758" s="343"/>
      <c r="J1758" s="343"/>
      <c r="K1758" s="343"/>
      <c r="L1758" s="343"/>
    </row>
    <row r="1759" spans="2:12" x14ac:dyDescent="0.2">
      <c r="B1759" s="144"/>
      <c r="D1759" s="341"/>
      <c r="F1759" s="343"/>
      <c r="G1759" s="343"/>
      <c r="H1759" s="343"/>
      <c r="I1759" s="343"/>
      <c r="J1759" s="343"/>
      <c r="K1759" s="343"/>
      <c r="L1759" s="343"/>
    </row>
    <row r="1760" spans="2:12" x14ac:dyDescent="0.2">
      <c r="B1760" s="144"/>
      <c r="D1760" s="341"/>
      <c r="F1760" s="343"/>
      <c r="G1760" s="343"/>
      <c r="H1760" s="343"/>
      <c r="I1760" s="343"/>
      <c r="J1760" s="343"/>
      <c r="K1760" s="343"/>
      <c r="L1760" s="343"/>
    </row>
    <row r="1761" spans="2:12" x14ac:dyDescent="0.2">
      <c r="B1761" s="144"/>
      <c r="D1761" s="341"/>
      <c r="F1761" s="343"/>
      <c r="G1761" s="343"/>
      <c r="H1761" s="343"/>
      <c r="I1761" s="343"/>
      <c r="J1761" s="343"/>
      <c r="K1761" s="343"/>
      <c r="L1761" s="343"/>
    </row>
    <row r="1762" spans="2:12" x14ac:dyDescent="0.2">
      <c r="B1762" s="144"/>
      <c r="D1762" s="341"/>
      <c r="F1762" s="343"/>
      <c r="G1762" s="343"/>
      <c r="H1762" s="343"/>
      <c r="I1762" s="343"/>
      <c r="J1762" s="343"/>
      <c r="K1762" s="343"/>
      <c r="L1762" s="343"/>
    </row>
    <row r="1763" spans="2:12" x14ac:dyDescent="0.2">
      <c r="B1763" s="144"/>
      <c r="D1763" s="341"/>
      <c r="F1763" s="343"/>
      <c r="G1763" s="343"/>
      <c r="H1763" s="343"/>
      <c r="I1763" s="343"/>
      <c r="J1763" s="343"/>
      <c r="K1763" s="343"/>
      <c r="L1763" s="343"/>
    </row>
    <row r="1764" spans="2:12" x14ac:dyDescent="0.2">
      <c r="B1764" s="144"/>
      <c r="D1764" s="341"/>
      <c r="F1764" s="343"/>
      <c r="G1764" s="343"/>
      <c r="H1764" s="343"/>
      <c r="I1764" s="343"/>
      <c r="J1764" s="343"/>
      <c r="K1764" s="343"/>
      <c r="L1764" s="343"/>
    </row>
    <row r="1765" spans="2:12" x14ac:dyDescent="0.2">
      <c r="B1765" s="144"/>
      <c r="D1765" s="341"/>
      <c r="F1765" s="343"/>
      <c r="G1765" s="343"/>
      <c r="H1765" s="343"/>
      <c r="I1765" s="343"/>
      <c r="J1765" s="343"/>
      <c r="K1765" s="343"/>
      <c r="L1765" s="343"/>
    </row>
    <row r="1766" spans="2:12" x14ac:dyDescent="0.2">
      <c r="B1766" s="144"/>
      <c r="D1766" s="341"/>
      <c r="F1766" s="343"/>
      <c r="G1766" s="343"/>
      <c r="H1766" s="343"/>
      <c r="I1766" s="343"/>
      <c r="J1766" s="343"/>
      <c r="K1766" s="343"/>
      <c r="L1766" s="343"/>
    </row>
    <row r="1767" spans="2:12" x14ac:dyDescent="0.2">
      <c r="B1767" s="144"/>
      <c r="D1767" s="341"/>
      <c r="F1767" s="343"/>
      <c r="G1767" s="343"/>
      <c r="H1767" s="343"/>
      <c r="I1767" s="343"/>
      <c r="J1767" s="343"/>
      <c r="K1767" s="343"/>
      <c r="L1767" s="343"/>
    </row>
    <row r="1768" spans="2:12" x14ac:dyDescent="0.2">
      <c r="B1768" s="144"/>
      <c r="D1768" s="341"/>
      <c r="F1768" s="343"/>
      <c r="G1768" s="343"/>
      <c r="H1768" s="343"/>
      <c r="I1768" s="343"/>
      <c r="J1768" s="343"/>
      <c r="K1768" s="343"/>
      <c r="L1768" s="343"/>
    </row>
    <row r="1769" spans="2:12" x14ac:dyDescent="0.2">
      <c r="B1769" s="144"/>
      <c r="D1769" s="341"/>
      <c r="F1769" s="343"/>
      <c r="G1769" s="343"/>
      <c r="H1769" s="343"/>
      <c r="I1769" s="343"/>
      <c r="J1769" s="343"/>
      <c r="K1769" s="343"/>
      <c r="L1769" s="343"/>
    </row>
    <row r="1770" spans="2:12" x14ac:dyDescent="0.2">
      <c r="B1770" s="144"/>
      <c r="D1770" s="341"/>
      <c r="F1770" s="343"/>
      <c r="G1770" s="343"/>
      <c r="H1770" s="343"/>
      <c r="I1770" s="343"/>
      <c r="J1770" s="343"/>
      <c r="K1770" s="343"/>
      <c r="L1770" s="343"/>
    </row>
    <row r="1771" spans="2:12" x14ac:dyDescent="0.2">
      <c r="B1771" s="144"/>
      <c r="D1771" s="341"/>
      <c r="F1771" s="343"/>
      <c r="G1771" s="343"/>
      <c r="H1771" s="343"/>
      <c r="I1771" s="343"/>
      <c r="J1771" s="343"/>
      <c r="K1771" s="343"/>
      <c r="L1771" s="343"/>
    </row>
    <row r="1772" spans="2:12" x14ac:dyDescent="0.2">
      <c r="B1772" s="144"/>
      <c r="D1772" s="341"/>
      <c r="F1772" s="343"/>
      <c r="G1772" s="343"/>
      <c r="H1772" s="343"/>
      <c r="I1772" s="343"/>
      <c r="J1772" s="343"/>
      <c r="K1772" s="343"/>
      <c r="L1772" s="343"/>
    </row>
    <row r="1773" spans="2:12" x14ac:dyDescent="0.2">
      <c r="B1773" s="144"/>
      <c r="D1773" s="341"/>
      <c r="F1773" s="343"/>
      <c r="G1773" s="343"/>
      <c r="H1773" s="343"/>
      <c r="I1773" s="343"/>
      <c r="J1773" s="343"/>
      <c r="K1773" s="343"/>
      <c r="L1773" s="343"/>
    </row>
    <row r="1774" spans="2:12" x14ac:dyDescent="0.2">
      <c r="B1774" s="144"/>
      <c r="D1774" s="341"/>
      <c r="F1774" s="343"/>
      <c r="G1774" s="343"/>
      <c r="H1774" s="343"/>
      <c r="I1774" s="343"/>
      <c r="J1774" s="343"/>
      <c r="K1774" s="343"/>
      <c r="L1774" s="343"/>
    </row>
    <row r="1775" spans="2:12" x14ac:dyDescent="0.2">
      <c r="B1775" s="144"/>
      <c r="D1775" s="341"/>
      <c r="F1775" s="343"/>
      <c r="G1775" s="343"/>
      <c r="H1775" s="343"/>
      <c r="I1775" s="343"/>
      <c r="J1775" s="343"/>
      <c r="K1775" s="343"/>
      <c r="L1775" s="343"/>
    </row>
    <row r="1776" spans="2:12" x14ac:dyDescent="0.2">
      <c r="B1776" s="144"/>
      <c r="D1776" s="341"/>
      <c r="F1776" s="343"/>
      <c r="G1776" s="343"/>
      <c r="H1776" s="343"/>
      <c r="I1776" s="343"/>
      <c r="J1776" s="343"/>
      <c r="K1776" s="343"/>
      <c r="L1776" s="343"/>
    </row>
    <row r="1777" spans="2:12" x14ac:dyDescent="0.2">
      <c r="B1777" s="144"/>
      <c r="D1777" s="341"/>
      <c r="F1777" s="343"/>
      <c r="G1777" s="343"/>
      <c r="H1777" s="343"/>
      <c r="I1777" s="343"/>
      <c r="J1777" s="343"/>
      <c r="K1777" s="343"/>
      <c r="L1777" s="343"/>
    </row>
    <row r="1778" spans="2:12" x14ac:dyDescent="0.2">
      <c r="B1778" s="144"/>
      <c r="D1778" s="341"/>
      <c r="F1778" s="343"/>
      <c r="G1778" s="343"/>
      <c r="H1778" s="343"/>
      <c r="I1778" s="343"/>
      <c r="J1778" s="343"/>
      <c r="K1778" s="343"/>
      <c r="L1778" s="343"/>
    </row>
    <row r="1779" spans="2:12" x14ac:dyDescent="0.2">
      <c r="B1779" s="144"/>
      <c r="D1779" s="341"/>
      <c r="F1779" s="343"/>
      <c r="G1779" s="343"/>
      <c r="H1779" s="343"/>
      <c r="I1779" s="343"/>
      <c r="J1779" s="343"/>
      <c r="K1779" s="343"/>
      <c r="L1779" s="343"/>
    </row>
    <row r="1780" spans="2:12" x14ac:dyDescent="0.2">
      <c r="B1780" s="144"/>
      <c r="D1780" s="341"/>
      <c r="F1780" s="343"/>
      <c r="G1780" s="343"/>
      <c r="H1780" s="343"/>
      <c r="I1780" s="343"/>
      <c r="J1780" s="343"/>
      <c r="K1780" s="343"/>
      <c r="L1780" s="343"/>
    </row>
    <row r="1781" spans="2:12" x14ac:dyDescent="0.2">
      <c r="B1781" s="144"/>
      <c r="D1781" s="341"/>
      <c r="F1781" s="343"/>
      <c r="G1781" s="343"/>
      <c r="H1781" s="343"/>
      <c r="I1781" s="343"/>
      <c r="J1781" s="343"/>
      <c r="K1781" s="343"/>
      <c r="L1781" s="343"/>
    </row>
    <row r="1782" spans="2:12" x14ac:dyDescent="0.2">
      <c r="B1782" s="144"/>
      <c r="D1782" s="341"/>
      <c r="F1782" s="343"/>
      <c r="G1782" s="343"/>
      <c r="H1782" s="343"/>
      <c r="I1782" s="343"/>
      <c r="J1782" s="343"/>
      <c r="K1782" s="343"/>
      <c r="L1782" s="343"/>
    </row>
    <row r="1783" spans="2:12" x14ac:dyDescent="0.2">
      <c r="B1783" s="144"/>
      <c r="D1783" s="341"/>
      <c r="F1783" s="343"/>
      <c r="G1783" s="343"/>
      <c r="H1783" s="343"/>
      <c r="I1783" s="343"/>
      <c r="J1783" s="343"/>
      <c r="K1783" s="343"/>
      <c r="L1783" s="343"/>
    </row>
    <row r="1784" spans="2:12" x14ac:dyDescent="0.2">
      <c r="B1784" s="144"/>
      <c r="D1784" s="341"/>
      <c r="F1784" s="343"/>
      <c r="G1784" s="343"/>
      <c r="H1784" s="343"/>
      <c r="I1784" s="343"/>
      <c r="J1784" s="343"/>
      <c r="K1784" s="343"/>
      <c r="L1784" s="343"/>
    </row>
    <row r="1785" spans="2:12" x14ac:dyDescent="0.2">
      <c r="B1785" s="144"/>
      <c r="D1785" s="341"/>
      <c r="F1785" s="343"/>
      <c r="G1785" s="343"/>
      <c r="H1785" s="343"/>
      <c r="I1785" s="343"/>
      <c r="J1785" s="343"/>
      <c r="K1785" s="343"/>
      <c r="L1785" s="343"/>
    </row>
    <row r="1786" spans="2:12" x14ac:dyDescent="0.2">
      <c r="B1786" s="144"/>
      <c r="D1786" s="341"/>
      <c r="F1786" s="343"/>
      <c r="G1786" s="343"/>
      <c r="H1786" s="343"/>
      <c r="I1786" s="343"/>
      <c r="J1786" s="343"/>
      <c r="K1786" s="343"/>
      <c r="L1786" s="343"/>
    </row>
    <row r="1787" spans="2:12" x14ac:dyDescent="0.2">
      <c r="B1787" s="144"/>
      <c r="D1787" s="341"/>
      <c r="F1787" s="343"/>
      <c r="G1787" s="343"/>
      <c r="H1787" s="343"/>
      <c r="I1787" s="343"/>
      <c r="J1787" s="343"/>
      <c r="K1787" s="343"/>
      <c r="L1787" s="343"/>
    </row>
    <row r="1788" spans="2:12" x14ac:dyDescent="0.2">
      <c r="B1788" s="144"/>
      <c r="D1788" s="341"/>
      <c r="F1788" s="343"/>
      <c r="G1788" s="343"/>
      <c r="H1788" s="343"/>
      <c r="I1788" s="343"/>
      <c r="J1788" s="343"/>
      <c r="K1788" s="343"/>
      <c r="L1788" s="343"/>
    </row>
    <row r="1789" spans="2:12" x14ac:dyDescent="0.2">
      <c r="B1789" s="144"/>
      <c r="D1789" s="341"/>
      <c r="F1789" s="343"/>
      <c r="G1789" s="343"/>
      <c r="H1789" s="343"/>
      <c r="I1789" s="343"/>
      <c r="J1789" s="343"/>
      <c r="K1789" s="343"/>
      <c r="L1789" s="343"/>
    </row>
    <row r="1790" spans="2:12" x14ac:dyDescent="0.2">
      <c r="B1790" s="144"/>
      <c r="D1790" s="341"/>
      <c r="F1790" s="343"/>
      <c r="G1790" s="343"/>
      <c r="H1790" s="343"/>
      <c r="I1790" s="343"/>
      <c r="J1790" s="343"/>
      <c r="K1790" s="343"/>
      <c r="L1790" s="343"/>
    </row>
    <row r="1791" spans="2:12" x14ac:dyDescent="0.2">
      <c r="B1791" s="144"/>
      <c r="D1791" s="341"/>
      <c r="F1791" s="343"/>
      <c r="G1791" s="343"/>
      <c r="H1791" s="343"/>
      <c r="I1791" s="343"/>
      <c r="J1791" s="343"/>
      <c r="K1791" s="343"/>
      <c r="L1791" s="343"/>
    </row>
    <row r="1792" spans="2:12" x14ac:dyDescent="0.2">
      <c r="B1792" s="144"/>
      <c r="D1792" s="341"/>
      <c r="F1792" s="343"/>
      <c r="G1792" s="343"/>
      <c r="H1792" s="343"/>
      <c r="I1792" s="343"/>
      <c r="J1792" s="343"/>
      <c r="K1792" s="343"/>
      <c r="L1792" s="343"/>
    </row>
    <row r="1793" spans="2:12" x14ac:dyDescent="0.2">
      <c r="B1793" s="144"/>
      <c r="D1793" s="341"/>
      <c r="F1793" s="343"/>
      <c r="G1793" s="343"/>
      <c r="H1793" s="343"/>
      <c r="I1793" s="343"/>
      <c r="J1793" s="343"/>
      <c r="K1793" s="343"/>
      <c r="L1793" s="343"/>
    </row>
    <row r="1794" spans="2:12" x14ac:dyDescent="0.2">
      <c r="B1794" s="144"/>
      <c r="D1794" s="341"/>
      <c r="F1794" s="343"/>
      <c r="G1794" s="343"/>
      <c r="H1794" s="343"/>
      <c r="I1794" s="343"/>
      <c r="J1794" s="343"/>
      <c r="K1794" s="343"/>
      <c r="L1794" s="343"/>
    </row>
    <row r="1795" spans="2:12" x14ac:dyDescent="0.2">
      <c r="B1795" s="144"/>
      <c r="D1795" s="341"/>
      <c r="F1795" s="343"/>
      <c r="G1795" s="343"/>
      <c r="H1795" s="343"/>
      <c r="I1795" s="343"/>
      <c r="J1795" s="343"/>
      <c r="K1795" s="343"/>
      <c r="L1795" s="343"/>
    </row>
    <row r="1796" spans="2:12" x14ac:dyDescent="0.2">
      <c r="B1796" s="144"/>
      <c r="D1796" s="341"/>
      <c r="F1796" s="343"/>
      <c r="G1796" s="343"/>
      <c r="H1796" s="343"/>
      <c r="I1796" s="343"/>
      <c r="J1796" s="343"/>
      <c r="K1796" s="343"/>
      <c r="L1796" s="343"/>
    </row>
    <row r="1797" spans="2:12" x14ac:dyDescent="0.2">
      <c r="B1797" s="144"/>
      <c r="D1797" s="341"/>
      <c r="F1797" s="343"/>
      <c r="G1797" s="343"/>
      <c r="H1797" s="343"/>
      <c r="I1797" s="343"/>
      <c r="J1797" s="343"/>
      <c r="K1797" s="343"/>
      <c r="L1797" s="343"/>
    </row>
    <row r="1798" spans="2:12" x14ac:dyDescent="0.2">
      <c r="B1798" s="144"/>
      <c r="D1798" s="341"/>
      <c r="F1798" s="343"/>
      <c r="G1798" s="343"/>
      <c r="H1798" s="343"/>
      <c r="I1798" s="343"/>
      <c r="J1798" s="343"/>
      <c r="K1798" s="343"/>
      <c r="L1798" s="343"/>
    </row>
    <row r="1799" spans="2:12" x14ac:dyDescent="0.2">
      <c r="B1799" s="144"/>
      <c r="D1799" s="341"/>
      <c r="F1799" s="343"/>
      <c r="G1799" s="343"/>
      <c r="H1799" s="343"/>
      <c r="I1799" s="343"/>
      <c r="J1799" s="343"/>
      <c r="K1799" s="343"/>
      <c r="L1799" s="343"/>
    </row>
    <row r="1800" spans="2:12" x14ac:dyDescent="0.2">
      <c r="B1800" s="144"/>
      <c r="D1800" s="341"/>
      <c r="F1800" s="343"/>
      <c r="G1800" s="343"/>
      <c r="H1800" s="343"/>
      <c r="I1800" s="343"/>
      <c r="J1800" s="343"/>
      <c r="K1800" s="343"/>
      <c r="L1800" s="343"/>
    </row>
    <row r="1801" spans="2:12" x14ac:dyDescent="0.2">
      <c r="B1801" s="144"/>
      <c r="D1801" s="341"/>
      <c r="F1801" s="343"/>
      <c r="G1801" s="343"/>
      <c r="H1801" s="343"/>
      <c r="I1801" s="343"/>
      <c r="J1801" s="343"/>
      <c r="K1801" s="343"/>
      <c r="L1801" s="343"/>
    </row>
    <row r="1802" spans="2:12" x14ac:dyDescent="0.2">
      <c r="B1802" s="144"/>
      <c r="D1802" s="341"/>
      <c r="F1802" s="343"/>
      <c r="G1802" s="343"/>
      <c r="H1802" s="343"/>
      <c r="I1802" s="343"/>
      <c r="J1802" s="343"/>
      <c r="K1802" s="343"/>
      <c r="L1802" s="343"/>
    </row>
    <row r="1803" spans="2:12" x14ac:dyDescent="0.2">
      <c r="B1803" s="144"/>
      <c r="D1803" s="341"/>
      <c r="F1803" s="343"/>
      <c r="G1803" s="343"/>
      <c r="H1803" s="343"/>
      <c r="I1803" s="343"/>
      <c r="J1803" s="343"/>
      <c r="K1803" s="343"/>
      <c r="L1803" s="343"/>
    </row>
    <row r="1804" spans="2:12" x14ac:dyDescent="0.2">
      <c r="B1804" s="144"/>
      <c r="D1804" s="341"/>
      <c r="F1804" s="343"/>
      <c r="G1804" s="343"/>
      <c r="H1804" s="343"/>
      <c r="I1804" s="343"/>
      <c r="J1804" s="343"/>
      <c r="K1804" s="343"/>
      <c r="L1804" s="343"/>
    </row>
    <row r="1805" spans="2:12" x14ac:dyDescent="0.2">
      <c r="B1805" s="144"/>
      <c r="D1805" s="341"/>
      <c r="F1805" s="343"/>
      <c r="G1805" s="343"/>
      <c r="H1805" s="343"/>
      <c r="I1805" s="343"/>
      <c r="J1805" s="343"/>
      <c r="K1805" s="343"/>
      <c r="L1805" s="343"/>
    </row>
    <row r="1806" spans="2:12" x14ac:dyDescent="0.2">
      <c r="B1806" s="144"/>
      <c r="D1806" s="341"/>
      <c r="F1806" s="343"/>
      <c r="G1806" s="343"/>
      <c r="H1806" s="343"/>
      <c r="I1806" s="343"/>
      <c r="J1806" s="343"/>
      <c r="K1806" s="343"/>
      <c r="L1806" s="343"/>
    </row>
    <row r="1807" spans="2:12" x14ac:dyDescent="0.2">
      <c r="B1807" s="144"/>
      <c r="D1807" s="341"/>
      <c r="F1807" s="343"/>
      <c r="G1807" s="343"/>
      <c r="H1807" s="343"/>
      <c r="I1807" s="343"/>
      <c r="J1807" s="343"/>
      <c r="K1807" s="343"/>
      <c r="L1807" s="343"/>
    </row>
    <row r="1808" spans="2:12" x14ac:dyDescent="0.2">
      <c r="B1808" s="144"/>
      <c r="D1808" s="341"/>
      <c r="F1808" s="343"/>
      <c r="G1808" s="343"/>
      <c r="H1808" s="343"/>
      <c r="I1808" s="343"/>
      <c r="J1808" s="343"/>
      <c r="K1808" s="343"/>
      <c r="L1808" s="343"/>
    </row>
    <row r="1809" spans="2:12" x14ac:dyDescent="0.2">
      <c r="B1809" s="144"/>
      <c r="D1809" s="341"/>
      <c r="F1809" s="343"/>
      <c r="G1809" s="343"/>
      <c r="H1809" s="343"/>
      <c r="I1809" s="343"/>
      <c r="J1809" s="343"/>
      <c r="K1809" s="343"/>
      <c r="L1809" s="343"/>
    </row>
    <row r="1810" spans="2:12" x14ac:dyDescent="0.2">
      <c r="B1810" s="144"/>
      <c r="D1810" s="341"/>
      <c r="F1810" s="343"/>
      <c r="G1810" s="343"/>
      <c r="H1810" s="343"/>
      <c r="I1810" s="343"/>
      <c r="J1810" s="343"/>
      <c r="K1810" s="343"/>
      <c r="L1810" s="343"/>
    </row>
    <row r="1811" spans="2:12" x14ac:dyDescent="0.2">
      <c r="B1811" s="144"/>
      <c r="D1811" s="341"/>
      <c r="F1811" s="343"/>
      <c r="G1811" s="343"/>
      <c r="H1811" s="343"/>
      <c r="I1811" s="343"/>
      <c r="J1811" s="343"/>
      <c r="K1811" s="343"/>
      <c r="L1811" s="343"/>
    </row>
    <row r="1812" spans="2:12" x14ac:dyDescent="0.2">
      <c r="B1812" s="144"/>
      <c r="D1812" s="341"/>
      <c r="F1812" s="343"/>
      <c r="G1812" s="343"/>
      <c r="H1812" s="343"/>
      <c r="I1812" s="343"/>
      <c r="J1812" s="343"/>
      <c r="K1812" s="343"/>
      <c r="L1812" s="343"/>
    </row>
    <row r="1813" spans="2:12" x14ac:dyDescent="0.2">
      <c r="B1813" s="144"/>
      <c r="D1813" s="341"/>
      <c r="F1813" s="343"/>
      <c r="G1813" s="343"/>
      <c r="H1813" s="343"/>
      <c r="I1813" s="343"/>
      <c r="J1813" s="343"/>
      <c r="K1813" s="343"/>
      <c r="L1813" s="343"/>
    </row>
    <row r="1814" spans="2:12" x14ac:dyDescent="0.2">
      <c r="B1814" s="144"/>
      <c r="D1814" s="341"/>
      <c r="F1814" s="343"/>
      <c r="G1814" s="343"/>
      <c r="H1814" s="343"/>
      <c r="I1814" s="343"/>
      <c r="J1814" s="343"/>
      <c r="K1814" s="343"/>
      <c r="L1814" s="343"/>
    </row>
    <row r="1815" spans="2:12" x14ac:dyDescent="0.2">
      <c r="B1815" s="144"/>
      <c r="D1815" s="341"/>
      <c r="F1815" s="343"/>
      <c r="G1815" s="343"/>
      <c r="H1815" s="343"/>
      <c r="I1815" s="343"/>
      <c r="J1815" s="343"/>
      <c r="K1815" s="343"/>
      <c r="L1815" s="343"/>
    </row>
    <row r="1816" spans="2:12" x14ac:dyDescent="0.2">
      <c r="B1816" s="144"/>
      <c r="D1816" s="341"/>
      <c r="F1816" s="343"/>
      <c r="G1816" s="343"/>
      <c r="H1816" s="343"/>
      <c r="I1816" s="343"/>
      <c r="J1816" s="343"/>
      <c r="K1816" s="343"/>
      <c r="L1816" s="343"/>
    </row>
    <row r="1817" spans="2:12" x14ac:dyDescent="0.2">
      <c r="B1817" s="144"/>
      <c r="D1817" s="341"/>
      <c r="F1817" s="343"/>
      <c r="G1817" s="343"/>
      <c r="H1817" s="343"/>
      <c r="I1817" s="343"/>
      <c r="J1817" s="343"/>
      <c r="K1817" s="343"/>
      <c r="L1817" s="343"/>
    </row>
    <row r="1818" spans="2:12" x14ac:dyDescent="0.2">
      <c r="B1818" s="144"/>
      <c r="D1818" s="341"/>
      <c r="F1818" s="343"/>
      <c r="G1818" s="343"/>
      <c r="H1818" s="343"/>
      <c r="I1818" s="343"/>
      <c r="J1818" s="343"/>
      <c r="K1818" s="343"/>
      <c r="L1818" s="343"/>
    </row>
    <row r="1819" spans="2:12" x14ac:dyDescent="0.2">
      <c r="B1819" s="144"/>
      <c r="D1819" s="341"/>
      <c r="F1819" s="343"/>
      <c r="G1819" s="343"/>
      <c r="H1819" s="343"/>
      <c r="I1819" s="343"/>
      <c r="J1819" s="343"/>
      <c r="K1819" s="343"/>
      <c r="L1819" s="343"/>
    </row>
    <row r="1820" spans="2:12" x14ac:dyDescent="0.2">
      <c r="B1820" s="144"/>
      <c r="D1820" s="341"/>
      <c r="F1820" s="343"/>
      <c r="G1820" s="343"/>
      <c r="H1820" s="343"/>
      <c r="I1820" s="343"/>
      <c r="J1820" s="343"/>
      <c r="K1820" s="343"/>
      <c r="L1820" s="343"/>
    </row>
    <row r="1821" spans="2:12" x14ac:dyDescent="0.2">
      <c r="B1821" s="144"/>
      <c r="D1821" s="341"/>
      <c r="F1821" s="343"/>
      <c r="G1821" s="343"/>
      <c r="H1821" s="343"/>
      <c r="I1821" s="343"/>
      <c r="J1821" s="343"/>
      <c r="K1821" s="343"/>
      <c r="L1821" s="343"/>
    </row>
    <row r="1822" spans="2:12" x14ac:dyDescent="0.2">
      <c r="B1822" s="144"/>
      <c r="D1822" s="341"/>
      <c r="F1822" s="343"/>
      <c r="G1822" s="343"/>
      <c r="H1822" s="343"/>
      <c r="I1822" s="343"/>
      <c r="J1822" s="343"/>
      <c r="K1822" s="343"/>
      <c r="L1822" s="343"/>
    </row>
    <row r="1823" spans="2:12" x14ac:dyDescent="0.2">
      <c r="B1823" s="144"/>
      <c r="D1823" s="341"/>
      <c r="F1823" s="343"/>
      <c r="G1823" s="343"/>
      <c r="H1823" s="343"/>
      <c r="I1823" s="343"/>
      <c r="J1823" s="343"/>
      <c r="K1823" s="343"/>
      <c r="L1823" s="343"/>
    </row>
    <row r="1824" spans="2:12" x14ac:dyDescent="0.2">
      <c r="B1824" s="144"/>
      <c r="D1824" s="341"/>
      <c r="F1824" s="343"/>
      <c r="G1824" s="343"/>
      <c r="H1824" s="343"/>
      <c r="I1824" s="343"/>
      <c r="J1824" s="343"/>
      <c r="K1824" s="343"/>
      <c r="L1824" s="343"/>
    </row>
    <row r="1825" spans="2:12" x14ac:dyDescent="0.2">
      <c r="B1825" s="144"/>
      <c r="D1825" s="341"/>
      <c r="F1825" s="343"/>
      <c r="G1825" s="343"/>
      <c r="H1825" s="343"/>
      <c r="I1825" s="343"/>
      <c r="J1825" s="343"/>
      <c r="K1825" s="343"/>
      <c r="L1825" s="343"/>
    </row>
    <row r="1826" spans="2:12" x14ac:dyDescent="0.2">
      <c r="B1826" s="144"/>
      <c r="D1826" s="341"/>
      <c r="F1826" s="343"/>
      <c r="G1826" s="343"/>
      <c r="H1826" s="343"/>
      <c r="I1826" s="343"/>
      <c r="J1826" s="343"/>
      <c r="K1826" s="343"/>
      <c r="L1826" s="343"/>
    </row>
    <row r="1827" spans="2:12" x14ac:dyDescent="0.2">
      <c r="B1827" s="144"/>
      <c r="D1827" s="341"/>
      <c r="F1827" s="343"/>
      <c r="G1827" s="343"/>
      <c r="H1827" s="343"/>
      <c r="I1827" s="343"/>
      <c r="J1827" s="343"/>
      <c r="K1827" s="343"/>
      <c r="L1827" s="343"/>
    </row>
    <row r="1828" spans="2:12" x14ac:dyDescent="0.2">
      <c r="B1828" s="144"/>
      <c r="D1828" s="341"/>
      <c r="F1828" s="343"/>
      <c r="G1828" s="343"/>
      <c r="H1828" s="343"/>
      <c r="I1828" s="343"/>
      <c r="J1828" s="343"/>
      <c r="K1828" s="343"/>
      <c r="L1828" s="343"/>
    </row>
    <row r="1829" spans="2:12" x14ac:dyDescent="0.2">
      <c r="B1829" s="144"/>
      <c r="D1829" s="341"/>
      <c r="F1829" s="343"/>
      <c r="G1829" s="343"/>
      <c r="H1829" s="343"/>
      <c r="I1829" s="343"/>
      <c r="J1829" s="343"/>
      <c r="K1829" s="343"/>
      <c r="L1829" s="343"/>
    </row>
    <row r="1830" spans="2:12" x14ac:dyDescent="0.2">
      <c r="B1830" s="144"/>
      <c r="D1830" s="341"/>
      <c r="F1830" s="343"/>
      <c r="G1830" s="343"/>
      <c r="H1830" s="343"/>
      <c r="I1830" s="343"/>
      <c r="J1830" s="343"/>
      <c r="K1830" s="343"/>
      <c r="L1830" s="343"/>
    </row>
    <row r="1831" spans="2:12" x14ac:dyDescent="0.2">
      <c r="B1831" s="144"/>
      <c r="D1831" s="341"/>
      <c r="F1831" s="343"/>
      <c r="G1831" s="343"/>
      <c r="H1831" s="343"/>
      <c r="I1831" s="343"/>
      <c r="J1831" s="343"/>
      <c r="K1831" s="343"/>
      <c r="L1831" s="343"/>
    </row>
    <row r="1832" spans="2:12" x14ac:dyDescent="0.2">
      <c r="B1832" s="144"/>
      <c r="D1832" s="341"/>
      <c r="F1832" s="343"/>
      <c r="G1832" s="343"/>
      <c r="H1832" s="343"/>
      <c r="I1832" s="343"/>
      <c r="J1832" s="343"/>
      <c r="K1832" s="343"/>
      <c r="L1832" s="343"/>
    </row>
    <row r="1833" spans="2:12" x14ac:dyDescent="0.2">
      <c r="B1833" s="144"/>
      <c r="D1833" s="341"/>
      <c r="F1833" s="343"/>
      <c r="G1833" s="343"/>
      <c r="H1833" s="343"/>
      <c r="I1833" s="343"/>
      <c r="J1833" s="343"/>
      <c r="K1833" s="343"/>
      <c r="L1833" s="343"/>
    </row>
    <row r="1834" spans="2:12" x14ac:dyDescent="0.2">
      <c r="B1834" s="144"/>
      <c r="D1834" s="341"/>
      <c r="F1834" s="343"/>
      <c r="G1834" s="343"/>
      <c r="H1834" s="343"/>
      <c r="I1834" s="343"/>
      <c r="J1834" s="343"/>
      <c r="K1834" s="343"/>
      <c r="L1834" s="343"/>
    </row>
    <row r="1835" spans="2:12" x14ac:dyDescent="0.2">
      <c r="B1835" s="144"/>
      <c r="D1835" s="341"/>
      <c r="F1835" s="343"/>
      <c r="G1835" s="343"/>
      <c r="H1835" s="343"/>
      <c r="I1835" s="343"/>
      <c r="J1835" s="343"/>
      <c r="K1835" s="343"/>
      <c r="L1835" s="343"/>
    </row>
    <row r="1836" spans="2:12" x14ac:dyDescent="0.2">
      <c r="B1836" s="144"/>
      <c r="D1836" s="341"/>
      <c r="F1836" s="343"/>
      <c r="G1836" s="343"/>
      <c r="H1836" s="343"/>
      <c r="I1836" s="343"/>
      <c r="J1836" s="343"/>
      <c r="K1836" s="343"/>
      <c r="L1836" s="343"/>
    </row>
    <row r="1837" spans="2:12" x14ac:dyDescent="0.2">
      <c r="B1837" s="144"/>
      <c r="D1837" s="341"/>
      <c r="F1837" s="343"/>
      <c r="G1837" s="343"/>
      <c r="H1837" s="343"/>
      <c r="I1837" s="343"/>
      <c r="J1837" s="343"/>
      <c r="K1837" s="343"/>
      <c r="L1837" s="343"/>
    </row>
    <row r="1838" spans="2:12" x14ac:dyDescent="0.2">
      <c r="B1838" s="144"/>
      <c r="D1838" s="341"/>
      <c r="F1838" s="343"/>
      <c r="G1838" s="343"/>
      <c r="H1838" s="343"/>
      <c r="I1838" s="343"/>
      <c r="J1838" s="343"/>
      <c r="K1838" s="343"/>
      <c r="L1838" s="343"/>
    </row>
    <row r="1839" spans="2:12" x14ac:dyDescent="0.2">
      <c r="B1839" s="144"/>
      <c r="D1839" s="341"/>
      <c r="F1839" s="343"/>
      <c r="G1839" s="343"/>
      <c r="H1839" s="343"/>
      <c r="I1839" s="343"/>
      <c r="J1839" s="343"/>
      <c r="K1839" s="343"/>
      <c r="L1839" s="343"/>
    </row>
    <row r="1840" spans="2:12" x14ac:dyDescent="0.2">
      <c r="B1840" s="144"/>
      <c r="D1840" s="341"/>
      <c r="F1840" s="343"/>
      <c r="G1840" s="343"/>
      <c r="H1840" s="343"/>
      <c r="I1840" s="343"/>
      <c r="J1840" s="343"/>
      <c r="K1840" s="343"/>
      <c r="L1840" s="343"/>
    </row>
    <row r="1841" spans="2:12" x14ac:dyDescent="0.2">
      <c r="B1841" s="144"/>
      <c r="D1841" s="341"/>
      <c r="F1841" s="343"/>
      <c r="G1841" s="343"/>
      <c r="H1841" s="343"/>
      <c r="I1841" s="343"/>
      <c r="J1841" s="343"/>
      <c r="K1841" s="343"/>
      <c r="L1841" s="343"/>
    </row>
    <row r="1842" spans="2:12" x14ac:dyDescent="0.2">
      <c r="B1842" s="144"/>
      <c r="D1842" s="341"/>
      <c r="F1842" s="343"/>
      <c r="G1842" s="343"/>
      <c r="H1842" s="343"/>
      <c r="I1842" s="343"/>
      <c r="J1842" s="343"/>
      <c r="K1842" s="343"/>
      <c r="L1842" s="343"/>
    </row>
    <row r="1843" spans="2:12" x14ac:dyDescent="0.2">
      <c r="B1843" s="144"/>
      <c r="D1843" s="341"/>
      <c r="F1843" s="343"/>
      <c r="G1843" s="343"/>
      <c r="H1843" s="343"/>
      <c r="I1843" s="343"/>
      <c r="J1843" s="343"/>
      <c r="K1843" s="343"/>
      <c r="L1843" s="343"/>
    </row>
    <row r="1844" spans="2:12" x14ac:dyDescent="0.2">
      <c r="B1844" s="144"/>
      <c r="D1844" s="341"/>
      <c r="F1844" s="343"/>
      <c r="G1844" s="343"/>
      <c r="H1844" s="343"/>
      <c r="I1844" s="343"/>
      <c r="J1844" s="343"/>
      <c r="K1844" s="343"/>
      <c r="L1844" s="343"/>
    </row>
    <row r="1845" spans="2:12" x14ac:dyDescent="0.2">
      <c r="B1845" s="144"/>
      <c r="D1845" s="341"/>
      <c r="F1845" s="343"/>
      <c r="G1845" s="343"/>
      <c r="H1845" s="343"/>
      <c r="I1845" s="343"/>
      <c r="J1845" s="343"/>
      <c r="K1845" s="343"/>
      <c r="L1845" s="343"/>
    </row>
    <row r="1846" spans="2:12" x14ac:dyDescent="0.2">
      <c r="B1846" s="144"/>
      <c r="D1846" s="341"/>
      <c r="F1846" s="343"/>
      <c r="G1846" s="343"/>
      <c r="H1846" s="343"/>
      <c r="I1846" s="343"/>
      <c r="J1846" s="343"/>
      <c r="K1846" s="343"/>
      <c r="L1846" s="343"/>
    </row>
    <row r="1847" spans="2:12" x14ac:dyDescent="0.2">
      <c r="B1847" s="144"/>
      <c r="D1847" s="341"/>
      <c r="F1847" s="343"/>
      <c r="G1847" s="343"/>
      <c r="H1847" s="343"/>
      <c r="I1847" s="343"/>
      <c r="J1847" s="343"/>
      <c r="K1847" s="343"/>
      <c r="L1847" s="343"/>
    </row>
    <row r="1848" spans="2:12" x14ac:dyDescent="0.2">
      <c r="B1848" s="144"/>
      <c r="D1848" s="341"/>
      <c r="F1848" s="343"/>
      <c r="G1848" s="343"/>
      <c r="H1848" s="343"/>
      <c r="I1848" s="343"/>
      <c r="J1848" s="343"/>
      <c r="K1848" s="343"/>
      <c r="L1848" s="343"/>
    </row>
    <row r="1849" spans="2:12" x14ac:dyDescent="0.2">
      <c r="B1849" s="144"/>
      <c r="D1849" s="341"/>
      <c r="F1849" s="343"/>
      <c r="G1849" s="343"/>
      <c r="H1849" s="343"/>
      <c r="I1849" s="343"/>
      <c r="J1849" s="343"/>
      <c r="K1849" s="343"/>
      <c r="L1849" s="343"/>
    </row>
    <row r="1850" spans="2:12" x14ac:dyDescent="0.2">
      <c r="B1850" s="144"/>
      <c r="D1850" s="341"/>
      <c r="F1850" s="343"/>
      <c r="G1850" s="343"/>
      <c r="H1850" s="343"/>
      <c r="I1850" s="343"/>
      <c r="J1850" s="343"/>
      <c r="K1850" s="343"/>
      <c r="L1850" s="343"/>
    </row>
    <row r="1851" spans="2:12" x14ac:dyDescent="0.2">
      <c r="B1851" s="144"/>
      <c r="D1851" s="341"/>
      <c r="F1851" s="343"/>
      <c r="G1851" s="343"/>
      <c r="H1851" s="343"/>
      <c r="I1851" s="343"/>
      <c r="J1851" s="343"/>
      <c r="K1851" s="343"/>
      <c r="L1851" s="343"/>
    </row>
    <row r="1852" spans="2:12" x14ac:dyDescent="0.2">
      <c r="B1852" s="144"/>
      <c r="D1852" s="341"/>
      <c r="F1852" s="343"/>
      <c r="G1852" s="343"/>
      <c r="H1852" s="343"/>
      <c r="I1852" s="343"/>
      <c r="J1852" s="343"/>
      <c r="K1852" s="343"/>
      <c r="L1852" s="343"/>
    </row>
    <row r="1853" spans="2:12" x14ac:dyDescent="0.2">
      <c r="B1853" s="144"/>
      <c r="D1853" s="341"/>
      <c r="F1853" s="343"/>
      <c r="G1853" s="343"/>
      <c r="H1853" s="343"/>
      <c r="I1853" s="343"/>
      <c r="J1853" s="343"/>
      <c r="K1853" s="343"/>
      <c r="L1853" s="343"/>
    </row>
    <row r="1854" spans="2:12" x14ac:dyDescent="0.2">
      <c r="B1854" s="144"/>
      <c r="D1854" s="341"/>
      <c r="F1854" s="343"/>
      <c r="G1854" s="343"/>
      <c r="H1854" s="343"/>
      <c r="I1854" s="343"/>
      <c r="J1854" s="343"/>
      <c r="K1854" s="343"/>
      <c r="L1854" s="343"/>
    </row>
    <row r="1855" spans="2:12" x14ac:dyDescent="0.2">
      <c r="B1855" s="144"/>
      <c r="D1855" s="341"/>
      <c r="F1855" s="343"/>
      <c r="G1855" s="343"/>
      <c r="H1855" s="343"/>
      <c r="I1855" s="343"/>
      <c r="J1855" s="343"/>
      <c r="K1855" s="343"/>
      <c r="L1855" s="343"/>
    </row>
    <row r="1856" spans="2:12" x14ac:dyDescent="0.2">
      <c r="B1856" s="144"/>
      <c r="D1856" s="341"/>
      <c r="F1856" s="343"/>
      <c r="G1856" s="343"/>
      <c r="H1856" s="343"/>
      <c r="I1856" s="343"/>
      <c r="J1856" s="343"/>
      <c r="K1856" s="343"/>
      <c r="L1856" s="343"/>
    </row>
    <row r="1857" spans="2:12" x14ac:dyDescent="0.2">
      <c r="B1857" s="144"/>
      <c r="D1857" s="341"/>
      <c r="F1857" s="343"/>
      <c r="G1857" s="343"/>
      <c r="H1857" s="343"/>
      <c r="I1857" s="343"/>
      <c r="J1857" s="343"/>
      <c r="K1857" s="343"/>
      <c r="L1857" s="343"/>
    </row>
    <row r="1858" spans="2:12" x14ac:dyDescent="0.2">
      <c r="B1858" s="144"/>
      <c r="D1858" s="341"/>
      <c r="F1858" s="343"/>
      <c r="G1858" s="343"/>
      <c r="H1858" s="343"/>
      <c r="I1858" s="343"/>
      <c r="J1858" s="343"/>
      <c r="K1858" s="343"/>
      <c r="L1858" s="343"/>
    </row>
    <row r="1859" spans="2:12" x14ac:dyDescent="0.2">
      <c r="B1859" s="144"/>
      <c r="D1859" s="341"/>
      <c r="F1859" s="343"/>
      <c r="G1859" s="343"/>
      <c r="H1859" s="343"/>
      <c r="I1859" s="343"/>
      <c r="J1859" s="343"/>
      <c r="K1859" s="343"/>
      <c r="L1859" s="343"/>
    </row>
    <row r="1860" spans="2:12" x14ac:dyDescent="0.2">
      <c r="B1860" s="144"/>
      <c r="D1860" s="341"/>
      <c r="F1860" s="343"/>
      <c r="G1860" s="343"/>
      <c r="H1860" s="343"/>
      <c r="I1860" s="343"/>
      <c r="J1860" s="343"/>
      <c r="K1860" s="343"/>
      <c r="L1860" s="343"/>
    </row>
    <row r="1861" spans="2:12" x14ac:dyDescent="0.2">
      <c r="B1861" s="144"/>
      <c r="D1861" s="341"/>
      <c r="F1861" s="343"/>
      <c r="G1861" s="343"/>
      <c r="H1861" s="343"/>
      <c r="I1861" s="343"/>
      <c r="J1861" s="343"/>
      <c r="K1861" s="343"/>
      <c r="L1861" s="343"/>
    </row>
    <row r="1862" spans="2:12" x14ac:dyDescent="0.2">
      <c r="B1862" s="144"/>
      <c r="D1862" s="341"/>
      <c r="F1862" s="343"/>
      <c r="G1862" s="343"/>
      <c r="H1862" s="343"/>
      <c r="I1862" s="343"/>
      <c r="J1862" s="343"/>
      <c r="K1862" s="343"/>
      <c r="L1862" s="343"/>
    </row>
    <row r="1863" spans="2:12" x14ac:dyDescent="0.2">
      <c r="B1863" s="144"/>
      <c r="D1863" s="341"/>
      <c r="F1863" s="343"/>
      <c r="G1863" s="343"/>
      <c r="H1863" s="343"/>
      <c r="I1863" s="343"/>
      <c r="J1863" s="343"/>
      <c r="K1863" s="343"/>
      <c r="L1863" s="343"/>
    </row>
    <row r="1864" spans="2:12" x14ac:dyDescent="0.2">
      <c r="B1864" s="144"/>
      <c r="D1864" s="341"/>
      <c r="F1864" s="343"/>
      <c r="G1864" s="343"/>
      <c r="H1864" s="343"/>
      <c r="I1864" s="343"/>
      <c r="J1864" s="343"/>
      <c r="K1864" s="343"/>
      <c r="L1864" s="343"/>
    </row>
    <row r="1865" spans="2:12" x14ac:dyDescent="0.2">
      <c r="B1865" s="144"/>
      <c r="D1865" s="341"/>
      <c r="F1865" s="343"/>
      <c r="G1865" s="343"/>
      <c r="H1865" s="343"/>
      <c r="I1865" s="343"/>
      <c r="J1865" s="343"/>
      <c r="K1865" s="343"/>
      <c r="L1865" s="343"/>
    </row>
    <row r="1866" spans="2:12" x14ac:dyDescent="0.2">
      <c r="B1866" s="144"/>
      <c r="D1866" s="341"/>
      <c r="F1866" s="343"/>
      <c r="G1866" s="343"/>
      <c r="H1866" s="343"/>
      <c r="I1866" s="343"/>
      <c r="J1866" s="343"/>
      <c r="K1866" s="343"/>
      <c r="L1866" s="343"/>
    </row>
    <row r="1867" spans="2:12" x14ac:dyDescent="0.2">
      <c r="B1867" s="144"/>
      <c r="D1867" s="341"/>
      <c r="F1867" s="343"/>
      <c r="G1867" s="343"/>
      <c r="H1867" s="343"/>
      <c r="I1867" s="343"/>
      <c r="J1867" s="343"/>
      <c r="K1867" s="343"/>
      <c r="L1867" s="343"/>
    </row>
    <row r="1868" spans="2:12" x14ac:dyDescent="0.2">
      <c r="B1868" s="144"/>
      <c r="D1868" s="341"/>
      <c r="F1868" s="343"/>
      <c r="G1868" s="343"/>
      <c r="H1868" s="343"/>
      <c r="I1868" s="343"/>
      <c r="J1868" s="343"/>
      <c r="K1868" s="343"/>
      <c r="L1868" s="343"/>
    </row>
    <row r="1869" spans="2:12" x14ac:dyDescent="0.2">
      <c r="B1869" s="144"/>
      <c r="D1869" s="341"/>
      <c r="F1869" s="343"/>
      <c r="G1869" s="343"/>
      <c r="H1869" s="343"/>
      <c r="I1869" s="343"/>
      <c r="J1869" s="343"/>
      <c r="K1869" s="343"/>
      <c r="L1869" s="343"/>
    </row>
    <row r="1870" spans="2:12" x14ac:dyDescent="0.2">
      <c r="B1870" s="144"/>
      <c r="D1870" s="341"/>
      <c r="F1870" s="343"/>
      <c r="G1870" s="343"/>
      <c r="H1870" s="343"/>
      <c r="I1870" s="343"/>
      <c r="J1870" s="343"/>
      <c r="K1870" s="343"/>
      <c r="L1870" s="343"/>
    </row>
    <row r="1871" spans="2:12" x14ac:dyDescent="0.2">
      <c r="B1871" s="144"/>
      <c r="D1871" s="341"/>
      <c r="F1871" s="343"/>
      <c r="G1871" s="343"/>
      <c r="H1871" s="343"/>
      <c r="I1871" s="343"/>
      <c r="J1871" s="343"/>
      <c r="K1871" s="343"/>
      <c r="L1871" s="343"/>
    </row>
    <row r="1872" spans="2:12" x14ac:dyDescent="0.2">
      <c r="B1872" s="144"/>
      <c r="D1872" s="341"/>
      <c r="F1872" s="343"/>
      <c r="G1872" s="343"/>
      <c r="H1872" s="343"/>
      <c r="I1872" s="343"/>
      <c r="J1872" s="343"/>
      <c r="K1872" s="343"/>
      <c r="L1872" s="343"/>
    </row>
    <row r="1873" spans="2:12" x14ac:dyDescent="0.2">
      <c r="B1873" s="144"/>
      <c r="D1873" s="341"/>
      <c r="F1873" s="343"/>
      <c r="G1873" s="343"/>
      <c r="H1873" s="343"/>
      <c r="I1873" s="343"/>
      <c r="J1873" s="343"/>
      <c r="K1873" s="343"/>
      <c r="L1873" s="343"/>
    </row>
    <row r="1874" spans="2:12" x14ac:dyDescent="0.2">
      <c r="B1874" s="144"/>
      <c r="D1874" s="341"/>
      <c r="F1874" s="343"/>
      <c r="G1874" s="343"/>
      <c r="H1874" s="343"/>
      <c r="I1874" s="343"/>
      <c r="J1874" s="343"/>
      <c r="K1874" s="343"/>
      <c r="L1874" s="343"/>
    </row>
    <row r="1875" spans="2:12" x14ac:dyDescent="0.2">
      <c r="B1875" s="144"/>
      <c r="D1875" s="341"/>
      <c r="F1875" s="343"/>
      <c r="G1875" s="343"/>
      <c r="H1875" s="343"/>
      <c r="I1875" s="343"/>
      <c r="J1875" s="343"/>
      <c r="K1875" s="343"/>
      <c r="L1875" s="343"/>
    </row>
    <row r="1876" spans="2:12" x14ac:dyDescent="0.2">
      <c r="B1876" s="144"/>
      <c r="D1876" s="341"/>
      <c r="F1876" s="343"/>
      <c r="G1876" s="343"/>
      <c r="H1876" s="343"/>
      <c r="I1876" s="343"/>
      <c r="J1876" s="343"/>
      <c r="K1876" s="343"/>
      <c r="L1876" s="343"/>
    </row>
    <row r="1877" spans="2:12" x14ac:dyDescent="0.2">
      <c r="B1877" s="144"/>
      <c r="D1877" s="341"/>
      <c r="F1877" s="343"/>
      <c r="G1877" s="343"/>
      <c r="H1877" s="343"/>
      <c r="I1877" s="343"/>
      <c r="J1877" s="343"/>
      <c r="K1877" s="343"/>
      <c r="L1877" s="343"/>
    </row>
    <row r="1878" spans="2:12" x14ac:dyDescent="0.2">
      <c r="B1878" s="144"/>
      <c r="D1878" s="341"/>
      <c r="F1878" s="343"/>
      <c r="G1878" s="343"/>
      <c r="H1878" s="343"/>
      <c r="I1878" s="343"/>
      <c r="J1878" s="343"/>
      <c r="K1878" s="343"/>
      <c r="L1878" s="343"/>
    </row>
    <row r="1879" spans="2:12" x14ac:dyDescent="0.2">
      <c r="B1879" s="144"/>
      <c r="D1879" s="341"/>
      <c r="F1879" s="343"/>
      <c r="G1879" s="343"/>
      <c r="H1879" s="343"/>
      <c r="I1879" s="343"/>
      <c r="J1879" s="343"/>
      <c r="K1879" s="343"/>
      <c r="L1879" s="343"/>
    </row>
    <row r="1880" spans="2:12" x14ac:dyDescent="0.2">
      <c r="B1880" s="144"/>
      <c r="D1880" s="341"/>
      <c r="F1880" s="343"/>
      <c r="G1880" s="343"/>
      <c r="H1880" s="343"/>
      <c r="I1880" s="343"/>
      <c r="J1880" s="343"/>
      <c r="K1880" s="343"/>
      <c r="L1880" s="343"/>
    </row>
    <row r="1881" spans="2:12" x14ac:dyDescent="0.2">
      <c r="B1881" s="144"/>
      <c r="D1881" s="341"/>
      <c r="F1881" s="343"/>
      <c r="G1881" s="343"/>
      <c r="H1881" s="343"/>
      <c r="I1881" s="343"/>
      <c r="J1881" s="343"/>
      <c r="K1881" s="343"/>
      <c r="L1881" s="343"/>
    </row>
    <row r="1882" spans="2:12" x14ac:dyDescent="0.2">
      <c r="B1882" s="144"/>
      <c r="D1882" s="341"/>
      <c r="F1882" s="343"/>
      <c r="G1882" s="343"/>
      <c r="H1882" s="343"/>
      <c r="I1882" s="343"/>
      <c r="J1882" s="343"/>
      <c r="K1882" s="343"/>
      <c r="L1882" s="343"/>
    </row>
    <row r="1883" spans="2:12" x14ac:dyDescent="0.2">
      <c r="B1883" s="144"/>
      <c r="D1883" s="341"/>
      <c r="F1883" s="343"/>
      <c r="G1883" s="343"/>
      <c r="H1883" s="343"/>
      <c r="I1883" s="343"/>
      <c r="J1883" s="343"/>
      <c r="K1883" s="343"/>
      <c r="L1883" s="343"/>
    </row>
    <row r="1884" spans="2:12" x14ac:dyDescent="0.2">
      <c r="B1884" s="144"/>
      <c r="D1884" s="341"/>
      <c r="F1884" s="343"/>
      <c r="G1884" s="343"/>
      <c r="H1884" s="343"/>
      <c r="I1884" s="343"/>
      <c r="J1884" s="343"/>
      <c r="K1884" s="343"/>
      <c r="L1884" s="343"/>
    </row>
    <row r="1885" spans="2:12" x14ac:dyDescent="0.2">
      <c r="B1885" s="144"/>
      <c r="D1885" s="341"/>
      <c r="F1885" s="343"/>
      <c r="G1885" s="343"/>
      <c r="H1885" s="343"/>
      <c r="I1885" s="343"/>
      <c r="J1885" s="343"/>
      <c r="K1885" s="343"/>
      <c r="L1885" s="343"/>
    </row>
    <row r="1886" spans="2:12" x14ac:dyDescent="0.2">
      <c r="B1886" s="144"/>
      <c r="D1886" s="341"/>
      <c r="F1886" s="343"/>
      <c r="G1886" s="343"/>
      <c r="H1886" s="343"/>
      <c r="I1886" s="343"/>
      <c r="J1886" s="343"/>
      <c r="K1886" s="343"/>
      <c r="L1886" s="343"/>
    </row>
    <row r="1887" spans="2:12" x14ac:dyDescent="0.2">
      <c r="B1887" s="144"/>
      <c r="D1887" s="341"/>
      <c r="F1887" s="343"/>
      <c r="G1887" s="343"/>
      <c r="H1887" s="343"/>
      <c r="I1887" s="343"/>
      <c r="J1887" s="343"/>
      <c r="K1887" s="343"/>
      <c r="L1887" s="343"/>
    </row>
    <row r="1888" spans="2:12" x14ac:dyDescent="0.2">
      <c r="B1888" s="144"/>
      <c r="D1888" s="341"/>
      <c r="F1888" s="343"/>
      <c r="G1888" s="343"/>
      <c r="H1888" s="343"/>
      <c r="I1888" s="343"/>
      <c r="J1888" s="343"/>
      <c r="K1888" s="343"/>
      <c r="L1888" s="343"/>
    </row>
    <row r="1889" spans="2:12" x14ac:dyDescent="0.2">
      <c r="B1889" s="144"/>
      <c r="D1889" s="341"/>
      <c r="F1889" s="343"/>
      <c r="G1889" s="343"/>
      <c r="H1889" s="343"/>
      <c r="I1889" s="343"/>
      <c r="J1889" s="343"/>
      <c r="K1889" s="343"/>
      <c r="L1889" s="343"/>
    </row>
    <row r="1890" spans="2:12" x14ac:dyDescent="0.2">
      <c r="B1890" s="144"/>
      <c r="D1890" s="341"/>
      <c r="F1890" s="343"/>
      <c r="G1890" s="343"/>
      <c r="H1890" s="343"/>
      <c r="I1890" s="343"/>
      <c r="J1890" s="343"/>
      <c r="K1890" s="343"/>
      <c r="L1890" s="343"/>
    </row>
    <row r="1891" spans="2:12" x14ac:dyDescent="0.2">
      <c r="B1891" s="144"/>
      <c r="D1891" s="341"/>
      <c r="F1891" s="343"/>
      <c r="G1891" s="343"/>
      <c r="H1891" s="343"/>
      <c r="I1891" s="343"/>
      <c r="J1891" s="343"/>
      <c r="K1891" s="343"/>
      <c r="L1891" s="343"/>
    </row>
    <row r="1892" spans="2:12" x14ac:dyDescent="0.2">
      <c r="B1892" s="144"/>
      <c r="D1892" s="341"/>
      <c r="F1892" s="343"/>
      <c r="G1892" s="343"/>
      <c r="H1892" s="343"/>
      <c r="I1892" s="343"/>
      <c r="J1892" s="343"/>
      <c r="K1892" s="343"/>
      <c r="L1892" s="343"/>
    </row>
    <row r="1893" spans="2:12" x14ac:dyDescent="0.2">
      <c r="B1893" s="144"/>
      <c r="D1893" s="341"/>
      <c r="F1893" s="343"/>
      <c r="G1893" s="343"/>
      <c r="H1893" s="343"/>
      <c r="I1893" s="343"/>
      <c r="J1893" s="343"/>
      <c r="K1893" s="343"/>
      <c r="L1893" s="343"/>
    </row>
    <row r="1894" spans="2:12" x14ac:dyDescent="0.2">
      <c r="B1894" s="144"/>
      <c r="D1894" s="341"/>
      <c r="F1894" s="343"/>
      <c r="G1894" s="343"/>
      <c r="H1894" s="343"/>
      <c r="I1894" s="343"/>
      <c r="J1894" s="343"/>
      <c r="K1894" s="343"/>
      <c r="L1894" s="343"/>
    </row>
    <row r="1895" spans="2:12" x14ac:dyDescent="0.2">
      <c r="B1895" s="144"/>
      <c r="D1895" s="341"/>
      <c r="F1895" s="343"/>
      <c r="G1895" s="343"/>
      <c r="H1895" s="343"/>
      <c r="I1895" s="343"/>
      <c r="J1895" s="343"/>
      <c r="K1895" s="343"/>
      <c r="L1895" s="343"/>
    </row>
    <row r="1896" spans="2:12" x14ac:dyDescent="0.2">
      <c r="B1896" s="144"/>
      <c r="D1896" s="341"/>
      <c r="F1896" s="343"/>
      <c r="G1896" s="343"/>
      <c r="H1896" s="343"/>
      <c r="I1896" s="343"/>
      <c r="J1896" s="343"/>
      <c r="K1896" s="343"/>
      <c r="L1896" s="343"/>
    </row>
    <row r="1897" spans="2:12" x14ac:dyDescent="0.2">
      <c r="B1897" s="144"/>
      <c r="D1897" s="341"/>
      <c r="F1897" s="343"/>
      <c r="G1897" s="343"/>
      <c r="H1897" s="343"/>
      <c r="I1897" s="343"/>
      <c r="J1897" s="343"/>
      <c r="K1897" s="343"/>
      <c r="L1897" s="343"/>
    </row>
    <row r="1898" spans="2:12" x14ac:dyDescent="0.2">
      <c r="B1898" s="144"/>
      <c r="D1898" s="341"/>
      <c r="F1898" s="343"/>
      <c r="G1898" s="343"/>
      <c r="H1898" s="343"/>
      <c r="I1898" s="343"/>
      <c r="J1898" s="343"/>
      <c r="K1898" s="343"/>
      <c r="L1898" s="343"/>
    </row>
    <row r="1899" spans="2:12" x14ac:dyDescent="0.2">
      <c r="B1899" s="144"/>
      <c r="D1899" s="341"/>
      <c r="F1899" s="343"/>
      <c r="G1899" s="343"/>
      <c r="H1899" s="343"/>
      <c r="I1899" s="343"/>
      <c r="J1899" s="343"/>
      <c r="K1899" s="343"/>
      <c r="L1899" s="343"/>
    </row>
    <row r="1900" spans="2:12" x14ac:dyDescent="0.2">
      <c r="B1900" s="144"/>
      <c r="D1900" s="341"/>
      <c r="F1900" s="343"/>
      <c r="G1900" s="343"/>
      <c r="H1900" s="343"/>
      <c r="I1900" s="343"/>
      <c r="J1900" s="343"/>
      <c r="K1900" s="343"/>
      <c r="L1900" s="343"/>
    </row>
    <row r="1901" spans="2:12" x14ac:dyDescent="0.2">
      <c r="B1901" s="144"/>
      <c r="D1901" s="341"/>
      <c r="F1901" s="343"/>
      <c r="G1901" s="343"/>
      <c r="H1901" s="343"/>
      <c r="I1901" s="343"/>
      <c r="J1901" s="343"/>
      <c r="K1901" s="343"/>
      <c r="L1901" s="343"/>
    </row>
    <row r="1902" spans="2:12" x14ac:dyDescent="0.2">
      <c r="B1902" s="144"/>
      <c r="D1902" s="341"/>
      <c r="F1902" s="343"/>
      <c r="G1902" s="343"/>
      <c r="H1902" s="343"/>
      <c r="I1902" s="343"/>
      <c r="J1902" s="343"/>
      <c r="K1902" s="343"/>
      <c r="L1902" s="343"/>
    </row>
    <row r="1903" spans="2:12" x14ac:dyDescent="0.2">
      <c r="B1903" s="144"/>
      <c r="D1903" s="341"/>
      <c r="F1903" s="343"/>
      <c r="G1903" s="343"/>
      <c r="H1903" s="343"/>
      <c r="I1903" s="343"/>
      <c r="J1903" s="343"/>
      <c r="K1903" s="343"/>
      <c r="L1903" s="343"/>
    </row>
    <row r="1904" spans="2:12" x14ac:dyDescent="0.2">
      <c r="B1904" s="144"/>
      <c r="D1904" s="341"/>
      <c r="F1904" s="343"/>
      <c r="G1904" s="343"/>
      <c r="H1904" s="343"/>
      <c r="I1904" s="343"/>
      <c r="J1904" s="343"/>
      <c r="K1904" s="343"/>
      <c r="L1904" s="343"/>
    </row>
    <row r="1905" spans="2:12" x14ac:dyDescent="0.2">
      <c r="B1905" s="144"/>
      <c r="D1905" s="341"/>
      <c r="F1905" s="343"/>
      <c r="G1905" s="343"/>
      <c r="H1905" s="343"/>
      <c r="I1905" s="343"/>
      <c r="J1905" s="343"/>
      <c r="K1905" s="343"/>
      <c r="L1905" s="343"/>
    </row>
    <row r="1906" spans="2:12" x14ac:dyDescent="0.2">
      <c r="B1906" s="144"/>
      <c r="D1906" s="341"/>
      <c r="F1906" s="343"/>
      <c r="G1906" s="343"/>
      <c r="H1906" s="343"/>
      <c r="I1906" s="343"/>
      <c r="J1906" s="343"/>
      <c r="K1906" s="343"/>
      <c r="L1906" s="343"/>
    </row>
    <row r="1907" spans="2:12" x14ac:dyDescent="0.2">
      <c r="B1907" s="144"/>
      <c r="D1907" s="341"/>
      <c r="F1907" s="343"/>
      <c r="G1907" s="343"/>
      <c r="H1907" s="343"/>
      <c r="I1907" s="343"/>
      <c r="J1907" s="343"/>
      <c r="K1907" s="343"/>
      <c r="L1907" s="343"/>
    </row>
    <row r="1908" spans="2:12" x14ac:dyDescent="0.2">
      <c r="B1908" s="144"/>
      <c r="D1908" s="341"/>
      <c r="F1908" s="343"/>
      <c r="G1908" s="343"/>
      <c r="H1908" s="343"/>
      <c r="I1908" s="343"/>
      <c r="J1908" s="343"/>
      <c r="K1908" s="343"/>
      <c r="L1908" s="343"/>
    </row>
    <row r="1909" spans="2:12" x14ac:dyDescent="0.2">
      <c r="B1909" s="144"/>
      <c r="D1909" s="341"/>
      <c r="F1909" s="343"/>
      <c r="G1909" s="343"/>
      <c r="H1909" s="343"/>
      <c r="I1909" s="343"/>
      <c r="J1909" s="343"/>
      <c r="K1909" s="343"/>
      <c r="L1909" s="343"/>
    </row>
    <row r="1910" spans="2:12" x14ac:dyDescent="0.2">
      <c r="B1910" s="144"/>
      <c r="D1910" s="341"/>
      <c r="F1910" s="343"/>
      <c r="G1910" s="343"/>
      <c r="H1910" s="343"/>
      <c r="I1910" s="343"/>
      <c r="J1910" s="343"/>
      <c r="K1910" s="343"/>
      <c r="L1910" s="343"/>
    </row>
    <row r="1911" spans="2:12" x14ac:dyDescent="0.2">
      <c r="B1911" s="144"/>
      <c r="D1911" s="341"/>
      <c r="F1911" s="343"/>
      <c r="G1911" s="343"/>
      <c r="H1911" s="343"/>
      <c r="I1911" s="343"/>
      <c r="J1911" s="343"/>
      <c r="K1911" s="343"/>
      <c r="L1911" s="343"/>
    </row>
    <row r="1912" spans="2:12" x14ac:dyDescent="0.2">
      <c r="B1912" s="144"/>
      <c r="D1912" s="341"/>
      <c r="F1912" s="343"/>
      <c r="G1912" s="343"/>
      <c r="H1912" s="343"/>
      <c r="I1912" s="343"/>
      <c r="J1912" s="343"/>
      <c r="K1912" s="343"/>
      <c r="L1912" s="343"/>
    </row>
    <row r="1913" spans="2:12" x14ac:dyDescent="0.2">
      <c r="B1913" s="144"/>
      <c r="D1913" s="341"/>
      <c r="F1913" s="343"/>
      <c r="G1913" s="343"/>
      <c r="H1913" s="343"/>
      <c r="I1913" s="343"/>
      <c r="J1913" s="343"/>
      <c r="K1913" s="343"/>
      <c r="L1913" s="343"/>
    </row>
    <row r="1914" spans="2:12" x14ac:dyDescent="0.2">
      <c r="B1914" s="144"/>
      <c r="D1914" s="341"/>
      <c r="F1914" s="343"/>
      <c r="G1914" s="343"/>
      <c r="H1914" s="343"/>
      <c r="I1914" s="343"/>
      <c r="J1914" s="343"/>
      <c r="K1914" s="343"/>
      <c r="L1914" s="343"/>
    </row>
    <row r="1915" spans="2:12" x14ac:dyDescent="0.2">
      <c r="B1915" s="144"/>
      <c r="D1915" s="341"/>
      <c r="F1915" s="343"/>
      <c r="G1915" s="343"/>
      <c r="H1915" s="343"/>
      <c r="I1915" s="343"/>
      <c r="J1915" s="343"/>
      <c r="K1915" s="343"/>
      <c r="L1915" s="343"/>
    </row>
    <row r="1916" spans="2:12" x14ac:dyDescent="0.2">
      <c r="B1916" s="144"/>
      <c r="D1916" s="341"/>
      <c r="F1916" s="343"/>
      <c r="G1916" s="343"/>
      <c r="H1916" s="343"/>
      <c r="I1916" s="343"/>
      <c r="J1916" s="343"/>
      <c r="K1916" s="343"/>
      <c r="L1916" s="343"/>
    </row>
    <row r="1917" spans="2:12" x14ac:dyDescent="0.2">
      <c r="B1917" s="144"/>
      <c r="D1917" s="341"/>
      <c r="F1917" s="343"/>
      <c r="G1917" s="343"/>
      <c r="H1917" s="343"/>
      <c r="I1917" s="343"/>
      <c r="J1917" s="343"/>
      <c r="K1917" s="343"/>
      <c r="L1917" s="343"/>
    </row>
    <row r="1918" spans="2:12" x14ac:dyDescent="0.2">
      <c r="B1918" s="144"/>
      <c r="D1918" s="341"/>
      <c r="F1918" s="343"/>
      <c r="G1918" s="343"/>
      <c r="H1918" s="343"/>
      <c r="I1918" s="343"/>
      <c r="J1918" s="343"/>
      <c r="K1918" s="343"/>
      <c r="L1918" s="343"/>
    </row>
    <row r="1919" spans="2:12" x14ac:dyDescent="0.2">
      <c r="B1919" s="144"/>
      <c r="D1919" s="341"/>
      <c r="F1919" s="343"/>
      <c r="G1919" s="343"/>
      <c r="H1919" s="343"/>
      <c r="I1919" s="343"/>
      <c r="J1919" s="343"/>
      <c r="K1919" s="343"/>
      <c r="L1919" s="343"/>
    </row>
    <row r="1920" spans="2:12" x14ac:dyDescent="0.2">
      <c r="B1920" s="144"/>
      <c r="D1920" s="341"/>
      <c r="F1920" s="343"/>
      <c r="G1920" s="343"/>
      <c r="H1920" s="343"/>
      <c r="I1920" s="343"/>
      <c r="J1920" s="343"/>
      <c r="K1920" s="343"/>
      <c r="L1920" s="343"/>
    </row>
    <row r="1921" spans="2:12" x14ac:dyDescent="0.2">
      <c r="B1921" s="144"/>
      <c r="D1921" s="341"/>
      <c r="F1921" s="343"/>
      <c r="G1921" s="343"/>
      <c r="H1921" s="343"/>
      <c r="I1921" s="343"/>
      <c r="J1921" s="343"/>
      <c r="K1921" s="343"/>
      <c r="L1921" s="343"/>
    </row>
    <row r="1922" spans="2:12" x14ac:dyDescent="0.2">
      <c r="B1922" s="144"/>
      <c r="D1922" s="341"/>
      <c r="F1922" s="343"/>
      <c r="G1922" s="343"/>
      <c r="H1922" s="343"/>
      <c r="I1922" s="343"/>
      <c r="J1922" s="343"/>
      <c r="K1922" s="343"/>
      <c r="L1922" s="343"/>
    </row>
    <row r="1923" spans="2:12" x14ac:dyDescent="0.2">
      <c r="B1923" s="144"/>
      <c r="D1923" s="341"/>
      <c r="F1923" s="343"/>
      <c r="G1923" s="343"/>
      <c r="H1923" s="343"/>
      <c r="I1923" s="343"/>
      <c r="J1923" s="343"/>
      <c r="K1923" s="343"/>
      <c r="L1923" s="343"/>
    </row>
    <row r="1924" spans="2:12" x14ac:dyDescent="0.2">
      <c r="B1924" s="144"/>
      <c r="D1924" s="341"/>
      <c r="F1924" s="343"/>
      <c r="G1924" s="343"/>
      <c r="H1924" s="343"/>
      <c r="I1924" s="343"/>
      <c r="J1924" s="343"/>
      <c r="K1924" s="343"/>
      <c r="L1924" s="343"/>
    </row>
    <row r="1925" spans="2:12" x14ac:dyDescent="0.2">
      <c r="B1925" s="144"/>
      <c r="D1925" s="341"/>
      <c r="F1925" s="343"/>
      <c r="G1925" s="343"/>
      <c r="H1925" s="343"/>
      <c r="I1925" s="343"/>
      <c r="J1925" s="343"/>
      <c r="K1925" s="343"/>
      <c r="L1925" s="343"/>
    </row>
    <row r="1926" spans="2:12" x14ac:dyDescent="0.2">
      <c r="B1926" s="144"/>
      <c r="D1926" s="341"/>
      <c r="F1926" s="343"/>
      <c r="G1926" s="343"/>
      <c r="H1926" s="343"/>
      <c r="I1926" s="343"/>
      <c r="J1926" s="343"/>
      <c r="K1926" s="343"/>
      <c r="L1926" s="343"/>
    </row>
    <row r="1927" spans="2:12" x14ac:dyDescent="0.2">
      <c r="B1927" s="144"/>
      <c r="D1927" s="341"/>
      <c r="F1927" s="343"/>
      <c r="G1927" s="343"/>
      <c r="H1927" s="343"/>
      <c r="I1927" s="343"/>
      <c r="J1927" s="343"/>
      <c r="K1927" s="343"/>
      <c r="L1927" s="343"/>
    </row>
    <row r="1928" spans="2:12" x14ac:dyDescent="0.2">
      <c r="B1928" s="144"/>
      <c r="D1928" s="341"/>
      <c r="F1928" s="343"/>
      <c r="G1928" s="343"/>
      <c r="H1928" s="343"/>
      <c r="I1928" s="343"/>
      <c r="J1928" s="343"/>
      <c r="K1928" s="343"/>
      <c r="L1928" s="343"/>
    </row>
    <row r="1929" spans="2:12" x14ac:dyDescent="0.2">
      <c r="B1929" s="144"/>
      <c r="D1929" s="341"/>
      <c r="F1929" s="343"/>
      <c r="G1929" s="343"/>
      <c r="H1929" s="343"/>
      <c r="I1929" s="343"/>
      <c r="J1929" s="343"/>
      <c r="K1929" s="343"/>
      <c r="L1929" s="343"/>
    </row>
    <row r="1930" spans="2:12" x14ac:dyDescent="0.2">
      <c r="B1930" s="144"/>
      <c r="D1930" s="341"/>
      <c r="F1930" s="343"/>
      <c r="G1930" s="343"/>
      <c r="H1930" s="343"/>
      <c r="I1930" s="343"/>
      <c r="J1930" s="343"/>
      <c r="K1930" s="343"/>
      <c r="L1930" s="343"/>
    </row>
    <row r="1931" spans="2:12" x14ac:dyDescent="0.2">
      <c r="B1931" s="144"/>
      <c r="D1931" s="341"/>
      <c r="F1931" s="343"/>
      <c r="G1931" s="343"/>
      <c r="H1931" s="343"/>
      <c r="I1931" s="343"/>
      <c r="J1931" s="343"/>
      <c r="K1931" s="343"/>
      <c r="L1931" s="343"/>
    </row>
    <row r="1932" spans="2:12" x14ac:dyDescent="0.2">
      <c r="B1932" s="144"/>
      <c r="D1932" s="341"/>
      <c r="F1932" s="343"/>
      <c r="G1932" s="343"/>
      <c r="H1932" s="343"/>
      <c r="I1932" s="343"/>
      <c r="J1932" s="343"/>
      <c r="K1932" s="343"/>
      <c r="L1932" s="343"/>
    </row>
    <row r="1933" spans="2:12" x14ac:dyDescent="0.2">
      <c r="B1933" s="144"/>
      <c r="D1933" s="341"/>
      <c r="F1933" s="343"/>
      <c r="G1933" s="343"/>
      <c r="H1933" s="343"/>
      <c r="I1933" s="343"/>
      <c r="J1933" s="343"/>
      <c r="K1933" s="343"/>
      <c r="L1933" s="343"/>
    </row>
    <row r="1934" spans="2:12" x14ac:dyDescent="0.2">
      <c r="B1934" s="144"/>
      <c r="D1934" s="341"/>
      <c r="F1934" s="343"/>
      <c r="G1934" s="343"/>
      <c r="H1934" s="343"/>
      <c r="I1934" s="343"/>
      <c r="J1934" s="343"/>
      <c r="K1934" s="343"/>
      <c r="L1934" s="343"/>
    </row>
    <row r="1935" spans="2:12" x14ac:dyDescent="0.2">
      <c r="B1935" s="144"/>
      <c r="D1935" s="341"/>
      <c r="F1935" s="343"/>
      <c r="G1935" s="343"/>
      <c r="H1935" s="343"/>
      <c r="I1935" s="343"/>
      <c r="J1935" s="343"/>
      <c r="K1935" s="343"/>
      <c r="L1935" s="343"/>
    </row>
    <row r="1936" spans="2:12" x14ac:dyDescent="0.2">
      <c r="B1936" s="144"/>
      <c r="D1936" s="341"/>
      <c r="F1936" s="343"/>
      <c r="G1936" s="343"/>
      <c r="H1936" s="343"/>
      <c r="I1936" s="343"/>
      <c r="J1936" s="343"/>
      <c r="K1936" s="343"/>
      <c r="L1936" s="343"/>
    </row>
    <row r="1937" spans="2:12" x14ac:dyDescent="0.2">
      <c r="B1937" s="144"/>
      <c r="D1937" s="341"/>
      <c r="F1937" s="343"/>
      <c r="G1937" s="343"/>
      <c r="H1937" s="343"/>
      <c r="I1937" s="343"/>
      <c r="J1937" s="343"/>
      <c r="K1937" s="343"/>
      <c r="L1937" s="343"/>
    </row>
    <row r="1938" spans="2:12" x14ac:dyDescent="0.2">
      <c r="B1938" s="144"/>
      <c r="D1938" s="341"/>
      <c r="F1938" s="343"/>
      <c r="G1938" s="343"/>
      <c r="H1938" s="343"/>
      <c r="I1938" s="343"/>
      <c r="J1938" s="343"/>
      <c r="K1938" s="343"/>
      <c r="L1938" s="343"/>
    </row>
    <row r="1939" spans="2:12" x14ac:dyDescent="0.2">
      <c r="B1939" s="144"/>
      <c r="D1939" s="341"/>
      <c r="F1939" s="343"/>
      <c r="G1939" s="343"/>
      <c r="H1939" s="343"/>
      <c r="I1939" s="343"/>
      <c r="J1939" s="343"/>
      <c r="K1939" s="343"/>
      <c r="L1939" s="343"/>
    </row>
    <row r="1940" spans="2:12" x14ac:dyDescent="0.2">
      <c r="B1940" s="144"/>
      <c r="D1940" s="341"/>
      <c r="F1940" s="343"/>
      <c r="G1940" s="343"/>
      <c r="H1940" s="343"/>
      <c r="I1940" s="343"/>
      <c r="J1940" s="343"/>
      <c r="K1940" s="343"/>
      <c r="L1940" s="343"/>
    </row>
    <row r="1941" spans="2:12" x14ac:dyDescent="0.2">
      <c r="B1941" s="144"/>
      <c r="D1941" s="341"/>
      <c r="F1941" s="343"/>
      <c r="G1941" s="343"/>
      <c r="H1941" s="343"/>
      <c r="I1941" s="343"/>
      <c r="J1941" s="343"/>
      <c r="K1941" s="343"/>
      <c r="L1941" s="343"/>
    </row>
    <row r="1942" spans="2:12" x14ac:dyDescent="0.2">
      <c r="B1942" s="144"/>
      <c r="D1942" s="341"/>
      <c r="F1942" s="343"/>
      <c r="G1942" s="343"/>
      <c r="H1942" s="343"/>
      <c r="I1942" s="343"/>
      <c r="J1942" s="343"/>
      <c r="K1942" s="343"/>
      <c r="L1942" s="343"/>
    </row>
    <row r="1943" spans="2:12" x14ac:dyDescent="0.2">
      <c r="B1943" s="144"/>
      <c r="D1943" s="341"/>
      <c r="F1943" s="343"/>
      <c r="G1943" s="343"/>
      <c r="H1943" s="343"/>
      <c r="I1943" s="343"/>
      <c r="J1943" s="343"/>
      <c r="K1943" s="343"/>
      <c r="L1943" s="343"/>
    </row>
    <row r="1944" spans="2:12" x14ac:dyDescent="0.2">
      <c r="B1944" s="144"/>
      <c r="D1944" s="341"/>
      <c r="F1944" s="343"/>
      <c r="G1944" s="343"/>
      <c r="H1944" s="343"/>
      <c r="I1944" s="343"/>
      <c r="J1944" s="343"/>
      <c r="K1944" s="343"/>
      <c r="L1944" s="343"/>
    </row>
    <row r="1945" spans="2:12" x14ac:dyDescent="0.2">
      <c r="B1945" s="144"/>
      <c r="D1945" s="341"/>
      <c r="F1945" s="343"/>
      <c r="G1945" s="343"/>
      <c r="H1945" s="343"/>
      <c r="I1945" s="343"/>
      <c r="J1945" s="343"/>
      <c r="K1945" s="343"/>
      <c r="L1945" s="343"/>
    </row>
    <row r="1946" spans="2:12" x14ac:dyDescent="0.2">
      <c r="B1946" s="144"/>
      <c r="D1946" s="341"/>
      <c r="F1946" s="343"/>
      <c r="G1946" s="343"/>
      <c r="H1946" s="343"/>
      <c r="I1946" s="343"/>
      <c r="J1946" s="343"/>
      <c r="K1946" s="343"/>
      <c r="L1946" s="343"/>
    </row>
    <row r="1947" spans="2:12" x14ac:dyDescent="0.2">
      <c r="B1947" s="144"/>
      <c r="D1947" s="341"/>
      <c r="F1947" s="343"/>
      <c r="G1947" s="343"/>
      <c r="H1947" s="343"/>
      <c r="I1947" s="343"/>
      <c r="J1947" s="343"/>
      <c r="K1947" s="343"/>
      <c r="L1947" s="343"/>
    </row>
    <row r="1948" spans="2:12" x14ac:dyDescent="0.2">
      <c r="B1948" s="144"/>
      <c r="D1948" s="341"/>
      <c r="F1948" s="343"/>
      <c r="G1948" s="343"/>
      <c r="H1948" s="343"/>
      <c r="I1948" s="343"/>
      <c r="J1948" s="343"/>
      <c r="K1948" s="343"/>
      <c r="L1948" s="343"/>
    </row>
    <row r="1949" spans="2:12" x14ac:dyDescent="0.2">
      <c r="B1949" s="144"/>
      <c r="D1949" s="341"/>
      <c r="F1949" s="343"/>
      <c r="G1949" s="343"/>
      <c r="H1949" s="343"/>
      <c r="I1949" s="343"/>
      <c r="J1949" s="343"/>
      <c r="K1949" s="343"/>
      <c r="L1949" s="343"/>
    </row>
    <row r="1950" spans="2:12" x14ac:dyDescent="0.2">
      <c r="B1950" s="144"/>
      <c r="D1950" s="341"/>
      <c r="F1950" s="343"/>
      <c r="G1950" s="343"/>
      <c r="H1950" s="343"/>
      <c r="I1950" s="343"/>
      <c r="J1950" s="343"/>
      <c r="K1950" s="343"/>
      <c r="L1950" s="343"/>
    </row>
    <row r="1951" spans="2:12" x14ac:dyDescent="0.2">
      <c r="B1951" s="144"/>
      <c r="D1951" s="341"/>
      <c r="F1951" s="343"/>
      <c r="G1951" s="343"/>
      <c r="H1951" s="343"/>
      <c r="I1951" s="343"/>
      <c r="J1951" s="343"/>
      <c r="K1951" s="343"/>
      <c r="L1951" s="343"/>
    </row>
    <row r="1952" spans="2:12" x14ac:dyDescent="0.2">
      <c r="B1952" s="144"/>
      <c r="D1952" s="341"/>
      <c r="F1952" s="343"/>
      <c r="G1952" s="343"/>
      <c r="H1952" s="343"/>
      <c r="I1952" s="343"/>
      <c r="J1952" s="343"/>
      <c r="K1952" s="343"/>
      <c r="L1952" s="343"/>
    </row>
    <row r="1953" spans="2:12" x14ac:dyDescent="0.2">
      <c r="B1953" s="144"/>
      <c r="D1953" s="341"/>
      <c r="F1953" s="343"/>
      <c r="G1953" s="343"/>
      <c r="H1953" s="343"/>
      <c r="I1953" s="343"/>
      <c r="J1953" s="343"/>
      <c r="K1953" s="343"/>
      <c r="L1953" s="343"/>
    </row>
    <row r="1954" spans="2:12" x14ac:dyDescent="0.2">
      <c r="B1954" s="144"/>
      <c r="D1954" s="341"/>
      <c r="F1954" s="343"/>
      <c r="G1954" s="343"/>
      <c r="H1954" s="343"/>
      <c r="I1954" s="343"/>
      <c r="J1954" s="343"/>
      <c r="K1954" s="343"/>
      <c r="L1954" s="343"/>
    </row>
    <row r="1955" spans="2:12" x14ac:dyDescent="0.2">
      <c r="B1955" s="144"/>
      <c r="D1955" s="341"/>
      <c r="F1955" s="343"/>
      <c r="G1955" s="343"/>
      <c r="H1955" s="343"/>
      <c r="I1955" s="343"/>
      <c r="J1955" s="343"/>
      <c r="K1955" s="343"/>
      <c r="L1955" s="343"/>
    </row>
    <row r="1956" spans="2:12" x14ac:dyDescent="0.2">
      <c r="B1956" s="144"/>
      <c r="D1956" s="341"/>
      <c r="F1956" s="343"/>
      <c r="G1956" s="343"/>
      <c r="H1956" s="343"/>
      <c r="I1956" s="343"/>
      <c r="J1956" s="343"/>
      <c r="K1956" s="343"/>
      <c r="L1956" s="343"/>
    </row>
    <row r="1957" spans="2:12" x14ac:dyDescent="0.2">
      <c r="B1957" s="144"/>
      <c r="D1957" s="341"/>
      <c r="F1957" s="343"/>
      <c r="G1957" s="343"/>
      <c r="H1957" s="343"/>
      <c r="I1957" s="343"/>
      <c r="J1957" s="343"/>
      <c r="K1957" s="343"/>
      <c r="L1957" s="343"/>
    </row>
    <row r="1958" spans="2:12" x14ac:dyDescent="0.2">
      <c r="B1958" s="144"/>
      <c r="D1958" s="341"/>
      <c r="F1958" s="343"/>
      <c r="G1958" s="343"/>
      <c r="H1958" s="343"/>
      <c r="I1958" s="343"/>
      <c r="J1958" s="343"/>
      <c r="K1958" s="343"/>
      <c r="L1958" s="343"/>
    </row>
    <row r="1959" spans="2:12" x14ac:dyDescent="0.2">
      <c r="B1959" s="144"/>
      <c r="D1959" s="341"/>
      <c r="F1959" s="343"/>
      <c r="G1959" s="343"/>
      <c r="H1959" s="343"/>
      <c r="I1959" s="343"/>
      <c r="J1959" s="343"/>
      <c r="K1959" s="343"/>
      <c r="L1959" s="343"/>
    </row>
    <row r="1960" spans="2:12" x14ac:dyDescent="0.2">
      <c r="B1960" s="144"/>
      <c r="D1960" s="341"/>
      <c r="F1960" s="343"/>
      <c r="G1960" s="343"/>
      <c r="H1960" s="343"/>
      <c r="I1960" s="343"/>
      <c r="J1960" s="343"/>
      <c r="K1960" s="343"/>
      <c r="L1960" s="343"/>
    </row>
    <row r="1961" spans="2:12" x14ac:dyDescent="0.2">
      <c r="B1961" s="144"/>
      <c r="D1961" s="341"/>
      <c r="F1961" s="343"/>
      <c r="G1961" s="343"/>
      <c r="H1961" s="343"/>
      <c r="I1961" s="343"/>
      <c r="J1961" s="343"/>
      <c r="K1961" s="343"/>
      <c r="L1961" s="343"/>
    </row>
    <row r="1962" spans="2:12" x14ac:dyDescent="0.2">
      <c r="B1962" s="144"/>
      <c r="D1962" s="341"/>
      <c r="F1962" s="343"/>
      <c r="G1962" s="343"/>
      <c r="H1962" s="343"/>
      <c r="I1962" s="343"/>
      <c r="J1962" s="343"/>
      <c r="K1962" s="343"/>
      <c r="L1962" s="343"/>
    </row>
    <row r="1963" spans="2:12" x14ac:dyDescent="0.2">
      <c r="B1963" s="144"/>
      <c r="D1963" s="341"/>
      <c r="F1963" s="343"/>
      <c r="G1963" s="343"/>
      <c r="H1963" s="343"/>
      <c r="I1963" s="343"/>
      <c r="J1963" s="343"/>
      <c r="K1963" s="343"/>
      <c r="L1963" s="343"/>
    </row>
    <row r="1964" spans="2:12" x14ac:dyDescent="0.2">
      <c r="B1964" s="144"/>
      <c r="D1964" s="341"/>
      <c r="F1964" s="343"/>
      <c r="G1964" s="343"/>
      <c r="H1964" s="343"/>
      <c r="I1964" s="343"/>
      <c r="J1964" s="343"/>
      <c r="K1964" s="343"/>
      <c r="L1964" s="343"/>
    </row>
    <row r="1965" spans="2:12" x14ac:dyDescent="0.2">
      <c r="B1965" s="144"/>
      <c r="D1965" s="341"/>
      <c r="F1965" s="343"/>
      <c r="G1965" s="343"/>
      <c r="H1965" s="343"/>
      <c r="I1965" s="343"/>
      <c r="J1965" s="343"/>
      <c r="K1965" s="343"/>
      <c r="L1965" s="343"/>
    </row>
    <row r="1966" spans="2:12" x14ac:dyDescent="0.2">
      <c r="B1966" s="144"/>
      <c r="D1966" s="341"/>
      <c r="F1966" s="343"/>
      <c r="G1966" s="343"/>
      <c r="H1966" s="343"/>
      <c r="I1966" s="343"/>
      <c r="J1966" s="343"/>
      <c r="K1966" s="343"/>
      <c r="L1966" s="343"/>
    </row>
    <row r="1967" spans="2:12" x14ac:dyDescent="0.2">
      <c r="B1967" s="144"/>
      <c r="D1967" s="341"/>
      <c r="F1967" s="343"/>
      <c r="G1967" s="343"/>
      <c r="H1967" s="343"/>
      <c r="I1967" s="343"/>
      <c r="J1967" s="343"/>
      <c r="K1967" s="343"/>
      <c r="L1967" s="343"/>
    </row>
    <row r="1968" spans="2:12" x14ac:dyDescent="0.2">
      <c r="B1968" s="144"/>
      <c r="D1968" s="341"/>
      <c r="F1968" s="343"/>
      <c r="G1968" s="343"/>
      <c r="H1968" s="343"/>
      <c r="I1968" s="343"/>
      <c r="J1968" s="343"/>
      <c r="K1968" s="343"/>
      <c r="L1968" s="343"/>
    </row>
    <row r="1969" spans="2:12" x14ac:dyDescent="0.2">
      <c r="B1969" s="144"/>
      <c r="D1969" s="341"/>
      <c r="F1969" s="343"/>
      <c r="G1969" s="343"/>
      <c r="H1969" s="343"/>
      <c r="I1969" s="343"/>
      <c r="J1969" s="343"/>
      <c r="K1969" s="343"/>
      <c r="L1969" s="343"/>
    </row>
    <row r="1970" spans="2:12" x14ac:dyDescent="0.2">
      <c r="B1970" s="144"/>
      <c r="D1970" s="341"/>
      <c r="F1970" s="343"/>
      <c r="G1970" s="343"/>
      <c r="H1970" s="343"/>
      <c r="I1970" s="343"/>
      <c r="J1970" s="343"/>
      <c r="K1970" s="343"/>
      <c r="L1970" s="343"/>
    </row>
    <row r="1971" spans="2:12" x14ac:dyDescent="0.2">
      <c r="B1971" s="144"/>
      <c r="D1971" s="341"/>
      <c r="F1971" s="343"/>
      <c r="G1971" s="343"/>
      <c r="H1971" s="343"/>
      <c r="I1971" s="343"/>
      <c r="J1971" s="343"/>
      <c r="K1971" s="343"/>
      <c r="L1971" s="343"/>
    </row>
    <row r="1972" spans="2:12" x14ac:dyDescent="0.2">
      <c r="B1972" s="144"/>
      <c r="D1972" s="341"/>
      <c r="F1972" s="343"/>
      <c r="G1972" s="343"/>
      <c r="H1972" s="343"/>
      <c r="I1972" s="343"/>
      <c r="J1972" s="343"/>
      <c r="K1972" s="343"/>
      <c r="L1972" s="343"/>
    </row>
    <row r="1973" spans="2:12" x14ac:dyDescent="0.2">
      <c r="B1973" s="144"/>
      <c r="D1973" s="341"/>
      <c r="F1973" s="343"/>
      <c r="G1973" s="343"/>
      <c r="H1973" s="343"/>
      <c r="I1973" s="343"/>
      <c r="J1973" s="343"/>
      <c r="K1973" s="343"/>
      <c r="L1973" s="343"/>
    </row>
    <row r="1974" spans="2:12" x14ac:dyDescent="0.2">
      <c r="B1974" s="144"/>
      <c r="D1974" s="341"/>
      <c r="F1974" s="343"/>
      <c r="G1974" s="343"/>
      <c r="H1974" s="343"/>
      <c r="I1974" s="343"/>
      <c r="J1974" s="343"/>
      <c r="K1974" s="343"/>
      <c r="L1974" s="343"/>
    </row>
    <row r="1975" spans="2:12" x14ac:dyDescent="0.2">
      <c r="B1975" s="144"/>
      <c r="D1975" s="341"/>
      <c r="F1975" s="343"/>
      <c r="G1975" s="343"/>
      <c r="H1975" s="343"/>
      <c r="I1975" s="343"/>
      <c r="J1975" s="343"/>
      <c r="K1975" s="343"/>
      <c r="L1975" s="343"/>
    </row>
    <row r="1976" spans="2:12" x14ac:dyDescent="0.2">
      <c r="B1976" s="144"/>
      <c r="D1976" s="341"/>
      <c r="F1976" s="343"/>
      <c r="G1976" s="343"/>
      <c r="H1976" s="343"/>
      <c r="I1976" s="343"/>
      <c r="J1976" s="343"/>
      <c r="K1976" s="343"/>
      <c r="L1976" s="343"/>
    </row>
    <row r="1977" spans="2:12" x14ac:dyDescent="0.2">
      <c r="B1977" s="144"/>
      <c r="D1977" s="341"/>
      <c r="F1977" s="343"/>
      <c r="G1977" s="343"/>
      <c r="H1977" s="343"/>
      <c r="I1977" s="343"/>
      <c r="J1977" s="343"/>
      <c r="K1977" s="343"/>
      <c r="L1977" s="343"/>
    </row>
    <row r="1978" spans="2:12" x14ac:dyDescent="0.2">
      <c r="B1978" s="144"/>
      <c r="D1978" s="341"/>
      <c r="F1978" s="343"/>
      <c r="G1978" s="343"/>
      <c r="H1978" s="343"/>
      <c r="I1978" s="343"/>
      <c r="J1978" s="343"/>
      <c r="K1978" s="343"/>
      <c r="L1978" s="343"/>
    </row>
    <row r="1979" spans="2:12" x14ac:dyDescent="0.2">
      <c r="B1979" s="144"/>
      <c r="D1979" s="341"/>
      <c r="F1979" s="343"/>
      <c r="G1979" s="343"/>
      <c r="H1979" s="343"/>
      <c r="I1979" s="343"/>
      <c r="J1979" s="343"/>
      <c r="K1979" s="343"/>
      <c r="L1979" s="343"/>
    </row>
    <row r="1980" spans="2:12" x14ac:dyDescent="0.2">
      <c r="B1980" s="144"/>
      <c r="D1980" s="341"/>
      <c r="F1980" s="343"/>
      <c r="G1980" s="343"/>
      <c r="H1980" s="343"/>
      <c r="I1980" s="343"/>
      <c r="J1980" s="343"/>
      <c r="K1980" s="343"/>
      <c r="L1980" s="343"/>
    </row>
    <row r="1981" spans="2:12" x14ac:dyDescent="0.2">
      <c r="B1981" s="144"/>
      <c r="D1981" s="341"/>
      <c r="F1981" s="343"/>
      <c r="G1981" s="343"/>
      <c r="H1981" s="343"/>
      <c r="I1981" s="343"/>
      <c r="J1981" s="343"/>
      <c r="K1981" s="343"/>
      <c r="L1981" s="343"/>
    </row>
    <row r="1982" spans="2:12" x14ac:dyDescent="0.2">
      <c r="B1982" s="144"/>
      <c r="D1982" s="341"/>
      <c r="F1982" s="343"/>
      <c r="G1982" s="343"/>
      <c r="H1982" s="343"/>
      <c r="I1982" s="343"/>
      <c r="J1982" s="343"/>
      <c r="K1982" s="343"/>
      <c r="L1982" s="343"/>
    </row>
    <row r="1983" spans="2:12" x14ac:dyDescent="0.2">
      <c r="B1983" s="144"/>
      <c r="D1983" s="341"/>
      <c r="F1983" s="343"/>
      <c r="G1983" s="343"/>
      <c r="H1983" s="343"/>
      <c r="I1983" s="343"/>
      <c r="J1983" s="343"/>
      <c r="K1983" s="343"/>
      <c r="L1983" s="343"/>
    </row>
    <row r="1984" spans="2:12" x14ac:dyDescent="0.2">
      <c r="B1984" s="144"/>
      <c r="D1984" s="341"/>
      <c r="F1984" s="343"/>
      <c r="G1984" s="343"/>
      <c r="H1984" s="343"/>
      <c r="I1984" s="343"/>
      <c r="J1984" s="343"/>
      <c r="K1984" s="343"/>
      <c r="L1984" s="343"/>
    </row>
    <row r="1985" spans="2:12" x14ac:dyDescent="0.2">
      <c r="B1985" s="144"/>
      <c r="D1985" s="341"/>
      <c r="F1985" s="343"/>
      <c r="G1985" s="343"/>
      <c r="H1985" s="343"/>
      <c r="I1985" s="343"/>
      <c r="J1985" s="343"/>
      <c r="K1985" s="343"/>
      <c r="L1985" s="343"/>
    </row>
    <row r="1986" spans="2:12" x14ac:dyDescent="0.2">
      <c r="B1986" s="144"/>
      <c r="D1986" s="341"/>
      <c r="F1986" s="343"/>
      <c r="G1986" s="343"/>
      <c r="H1986" s="343"/>
      <c r="I1986" s="343"/>
      <c r="J1986" s="343"/>
      <c r="K1986" s="343"/>
      <c r="L1986" s="343"/>
    </row>
    <row r="1987" spans="2:12" x14ac:dyDescent="0.2">
      <c r="B1987" s="144"/>
      <c r="D1987" s="341"/>
      <c r="F1987" s="343"/>
      <c r="G1987" s="343"/>
      <c r="H1987" s="343"/>
      <c r="I1987" s="343"/>
      <c r="J1987" s="343"/>
      <c r="K1987" s="343"/>
      <c r="L1987" s="343"/>
    </row>
    <row r="1988" spans="2:12" x14ac:dyDescent="0.2">
      <c r="B1988" s="144"/>
      <c r="D1988" s="341"/>
      <c r="F1988" s="343"/>
      <c r="G1988" s="343"/>
      <c r="H1988" s="343"/>
      <c r="I1988" s="343"/>
      <c r="J1988" s="343"/>
      <c r="K1988" s="343"/>
      <c r="L1988" s="343"/>
    </row>
    <row r="1989" spans="2:12" x14ac:dyDescent="0.2">
      <c r="B1989" s="144"/>
      <c r="D1989" s="341"/>
      <c r="F1989" s="343"/>
      <c r="G1989" s="343"/>
      <c r="H1989" s="343"/>
      <c r="I1989" s="343"/>
      <c r="J1989" s="343"/>
      <c r="K1989" s="343"/>
      <c r="L1989" s="343"/>
    </row>
    <row r="1990" spans="2:12" x14ac:dyDescent="0.2">
      <c r="B1990" s="144"/>
      <c r="D1990" s="341"/>
      <c r="F1990" s="343"/>
      <c r="G1990" s="343"/>
      <c r="H1990" s="343"/>
      <c r="I1990" s="343"/>
      <c r="J1990" s="343"/>
      <c r="K1990" s="343"/>
      <c r="L1990" s="343"/>
    </row>
    <row r="1991" spans="2:12" x14ac:dyDescent="0.2">
      <c r="B1991" s="144"/>
      <c r="D1991" s="341"/>
      <c r="F1991" s="343"/>
      <c r="G1991" s="343"/>
      <c r="H1991" s="343"/>
      <c r="I1991" s="343"/>
      <c r="J1991" s="343"/>
      <c r="K1991" s="343"/>
      <c r="L1991" s="343"/>
    </row>
    <row r="1992" spans="2:12" x14ac:dyDescent="0.2">
      <c r="B1992" s="144"/>
      <c r="D1992" s="341"/>
      <c r="F1992" s="343"/>
      <c r="G1992" s="343"/>
      <c r="H1992" s="343"/>
      <c r="I1992" s="343"/>
      <c r="J1992" s="343"/>
      <c r="K1992" s="343"/>
      <c r="L1992" s="343"/>
    </row>
    <row r="1993" spans="2:12" x14ac:dyDescent="0.2">
      <c r="B1993" s="144"/>
      <c r="D1993" s="341"/>
      <c r="F1993" s="343"/>
      <c r="G1993" s="343"/>
      <c r="H1993" s="343"/>
      <c r="I1993" s="343"/>
      <c r="J1993" s="343"/>
      <c r="K1993" s="343"/>
      <c r="L1993" s="343"/>
    </row>
    <row r="1994" spans="2:12" x14ac:dyDescent="0.2">
      <c r="B1994" s="144"/>
      <c r="D1994" s="341"/>
      <c r="F1994" s="343"/>
      <c r="G1994" s="343"/>
      <c r="H1994" s="343"/>
      <c r="I1994" s="343"/>
      <c r="J1994" s="343"/>
      <c r="K1994" s="343"/>
      <c r="L1994" s="343"/>
    </row>
    <row r="1995" spans="2:12" x14ac:dyDescent="0.2">
      <c r="B1995" s="144"/>
      <c r="D1995" s="341"/>
      <c r="F1995" s="343"/>
      <c r="G1995" s="343"/>
      <c r="H1995" s="343"/>
      <c r="I1995" s="343"/>
      <c r="J1995" s="343"/>
      <c r="K1995" s="343"/>
      <c r="L1995" s="343"/>
    </row>
    <row r="1996" spans="2:12" x14ac:dyDescent="0.2">
      <c r="B1996" s="144"/>
      <c r="D1996" s="341"/>
      <c r="F1996" s="343"/>
      <c r="G1996" s="343"/>
      <c r="H1996" s="343"/>
      <c r="I1996" s="343"/>
      <c r="J1996" s="343"/>
      <c r="K1996" s="343"/>
      <c r="L1996" s="343"/>
    </row>
    <row r="1997" spans="2:12" x14ac:dyDescent="0.2">
      <c r="B1997" s="144"/>
      <c r="D1997" s="341"/>
      <c r="F1997" s="343"/>
      <c r="G1997" s="343"/>
      <c r="H1997" s="343"/>
      <c r="I1997" s="343"/>
      <c r="J1997" s="343"/>
      <c r="K1997" s="343"/>
      <c r="L1997" s="343"/>
    </row>
    <row r="1998" spans="2:12" x14ac:dyDescent="0.2">
      <c r="B1998" s="144"/>
      <c r="D1998" s="341"/>
      <c r="F1998" s="343"/>
      <c r="G1998" s="343"/>
      <c r="H1998" s="343"/>
      <c r="I1998" s="343"/>
      <c r="J1998" s="343"/>
      <c r="K1998" s="343"/>
      <c r="L1998" s="343"/>
    </row>
    <row r="1999" spans="2:12" x14ac:dyDescent="0.2">
      <c r="B1999" s="144"/>
      <c r="D1999" s="341"/>
      <c r="F1999" s="343"/>
      <c r="G1999" s="343"/>
      <c r="H1999" s="343"/>
      <c r="I1999" s="343"/>
      <c r="J1999" s="343"/>
      <c r="K1999" s="343"/>
      <c r="L1999" s="343"/>
    </row>
    <row r="2000" spans="2:12" x14ac:dyDescent="0.2">
      <c r="B2000" s="144"/>
      <c r="D2000" s="341"/>
      <c r="F2000" s="343"/>
      <c r="G2000" s="343"/>
      <c r="H2000" s="343"/>
      <c r="I2000" s="343"/>
      <c r="J2000" s="343"/>
      <c r="K2000" s="343"/>
      <c r="L2000" s="343"/>
    </row>
    <row r="2001" spans="2:12" x14ac:dyDescent="0.2">
      <c r="B2001" s="144"/>
      <c r="D2001" s="341"/>
      <c r="F2001" s="343"/>
      <c r="G2001" s="343"/>
      <c r="H2001" s="343"/>
      <c r="I2001" s="343"/>
      <c r="J2001" s="343"/>
      <c r="K2001" s="343"/>
      <c r="L2001" s="343"/>
    </row>
    <row r="2002" spans="2:12" x14ac:dyDescent="0.2">
      <c r="B2002" s="144"/>
      <c r="D2002" s="341"/>
      <c r="F2002" s="343"/>
      <c r="G2002" s="343"/>
      <c r="H2002" s="343"/>
      <c r="I2002" s="343"/>
      <c r="J2002" s="343"/>
      <c r="K2002" s="343"/>
      <c r="L2002" s="343"/>
    </row>
    <row r="2003" spans="2:12" x14ac:dyDescent="0.2">
      <c r="B2003" s="144"/>
      <c r="D2003" s="341"/>
      <c r="F2003" s="343"/>
      <c r="G2003" s="343"/>
      <c r="H2003" s="343"/>
      <c r="I2003" s="343"/>
      <c r="J2003" s="343"/>
      <c r="K2003" s="343"/>
      <c r="L2003" s="343"/>
    </row>
    <row r="2004" spans="2:12" x14ac:dyDescent="0.2">
      <c r="B2004" s="144"/>
      <c r="D2004" s="341"/>
      <c r="F2004" s="343"/>
      <c r="G2004" s="343"/>
      <c r="H2004" s="343"/>
      <c r="I2004" s="343"/>
      <c r="J2004" s="343"/>
      <c r="K2004" s="343"/>
      <c r="L2004" s="343"/>
    </row>
    <row r="2005" spans="2:12" x14ac:dyDescent="0.2">
      <c r="B2005" s="144"/>
      <c r="D2005" s="341"/>
      <c r="F2005" s="343"/>
      <c r="G2005" s="343"/>
      <c r="H2005" s="343"/>
      <c r="I2005" s="343"/>
      <c r="J2005" s="343"/>
      <c r="K2005" s="343"/>
      <c r="L2005" s="343"/>
    </row>
    <row r="2006" spans="2:12" x14ac:dyDescent="0.2">
      <c r="B2006" s="144"/>
      <c r="D2006" s="341"/>
      <c r="F2006" s="343"/>
      <c r="G2006" s="343"/>
      <c r="H2006" s="343"/>
      <c r="I2006" s="343"/>
      <c r="J2006" s="343"/>
      <c r="K2006" s="343"/>
      <c r="L2006" s="343"/>
    </row>
    <row r="2007" spans="2:12" x14ac:dyDescent="0.2">
      <c r="B2007" s="144"/>
      <c r="D2007" s="341"/>
      <c r="F2007" s="343"/>
      <c r="G2007" s="343"/>
      <c r="H2007" s="343"/>
      <c r="I2007" s="343"/>
      <c r="J2007" s="343"/>
      <c r="K2007" s="343"/>
      <c r="L2007" s="343"/>
    </row>
    <row r="2008" spans="2:12" x14ac:dyDescent="0.2">
      <c r="B2008" s="144"/>
      <c r="D2008" s="341"/>
      <c r="F2008" s="343"/>
      <c r="G2008" s="343"/>
      <c r="H2008" s="343"/>
      <c r="I2008" s="343"/>
      <c r="J2008" s="343"/>
      <c r="K2008" s="343"/>
      <c r="L2008" s="343"/>
    </row>
    <row r="2009" spans="2:12" x14ac:dyDescent="0.2">
      <c r="B2009" s="144"/>
      <c r="D2009" s="341"/>
      <c r="F2009" s="343"/>
      <c r="G2009" s="343"/>
      <c r="H2009" s="343"/>
      <c r="I2009" s="343"/>
      <c r="J2009" s="343"/>
      <c r="K2009" s="343"/>
      <c r="L2009" s="343"/>
    </row>
    <row r="2010" spans="2:12" x14ac:dyDescent="0.2">
      <c r="B2010" s="144"/>
      <c r="D2010" s="341"/>
      <c r="F2010" s="343"/>
      <c r="G2010" s="343"/>
      <c r="H2010" s="343"/>
      <c r="I2010" s="343"/>
      <c r="J2010" s="343"/>
      <c r="K2010" s="343"/>
      <c r="L2010" s="343"/>
    </row>
    <row r="2011" spans="2:12" x14ac:dyDescent="0.2">
      <c r="B2011" s="144"/>
      <c r="D2011" s="341"/>
      <c r="F2011" s="343"/>
      <c r="G2011" s="343"/>
      <c r="H2011" s="343"/>
      <c r="I2011" s="343"/>
      <c r="J2011" s="343"/>
      <c r="K2011" s="343"/>
      <c r="L2011" s="343"/>
    </row>
    <row r="2012" spans="2:12" x14ac:dyDescent="0.2">
      <c r="B2012" s="144"/>
      <c r="D2012" s="341"/>
      <c r="F2012" s="343"/>
      <c r="G2012" s="343"/>
      <c r="H2012" s="343"/>
      <c r="I2012" s="343"/>
      <c r="J2012" s="343"/>
      <c r="K2012" s="343"/>
      <c r="L2012" s="343"/>
    </row>
    <row r="2013" spans="2:12" x14ac:dyDescent="0.2">
      <c r="B2013" s="144"/>
      <c r="D2013" s="341"/>
      <c r="F2013" s="343"/>
      <c r="G2013" s="343"/>
      <c r="H2013" s="343"/>
      <c r="I2013" s="343"/>
      <c r="J2013" s="343"/>
      <c r="K2013" s="343"/>
      <c r="L2013" s="343"/>
    </row>
    <row r="2014" spans="2:12" x14ac:dyDescent="0.2">
      <c r="B2014" s="144"/>
      <c r="D2014" s="341"/>
      <c r="F2014" s="343"/>
      <c r="G2014" s="343"/>
      <c r="H2014" s="343"/>
      <c r="I2014" s="343"/>
      <c r="J2014" s="343"/>
      <c r="K2014" s="343"/>
      <c r="L2014" s="343"/>
    </row>
    <row r="2015" spans="2:12" x14ac:dyDescent="0.2">
      <c r="B2015" s="144"/>
      <c r="D2015" s="341"/>
      <c r="F2015" s="343"/>
      <c r="G2015" s="343"/>
      <c r="H2015" s="343"/>
      <c r="I2015" s="343"/>
      <c r="J2015" s="343"/>
      <c r="K2015" s="343"/>
      <c r="L2015" s="343"/>
    </row>
    <row r="2016" spans="2:12" x14ac:dyDescent="0.2">
      <c r="B2016" s="144"/>
      <c r="D2016" s="341"/>
      <c r="F2016" s="343"/>
      <c r="G2016" s="343"/>
      <c r="H2016" s="343"/>
      <c r="I2016" s="343"/>
      <c r="J2016" s="343"/>
      <c r="K2016" s="343"/>
      <c r="L2016" s="343"/>
    </row>
    <row r="2017" spans="2:12" x14ac:dyDescent="0.2">
      <c r="B2017" s="144"/>
      <c r="D2017" s="341"/>
      <c r="F2017" s="343"/>
      <c r="G2017" s="343"/>
      <c r="H2017" s="343"/>
      <c r="I2017" s="343"/>
      <c r="J2017" s="343"/>
      <c r="K2017" s="343"/>
      <c r="L2017" s="343"/>
    </row>
    <row r="2018" spans="2:12" x14ac:dyDescent="0.2">
      <c r="B2018" s="144"/>
      <c r="D2018" s="341"/>
      <c r="F2018" s="343"/>
      <c r="G2018" s="343"/>
      <c r="H2018" s="343"/>
      <c r="I2018" s="343"/>
      <c r="J2018" s="343"/>
      <c r="K2018" s="343"/>
      <c r="L2018" s="343"/>
    </row>
    <row r="2019" spans="2:12" x14ac:dyDescent="0.2">
      <c r="B2019" s="144"/>
      <c r="D2019" s="341"/>
      <c r="F2019" s="343"/>
      <c r="G2019" s="343"/>
      <c r="H2019" s="343"/>
      <c r="I2019" s="343"/>
      <c r="J2019" s="343"/>
      <c r="K2019" s="343"/>
      <c r="L2019" s="343"/>
    </row>
    <row r="2020" spans="2:12" x14ac:dyDescent="0.2">
      <c r="B2020" s="144"/>
      <c r="D2020" s="341"/>
      <c r="F2020" s="343"/>
      <c r="G2020" s="343"/>
      <c r="H2020" s="343"/>
      <c r="I2020" s="343"/>
      <c r="J2020" s="343"/>
      <c r="K2020" s="343"/>
      <c r="L2020" s="343"/>
    </row>
    <row r="2021" spans="2:12" x14ac:dyDescent="0.2">
      <c r="B2021" s="144"/>
      <c r="D2021" s="341"/>
      <c r="F2021" s="343"/>
      <c r="G2021" s="343"/>
      <c r="H2021" s="343"/>
      <c r="I2021" s="343"/>
      <c r="J2021" s="343"/>
      <c r="K2021" s="343"/>
      <c r="L2021" s="343"/>
    </row>
    <row r="2022" spans="2:12" x14ac:dyDescent="0.2">
      <c r="B2022" s="144"/>
      <c r="D2022" s="341"/>
      <c r="F2022" s="343"/>
      <c r="G2022" s="343"/>
      <c r="H2022" s="343"/>
      <c r="I2022" s="343"/>
      <c r="J2022" s="343"/>
      <c r="K2022" s="343"/>
      <c r="L2022" s="343"/>
    </row>
    <row r="2023" spans="2:12" x14ac:dyDescent="0.2">
      <c r="B2023" s="144"/>
      <c r="D2023" s="341"/>
      <c r="F2023" s="343"/>
      <c r="G2023" s="343"/>
      <c r="H2023" s="343"/>
      <c r="I2023" s="343"/>
      <c r="J2023" s="343"/>
      <c r="K2023" s="343"/>
      <c r="L2023" s="343"/>
    </row>
    <row r="2024" spans="2:12" x14ac:dyDescent="0.2">
      <c r="B2024" s="144"/>
      <c r="D2024" s="341"/>
      <c r="F2024" s="343"/>
      <c r="G2024" s="343"/>
      <c r="H2024" s="343"/>
      <c r="I2024" s="343"/>
      <c r="J2024" s="343"/>
      <c r="K2024" s="343"/>
      <c r="L2024" s="343"/>
    </row>
    <row r="2025" spans="2:12" x14ac:dyDescent="0.2">
      <c r="B2025" s="144"/>
      <c r="D2025" s="341"/>
      <c r="F2025" s="343"/>
      <c r="G2025" s="343"/>
      <c r="H2025" s="343"/>
      <c r="I2025" s="343"/>
      <c r="J2025" s="343"/>
      <c r="K2025" s="343"/>
      <c r="L2025" s="343"/>
    </row>
    <row r="2026" spans="2:12" x14ac:dyDescent="0.2">
      <c r="B2026" s="144"/>
      <c r="D2026" s="341"/>
      <c r="F2026" s="343"/>
      <c r="G2026" s="343"/>
      <c r="H2026" s="343"/>
      <c r="I2026" s="343"/>
      <c r="J2026" s="343"/>
      <c r="K2026" s="343"/>
      <c r="L2026" s="343"/>
    </row>
    <row r="2027" spans="2:12" x14ac:dyDescent="0.2">
      <c r="B2027" s="144"/>
      <c r="D2027" s="341"/>
      <c r="F2027" s="343"/>
      <c r="G2027" s="343"/>
      <c r="H2027" s="343"/>
      <c r="I2027" s="343"/>
      <c r="J2027" s="343"/>
      <c r="K2027" s="343"/>
      <c r="L2027" s="343"/>
    </row>
    <row r="2028" spans="2:12" x14ac:dyDescent="0.2">
      <c r="B2028" s="144"/>
      <c r="D2028" s="341"/>
      <c r="F2028" s="343"/>
      <c r="G2028" s="343"/>
      <c r="H2028" s="343"/>
      <c r="I2028" s="343"/>
      <c r="J2028" s="343"/>
      <c r="K2028" s="343"/>
      <c r="L2028" s="343"/>
    </row>
    <row r="2029" spans="2:12" x14ac:dyDescent="0.2">
      <c r="B2029" s="144"/>
      <c r="D2029" s="341"/>
      <c r="F2029" s="343"/>
      <c r="G2029" s="343"/>
      <c r="H2029" s="343"/>
      <c r="I2029" s="343"/>
      <c r="J2029" s="343"/>
      <c r="K2029" s="343"/>
      <c r="L2029" s="343"/>
    </row>
    <row r="2030" spans="2:12" x14ac:dyDescent="0.2">
      <c r="B2030" s="144"/>
      <c r="D2030" s="341"/>
      <c r="F2030" s="343"/>
      <c r="G2030" s="343"/>
      <c r="H2030" s="343"/>
      <c r="I2030" s="343"/>
      <c r="J2030" s="343"/>
      <c r="K2030" s="343"/>
      <c r="L2030" s="343"/>
    </row>
    <row r="2031" spans="2:12" x14ac:dyDescent="0.2">
      <c r="B2031" s="144"/>
      <c r="D2031" s="341"/>
      <c r="F2031" s="343"/>
      <c r="G2031" s="343"/>
      <c r="H2031" s="343"/>
      <c r="I2031" s="343"/>
      <c r="J2031" s="343"/>
      <c r="K2031" s="343"/>
      <c r="L2031" s="343"/>
    </row>
    <row r="2032" spans="2:12" x14ac:dyDescent="0.2">
      <c r="B2032" s="144"/>
      <c r="D2032" s="341"/>
      <c r="F2032" s="343"/>
      <c r="G2032" s="343"/>
      <c r="H2032" s="343"/>
      <c r="I2032" s="343"/>
      <c r="J2032" s="343"/>
      <c r="K2032" s="343"/>
      <c r="L2032" s="343"/>
    </row>
    <row r="2033" spans="2:12" x14ac:dyDescent="0.2">
      <c r="B2033" s="144"/>
      <c r="D2033" s="341"/>
      <c r="F2033" s="343"/>
      <c r="G2033" s="343"/>
      <c r="H2033" s="343"/>
      <c r="I2033" s="343"/>
      <c r="J2033" s="343"/>
      <c r="K2033" s="343"/>
      <c r="L2033" s="343"/>
    </row>
    <row r="2034" spans="2:12" x14ac:dyDescent="0.2">
      <c r="B2034" s="144"/>
      <c r="D2034" s="341"/>
      <c r="F2034" s="343"/>
      <c r="G2034" s="343"/>
      <c r="H2034" s="343"/>
      <c r="I2034" s="343"/>
      <c r="J2034" s="343"/>
      <c r="K2034" s="343"/>
      <c r="L2034" s="343"/>
    </row>
    <row r="2035" spans="2:12" x14ac:dyDescent="0.2">
      <c r="B2035" s="144"/>
      <c r="D2035" s="341"/>
      <c r="F2035" s="343"/>
      <c r="G2035" s="343"/>
      <c r="H2035" s="343"/>
      <c r="I2035" s="343"/>
      <c r="J2035" s="343"/>
      <c r="K2035" s="343"/>
      <c r="L2035" s="343"/>
    </row>
    <row r="2036" spans="2:12" x14ac:dyDescent="0.2">
      <c r="B2036" s="144"/>
      <c r="D2036" s="341"/>
      <c r="F2036" s="343"/>
      <c r="G2036" s="343"/>
      <c r="H2036" s="343"/>
      <c r="I2036" s="343"/>
      <c r="J2036" s="343"/>
      <c r="K2036" s="343"/>
      <c r="L2036" s="343"/>
    </row>
    <row r="2037" spans="2:12" x14ac:dyDescent="0.2">
      <c r="B2037" s="144"/>
      <c r="D2037" s="341"/>
      <c r="F2037" s="343"/>
      <c r="G2037" s="343"/>
      <c r="H2037" s="343"/>
      <c r="I2037" s="343"/>
      <c r="J2037" s="343"/>
      <c r="K2037" s="343"/>
      <c r="L2037" s="343"/>
    </row>
    <row r="2038" spans="2:12" x14ac:dyDescent="0.2">
      <c r="B2038" s="144"/>
      <c r="D2038" s="341"/>
      <c r="F2038" s="343"/>
      <c r="G2038" s="343"/>
      <c r="H2038" s="343"/>
      <c r="I2038" s="343"/>
      <c r="J2038" s="343"/>
      <c r="K2038" s="343"/>
      <c r="L2038" s="343"/>
    </row>
    <row r="2039" spans="2:12" x14ac:dyDescent="0.2">
      <c r="B2039" s="144"/>
      <c r="D2039" s="341"/>
      <c r="F2039" s="343"/>
      <c r="G2039" s="343"/>
      <c r="H2039" s="343"/>
      <c r="I2039" s="343"/>
      <c r="J2039" s="343"/>
      <c r="K2039" s="343"/>
      <c r="L2039" s="343"/>
    </row>
    <row r="2040" spans="2:12" x14ac:dyDescent="0.2">
      <c r="B2040" s="144"/>
      <c r="D2040" s="341"/>
      <c r="F2040" s="343"/>
      <c r="G2040" s="343"/>
      <c r="H2040" s="343"/>
      <c r="I2040" s="343"/>
      <c r="J2040" s="343"/>
      <c r="K2040" s="343"/>
      <c r="L2040" s="343"/>
    </row>
    <row r="2041" spans="2:12" x14ac:dyDescent="0.2">
      <c r="B2041" s="144"/>
      <c r="D2041" s="341"/>
      <c r="F2041" s="343"/>
      <c r="G2041" s="343"/>
      <c r="H2041" s="343"/>
      <c r="I2041" s="343"/>
      <c r="J2041" s="343"/>
      <c r="K2041" s="343"/>
      <c r="L2041" s="343"/>
    </row>
    <row r="2042" spans="2:12" x14ac:dyDescent="0.2">
      <c r="B2042" s="144"/>
      <c r="D2042" s="341"/>
      <c r="F2042" s="343"/>
      <c r="G2042" s="343"/>
      <c r="H2042" s="343"/>
      <c r="I2042" s="343"/>
      <c r="J2042" s="343"/>
      <c r="K2042" s="343"/>
      <c r="L2042" s="343"/>
    </row>
    <row r="2043" spans="2:12" x14ac:dyDescent="0.2">
      <c r="B2043" s="144"/>
      <c r="D2043" s="341"/>
      <c r="F2043" s="343"/>
      <c r="G2043" s="343"/>
      <c r="H2043" s="343"/>
      <c r="I2043" s="343"/>
      <c r="J2043" s="343"/>
      <c r="K2043" s="343"/>
      <c r="L2043" s="343"/>
    </row>
    <row r="2044" spans="2:12" x14ac:dyDescent="0.2">
      <c r="B2044" s="144"/>
      <c r="D2044" s="341"/>
      <c r="F2044" s="343"/>
      <c r="G2044" s="343"/>
      <c r="H2044" s="343"/>
      <c r="I2044" s="343"/>
      <c r="J2044" s="343"/>
      <c r="K2044" s="343"/>
      <c r="L2044" s="343"/>
    </row>
    <row r="2045" spans="2:12" x14ac:dyDescent="0.2">
      <c r="B2045" s="144"/>
      <c r="D2045" s="341"/>
      <c r="F2045" s="343"/>
      <c r="G2045" s="343"/>
      <c r="H2045" s="343"/>
      <c r="I2045" s="343"/>
      <c r="J2045" s="343"/>
      <c r="K2045" s="343"/>
      <c r="L2045" s="343"/>
    </row>
    <row r="2046" spans="2:12" x14ac:dyDescent="0.2">
      <c r="B2046" s="144"/>
      <c r="D2046" s="341"/>
      <c r="F2046" s="343"/>
      <c r="G2046" s="343"/>
      <c r="H2046" s="343"/>
      <c r="I2046" s="343"/>
      <c r="J2046" s="343"/>
      <c r="K2046" s="343"/>
      <c r="L2046" s="343"/>
    </row>
    <row r="2047" spans="2:12" x14ac:dyDescent="0.2">
      <c r="B2047" s="144"/>
      <c r="D2047" s="341"/>
      <c r="F2047" s="343"/>
      <c r="G2047" s="343"/>
      <c r="H2047" s="343"/>
      <c r="I2047" s="343"/>
      <c r="J2047" s="343"/>
      <c r="K2047" s="343"/>
      <c r="L2047" s="343"/>
    </row>
    <row r="2048" spans="2:12" x14ac:dyDescent="0.2">
      <c r="B2048" s="144"/>
      <c r="D2048" s="341"/>
      <c r="F2048" s="343"/>
      <c r="G2048" s="343"/>
      <c r="H2048" s="343"/>
      <c r="I2048" s="343"/>
      <c r="J2048" s="343"/>
      <c r="K2048" s="343"/>
      <c r="L2048" s="343"/>
    </row>
    <row r="2049" spans="2:12" x14ac:dyDescent="0.2">
      <c r="B2049" s="144"/>
      <c r="D2049" s="341"/>
      <c r="F2049" s="343"/>
      <c r="G2049" s="343"/>
      <c r="H2049" s="343"/>
      <c r="I2049" s="343"/>
      <c r="J2049" s="343"/>
      <c r="K2049" s="343"/>
      <c r="L2049" s="343"/>
    </row>
    <row r="2050" spans="2:12" x14ac:dyDescent="0.2">
      <c r="B2050" s="144"/>
      <c r="D2050" s="341"/>
      <c r="F2050" s="343"/>
      <c r="G2050" s="343"/>
      <c r="H2050" s="343"/>
      <c r="I2050" s="343"/>
      <c r="J2050" s="343"/>
      <c r="K2050" s="343"/>
      <c r="L2050" s="343"/>
    </row>
    <row r="2051" spans="2:12" x14ac:dyDescent="0.2">
      <c r="B2051" s="144"/>
      <c r="D2051" s="341"/>
      <c r="F2051" s="343"/>
      <c r="G2051" s="343"/>
      <c r="H2051" s="343"/>
      <c r="I2051" s="343"/>
      <c r="J2051" s="343"/>
      <c r="K2051" s="343"/>
      <c r="L2051" s="343"/>
    </row>
    <row r="2052" spans="2:12" x14ac:dyDescent="0.2">
      <c r="B2052" s="144"/>
      <c r="D2052" s="341"/>
      <c r="F2052" s="343"/>
      <c r="G2052" s="343"/>
      <c r="H2052" s="343"/>
      <c r="I2052" s="343"/>
      <c r="J2052" s="343"/>
      <c r="K2052" s="343"/>
      <c r="L2052" s="343"/>
    </row>
    <row r="2053" spans="2:12" x14ac:dyDescent="0.2">
      <c r="B2053" s="144"/>
      <c r="D2053" s="341"/>
      <c r="F2053" s="343"/>
      <c r="G2053" s="343"/>
      <c r="H2053" s="343"/>
      <c r="I2053" s="343"/>
      <c r="J2053" s="343"/>
      <c r="K2053" s="343"/>
      <c r="L2053" s="343"/>
    </row>
    <row r="2054" spans="2:12" x14ac:dyDescent="0.2">
      <c r="B2054" s="144"/>
      <c r="D2054" s="341"/>
      <c r="F2054" s="343"/>
      <c r="G2054" s="343"/>
      <c r="H2054" s="343"/>
      <c r="I2054" s="343"/>
      <c r="J2054" s="343"/>
      <c r="K2054" s="343"/>
      <c r="L2054" s="343"/>
    </row>
    <row r="2055" spans="2:12" x14ac:dyDescent="0.2">
      <c r="B2055" s="144"/>
      <c r="D2055" s="341"/>
      <c r="F2055" s="343"/>
      <c r="G2055" s="343"/>
      <c r="H2055" s="343"/>
      <c r="I2055" s="343"/>
      <c r="J2055" s="343"/>
      <c r="K2055" s="343"/>
      <c r="L2055" s="343"/>
    </row>
    <row r="2056" spans="2:12" x14ac:dyDescent="0.2">
      <c r="B2056" s="144"/>
      <c r="D2056" s="341"/>
      <c r="F2056" s="343"/>
      <c r="G2056" s="343"/>
      <c r="H2056" s="343"/>
      <c r="I2056" s="343"/>
      <c r="J2056" s="343"/>
      <c r="K2056" s="343"/>
      <c r="L2056" s="343"/>
    </row>
    <row r="2057" spans="2:12" x14ac:dyDescent="0.2">
      <c r="B2057" s="144"/>
      <c r="D2057" s="341"/>
      <c r="F2057" s="343"/>
      <c r="G2057" s="343"/>
      <c r="H2057" s="343"/>
      <c r="I2057" s="343"/>
      <c r="J2057" s="343"/>
      <c r="K2057" s="343"/>
      <c r="L2057" s="343"/>
    </row>
    <row r="2058" spans="2:12" x14ac:dyDescent="0.2">
      <c r="B2058" s="144"/>
      <c r="D2058" s="341"/>
      <c r="F2058" s="343"/>
      <c r="G2058" s="343"/>
      <c r="H2058" s="343"/>
      <c r="I2058" s="343"/>
      <c r="J2058" s="343"/>
      <c r="K2058" s="343"/>
      <c r="L2058" s="343"/>
    </row>
    <row r="2059" spans="2:12" x14ac:dyDescent="0.2">
      <c r="B2059" s="144"/>
      <c r="D2059" s="341"/>
      <c r="F2059" s="343"/>
      <c r="G2059" s="343"/>
      <c r="H2059" s="343"/>
      <c r="I2059" s="343"/>
      <c r="J2059" s="343"/>
      <c r="K2059" s="343"/>
      <c r="L2059" s="343"/>
    </row>
    <row r="2060" spans="2:12" x14ac:dyDescent="0.2">
      <c r="B2060" s="144"/>
      <c r="D2060" s="341"/>
      <c r="F2060" s="343"/>
      <c r="G2060" s="343"/>
      <c r="H2060" s="343"/>
      <c r="I2060" s="343"/>
      <c r="J2060" s="343"/>
      <c r="K2060" s="343"/>
      <c r="L2060" s="343"/>
    </row>
    <row r="2061" spans="2:12" x14ac:dyDescent="0.2">
      <c r="B2061" s="144"/>
      <c r="D2061" s="341"/>
      <c r="F2061" s="343"/>
      <c r="G2061" s="343"/>
      <c r="H2061" s="343"/>
      <c r="I2061" s="343"/>
      <c r="J2061" s="343"/>
      <c r="K2061" s="343"/>
      <c r="L2061" s="343"/>
    </row>
    <row r="2062" spans="2:12" x14ac:dyDescent="0.2">
      <c r="B2062" s="144"/>
      <c r="D2062" s="341"/>
      <c r="F2062" s="343"/>
      <c r="G2062" s="343"/>
      <c r="H2062" s="343"/>
      <c r="I2062" s="343"/>
      <c r="J2062" s="343"/>
      <c r="K2062" s="343"/>
      <c r="L2062" s="343"/>
    </row>
    <row r="2063" spans="2:12" x14ac:dyDescent="0.2">
      <c r="B2063" s="144"/>
      <c r="D2063" s="341"/>
      <c r="F2063" s="343"/>
      <c r="G2063" s="343"/>
      <c r="H2063" s="343"/>
      <c r="I2063" s="343"/>
      <c r="J2063" s="343"/>
      <c r="K2063" s="343"/>
      <c r="L2063" s="343"/>
    </row>
    <row r="2064" spans="2:12" x14ac:dyDescent="0.2">
      <c r="B2064" s="144"/>
      <c r="D2064" s="341"/>
      <c r="F2064" s="343"/>
      <c r="G2064" s="343"/>
      <c r="H2064" s="343"/>
      <c r="I2064" s="343"/>
      <c r="J2064" s="343"/>
      <c r="K2064" s="343"/>
      <c r="L2064" s="343"/>
    </row>
    <row r="2065" spans="2:12" x14ac:dyDescent="0.2">
      <c r="B2065" s="144"/>
      <c r="D2065" s="341"/>
      <c r="F2065" s="343"/>
      <c r="G2065" s="343"/>
      <c r="H2065" s="343"/>
      <c r="I2065" s="343"/>
      <c r="J2065" s="343"/>
      <c r="K2065" s="343"/>
      <c r="L2065" s="343"/>
    </row>
    <row r="2066" spans="2:12" x14ac:dyDescent="0.2">
      <c r="B2066" s="144"/>
      <c r="D2066" s="341"/>
      <c r="F2066" s="343"/>
      <c r="G2066" s="343"/>
      <c r="H2066" s="343"/>
      <c r="I2066" s="343"/>
      <c r="J2066" s="343"/>
      <c r="K2066" s="343"/>
      <c r="L2066" s="343"/>
    </row>
    <row r="2067" spans="2:12" x14ac:dyDescent="0.2">
      <c r="B2067" s="144"/>
      <c r="D2067" s="341"/>
      <c r="F2067" s="343"/>
      <c r="G2067" s="343"/>
      <c r="H2067" s="343"/>
      <c r="I2067" s="343"/>
      <c r="J2067" s="343"/>
      <c r="K2067" s="343"/>
      <c r="L2067" s="343"/>
    </row>
    <row r="2068" spans="2:12" x14ac:dyDescent="0.2">
      <c r="B2068" s="144"/>
      <c r="D2068" s="341"/>
      <c r="F2068" s="343"/>
      <c r="G2068" s="343"/>
      <c r="H2068" s="343"/>
      <c r="I2068" s="343"/>
      <c r="J2068" s="343"/>
      <c r="K2068" s="343"/>
      <c r="L2068" s="343"/>
    </row>
    <row r="2069" spans="2:12" x14ac:dyDescent="0.2">
      <c r="B2069" s="144"/>
      <c r="D2069" s="341"/>
      <c r="F2069" s="343"/>
      <c r="G2069" s="343"/>
      <c r="H2069" s="343"/>
      <c r="I2069" s="343"/>
      <c r="J2069" s="343"/>
      <c r="K2069" s="343"/>
      <c r="L2069" s="343"/>
    </row>
    <row r="2070" spans="2:12" x14ac:dyDescent="0.2">
      <c r="B2070" s="144"/>
      <c r="D2070" s="341"/>
      <c r="F2070" s="343"/>
      <c r="G2070" s="343"/>
      <c r="H2070" s="343"/>
      <c r="I2070" s="343"/>
      <c r="J2070" s="343"/>
      <c r="K2070" s="343"/>
      <c r="L2070" s="343"/>
    </row>
    <row r="2071" spans="2:12" x14ac:dyDescent="0.2">
      <c r="B2071" s="144"/>
      <c r="D2071" s="341"/>
      <c r="F2071" s="343"/>
      <c r="G2071" s="343"/>
      <c r="H2071" s="343"/>
      <c r="I2071" s="343"/>
      <c r="J2071" s="343"/>
      <c r="K2071" s="343"/>
      <c r="L2071" s="343"/>
    </row>
    <row r="2072" spans="2:12" x14ac:dyDescent="0.2">
      <c r="B2072" s="144"/>
      <c r="D2072" s="341"/>
      <c r="F2072" s="343"/>
      <c r="G2072" s="343"/>
      <c r="H2072" s="343"/>
      <c r="I2072" s="343"/>
      <c r="J2072" s="343"/>
      <c r="K2072" s="343"/>
      <c r="L2072" s="343"/>
    </row>
    <row r="2073" spans="2:12" x14ac:dyDescent="0.2">
      <c r="B2073" s="144"/>
      <c r="D2073" s="341"/>
      <c r="F2073" s="343"/>
      <c r="G2073" s="343"/>
      <c r="H2073" s="343"/>
      <c r="I2073" s="343"/>
      <c r="J2073" s="343"/>
      <c r="K2073" s="343"/>
      <c r="L2073" s="343"/>
    </row>
    <row r="2074" spans="2:12" x14ac:dyDescent="0.2">
      <c r="B2074" s="144"/>
      <c r="D2074" s="341"/>
      <c r="F2074" s="343"/>
      <c r="G2074" s="343"/>
      <c r="H2074" s="343"/>
      <c r="I2074" s="343"/>
      <c r="J2074" s="343"/>
      <c r="K2074" s="343"/>
      <c r="L2074" s="343"/>
    </row>
    <row r="2075" spans="2:12" x14ac:dyDescent="0.2">
      <c r="B2075" s="144"/>
      <c r="D2075" s="341"/>
      <c r="F2075" s="343"/>
      <c r="G2075" s="343"/>
      <c r="H2075" s="343"/>
      <c r="I2075" s="343"/>
      <c r="J2075" s="343"/>
      <c r="K2075" s="343"/>
      <c r="L2075" s="343"/>
    </row>
    <row r="2076" spans="2:12" x14ac:dyDescent="0.2">
      <c r="B2076" s="144"/>
      <c r="D2076" s="341"/>
      <c r="F2076" s="343"/>
      <c r="G2076" s="343"/>
      <c r="H2076" s="343"/>
      <c r="I2076" s="343"/>
      <c r="J2076" s="343"/>
      <c r="K2076" s="343"/>
      <c r="L2076" s="343"/>
    </row>
    <row r="2077" spans="2:12" x14ac:dyDescent="0.2">
      <c r="B2077" s="144"/>
      <c r="D2077" s="341"/>
      <c r="F2077" s="343"/>
      <c r="G2077" s="343"/>
      <c r="H2077" s="343"/>
      <c r="I2077" s="343"/>
      <c r="J2077" s="343"/>
      <c r="K2077" s="343"/>
      <c r="L2077" s="343"/>
    </row>
    <row r="2078" spans="2:12" x14ac:dyDescent="0.2">
      <c r="B2078" s="144"/>
      <c r="D2078" s="341"/>
      <c r="F2078" s="343"/>
      <c r="G2078" s="343"/>
      <c r="H2078" s="343"/>
      <c r="I2078" s="343"/>
      <c r="J2078" s="343"/>
      <c r="K2078" s="343"/>
      <c r="L2078" s="343"/>
    </row>
    <row r="2079" spans="2:12" x14ac:dyDescent="0.2">
      <c r="B2079" s="144"/>
      <c r="D2079" s="341"/>
      <c r="F2079" s="343"/>
      <c r="G2079" s="343"/>
      <c r="H2079" s="343"/>
      <c r="I2079" s="343"/>
      <c r="J2079" s="343"/>
      <c r="K2079" s="343"/>
      <c r="L2079" s="343"/>
    </row>
    <row r="2080" spans="2:12" x14ac:dyDescent="0.2">
      <c r="B2080" s="144"/>
      <c r="D2080" s="341"/>
      <c r="F2080" s="343"/>
      <c r="G2080" s="343"/>
      <c r="H2080" s="343"/>
      <c r="I2080" s="343"/>
      <c r="J2080" s="343"/>
      <c r="K2080" s="343"/>
      <c r="L2080" s="343"/>
    </row>
    <row r="2081" spans="2:12" x14ac:dyDescent="0.2">
      <c r="B2081" s="144"/>
      <c r="D2081" s="341"/>
      <c r="F2081" s="343"/>
      <c r="G2081" s="343"/>
      <c r="H2081" s="343"/>
      <c r="I2081" s="343"/>
      <c r="J2081" s="343"/>
      <c r="K2081" s="343"/>
      <c r="L2081" s="343"/>
    </row>
    <row r="2082" spans="2:12" x14ac:dyDescent="0.2">
      <c r="B2082" s="144"/>
      <c r="D2082" s="341"/>
      <c r="F2082" s="343"/>
      <c r="G2082" s="343"/>
      <c r="H2082" s="343"/>
      <c r="I2082" s="343"/>
      <c r="J2082" s="343"/>
      <c r="K2082" s="343"/>
      <c r="L2082" s="343"/>
    </row>
    <row r="2083" spans="2:12" x14ac:dyDescent="0.2">
      <c r="B2083" s="144"/>
      <c r="D2083" s="341"/>
      <c r="F2083" s="343"/>
      <c r="G2083" s="343"/>
      <c r="H2083" s="343"/>
      <c r="I2083" s="343"/>
      <c r="J2083" s="343"/>
      <c r="K2083" s="343"/>
      <c r="L2083" s="343"/>
    </row>
    <row r="2084" spans="2:12" x14ac:dyDescent="0.2">
      <c r="B2084" s="144"/>
      <c r="D2084" s="341"/>
      <c r="F2084" s="343"/>
      <c r="G2084" s="343"/>
      <c r="H2084" s="343"/>
      <c r="I2084" s="343"/>
      <c r="J2084" s="343"/>
      <c r="K2084" s="343"/>
      <c r="L2084" s="343"/>
    </row>
    <row r="2085" spans="2:12" x14ac:dyDescent="0.2">
      <c r="B2085" s="144"/>
      <c r="D2085" s="341"/>
      <c r="F2085" s="343"/>
      <c r="G2085" s="343"/>
      <c r="H2085" s="343"/>
      <c r="I2085" s="343"/>
      <c r="J2085" s="343"/>
      <c r="K2085" s="343"/>
      <c r="L2085" s="343"/>
    </row>
    <row r="2086" spans="2:12" x14ac:dyDescent="0.2">
      <c r="B2086" s="144"/>
      <c r="D2086" s="341"/>
      <c r="F2086" s="343"/>
      <c r="G2086" s="343"/>
      <c r="H2086" s="343"/>
      <c r="I2086" s="343"/>
      <c r="J2086" s="343"/>
      <c r="K2086" s="343"/>
      <c r="L2086" s="343"/>
    </row>
    <row r="2087" spans="2:12" x14ac:dyDescent="0.2">
      <c r="B2087" s="144"/>
      <c r="D2087" s="341"/>
      <c r="F2087" s="343"/>
      <c r="G2087" s="343"/>
      <c r="H2087" s="343"/>
      <c r="I2087" s="343"/>
      <c r="J2087" s="343"/>
      <c r="K2087" s="343"/>
      <c r="L2087" s="343"/>
    </row>
    <row r="2088" spans="2:12" x14ac:dyDescent="0.2">
      <c r="B2088" s="144"/>
      <c r="D2088" s="341"/>
      <c r="F2088" s="343"/>
      <c r="G2088" s="343"/>
      <c r="H2088" s="343"/>
      <c r="I2088" s="343"/>
      <c r="J2088" s="343"/>
      <c r="K2088" s="343"/>
      <c r="L2088" s="343"/>
    </row>
    <row r="2089" spans="2:12" x14ac:dyDescent="0.2">
      <c r="B2089" s="144"/>
      <c r="D2089" s="341"/>
      <c r="F2089" s="343"/>
      <c r="G2089" s="343"/>
      <c r="H2089" s="343"/>
      <c r="I2089" s="343"/>
      <c r="J2089" s="343"/>
      <c r="K2089" s="343"/>
      <c r="L2089" s="343"/>
    </row>
    <row r="2090" spans="2:12" x14ac:dyDescent="0.2">
      <c r="B2090" s="144"/>
      <c r="D2090" s="341"/>
      <c r="F2090" s="343"/>
      <c r="G2090" s="343"/>
      <c r="H2090" s="343"/>
      <c r="I2090" s="343"/>
      <c r="J2090" s="343"/>
      <c r="K2090" s="343"/>
      <c r="L2090" s="343"/>
    </row>
    <row r="2091" spans="2:12" x14ac:dyDescent="0.2">
      <c r="B2091" s="144"/>
      <c r="D2091" s="341"/>
      <c r="F2091" s="343"/>
      <c r="G2091" s="343"/>
      <c r="H2091" s="343"/>
      <c r="I2091" s="343"/>
      <c r="J2091" s="343"/>
      <c r="K2091" s="343"/>
      <c r="L2091" s="343"/>
    </row>
    <row r="2092" spans="2:12" x14ac:dyDescent="0.2">
      <c r="B2092" s="144"/>
      <c r="D2092" s="341"/>
      <c r="F2092" s="343"/>
      <c r="G2092" s="343"/>
      <c r="H2092" s="343"/>
      <c r="I2092" s="343"/>
      <c r="J2092" s="343"/>
      <c r="K2092" s="343"/>
      <c r="L2092" s="343"/>
    </row>
    <row r="2093" spans="2:12" x14ac:dyDescent="0.2">
      <c r="B2093" s="144"/>
      <c r="D2093" s="341"/>
      <c r="F2093" s="343"/>
      <c r="G2093" s="343"/>
      <c r="H2093" s="343"/>
      <c r="I2093" s="343"/>
      <c r="J2093" s="343"/>
      <c r="K2093" s="343"/>
      <c r="L2093" s="343"/>
    </row>
    <row r="2094" spans="2:12" x14ac:dyDescent="0.2">
      <c r="B2094" s="144"/>
      <c r="D2094" s="341"/>
      <c r="F2094" s="343"/>
      <c r="G2094" s="343"/>
      <c r="H2094" s="343"/>
      <c r="I2094" s="343"/>
      <c r="J2094" s="343"/>
      <c r="K2094" s="343"/>
      <c r="L2094" s="343"/>
    </row>
    <row r="2095" spans="2:12" x14ac:dyDescent="0.2">
      <c r="B2095" s="144"/>
      <c r="D2095" s="341"/>
      <c r="F2095" s="343"/>
      <c r="G2095" s="343"/>
      <c r="H2095" s="343"/>
      <c r="I2095" s="343"/>
      <c r="J2095" s="343"/>
      <c r="K2095" s="343"/>
      <c r="L2095" s="343"/>
    </row>
    <row r="2096" spans="2:12" x14ac:dyDescent="0.2">
      <c r="B2096" s="144"/>
      <c r="D2096" s="341"/>
      <c r="F2096" s="343"/>
      <c r="G2096" s="343"/>
      <c r="H2096" s="343"/>
      <c r="I2096" s="343"/>
      <c r="J2096" s="343"/>
      <c r="K2096" s="343"/>
      <c r="L2096" s="343"/>
    </row>
    <row r="2097" spans="2:12" x14ac:dyDescent="0.2">
      <c r="B2097" s="144"/>
      <c r="D2097" s="341"/>
      <c r="F2097" s="343"/>
      <c r="G2097" s="343"/>
      <c r="H2097" s="343"/>
      <c r="I2097" s="343"/>
      <c r="J2097" s="343"/>
      <c r="K2097" s="343"/>
      <c r="L2097" s="343"/>
    </row>
    <row r="2098" spans="2:12" x14ac:dyDescent="0.2">
      <c r="B2098" s="144"/>
      <c r="D2098" s="341"/>
      <c r="F2098" s="343"/>
      <c r="G2098" s="343"/>
      <c r="H2098" s="343"/>
      <c r="I2098" s="343"/>
      <c r="J2098" s="343"/>
      <c r="K2098" s="343"/>
      <c r="L2098" s="343"/>
    </row>
    <row r="2099" spans="2:12" x14ac:dyDescent="0.2">
      <c r="B2099" s="144"/>
      <c r="D2099" s="341"/>
      <c r="F2099" s="343"/>
      <c r="G2099" s="343"/>
      <c r="H2099" s="343"/>
      <c r="I2099" s="343"/>
      <c r="J2099" s="343"/>
      <c r="K2099" s="343"/>
      <c r="L2099" s="343"/>
    </row>
    <row r="2100" spans="2:12" x14ac:dyDescent="0.2">
      <c r="B2100" s="144"/>
      <c r="D2100" s="341"/>
      <c r="F2100" s="343"/>
      <c r="G2100" s="343"/>
      <c r="H2100" s="343"/>
      <c r="I2100" s="343"/>
      <c r="J2100" s="343"/>
      <c r="K2100" s="343"/>
      <c r="L2100" s="343"/>
    </row>
    <row r="2101" spans="2:12" x14ac:dyDescent="0.2">
      <c r="B2101" s="144"/>
      <c r="D2101" s="341"/>
      <c r="F2101" s="343"/>
      <c r="G2101" s="343"/>
      <c r="H2101" s="343"/>
      <c r="I2101" s="343"/>
      <c r="J2101" s="343"/>
      <c r="K2101" s="343"/>
      <c r="L2101" s="343"/>
    </row>
    <row r="2102" spans="2:12" x14ac:dyDescent="0.2">
      <c r="B2102" s="144"/>
      <c r="D2102" s="341"/>
      <c r="F2102" s="343"/>
      <c r="G2102" s="343"/>
      <c r="H2102" s="343"/>
      <c r="I2102" s="343"/>
      <c r="J2102" s="343"/>
      <c r="K2102" s="343"/>
      <c r="L2102" s="343"/>
    </row>
    <row r="2103" spans="2:12" x14ac:dyDescent="0.2">
      <c r="B2103" s="144"/>
      <c r="D2103" s="341"/>
      <c r="F2103" s="343"/>
      <c r="G2103" s="343"/>
      <c r="H2103" s="343"/>
      <c r="I2103" s="343"/>
      <c r="J2103" s="343"/>
      <c r="K2103" s="343"/>
      <c r="L2103" s="343"/>
    </row>
    <row r="2104" spans="2:12" x14ac:dyDescent="0.2">
      <c r="B2104" s="144"/>
      <c r="D2104" s="341"/>
      <c r="F2104" s="343"/>
      <c r="G2104" s="343"/>
      <c r="H2104" s="343"/>
      <c r="I2104" s="343"/>
      <c r="J2104" s="343"/>
      <c r="K2104" s="343"/>
      <c r="L2104" s="343"/>
    </row>
    <row r="2105" spans="2:12" x14ac:dyDescent="0.2">
      <c r="B2105" s="144"/>
      <c r="D2105" s="341"/>
      <c r="F2105" s="343"/>
      <c r="G2105" s="343"/>
      <c r="H2105" s="343"/>
      <c r="I2105" s="343"/>
      <c r="J2105" s="343"/>
      <c r="K2105" s="343"/>
      <c r="L2105" s="343"/>
    </row>
    <row r="2106" spans="2:12" x14ac:dyDescent="0.2">
      <c r="B2106" s="144"/>
      <c r="D2106" s="341"/>
      <c r="F2106" s="343"/>
      <c r="G2106" s="343"/>
      <c r="H2106" s="343"/>
      <c r="I2106" s="343"/>
      <c r="J2106" s="343"/>
      <c r="K2106" s="343"/>
      <c r="L2106" s="343"/>
    </row>
    <row r="2107" spans="2:12" x14ac:dyDescent="0.2">
      <c r="B2107" s="144"/>
      <c r="D2107" s="341"/>
      <c r="F2107" s="343"/>
      <c r="G2107" s="343"/>
      <c r="H2107" s="343"/>
      <c r="I2107" s="343"/>
      <c r="J2107" s="343"/>
      <c r="K2107" s="343"/>
      <c r="L2107" s="343"/>
    </row>
    <row r="2108" spans="2:12" x14ac:dyDescent="0.2">
      <c r="D2108" s="341"/>
      <c r="F2108" s="343"/>
      <c r="G2108" s="343"/>
      <c r="H2108" s="343"/>
      <c r="I2108" s="343"/>
      <c r="J2108" s="343"/>
      <c r="K2108" s="343"/>
      <c r="L2108" s="343"/>
    </row>
    <row r="2109" spans="2:12" x14ac:dyDescent="0.2">
      <c r="D2109" s="341"/>
      <c r="F2109" s="343"/>
      <c r="G2109" s="343"/>
      <c r="H2109" s="343"/>
      <c r="I2109" s="343"/>
      <c r="J2109" s="343"/>
      <c r="K2109" s="343"/>
      <c r="L2109" s="343"/>
    </row>
    <row r="2110" spans="2:12" x14ac:dyDescent="0.2">
      <c r="D2110" s="341"/>
      <c r="F2110" s="343"/>
      <c r="G2110" s="343"/>
      <c r="H2110" s="343"/>
      <c r="I2110" s="343"/>
      <c r="J2110" s="343"/>
      <c r="K2110" s="343"/>
      <c r="L2110" s="343"/>
    </row>
    <row r="2111" spans="2:12" x14ac:dyDescent="0.2">
      <c r="D2111" s="341"/>
      <c r="F2111" s="343"/>
      <c r="G2111" s="343"/>
      <c r="H2111" s="343"/>
      <c r="I2111" s="343"/>
      <c r="J2111" s="343"/>
      <c r="K2111" s="343"/>
      <c r="L2111" s="343"/>
    </row>
    <row r="2112" spans="2:12" x14ac:dyDescent="0.2">
      <c r="D2112" s="341"/>
      <c r="F2112" s="343"/>
      <c r="G2112" s="343"/>
      <c r="H2112" s="343"/>
      <c r="I2112" s="343"/>
      <c r="J2112" s="343"/>
      <c r="K2112" s="343"/>
      <c r="L2112" s="343"/>
    </row>
    <row r="2113" spans="4:12" x14ac:dyDescent="0.2">
      <c r="D2113" s="341"/>
      <c r="F2113" s="343"/>
      <c r="G2113" s="343"/>
      <c r="H2113" s="343"/>
      <c r="I2113" s="343"/>
      <c r="J2113" s="343"/>
      <c r="K2113" s="343"/>
      <c r="L2113" s="343"/>
    </row>
    <row r="2114" spans="4:12" x14ac:dyDescent="0.2">
      <c r="D2114" s="341"/>
      <c r="F2114" s="343"/>
      <c r="G2114" s="343"/>
      <c r="H2114" s="343"/>
      <c r="I2114" s="343"/>
      <c r="J2114" s="343"/>
      <c r="K2114" s="343"/>
      <c r="L2114" s="343"/>
    </row>
    <row r="2115" spans="4:12" x14ac:dyDescent="0.2">
      <c r="D2115" s="341"/>
      <c r="F2115" s="343"/>
      <c r="G2115" s="343"/>
      <c r="H2115" s="343"/>
      <c r="I2115" s="343"/>
      <c r="J2115" s="343"/>
      <c r="K2115" s="343"/>
      <c r="L2115" s="343"/>
    </row>
    <row r="2116" spans="4:12" x14ac:dyDescent="0.2">
      <c r="D2116" s="341"/>
      <c r="F2116" s="343"/>
      <c r="G2116" s="343"/>
      <c r="H2116" s="343"/>
      <c r="I2116" s="343"/>
      <c r="J2116" s="343"/>
      <c r="K2116" s="343"/>
      <c r="L2116" s="343"/>
    </row>
    <row r="2117" spans="4:12" x14ac:dyDescent="0.2">
      <c r="D2117" s="341"/>
      <c r="F2117" s="343"/>
      <c r="G2117" s="343"/>
      <c r="H2117" s="343"/>
      <c r="I2117" s="343"/>
      <c r="J2117" s="343"/>
      <c r="K2117" s="343"/>
      <c r="L2117" s="343"/>
    </row>
    <row r="2118" spans="4:12" x14ac:dyDescent="0.2">
      <c r="D2118" s="341"/>
      <c r="F2118" s="343"/>
      <c r="G2118" s="343"/>
      <c r="H2118" s="343"/>
      <c r="I2118" s="343"/>
      <c r="J2118" s="343"/>
      <c r="K2118" s="343"/>
      <c r="L2118" s="343"/>
    </row>
    <row r="2119" spans="4:12" x14ac:dyDescent="0.2">
      <c r="D2119" s="341"/>
      <c r="F2119" s="343"/>
      <c r="G2119" s="343"/>
      <c r="H2119" s="343"/>
      <c r="I2119" s="343"/>
      <c r="J2119" s="343"/>
      <c r="K2119" s="343"/>
      <c r="L2119" s="343"/>
    </row>
    <row r="2120" spans="4:12" x14ac:dyDescent="0.2">
      <c r="D2120" s="341"/>
      <c r="F2120" s="343"/>
      <c r="G2120" s="343"/>
      <c r="H2120" s="343"/>
      <c r="I2120" s="343"/>
      <c r="J2120" s="343"/>
      <c r="K2120" s="343"/>
      <c r="L2120" s="343"/>
    </row>
    <row r="2121" spans="4:12" x14ac:dyDescent="0.2">
      <c r="D2121" s="341"/>
      <c r="F2121" s="343"/>
      <c r="G2121" s="343"/>
      <c r="H2121" s="343"/>
      <c r="I2121" s="343"/>
      <c r="J2121" s="343"/>
      <c r="K2121" s="343"/>
      <c r="L2121" s="343"/>
    </row>
    <row r="2122" spans="4:12" x14ac:dyDescent="0.2">
      <c r="D2122" s="341"/>
      <c r="F2122" s="343"/>
      <c r="G2122" s="343"/>
      <c r="H2122" s="343"/>
      <c r="I2122" s="343"/>
      <c r="J2122" s="343"/>
      <c r="K2122" s="343"/>
      <c r="L2122" s="343"/>
    </row>
    <row r="2123" spans="4:12" x14ac:dyDescent="0.2">
      <c r="D2123" s="341"/>
      <c r="F2123" s="343"/>
      <c r="G2123" s="343"/>
      <c r="H2123" s="343"/>
      <c r="I2123" s="343"/>
      <c r="J2123" s="343"/>
      <c r="K2123" s="343"/>
      <c r="L2123" s="343"/>
    </row>
    <row r="2124" spans="4:12" x14ac:dyDescent="0.2">
      <c r="D2124" s="341"/>
      <c r="F2124" s="343"/>
      <c r="G2124" s="343"/>
      <c r="H2124" s="343"/>
      <c r="I2124" s="343"/>
      <c r="J2124" s="343"/>
      <c r="K2124" s="343"/>
      <c r="L2124" s="343"/>
    </row>
    <row r="2125" spans="4:12" x14ac:dyDescent="0.2">
      <c r="D2125" s="341"/>
      <c r="F2125" s="343"/>
      <c r="G2125" s="343"/>
      <c r="H2125" s="343"/>
      <c r="I2125" s="343"/>
      <c r="J2125" s="343"/>
      <c r="K2125" s="343"/>
      <c r="L2125" s="343"/>
    </row>
    <row r="2126" spans="4:12" x14ac:dyDescent="0.2">
      <c r="D2126" s="341"/>
      <c r="F2126" s="343"/>
      <c r="G2126" s="343"/>
      <c r="H2126" s="343"/>
      <c r="I2126" s="343"/>
      <c r="J2126" s="343"/>
      <c r="K2126" s="343"/>
      <c r="L2126" s="343"/>
    </row>
    <row r="2127" spans="4:12" x14ac:dyDescent="0.2">
      <c r="D2127" s="341"/>
      <c r="F2127" s="343"/>
      <c r="G2127" s="343"/>
      <c r="H2127" s="343"/>
      <c r="I2127" s="343"/>
      <c r="J2127" s="343"/>
      <c r="K2127" s="343"/>
      <c r="L2127" s="343"/>
    </row>
    <row r="2128" spans="4:12" x14ac:dyDescent="0.2">
      <c r="D2128" s="341"/>
      <c r="F2128" s="343"/>
      <c r="G2128" s="343"/>
      <c r="H2128" s="343"/>
      <c r="I2128" s="343"/>
      <c r="J2128" s="343"/>
      <c r="K2128" s="343"/>
      <c r="L2128" s="343"/>
    </row>
    <row r="2129" spans="4:12" x14ac:dyDescent="0.2">
      <c r="D2129" s="341"/>
      <c r="F2129" s="343"/>
      <c r="G2129" s="343"/>
      <c r="H2129" s="343"/>
      <c r="I2129" s="343"/>
      <c r="J2129" s="343"/>
      <c r="K2129" s="343"/>
      <c r="L2129" s="343"/>
    </row>
    <row r="2130" spans="4:12" x14ac:dyDescent="0.2">
      <c r="D2130" s="341"/>
      <c r="F2130" s="343"/>
      <c r="G2130" s="343"/>
      <c r="H2130" s="343"/>
      <c r="I2130" s="343"/>
      <c r="J2130" s="343"/>
      <c r="K2130" s="343"/>
      <c r="L2130" s="343"/>
    </row>
    <row r="2131" spans="4:12" x14ac:dyDescent="0.2">
      <c r="D2131" s="341"/>
      <c r="F2131" s="343"/>
      <c r="G2131" s="343"/>
      <c r="H2131" s="343"/>
      <c r="I2131" s="343"/>
      <c r="J2131" s="343"/>
      <c r="K2131" s="343"/>
      <c r="L2131" s="343"/>
    </row>
    <row r="2132" spans="4:12" x14ac:dyDescent="0.2">
      <c r="D2132" s="341"/>
      <c r="F2132" s="343"/>
      <c r="G2132" s="343"/>
      <c r="H2132" s="343"/>
      <c r="I2132" s="343"/>
      <c r="J2132" s="343"/>
      <c r="K2132" s="343"/>
      <c r="L2132" s="343"/>
    </row>
    <row r="2133" spans="4:12" x14ac:dyDescent="0.2">
      <c r="D2133" s="341"/>
      <c r="F2133" s="343"/>
      <c r="G2133" s="343"/>
      <c r="H2133" s="343"/>
      <c r="I2133" s="343"/>
      <c r="J2133" s="343"/>
      <c r="K2133" s="343"/>
      <c r="L2133" s="343"/>
    </row>
    <row r="2134" spans="4:12" x14ac:dyDescent="0.2">
      <c r="D2134" s="341"/>
      <c r="F2134" s="343"/>
      <c r="G2134" s="343"/>
      <c r="H2134" s="343"/>
      <c r="I2134" s="343"/>
      <c r="J2134" s="343"/>
      <c r="K2134" s="343"/>
      <c r="L2134" s="343"/>
    </row>
    <row r="2135" spans="4:12" x14ac:dyDescent="0.2">
      <c r="D2135" s="341"/>
      <c r="F2135" s="343"/>
      <c r="G2135" s="343"/>
      <c r="H2135" s="343"/>
      <c r="I2135" s="343"/>
      <c r="J2135" s="343"/>
      <c r="K2135" s="343"/>
      <c r="L2135" s="343"/>
    </row>
    <row r="2136" spans="4:12" x14ac:dyDescent="0.2">
      <c r="D2136" s="341"/>
      <c r="F2136" s="343"/>
      <c r="G2136" s="343"/>
      <c r="H2136" s="343"/>
      <c r="I2136" s="343"/>
      <c r="J2136" s="343"/>
      <c r="K2136" s="343"/>
      <c r="L2136" s="343"/>
    </row>
    <row r="2137" spans="4:12" x14ac:dyDescent="0.2">
      <c r="D2137" s="341"/>
      <c r="F2137" s="343"/>
      <c r="G2137" s="343"/>
      <c r="H2137" s="343"/>
      <c r="I2137" s="343"/>
      <c r="J2137" s="343"/>
      <c r="K2137" s="343"/>
      <c r="L2137" s="343"/>
    </row>
    <row r="2138" spans="4:12" x14ac:dyDescent="0.2">
      <c r="D2138" s="341"/>
      <c r="F2138" s="343"/>
      <c r="G2138" s="343"/>
      <c r="H2138" s="343"/>
      <c r="I2138" s="343"/>
      <c r="J2138" s="343"/>
      <c r="K2138" s="343"/>
      <c r="L2138" s="343"/>
    </row>
    <row r="2139" spans="4:12" x14ac:dyDescent="0.2">
      <c r="D2139" s="341"/>
      <c r="F2139" s="343"/>
      <c r="G2139" s="343"/>
      <c r="H2139" s="343"/>
      <c r="I2139" s="343"/>
      <c r="J2139" s="343"/>
      <c r="K2139" s="343"/>
      <c r="L2139" s="343"/>
    </row>
    <row r="2140" spans="4:12" x14ac:dyDescent="0.2">
      <c r="D2140" s="341"/>
      <c r="F2140" s="343"/>
      <c r="G2140" s="343"/>
      <c r="H2140" s="343"/>
      <c r="I2140" s="343"/>
      <c r="J2140" s="343"/>
      <c r="K2140" s="343"/>
      <c r="L2140" s="343"/>
    </row>
    <row r="2141" spans="4:12" x14ac:dyDescent="0.2">
      <c r="D2141" s="341"/>
      <c r="F2141" s="343"/>
      <c r="G2141" s="343"/>
      <c r="H2141" s="343"/>
      <c r="I2141" s="343"/>
      <c r="J2141" s="343"/>
      <c r="K2141" s="343"/>
      <c r="L2141" s="343"/>
    </row>
    <row r="2142" spans="4:12" x14ac:dyDescent="0.2">
      <c r="D2142" s="341"/>
      <c r="F2142" s="343"/>
      <c r="G2142" s="343"/>
      <c r="H2142" s="343"/>
      <c r="I2142" s="343"/>
      <c r="J2142" s="343"/>
      <c r="K2142" s="343"/>
      <c r="L2142" s="343"/>
    </row>
    <row r="2143" spans="4:12" x14ac:dyDescent="0.2">
      <c r="D2143" s="341"/>
      <c r="F2143" s="343"/>
      <c r="G2143" s="343"/>
      <c r="H2143" s="343"/>
      <c r="I2143" s="343"/>
      <c r="J2143" s="343"/>
      <c r="K2143" s="343"/>
      <c r="L2143" s="343"/>
    </row>
    <row r="2144" spans="4:12" x14ac:dyDescent="0.2">
      <c r="D2144" s="341"/>
      <c r="F2144" s="343"/>
      <c r="G2144" s="343"/>
      <c r="H2144" s="343"/>
      <c r="I2144" s="343"/>
      <c r="J2144" s="343"/>
      <c r="K2144" s="343"/>
      <c r="L2144" s="343"/>
    </row>
    <row r="2145" spans="4:12" x14ac:dyDescent="0.2">
      <c r="D2145" s="341"/>
      <c r="F2145" s="343"/>
      <c r="G2145" s="343"/>
      <c r="H2145" s="343"/>
      <c r="I2145" s="343"/>
      <c r="J2145" s="343"/>
      <c r="K2145" s="343"/>
      <c r="L2145" s="343"/>
    </row>
    <row r="2146" spans="4:12" x14ac:dyDescent="0.2">
      <c r="D2146" s="341"/>
      <c r="F2146" s="343"/>
      <c r="G2146" s="343"/>
      <c r="H2146" s="343"/>
      <c r="I2146" s="343"/>
      <c r="J2146" s="343"/>
      <c r="K2146" s="343"/>
      <c r="L2146" s="343"/>
    </row>
    <row r="2147" spans="4:12" x14ac:dyDescent="0.2">
      <c r="D2147" s="341"/>
      <c r="F2147" s="343"/>
      <c r="G2147" s="343"/>
      <c r="H2147" s="343"/>
      <c r="I2147" s="343"/>
      <c r="J2147" s="343"/>
      <c r="K2147" s="343"/>
      <c r="L2147" s="343"/>
    </row>
    <row r="2148" spans="4:12" x14ac:dyDescent="0.2">
      <c r="D2148" s="341"/>
      <c r="F2148" s="343"/>
      <c r="G2148" s="343"/>
      <c r="H2148" s="343"/>
      <c r="I2148" s="343"/>
      <c r="J2148" s="343"/>
      <c r="K2148" s="343"/>
      <c r="L2148" s="343"/>
    </row>
    <row r="2149" spans="4:12" x14ac:dyDescent="0.2">
      <c r="D2149" s="341"/>
      <c r="F2149" s="343"/>
      <c r="G2149" s="343"/>
      <c r="H2149" s="343"/>
      <c r="I2149" s="343"/>
      <c r="J2149" s="343"/>
      <c r="K2149" s="343"/>
      <c r="L2149" s="343"/>
    </row>
    <row r="2150" spans="4:12" x14ac:dyDescent="0.2">
      <c r="D2150" s="341"/>
      <c r="F2150" s="343"/>
      <c r="G2150" s="343"/>
      <c r="H2150" s="343"/>
      <c r="I2150" s="343"/>
      <c r="J2150" s="343"/>
      <c r="K2150" s="343"/>
      <c r="L2150" s="343"/>
    </row>
    <row r="2151" spans="4:12" x14ac:dyDescent="0.2">
      <c r="D2151" s="341"/>
      <c r="F2151" s="343"/>
      <c r="G2151" s="343"/>
      <c r="H2151" s="343"/>
      <c r="I2151" s="343"/>
      <c r="J2151" s="343"/>
      <c r="K2151" s="343"/>
      <c r="L2151" s="343"/>
    </row>
    <row r="2152" spans="4:12" x14ac:dyDescent="0.2">
      <c r="D2152" s="341"/>
      <c r="F2152" s="343"/>
      <c r="G2152" s="343"/>
      <c r="H2152" s="343"/>
      <c r="I2152" s="343"/>
      <c r="J2152" s="343"/>
      <c r="K2152" s="343"/>
      <c r="L2152" s="343"/>
    </row>
    <row r="2153" spans="4:12" x14ac:dyDescent="0.2">
      <c r="D2153" s="341"/>
      <c r="F2153" s="343"/>
      <c r="G2153" s="343"/>
      <c r="H2153" s="343"/>
      <c r="I2153" s="343"/>
      <c r="J2153" s="343"/>
      <c r="K2153" s="343"/>
      <c r="L2153" s="343"/>
    </row>
    <row r="2154" spans="4:12" x14ac:dyDescent="0.2">
      <c r="D2154" s="341"/>
      <c r="F2154" s="343"/>
      <c r="G2154" s="343"/>
      <c r="H2154" s="343"/>
      <c r="I2154" s="343"/>
      <c r="J2154" s="343"/>
      <c r="K2154" s="343"/>
      <c r="L2154" s="343"/>
    </row>
    <row r="2155" spans="4:12" x14ac:dyDescent="0.2">
      <c r="D2155" s="341"/>
      <c r="F2155" s="343"/>
      <c r="G2155" s="343"/>
      <c r="H2155" s="343"/>
      <c r="I2155" s="343"/>
      <c r="J2155" s="343"/>
      <c r="K2155" s="343"/>
      <c r="L2155" s="343"/>
    </row>
    <row r="2156" spans="4:12" x14ac:dyDescent="0.2">
      <c r="D2156" s="341"/>
      <c r="F2156" s="343"/>
      <c r="G2156" s="343"/>
      <c r="H2156" s="343"/>
      <c r="I2156" s="343"/>
      <c r="J2156" s="343"/>
      <c r="K2156" s="343"/>
      <c r="L2156" s="343"/>
    </row>
    <row r="2157" spans="4:12" x14ac:dyDescent="0.2">
      <c r="D2157" s="341"/>
      <c r="F2157" s="343"/>
      <c r="G2157" s="343"/>
      <c r="H2157" s="343"/>
      <c r="I2157" s="343"/>
      <c r="J2157" s="343"/>
      <c r="K2157" s="343"/>
      <c r="L2157" s="343"/>
    </row>
    <row r="2158" spans="4:12" x14ac:dyDescent="0.2">
      <c r="D2158" s="341"/>
      <c r="F2158" s="343"/>
      <c r="G2158" s="343"/>
      <c r="H2158" s="343"/>
      <c r="I2158" s="343"/>
      <c r="J2158" s="343"/>
      <c r="K2158" s="343"/>
      <c r="L2158" s="343"/>
    </row>
    <row r="2159" spans="4:12" x14ac:dyDescent="0.2">
      <c r="D2159" s="341"/>
      <c r="F2159" s="343"/>
      <c r="G2159" s="343"/>
      <c r="H2159" s="343"/>
      <c r="I2159" s="343"/>
      <c r="J2159" s="343"/>
      <c r="K2159" s="343"/>
      <c r="L2159" s="343"/>
    </row>
    <row r="2160" spans="4:12" x14ac:dyDescent="0.2">
      <c r="D2160" s="341"/>
      <c r="F2160" s="343"/>
      <c r="G2160" s="343"/>
      <c r="H2160" s="343"/>
      <c r="I2160" s="343"/>
      <c r="J2160" s="343"/>
      <c r="K2160" s="343"/>
      <c r="L2160" s="343"/>
    </row>
    <row r="2161" spans="4:12" x14ac:dyDescent="0.2">
      <c r="D2161" s="341"/>
      <c r="F2161" s="343"/>
      <c r="G2161" s="343"/>
      <c r="H2161" s="343"/>
      <c r="I2161" s="343"/>
      <c r="J2161" s="343"/>
      <c r="K2161" s="343"/>
      <c r="L2161" s="343"/>
    </row>
    <row r="2162" spans="4:12" x14ac:dyDescent="0.2">
      <c r="D2162" s="341"/>
      <c r="F2162" s="343"/>
      <c r="G2162" s="343"/>
      <c r="H2162" s="343"/>
      <c r="I2162" s="343"/>
      <c r="J2162" s="343"/>
      <c r="K2162" s="343"/>
      <c r="L2162" s="343"/>
    </row>
    <row r="2163" spans="4:12" x14ac:dyDescent="0.2">
      <c r="D2163" s="341"/>
      <c r="F2163" s="343"/>
      <c r="G2163" s="343"/>
      <c r="H2163" s="343"/>
      <c r="I2163" s="343"/>
      <c r="J2163" s="343"/>
      <c r="K2163" s="343"/>
      <c r="L2163" s="343"/>
    </row>
    <row r="2164" spans="4:12" x14ac:dyDescent="0.2">
      <c r="D2164" s="341"/>
      <c r="F2164" s="343"/>
      <c r="G2164" s="343"/>
      <c r="H2164" s="343"/>
      <c r="I2164" s="343"/>
      <c r="J2164" s="343"/>
      <c r="K2164" s="343"/>
      <c r="L2164" s="343"/>
    </row>
    <row r="2165" spans="4:12" x14ac:dyDescent="0.2">
      <c r="D2165" s="341"/>
      <c r="F2165" s="343"/>
      <c r="G2165" s="343"/>
      <c r="H2165" s="343"/>
      <c r="I2165" s="343"/>
      <c r="J2165" s="343"/>
      <c r="K2165" s="343"/>
      <c r="L2165" s="343"/>
    </row>
    <row r="2166" spans="4:12" x14ac:dyDescent="0.2">
      <c r="D2166" s="341"/>
      <c r="F2166" s="343"/>
      <c r="G2166" s="343"/>
      <c r="H2166" s="343"/>
      <c r="I2166" s="343"/>
      <c r="J2166" s="343"/>
      <c r="K2166" s="343"/>
      <c r="L2166" s="343"/>
    </row>
    <row r="2167" spans="4:12" x14ac:dyDescent="0.2">
      <c r="D2167" s="341"/>
      <c r="F2167" s="343"/>
      <c r="G2167" s="343"/>
      <c r="H2167" s="343"/>
      <c r="I2167" s="343"/>
      <c r="J2167" s="343"/>
      <c r="K2167" s="343"/>
      <c r="L2167" s="343"/>
    </row>
    <row r="2168" spans="4:12" x14ac:dyDescent="0.2">
      <c r="D2168" s="341"/>
      <c r="F2168" s="343"/>
      <c r="G2168" s="343"/>
      <c r="H2168" s="343"/>
      <c r="I2168" s="343"/>
      <c r="J2168" s="343"/>
      <c r="K2168" s="343"/>
      <c r="L2168" s="343"/>
    </row>
    <row r="2169" spans="4:12" x14ac:dyDescent="0.2">
      <c r="D2169" s="341"/>
      <c r="F2169" s="343"/>
      <c r="G2169" s="343"/>
      <c r="H2169" s="343"/>
      <c r="I2169" s="343"/>
      <c r="J2169" s="343"/>
      <c r="K2169" s="343"/>
      <c r="L2169" s="343"/>
    </row>
    <row r="2170" spans="4:12" x14ac:dyDescent="0.2">
      <c r="D2170" s="341"/>
      <c r="F2170" s="343"/>
      <c r="G2170" s="343"/>
      <c r="H2170" s="343"/>
      <c r="I2170" s="343"/>
      <c r="J2170" s="343"/>
      <c r="K2170" s="343"/>
      <c r="L2170" s="343"/>
    </row>
    <row r="2171" spans="4:12" x14ac:dyDescent="0.2">
      <c r="D2171" s="341"/>
      <c r="F2171" s="343"/>
      <c r="G2171" s="343"/>
      <c r="H2171" s="343"/>
      <c r="I2171" s="343"/>
      <c r="J2171" s="343"/>
      <c r="K2171" s="343"/>
      <c r="L2171" s="343"/>
    </row>
    <row r="2172" spans="4:12" x14ac:dyDescent="0.2">
      <c r="D2172" s="341"/>
      <c r="F2172" s="343"/>
      <c r="G2172" s="343"/>
      <c r="H2172" s="343"/>
      <c r="I2172" s="343"/>
      <c r="J2172" s="343"/>
      <c r="K2172" s="343"/>
      <c r="L2172" s="343"/>
    </row>
    <row r="2173" spans="4:12" x14ac:dyDescent="0.2">
      <c r="D2173" s="341"/>
      <c r="F2173" s="343"/>
      <c r="G2173" s="343"/>
      <c r="H2173" s="343"/>
      <c r="I2173" s="343"/>
      <c r="J2173" s="343"/>
      <c r="K2173" s="343"/>
      <c r="L2173" s="343"/>
    </row>
    <row r="2174" spans="4:12" x14ac:dyDescent="0.2">
      <c r="D2174" s="341"/>
      <c r="F2174" s="343"/>
      <c r="G2174" s="343"/>
      <c r="H2174" s="343"/>
      <c r="I2174" s="343"/>
      <c r="J2174" s="343"/>
      <c r="K2174" s="343"/>
      <c r="L2174" s="343"/>
    </row>
    <row r="2175" spans="4:12" x14ac:dyDescent="0.2">
      <c r="D2175" s="341"/>
      <c r="F2175" s="343"/>
      <c r="G2175" s="343"/>
      <c r="H2175" s="343"/>
      <c r="I2175" s="343"/>
      <c r="J2175" s="343"/>
      <c r="K2175" s="343"/>
      <c r="L2175" s="343"/>
    </row>
    <row r="2176" spans="4:12" x14ac:dyDescent="0.2">
      <c r="D2176" s="341"/>
      <c r="F2176" s="343"/>
      <c r="G2176" s="343"/>
      <c r="H2176" s="343"/>
      <c r="I2176" s="343"/>
      <c r="J2176" s="343"/>
      <c r="K2176" s="343"/>
      <c r="L2176" s="343"/>
    </row>
    <row r="2177" spans="4:12" x14ac:dyDescent="0.2">
      <c r="D2177" s="341"/>
      <c r="F2177" s="343"/>
      <c r="G2177" s="343"/>
      <c r="H2177" s="343"/>
      <c r="I2177" s="343"/>
      <c r="J2177" s="343"/>
      <c r="K2177" s="343"/>
      <c r="L2177" s="343"/>
    </row>
    <row r="2178" spans="4:12" x14ac:dyDescent="0.2">
      <c r="D2178" s="341"/>
      <c r="F2178" s="343"/>
      <c r="G2178" s="343"/>
      <c r="H2178" s="343"/>
      <c r="I2178" s="343"/>
      <c r="J2178" s="343"/>
      <c r="K2178" s="343"/>
      <c r="L2178" s="343"/>
    </row>
    <row r="2179" spans="4:12" x14ac:dyDescent="0.2">
      <c r="D2179" s="341"/>
      <c r="F2179" s="343"/>
      <c r="G2179" s="343"/>
      <c r="H2179" s="343"/>
      <c r="I2179" s="343"/>
      <c r="J2179" s="343"/>
      <c r="K2179" s="343"/>
      <c r="L2179" s="343"/>
    </row>
    <row r="2180" spans="4:12" x14ac:dyDescent="0.2">
      <c r="D2180" s="341"/>
      <c r="F2180" s="343"/>
      <c r="G2180" s="343"/>
      <c r="H2180" s="343"/>
      <c r="I2180" s="343"/>
      <c r="J2180" s="343"/>
      <c r="K2180" s="343"/>
      <c r="L2180" s="343"/>
    </row>
    <row r="2181" spans="4:12" x14ac:dyDescent="0.2">
      <c r="D2181" s="341"/>
      <c r="F2181" s="343"/>
      <c r="G2181" s="343"/>
      <c r="H2181" s="343"/>
      <c r="I2181" s="343"/>
      <c r="J2181" s="343"/>
      <c r="K2181" s="343"/>
      <c r="L2181" s="343"/>
    </row>
    <row r="2182" spans="4:12" x14ac:dyDescent="0.2">
      <c r="D2182" s="341"/>
      <c r="F2182" s="343"/>
      <c r="G2182" s="343"/>
      <c r="H2182" s="343"/>
      <c r="I2182" s="343"/>
      <c r="J2182" s="343"/>
      <c r="K2182" s="343"/>
      <c r="L2182" s="343"/>
    </row>
    <row r="2183" spans="4:12" x14ac:dyDescent="0.2">
      <c r="D2183" s="341"/>
      <c r="F2183" s="343"/>
      <c r="G2183" s="343"/>
      <c r="H2183" s="343"/>
      <c r="I2183" s="343"/>
      <c r="J2183" s="343"/>
      <c r="K2183" s="343"/>
      <c r="L2183" s="343"/>
    </row>
    <row r="2184" spans="4:12" x14ac:dyDescent="0.2">
      <c r="D2184" s="341"/>
      <c r="F2184" s="343"/>
      <c r="G2184" s="343"/>
      <c r="H2184" s="343"/>
      <c r="I2184" s="343"/>
      <c r="J2184" s="343"/>
      <c r="K2184" s="343"/>
      <c r="L2184" s="343"/>
    </row>
    <row r="2185" spans="4:12" x14ac:dyDescent="0.2">
      <c r="D2185" s="341"/>
      <c r="F2185" s="343"/>
      <c r="G2185" s="343"/>
      <c r="H2185" s="343"/>
      <c r="I2185" s="343"/>
      <c r="J2185" s="343"/>
      <c r="K2185" s="343"/>
      <c r="L2185" s="343"/>
    </row>
    <row r="2186" spans="4:12" x14ac:dyDescent="0.2">
      <c r="D2186" s="341"/>
      <c r="F2186" s="343"/>
      <c r="G2186" s="343"/>
      <c r="H2186" s="343"/>
      <c r="I2186" s="343"/>
      <c r="J2186" s="343"/>
      <c r="K2186" s="343"/>
      <c r="L2186" s="343"/>
    </row>
    <row r="2187" spans="4:12" x14ac:dyDescent="0.2">
      <c r="D2187" s="341"/>
      <c r="F2187" s="343"/>
      <c r="G2187" s="343"/>
      <c r="H2187" s="343"/>
      <c r="I2187" s="343"/>
      <c r="J2187" s="343"/>
      <c r="K2187" s="343"/>
      <c r="L2187" s="343"/>
    </row>
    <row r="2188" spans="4:12" x14ac:dyDescent="0.2">
      <c r="D2188" s="341"/>
      <c r="F2188" s="343"/>
      <c r="G2188" s="343"/>
      <c r="H2188" s="343"/>
      <c r="I2188" s="343"/>
      <c r="J2188" s="343"/>
      <c r="K2188" s="343"/>
      <c r="L2188" s="343"/>
    </row>
    <row r="2189" spans="4:12" x14ac:dyDescent="0.2">
      <c r="D2189" s="341"/>
      <c r="F2189" s="343"/>
      <c r="G2189" s="343"/>
      <c r="H2189" s="343"/>
      <c r="I2189" s="343"/>
      <c r="J2189" s="343"/>
      <c r="K2189" s="343"/>
      <c r="L2189" s="343"/>
    </row>
    <row r="2190" spans="4:12" x14ac:dyDescent="0.2">
      <c r="D2190" s="341"/>
      <c r="F2190" s="343"/>
      <c r="G2190" s="343"/>
      <c r="H2190" s="343"/>
      <c r="I2190" s="343"/>
      <c r="J2190" s="343"/>
      <c r="K2190" s="343"/>
      <c r="L2190" s="343"/>
    </row>
    <row r="2191" spans="4:12" x14ac:dyDescent="0.2">
      <c r="D2191" s="341"/>
      <c r="F2191" s="343"/>
      <c r="G2191" s="343"/>
      <c r="H2191" s="343"/>
      <c r="I2191" s="343"/>
      <c r="J2191" s="343"/>
      <c r="K2191" s="343"/>
      <c r="L2191" s="343"/>
    </row>
    <row r="2192" spans="4:12" x14ac:dyDescent="0.2">
      <c r="D2192" s="341"/>
      <c r="F2192" s="343"/>
      <c r="G2192" s="343"/>
      <c r="H2192" s="343"/>
      <c r="I2192" s="343"/>
      <c r="J2192" s="343"/>
      <c r="K2192" s="343"/>
      <c r="L2192" s="343"/>
    </row>
    <row r="2193" spans="4:12" x14ac:dyDescent="0.2">
      <c r="D2193" s="341"/>
      <c r="F2193" s="343"/>
      <c r="G2193" s="343"/>
      <c r="H2193" s="343"/>
      <c r="I2193" s="343"/>
      <c r="J2193" s="343"/>
      <c r="K2193" s="343"/>
      <c r="L2193" s="343"/>
    </row>
    <row r="2194" spans="4:12" x14ac:dyDescent="0.2">
      <c r="D2194" s="341"/>
      <c r="F2194" s="343"/>
      <c r="G2194" s="343"/>
      <c r="H2194" s="343"/>
      <c r="I2194" s="343"/>
      <c r="J2194" s="343"/>
      <c r="K2194" s="343"/>
      <c r="L2194" s="343"/>
    </row>
    <row r="2195" spans="4:12" x14ac:dyDescent="0.2">
      <c r="D2195" s="341"/>
      <c r="F2195" s="343"/>
      <c r="G2195" s="343"/>
      <c r="H2195" s="343"/>
      <c r="I2195" s="343"/>
      <c r="J2195" s="343"/>
      <c r="K2195" s="343"/>
      <c r="L2195" s="343"/>
    </row>
    <row r="2196" spans="4:12" x14ac:dyDescent="0.2">
      <c r="D2196" s="341"/>
      <c r="F2196" s="343"/>
      <c r="G2196" s="343"/>
      <c r="H2196" s="343"/>
      <c r="I2196" s="343"/>
      <c r="J2196" s="343"/>
      <c r="K2196" s="343"/>
      <c r="L2196" s="343"/>
    </row>
    <row r="2197" spans="4:12" x14ac:dyDescent="0.2">
      <c r="D2197" s="341"/>
      <c r="F2197" s="343"/>
      <c r="G2197" s="343"/>
      <c r="H2197" s="343"/>
      <c r="I2197" s="343"/>
      <c r="J2197" s="343"/>
      <c r="K2197" s="343"/>
      <c r="L2197" s="343"/>
    </row>
    <row r="2198" spans="4:12" x14ac:dyDescent="0.2">
      <c r="D2198" s="341"/>
      <c r="F2198" s="343"/>
      <c r="G2198" s="343"/>
      <c r="H2198" s="343"/>
      <c r="I2198" s="343"/>
      <c r="J2198" s="343"/>
      <c r="K2198" s="343"/>
      <c r="L2198" s="343"/>
    </row>
    <row r="2199" spans="4:12" x14ac:dyDescent="0.2">
      <c r="D2199" s="341"/>
      <c r="F2199" s="343"/>
      <c r="G2199" s="343"/>
      <c r="H2199" s="343"/>
      <c r="I2199" s="343"/>
      <c r="J2199" s="343"/>
      <c r="K2199" s="343"/>
      <c r="L2199" s="343"/>
    </row>
    <row r="2200" spans="4:12" x14ac:dyDescent="0.2">
      <c r="D2200" s="341"/>
      <c r="F2200" s="343"/>
      <c r="G2200" s="343"/>
      <c r="H2200" s="343"/>
      <c r="I2200" s="343"/>
      <c r="J2200" s="343"/>
      <c r="K2200" s="343"/>
      <c r="L2200" s="343"/>
    </row>
    <row r="2201" spans="4:12" x14ac:dyDescent="0.2">
      <c r="D2201" s="341"/>
      <c r="F2201" s="343"/>
      <c r="G2201" s="343"/>
      <c r="H2201" s="343"/>
      <c r="I2201" s="343"/>
      <c r="J2201" s="343"/>
      <c r="K2201" s="343"/>
      <c r="L2201" s="343"/>
    </row>
    <row r="2202" spans="4:12" x14ac:dyDescent="0.2">
      <c r="D2202" s="341"/>
      <c r="F2202" s="343"/>
      <c r="G2202" s="343"/>
      <c r="H2202" s="343"/>
      <c r="I2202" s="343"/>
      <c r="J2202" s="343"/>
      <c r="K2202" s="343"/>
      <c r="L2202" s="343"/>
    </row>
    <row r="2203" spans="4:12" x14ac:dyDescent="0.2">
      <c r="D2203" s="341"/>
      <c r="F2203" s="343"/>
      <c r="G2203" s="343"/>
      <c r="H2203" s="343"/>
      <c r="I2203" s="343"/>
      <c r="J2203" s="343"/>
      <c r="K2203" s="343"/>
      <c r="L2203" s="343"/>
    </row>
    <row r="2204" spans="4:12" x14ac:dyDescent="0.2">
      <c r="D2204" s="341"/>
      <c r="F2204" s="343"/>
      <c r="G2204" s="343"/>
      <c r="H2204" s="343"/>
      <c r="I2204" s="343"/>
      <c r="J2204" s="343"/>
      <c r="K2204" s="343"/>
      <c r="L2204" s="343"/>
    </row>
    <row r="2205" spans="4:12" x14ac:dyDescent="0.2">
      <c r="D2205" s="341"/>
      <c r="F2205" s="343"/>
      <c r="G2205" s="343"/>
      <c r="H2205" s="343"/>
      <c r="I2205" s="343"/>
      <c r="J2205" s="343"/>
      <c r="K2205" s="343"/>
      <c r="L2205" s="343"/>
    </row>
    <row r="2206" spans="4:12" x14ac:dyDescent="0.2">
      <c r="D2206" s="341"/>
      <c r="F2206" s="343"/>
      <c r="G2206" s="343"/>
      <c r="H2206" s="343"/>
      <c r="I2206" s="343"/>
      <c r="J2206" s="343"/>
      <c r="K2206" s="343"/>
      <c r="L2206" s="343"/>
    </row>
    <row r="2207" spans="4:12" x14ac:dyDescent="0.2">
      <c r="D2207" s="341"/>
      <c r="F2207" s="343"/>
      <c r="G2207" s="343"/>
      <c r="H2207" s="343"/>
      <c r="I2207" s="343"/>
      <c r="J2207" s="343"/>
      <c r="K2207" s="343"/>
      <c r="L2207" s="343"/>
    </row>
    <row r="2208" spans="4:12" x14ac:dyDescent="0.2">
      <c r="D2208" s="341"/>
      <c r="F2208" s="343"/>
      <c r="G2208" s="343"/>
      <c r="H2208" s="343"/>
      <c r="I2208" s="343"/>
      <c r="J2208" s="343"/>
      <c r="K2208" s="343"/>
      <c r="L2208" s="343"/>
    </row>
    <row r="2209" spans="4:12" x14ac:dyDescent="0.2">
      <c r="D2209" s="341"/>
      <c r="F2209" s="343"/>
      <c r="G2209" s="343"/>
      <c r="H2209" s="343"/>
      <c r="I2209" s="343"/>
      <c r="J2209" s="343"/>
      <c r="K2209" s="343"/>
      <c r="L2209" s="343"/>
    </row>
    <row r="2210" spans="4:12" x14ac:dyDescent="0.2">
      <c r="D2210" s="341"/>
      <c r="F2210" s="343"/>
      <c r="G2210" s="343"/>
      <c r="H2210" s="343"/>
      <c r="I2210" s="343"/>
      <c r="J2210" s="343"/>
      <c r="K2210" s="343"/>
      <c r="L2210" s="343"/>
    </row>
    <row r="2211" spans="4:12" x14ac:dyDescent="0.2">
      <c r="D2211" s="341"/>
      <c r="F2211" s="343"/>
      <c r="G2211" s="343"/>
      <c r="H2211" s="343"/>
      <c r="I2211" s="343"/>
      <c r="J2211" s="343"/>
      <c r="K2211" s="343"/>
      <c r="L2211" s="343"/>
    </row>
    <row r="2212" spans="4:12" x14ac:dyDescent="0.2">
      <c r="D2212" s="341"/>
      <c r="F2212" s="343"/>
      <c r="G2212" s="343"/>
      <c r="H2212" s="343"/>
      <c r="I2212" s="343"/>
      <c r="J2212" s="343"/>
      <c r="K2212" s="343"/>
      <c r="L2212" s="343"/>
    </row>
    <row r="2213" spans="4:12" x14ac:dyDescent="0.2">
      <c r="D2213" s="341"/>
      <c r="F2213" s="343"/>
      <c r="G2213" s="343"/>
      <c r="H2213" s="343"/>
      <c r="I2213" s="343"/>
      <c r="J2213" s="343"/>
      <c r="K2213" s="343"/>
      <c r="L2213" s="343"/>
    </row>
    <row r="2214" spans="4:12" x14ac:dyDescent="0.2">
      <c r="D2214" s="341"/>
      <c r="F2214" s="343"/>
      <c r="G2214" s="343"/>
      <c r="H2214" s="343"/>
      <c r="I2214" s="343"/>
      <c r="J2214" s="343"/>
      <c r="K2214" s="343"/>
      <c r="L2214" s="343"/>
    </row>
    <row r="2215" spans="4:12" x14ac:dyDescent="0.2">
      <c r="D2215" s="341"/>
      <c r="F2215" s="343"/>
      <c r="G2215" s="343"/>
      <c r="H2215" s="343"/>
      <c r="I2215" s="343"/>
      <c r="J2215" s="343"/>
      <c r="K2215" s="343"/>
      <c r="L2215" s="343"/>
    </row>
    <row r="2216" spans="4:12" x14ac:dyDescent="0.2">
      <c r="D2216" s="341"/>
      <c r="F2216" s="343"/>
      <c r="G2216" s="343"/>
      <c r="H2216" s="343"/>
      <c r="I2216" s="343"/>
      <c r="J2216" s="343"/>
      <c r="K2216" s="343"/>
      <c r="L2216" s="343"/>
    </row>
    <row r="2217" spans="4:12" x14ac:dyDescent="0.2">
      <c r="D2217" s="341"/>
      <c r="F2217" s="343"/>
      <c r="G2217" s="343"/>
      <c r="H2217" s="343"/>
      <c r="I2217" s="343"/>
      <c r="J2217" s="343"/>
      <c r="K2217" s="343"/>
      <c r="L2217" s="343"/>
    </row>
    <row r="2218" spans="4:12" x14ac:dyDescent="0.2">
      <c r="D2218" s="341"/>
      <c r="F2218" s="343"/>
      <c r="G2218" s="343"/>
      <c r="H2218" s="343"/>
      <c r="I2218" s="343"/>
      <c r="J2218" s="343"/>
      <c r="K2218" s="343"/>
      <c r="L2218" s="343"/>
    </row>
    <row r="2219" spans="4:12" x14ac:dyDescent="0.2">
      <c r="D2219" s="341"/>
      <c r="F2219" s="343"/>
      <c r="G2219" s="343"/>
      <c r="H2219" s="343"/>
      <c r="I2219" s="343"/>
      <c r="J2219" s="343"/>
      <c r="K2219" s="343"/>
      <c r="L2219" s="343"/>
    </row>
    <row r="2220" spans="4:12" x14ac:dyDescent="0.2">
      <c r="D2220" s="341"/>
      <c r="F2220" s="343"/>
      <c r="G2220" s="343"/>
      <c r="H2220" s="343"/>
      <c r="I2220" s="343"/>
      <c r="J2220" s="343"/>
      <c r="K2220" s="343"/>
      <c r="L2220" s="343"/>
    </row>
    <row r="2221" spans="4:12" x14ac:dyDescent="0.2">
      <c r="D2221" s="341"/>
      <c r="F2221" s="343"/>
      <c r="G2221" s="343"/>
      <c r="H2221" s="343"/>
      <c r="I2221" s="343"/>
      <c r="J2221" s="343"/>
      <c r="K2221" s="343"/>
      <c r="L2221" s="343"/>
    </row>
    <row r="2222" spans="4:12" x14ac:dyDescent="0.2">
      <c r="D2222" s="341"/>
      <c r="F2222" s="343"/>
      <c r="G2222" s="343"/>
      <c r="H2222" s="343"/>
      <c r="I2222" s="343"/>
      <c r="J2222" s="343"/>
      <c r="K2222" s="343"/>
      <c r="L2222" s="343"/>
    </row>
    <row r="2223" spans="4:12" x14ac:dyDescent="0.2">
      <c r="D2223" s="341"/>
      <c r="F2223" s="343"/>
      <c r="G2223" s="343"/>
      <c r="H2223" s="343"/>
      <c r="I2223" s="343"/>
      <c r="J2223" s="343"/>
      <c r="K2223" s="343"/>
      <c r="L2223" s="343"/>
    </row>
    <row r="2224" spans="4:12" x14ac:dyDescent="0.2">
      <c r="D2224" s="341"/>
      <c r="F2224" s="343"/>
      <c r="G2224" s="343"/>
      <c r="H2224" s="343"/>
      <c r="I2224" s="343"/>
      <c r="J2224" s="343"/>
      <c r="K2224" s="343"/>
      <c r="L2224" s="343"/>
    </row>
    <row r="2225" spans="4:12" x14ac:dyDescent="0.2">
      <c r="D2225" s="341"/>
      <c r="F2225" s="343"/>
      <c r="G2225" s="343"/>
      <c r="H2225" s="343"/>
      <c r="I2225" s="343"/>
      <c r="J2225" s="343"/>
      <c r="K2225" s="343"/>
      <c r="L2225" s="343"/>
    </row>
    <row r="2226" spans="4:12" x14ac:dyDescent="0.2">
      <c r="D2226" s="341"/>
      <c r="F2226" s="343"/>
      <c r="G2226" s="343"/>
      <c r="H2226" s="343"/>
      <c r="I2226" s="343"/>
      <c r="J2226" s="343"/>
      <c r="K2226" s="343"/>
      <c r="L2226" s="343"/>
    </row>
    <row r="2227" spans="4:12" x14ac:dyDescent="0.2">
      <c r="D2227" s="341"/>
      <c r="F2227" s="343"/>
      <c r="G2227" s="343"/>
      <c r="H2227" s="343"/>
      <c r="I2227" s="343"/>
      <c r="J2227" s="343"/>
      <c r="K2227" s="343"/>
      <c r="L2227" s="343"/>
    </row>
    <row r="2228" spans="4:12" x14ac:dyDescent="0.2">
      <c r="D2228" s="341"/>
      <c r="F2228" s="343"/>
      <c r="G2228" s="343"/>
      <c r="H2228" s="343"/>
      <c r="I2228" s="343"/>
      <c r="J2228" s="343"/>
      <c r="K2228" s="343"/>
      <c r="L2228" s="343"/>
    </row>
    <row r="2229" spans="4:12" x14ac:dyDescent="0.2">
      <c r="D2229" s="341"/>
      <c r="F2229" s="343"/>
      <c r="G2229" s="343"/>
      <c r="H2229" s="343"/>
      <c r="I2229" s="343"/>
      <c r="J2229" s="343"/>
      <c r="K2229" s="343"/>
      <c r="L2229" s="343"/>
    </row>
    <row r="2230" spans="4:12" x14ac:dyDescent="0.2">
      <c r="D2230" s="341"/>
      <c r="F2230" s="343"/>
      <c r="G2230" s="343"/>
      <c r="H2230" s="343"/>
      <c r="I2230" s="343"/>
      <c r="J2230" s="343"/>
      <c r="K2230" s="343"/>
      <c r="L2230" s="343"/>
    </row>
    <row r="2231" spans="4:12" x14ac:dyDescent="0.2">
      <c r="D2231" s="341"/>
      <c r="F2231" s="343"/>
      <c r="G2231" s="343"/>
      <c r="H2231" s="343"/>
      <c r="I2231" s="343"/>
      <c r="J2231" s="343"/>
      <c r="K2231" s="343"/>
      <c r="L2231" s="343"/>
    </row>
    <row r="2232" spans="4:12" x14ac:dyDescent="0.2">
      <c r="D2232" s="341"/>
      <c r="F2232" s="343"/>
      <c r="G2232" s="343"/>
      <c r="H2232" s="343"/>
      <c r="I2232" s="343"/>
      <c r="J2232" s="343"/>
      <c r="K2232" s="343"/>
      <c r="L2232" s="343"/>
    </row>
    <row r="2233" spans="4:12" x14ac:dyDescent="0.2">
      <c r="D2233" s="341"/>
      <c r="F2233" s="343"/>
      <c r="G2233" s="343"/>
      <c r="H2233" s="343"/>
      <c r="I2233" s="343"/>
      <c r="J2233" s="343"/>
      <c r="K2233" s="343"/>
      <c r="L2233" s="343"/>
    </row>
    <row r="2234" spans="4:12" x14ac:dyDescent="0.2">
      <c r="D2234" s="341"/>
      <c r="F2234" s="343"/>
      <c r="G2234" s="343"/>
      <c r="H2234" s="343"/>
      <c r="I2234" s="343"/>
      <c r="J2234" s="343"/>
      <c r="K2234" s="343"/>
      <c r="L2234" s="343"/>
    </row>
    <row r="2235" spans="4:12" x14ac:dyDescent="0.2">
      <c r="D2235" s="341"/>
      <c r="F2235" s="343"/>
      <c r="G2235" s="343"/>
      <c r="H2235" s="343"/>
      <c r="I2235" s="343"/>
      <c r="J2235" s="343"/>
      <c r="K2235" s="343"/>
      <c r="L2235" s="343"/>
    </row>
    <row r="2236" spans="4:12" x14ac:dyDescent="0.2">
      <c r="D2236" s="341"/>
      <c r="F2236" s="343"/>
      <c r="G2236" s="343"/>
      <c r="H2236" s="343"/>
      <c r="I2236" s="343"/>
      <c r="J2236" s="343"/>
      <c r="K2236" s="343"/>
      <c r="L2236" s="343"/>
    </row>
    <row r="2237" spans="4:12" x14ac:dyDescent="0.2">
      <c r="D2237" s="341"/>
      <c r="F2237" s="343"/>
      <c r="G2237" s="343"/>
      <c r="H2237" s="343"/>
      <c r="I2237" s="343"/>
      <c r="J2237" s="343"/>
      <c r="K2237" s="343"/>
      <c r="L2237" s="343"/>
    </row>
    <row r="2238" spans="4:12" x14ac:dyDescent="0.2">
      <c r="D2238" s="341"/>
      <c r="F2238" s="343"/>
      <c r="G2238" s="343"/>
      <c r="H2238" s="343"/>
      <c r="I2238" s="343"/>
      <c r="J2238" s="343"/>
      <c r="K2238" s="343"/>
      <c r="L2238" s="343"/>
    </row>
    <row r="2239" spans="4:12" x14ac:dyDescent="0.2">
      <c r="D2239" s="341"/>
      <c r="F2239" s="343"/>
      <c r="G2239" s="343"/>
      <c r="H2239" s="343"/>
      <c r="I2239" s="343"/>
      <c r="J2239" s="343"/>
      <c r="K2239" s="343"/>
      <c r="L2239" s="343"/>
    </row>
    <row r="2240" spans="4:12" x14ac:dyDescent="0.2">
      <c r="D2240" s="341"/>
      <c r="F2240" s="343"/>
      <c r="G2240" s="343"/>
      <c r="H2240" s="343"/>
      <c r="I2240" s="343"/>
      <c r="J2240" s="343"/>
      <c r="K2240" s="343"/>
      <c r="L2240" s="343"/>
    </row>
    <row r="2241" spans="4:12" x14ac:dyDescent="0.2">
      <c r="D2241" s="341"/>
      <c r="F2241" s="343"/>
      <c r="G2241" s="343"/>
      <c r="H2241" s="343"/>
      <c r="I2241" s="343"/>
      <c r="J2241" s="343"/>
      <c r="K2241" s="343"/>
      <c r="L2241" s="343"/>
    </row>
    <row r="2242" spans="4:12" x14ac:dyDescent="0.2">
      <c r="D2242" s="341"/>
      <c r="F2242" s="343"/>
      <c r="G2242" s="343"/>
      <c r="H2242" s="343"/>
      <c r="I2242" s="343"/>
      <c r="J2242" s="343"/>
      <c r="K2242" s="343"/>
      <c r="L2242" s="343"/>
    </row>
    <row r="2243" spans="4:12" x14ac:dyDescent="0.2">
      <c r="D2243" s="341"/>
      <c r="F2243" s="343"/>
      <c r="G2243" s="343"/>
      <c r="H2243" s="343"/>
      <c r="I2243" s="343"/>
      <c r="J2243" s="343"/>
      <c r="K2243" s="343"/>
      <c r="L2243" s="343"/>
    </row>
    <row r="2244" spans="4:12" x14ac:dyDescent="0.2">
      <c r="D2244" s="341"/>
      <c r="F2244" s="343"/>
      <c r="G2244" s="343"/>
      <c r="H2244" s="343"/>
      <c r="I2244" s="343"/>
      <c r="J2244" s="343"/>
      <c r="K2244" s="343"/>
      <c r="L2244" s="343"/>
    </row>
    <row r="2245" spans="4:12" x14ac:dyDescent="0.2">
      <c r="D2245" s="341"/>
      <c r="F2245" s="343"/>
      <c r="G2245" s="343"/>
      <c r="H2245" s="343"/>
      <c r="I2245" s="343"/>
      <c r="J2245" s="343"/>
      <c r="K2245" s="343"/>
      <c r="L2245" s="343"/>
    </row>
    <row r="2246" spans="4:12" x14ac:dyDescent="0.2">
      <c r="D2246" s="341"/>
      <c r="F2246" s="343"/>
      <c r="G2246" s="343"/>
      <c r="H2246" s="343"/>
      <c r="I2246" s="343"/>
      <c r="J2246" s="343"/>
      <c r="K2246" s="343"/>
      <c r="L2246" s="343"/>
    </row>
    <row r="2247" spans="4:12" x14ac:dyDescent="0.2">
      <c r="D2247" s="341"/>
      <c r="F2247" s="343"/>
      <c r="G2247" s="343"/>
      <c r="H2247" s="343"/>
      <c r="I2247" s="343"/>
      <c r="J2247" s="343"/>
      <c r="K2247" s="343"/>
      <c r="L2247" s="343"/>
    </row>
    <row r="2248" spans="4:12" x14ac:dyDescent="0.2">
      <c r="D2248" s="341"/>
      <c r="F2248" s="343"/>
      <c r="G2248" s="343"/>
      <c r="H2248" s="343"/>
      <c r="I2248" s="343"/>
      <c r="J2248" s="343"/>
      <c r="K2248" s="343"/>
      <c r="L2248" s="343"/>
    </row>
    <row r="2249" spans="4:12" x14ac:dyDescent="0.2">
      <c r="D2249" s="341"/>
      <c r="F2249" s="343"/>
      <c r="G2249" s="343"/>
      <c r="H2249" s="343"/>
      <c r="I2249" s="343"/>
      <c r="J2249" s="343"/>
      <c r="K2249" s="343"/>
      <c r="L2249" s="343"/>
    </row>
    <row r="2250" spans="4:12" x14ac:dyDescent="0.2">
      <c r="D2250" s="341"/>
      <c r="F2250" s="343"/>
      <c r="G2250" s="343"/>
      <c r="H2250" s="343"/>
      <c r="I2250" s="343"/>
      <c r="J2250" s="343"/>
      <c r="K2250" s="343"/>
      <c r="L2250" s="343"/>
    </row>
    <row r="2251" spans="4:12" x14ac:dyDescent="0.2">
      <c r="D2251" s="341"/>
      <c r="F2251" s="343"/>
      <c r="G2251" s="343"/>
      <c r="H2251" s="343"/>
      <c r="I2251" s="343"/>
      <c r="J2251" s="343"/>
      <c r="K2251" s="343"/>
      <c r="L2251" s="343"/>
    </row>
    <row r="2252" spans="4:12" x14ac:dyDescent="0.2">
      <c r="D2252" s="341"/>
      <c r="F2252" s="343"/>
      <c r="G2252" s="343"/>
      <c r="H2252" s="343"/>
      <c r="I2252" s="343"/>
      <c r="J2252" s="343"/>
      <c r="K2252" s="343"/>
      <c r="L2252" s="343"/>
    </row>
    <row r="2253" spans="4:12" x14ac:dyDescent="0.2">
      <c r="D2253" s="341"/>
      <c r="F2253" s="343"/>
      <c r="G2253" s="343"/>
      <c r="H2253" s="343"/>
      <c r="I2253" s="343"/>
      <c r="J2253" s="343"/>
      <c r="K2253" s="343"/>
      <c r="L2253" s="343"/>
    </row>
    <row r="2254" spans="4:12" x14ac:dyDescent="0.2">
      <c r="D2254" s="341"/>
      <c r="F2254" s="343"/>
      <c r="G2254" s="343"/>
      <c r="H2254" s="343"/>
      <c r="I2254" s="343"/>
      <c r="J2254" s="343"/>
      <c r="K2254" s="343"/>
      <c r="L2254" s="343"/>
    </row>
    <row r="2255" spans="4:12" x14ac:dyDescent="0.2">
      <c r="D2255" s="341"/>
      <c r="F2255" s="343"/>
      <c r="G2255" s="343"/>
      <c r="H2255" s="343"/>
      <c r="I2255" s="343"/>
      <c r="J2255" s="343"/>
      <c r="K2255" s="343"/>
      <c r="L2255" s="343"/>
    </row>
    <row r="2256" spans="4:12" x14ac:dyDescent="0.2">
      <c r="D2256" s="341"/>
      <c r="F2256" s="343"/>
      <c r="G2256" s="343"/>
      <c r="H2256" s="343"/>
      <c r="I2256" s="343"/>
      <c r="J2256" s="343"/>
      <c r="K2256" s="343"/>
      <c r="L2256" s="343"/>
    </row>
    <row r="2257" spans="4:12" x14ac:dyDescent="0.2">
      <c r="D2257" s="341"/>
      <c r="F2257" s="343"/>
      <c r="G2257" s="343"/>
      <c r="H2257" s="343"/>
      <c r="I2257" s="343"/>
      <c r="J2257" s="343"/>
      <c r="K2257" s="343"/>
      <c r="L2257" s="343"/>
    </row>
    <row r="2258" spans="4:12" x14ac:dyDescent="0.2">
      <c r="D2258" s="341"/>
      <c r="F2258" s="343"/>
      <c r="G2258" s="343"/>
      <c r="H2258" s="343"/>
      <c r="I2258" s="343"/>
      <c r="J2258" s="343"/>
      <c r="K2258" s="343"/>
      <c r="L2258" s="343"/>
    </row>
    <row r="2259" spans="4:12" x14ac:dyDescent="0.2">
      <c r="D2259" s="341"/>
      <c r="F2259" s="343"/>
      <c r="G2259" s="343"/>
      <c r="H2259" s="343"/>
      <c r="I2259" s="343"/>
      <c r="J2259" s="343"/>
      <c r="K2259" s="343"/>
      <c r="L2259" s="343"/>
    </row>
    <row r="2260" spans="4:12" x14ac:dyDescent="0.2">
      <c r="D2260" s="341"/>
      <c r="F2260" s="343"/>
      <c r="G2260" s="343"/>
      <c r="H2260" s="343"/>
      <c r="I2260" s="343"/>
      <c r="J2260" s="343"/>
      <c r="K2260" s="343"/>
      <c r="L2260" s="343"/>
    </row>
    <row r="2261" spans="4:12" x14ac:dyDescent="0.2">
      <c r="D2261" s="341"/>
      <c r="F2261" s="343"/>
      <c r="G2261" s="343"/>
      <c r="H2261" s="343"/>
      <c r="I2261" s="343"/>
      <c r="J2261" s="343"/>
      <c r="K2261" s="343"/>
      <c r="L2261" s="343"/>
    </row>
    <row r="2262" spans="4:12" x14ac:dyDescent="0.2">
      <c r="D2262" s="341"/>
      <c r="F2262" s="343"/>
      <c r="G2262" s="343"/>
      <c r="H2262" s="343"/>
      <c r="I2262" s="343"/>
      <c r="J2262" s="343"/>
      <c r="K2262" s="343"/>
      <c r="L2262" s="343"/>
    </row>
    <row r="2263" spans="4:12" x14ac:dyDescent="0.2">
      <c r="D2263" s="341"/>
      <c r="F2263" s="343"/>
      <c r="G2263" s="343"/>
      <c r="H2263" s="343"/>
      <c r="I2263" s="343"/>
      <c r="J2263" s="343"/>
      <c r="K2263" s="343"/>
      <c r="L2263" s="343"/>
    </row>
    <row r="2264" spans="4:12" x14ac:dyDescent="0.2">
      <c r="D2264" s="341"/>
      <c r="F2264" s="343"/>
      <c r="G2264" s="343"/>
      <c r="H2264" s="343"/>
      <c r="I2264" s="343"/>
      <c r="J2264" s="343"/>
      <c r="K2264" s="343"/>
      <c r="L2264" s="343"/>
    </row>
    <row r="2265" spans="4:12" x14ac:dyDescent="0.2">
      <c r="D2265" s="341"/>
      <c r="F2265" s="343"/>
      <c r="G2265" s="343"/>
      <c r="H2265" s="343"/>
      <c r="I2265" s="343"/>
      <c r="J2265" s="343"/>
      <c r="K2265" s="343"/>
      <c r="L2265" s="343"/>
    </row>
    <row r="2266" spans="4:12" x14ac:dyDescent="0.2">
      <c r="D2266" s="341"/>
      <c r="F2266" s="343"/>
      <c r="G2266" s="343"/>
      <c r="H2266" s="343"/>
      <c r="I2266" s="343"/>
      <c r="J2266" s="343"/>
      <c r="K2266" s="343"/>
      <c r="L2266" s="343"/>
    </row>
    <row r="2267" spans="4:12" x14ac:dyDescent="0.2">
      <c r="D2267" s="341"/>
      <c r="F2267" s="343"/>
      <c r="G2267" s="343"/>
      <c r="H2267" s="343"/>
      <c r="I2267" s="343"/>
      <c r="J2267" s="343"/>
      <c r="K2267" s="343"/>
      <c r="L2267" s="343"/>
    </row>
    <row r="2268" spans="4:12" x14ac:dyDescent="0.2">
      <c r="D2268" s="341"/>
      <c r="F2268" s="343"/>
      <c r="G2268" s="343"/>
      <c r="H2268" s="343"/>
      <c r="I2268" s="343"/>
      <c r="J2268" s="343"/>
      <c r="K2268" s="343"/>
      <c r="L2268" s="343"/>
    </row>
    <row r="2269" spans="4:12" x14ac:dyDescent="0.2">
      <c r="D2269" s="341"/>
      <c r="F2269" s="343"/>
      <c r="G2269" s="343"/>
      <c r="H2269" s="343"/>
      <c r="I2269" s="343"/>
      <c r="J2269" s="343"/>
      <c r="K2269" s="343"/>
      <c r="L2269" s="343"/>
    </row>
    <row r="2270" spans="4:12" x14ac:dyDescent="0.2">
      <c r="D2270" s="341"/>
      <c r="F2270" s="343"/>
      <c r="G2270" s="343"/>
      <c r="H2270" s="343"/>
      <c r="I2270" s="343"/>
      <c r="J2270" s="343"/>
      <c r="K2270" s="343"/>
      <c r="L2270" s="343"/>
    </row>
    <row r="2271" spans="4:12" x14ac:dyDescent="0.2">
      <c r="D2271" s="341"/>
      <c r="F2271" s="343"/>
      <c r="G2271" s="343"/>
      <c r="H2271" s="343"/>
      <c r="I2271" s="343"/>
      <c r="J2271" s="343"/>
      <c r="K2271" s="343"/>
      <c r="L2271" s="343"/>
    </row>
    <row r="2272" spans="4:12" x14ac:dyDescent="0.2">
      <c r="D2272" s="341"/>
      <c r="F2272" s="343"/>
      <c r="G2272" s="343"/>
      <c r="H2272" s="343"/>
      <c r="I2272" s="343"/>
      <c r="J2272" s="343"/>
      <c r="K2272" s="343"/>
      <c r="L2272" s="343"/>
    </row>
    <row r="2273" spans="4:12" x14ac:dyDescent="0.2">
      <c r="D2273" s="341"/>
      <c r="F2273" s="343"/>
      <c r="G2273" s="343"/>
      <c r="H2273" s="343"/>
      <c r="I2273" s="343"/>
      <c r="J2273" s="343"/>
      <c r="K2273" s="343"/>
      <c r="L2273" s="343"/>
    </row>
    <row r="2274" spans="4:12" x14ac:dyDescent="0.2">
      <c r="D2274" s="341"/>
      <c r="F2274" s="343"/>
      <c r="G2274" s="343"/>
      <c r="H2274" s="343"/>
      <c r="I2274" s="343"/>
      <c r="J2274" s="343"/>
      <c r="K2274" s="343"/>
      <c r="L2274" s="343"/>
    </row>
    <row r="2275" spans="4:12" x14ac:dyDescent="0.2">
      <c r="D2275" s="341"/>
      <c r="F2275" s="343"/>
      <c r="G2275" s="343"/>
      <c r="H2275" s="343"/>
      <c r="I2275" s="343"/>
      <c r="J2275" s="343"/>
      <c r="K2275" s="343"/>
      <c r="L2275" s="343"/>
    </row>
    <row r="2276" spans="4:12" x14ac:dyDescent="0.2">
      <c r="D2276" s="341"/>
      <c r="F2276" s="343"/>
      <c r="G2276" s="343"/>
      <c r="H2276" s="343"/>
      <c r="I2276" s="343"/>
      <c r="J2276" s="343"/>
      <c r="K2276" s="343"/>
      <c r="L2276" s="343"/>
    </row>
    <row r="2277" spans="4:12" x14ac:dyDescent="0.2">
      <c r="D2277" s="341"/>
      <c r="F2277" s="343"/>
      <c r="G2277" s="343"/>
      <c r="H2277" s="343"/>
      <c r="I2277" s="343"/>
      <c r="J2277" s="343"/>
      <c r="K2277" s="343"/>
      <c r="L2277" s="343"/>
    </row>
    <row r="2278" spans="4:12" x14ac:dyDescent="0.2">
      <c r="D2278" s="341"/>
      <c r="F2278" s="343"/>
      <c r="G2278" s="343"/>
      <c r="H2278" s="343"/>
      <c r="I2278" s="343"/>
      <c r="J2278" s="343"/>
      <c r="K2278" s="343"/>
      <c r="L2278" s="343"/>
    </row>
    <row r="2279" spans="4:12" x14ac:dyDescent="0.2">
      <c r="D2279" s="341"/>
      <c r="F2279" s="343"/>
      <c r="G2279" s="343"/>
      <c r="H2279" s="343"/>
      <c r="I2279" s="343"/>
      <c r="J2279" s="343"/>
      <c r="K2279" s="343"/>
      <c r="L2279" s="343"/>
    </row>
    <row r="2280" spans="4:12" x14ac:dyDescent="0.2">
      <c r="D2280" s="341"/>
      <c r="F2280" s="343"/>
      <c r="G2280" s="343"/>
      <c r="H2280" s="343"/>
      <c r="I2280" s="343"/>
      <c r="J2280" s="343"/>
      <c r="K2280" s="343"/>
      <c r="L2280" s="343"/>
    </row>
    <row r="2281" spans="4:12" x14ac:dyDescent="0.2">
      <c r="D2281" s="341"/>
      <c r="F2281" s="343"/>
      <c r="G2281" s="343"/>
      <c r="H2281" s="343"/>
      <c r="I2281" s="343"/>
      <c r="J2281" s="343"/>
      <c r="K2281" s="343"/>
      <c r="L2281" s="343"/>
    </row>
    <row r="2282" spans="4:12" x14ac:dyDescent="0.2">
      <c r="D2282" s="341"/>
      <c r="F2282" s="343"/>
      <c r="G2282" s="343"/>
      <c r="H2282" s="343"/>
      <c r="I2282" s="343"/>
      <c r="J2282" s="343"/>
      <c r="K2282" s="343"/>
      <c r="L2282" s="343"/>
    </row>
    <row r="2283" spans="4:12" x14ac:dyDescent="0.2">
      <c r="D2283" s="341"/>
      <c r="F2283" s="343"/>
      <c r="G2283" s="343"/>
      <c r="H2283" s="343"/>
      <c r="I2283" s="343"/>
      <c r="J2283" s="343"/>
      <c r="K2283" s="343"/>
      <c r="L2283" s="343"/>
    </row>
    <row r="2284" spans="4:12" x14ac:dyDescent="0.2">
      <c r="D2284" s="341"/>
      <c r="F2284" s="343"/>
      <c r="G2284" s="343"/>
      <c r="H2284" s="343"/>
      <c r="I2284" s="343"/>
      <c r="J2284" s="343"/>
      <c r="K2284" s="343"/>
      <c r="L2284" s="343"/>
    </row>
    <row r="2285" spans="4:12" x14ac:dyDescent="0.2">
      <c r="D2285" s="341"/>
      <c r="F2285" s="343"/>
      <c r="G2285" s="343"/>
      <c r="H2285" s="343"/>
      <c r="I2285" s="343"/>
      <c r="J2285" s="343"/>
      <c r="K2285" s="343"/>
      <c r="L2285" s="343"/>
    </row>
    <row r="2286" spans="4:12" x14ac:dyDescent="0.2">
      <c r="D2286" s="341"/>
      <c r="F2286" s="343"/>
      <c r="G2286" s="343"/>
      <c r="H2286" s="343"/>
      <c r="I2286" s="343"/>
      <c r="J2286" s="343"/>
      <c r="K2286" s="343"/>
      <c r="L2286" s="343"/>
    </row>
    <row r="2287" spans="4:12" x14ac:dyDescent="0.2">
      <c r="D2287" s="341"/>
      <c r="F2287" s="343"/>
      <c r="G2287" s="343"/>
      <c r="H2287" s="343"/>
      <c r="I2287" s="343"/>
      <c r="J2287" s="343"/>
      <c r="K2287" s="343"/>
      <c r="L2287" s="343"/>
    </row>
    <row r="2288" spans="4:12" x14ac:dyDescent="0.2">
      <c r="D2288" s="341"/>
      <c r="F2288" s="343"/>
      <c r="G2288" s="343"/>
      <c r="H2288" s="343"/>
      <c r="I2288" s="343"/>
      <c r="J2288" s="343"/>
      <c r="K2288" s="343"/>
      <c r="L2288" s="343"/>
    </row>
    <row r="2289" spans="4:12" x14ac:dyDescent="0.2">
      <c r="D2289" s="341"/>
      <c r="F2289" s="343"/>
      <c r="G2289" s="343"/>
      <c r="H2289" s="343"/>
      <c r="I2289" s="343"/>
      <c r="J2289" s="343"/>
      <c r="K2289" s="343"/>
      <c r="L2289" s="343"/>
    </row>
    <row r="2290" spans="4:12" x14ac:dyDescent="0.2">
      <c r="D2290" s="341"/>
      <c r="F2290" s="343"/>
      <c r="G2290" s="343"/>
      <c r="H2290" s="343"/>
      <c r="I2290" s="343"/>
      <c r="J2290" s="343"/>
      <c r="K2290" s="343"/>
      <c r="L2290" s="343"/>
    </row>
    <row r="2291" spans="4:12" x14ac:dyDescent="0.2">
      <c r="D2291" s="341"/>
      <c r="F2291" s="343"/>
      <c r="G2291" s="343"/>
      <c r="H2291" s="343"/>
      <c r="I2291" s="343"/>
      <c r="J2291" s="343"/>
      <c r="K2291" s="343"/>
      <c r="L2291" s="343"/>
    </row>
    <row r="2292" spans="4:12" x14ac:dyDescent="0.2">
      <c r="D2292" s="341"/>
      <c r="F2292" s="343"/>
      <c r="G2292" s="343"/>
      <c r="H2292" s="343"/>
      <c r="I2292" s="343"/>
      <c r="J2292" s="343"/>
      <c r="K2292" s="343"/>
      <c r="L2292" s="343"/>
    </row>
    <row r="2293" spans="4:12" x14ac:dyDescent="0.2">
      <c r="D2293" s="341"/>
      <c r="F2293" s="343"/>
      <c r="G2293" s="343"/>
      <c r="H2293" s="343"/>
      <c r="I2293" s="343"/>
      <c r="J2293" s="343"/>
      <c r="K2293" s="343"/>
      <c r="L2293" s="343"/>
    </row>
    <row r="2294" spans="4:12" x14ac:dyDescent="0.2">
      <c r="D2294" s="341"/>
      <c r="F2294" s="343"/>
      <c r="G2294" s="343"/>
      <c r="H2294" s="343"/>
      <c r="I2294" s="343"/>
      <c r="J2294" s="343"/>
      <c r="K2294" s="343"/>
      <c r="L2294" s="343"/>
    </row>
    <row r="2295" spans="4:12" x14ac:dyDescent="0.2">
      <c r="D2295" s="341"/>
      <c r="F2295" s="343"/>
      <c r="G2295" s="343"/>
      <c r="H2295" s="343"/>
      <c r="I2295" s="343"/>
      <c r="J2295" s="343"/>
      <c r="K2295" s="343"/>
      <c r="L2295" s="343"/>
    </row>
    <row r="2296" spans="4:12" x14ac:dyDescent="0.2">
      <c r="D2296" s="341"/>
      <c r="F2296" s="343"/>
      <c r="G2296" s="343"/>
      <c r="H2296" s="343"/>
      <c r="I2296" s="343"/>
      <c r="J2296" s="343"/>
      <c r="K2296" s="343"/>
      <c r="L2296" s="343"/>
    </row>
    <row r="2297" spans="4:12" x14ac:dyDescent="0.2">
      <c r="D2297" s="341"/>
      <c r="F2297" s="343"/>
      <c r="G2297" s="343"/>
      <c r="H2297" s="343"/>
      <c r="I2297" s="343"/>
      <c r="J2297" s="343"/>
      <c r="K2297" s="343"/>
      <c r="L2297" s="343"/>
    </row>
    <row r="2298" spans="4:12" x14ac:dyDescent="0.2">
      <c r="D2298" s="341"/>
      <c r="F2298" s="343"/>
      <c r="G2298" s="343"/>
      <c r="H2298" s="343"/>
      <c r="I2298" s="343"/>
      <c r="J2298" s="343"/>
      <c r="K2298" s="343"/>
      <c r="L2298" s="343"/>
    </row>
    <row r="2299" spans="4:12" x14ac:dyDescent="0.2">
      <c r="D2299" s="341"/>
      <c r="F2299" s="343"/>
      <c r="G2299" s="343"/>
      <c r="H2299" s="343"/>
      <c r="I2299" s="343"/>
      <c r="J2299" s="343"/>
      <c r="K2299" s="343"/>
      <c r="L2299" s="343"/>
    </row>
    <row r="2300" spans="4:12" x14ac:dyDescent="0.2">
      <c r="D2300" s="341"/>
      <c r="F2300" s="343"/>
      <c r="G2300" s="343"/>
      <c r="H2300" s="343"/>
      <c r="I2300" s="343"/>
      <c r="J2300" s="343"/>
      <c r="K2300" s="343"/>
      <c r="L2300" s="343"/>
    </row>
    <row r="2301" spans="4:12" x14ac:dyDescent="0.2">
      <c r="D2301" s="341"/>
      <c r="F2301" s="343"/>
      <c r="G2301" s="343"/>
      <c r="H2301" s="343"/>
      <c r="I2301" s="343"/>
      <c r="J2301" s="343"/>
      <c r="K2301" s="343"/>
      <c r="L2301" s="343"/>
    </row>
    <row r="2302" spans="4:12" x14ac:dyDescent="0.2">
      <c r="D2302" s="341"/>
      <c r="F2302" s="343"/>
      <c r="G2302" s="343"/>
      <c r="H2302" s="343"/>
      <c r="I2302" s="343"/>
      <c r="J2302" s="343"/>
      <c r="K2302" s="343"/>
      <c r="L2302" s="343"/>
    </row>
    <row r="2303" spans="4:12" x14ac:dyDescent="0.2">
      <c r="D2303" s="341"/>
      <c r="F2303" s="343"/>
      <c r="G2303" s="343"/>
      <c r="H2303" s="343"/>
      <c r="I2303" s="343"/>
      <c r="J2303" s="343"/>
      <c r="K2303" s="343"/>
      <c r="L2303" s="343"/>
    </row>
    <row r="2304" spans="4:12" x14ac:dyDescent="0.2">
      <c r="D2304" s="341"/>
      <c r="F2304" s="343"/>
      <c r="G2304" s="343"/>
      <c r="H2304" s="343"/>
      <c r="I2304" s="343"/>
      <c r="J2304" s="343"/>
      <c r="K2304" s="343"/>
      <c r="L2304" s="343"/>
    </row>
    <row r="2305" spans="4:12" x14ac:dyDescent="0.2">
      <c r="D2305" s="341"/>
      <c r="F2305" s="343"/>
      <c r="G2305" s="343"/>
      <c r="H2305" s="343"/>
      <c r="I2305" s="343"/>
      <c r="J2305" s="343"/>
      <c r="K2305" s="343"/>
      <c r="L2305" s="343"/>
    </row>
    <row r="2306" spans="4:12" x14ac:dyDescent="0.2">
      <c r="D2306" s="341"/>
      <c r="F2306" s="343"/>
      <c r="G2306" s="343"/>
      <c r="H2306" s="343"/>
      <c r="I2306" s="343"/>
      <c r="J2306" s="343"/>
      <c r="K2306" s="343"/>
      <c r="L2306" s="343"/>
    </row>
    <row r="2307" spans="4:12" x14ac:dyDescent="0.2">
      <c r="D2307" s="341"/>
      <c r="F2307" s="343"/>
      <c r="G2307" s="343"/>
      <c r="H2307" s="343"/>
      <c r="I2307" s="343"/>
      <c r="J2307" s="343"/>
      <c r="K2307" s="343"/>
      <c r="L2307" s="343"/>
    </row>
    <row r="2308" spans="4:12" x14ac:dyDescent="0.2">
      <c r="D2308" s="341"/>
      <c r="F2308" s="343"/>
      <c r="G2308" s="343"/>
      <c r="H2308" s="343"/>
      <c r="I2308" s="343"/>
      <c r="J2308" s="343"/>
      <c r="K2308" s="343"/>
      <c r="L2308" s="343"/>
    </row>
    <row r="2309" spans="4:12" x14ac:dyDescent="0.2">
      <c r="D2309" s="341"/>
      <c r="F2309" s="343"/>
      <c r="G2309" s="343"/>
      <c r="H2309" s="343"/>
      <c r="I2309" s="343"/>
      <c r="J2309" s="343"/>
      <c r="K2309" s="343"/>
      <c r="L2309" s="343"/>
    </row>
    <row r="2310" spans="4:12" x14ac:dyDescent="0.2">
      <c r="D2310" s="341"/>
      <c r="F2310" s="343"/>
      <c r="G2310" s="343"/>
      <c r="H2310" s="343"/>
      <c r="I2310" s="343"/>
      <c r="J2310" s="343"/>
      <c r="K2310" s="343"/>
      <c r="L2310" s="343"/>
    </row>
    <row r="2311" spans="4:12" x14ac:dyDescent="0.2">
      <c r="D2311" s="341"/>
      <c r="F2311" s="343"/>
      <c r="G2311" s="343"/>
      <c r="H2311" s="343"/>
      <c r="I2311" s="343"/>
      <c r="J2311" s="343"/>
      <c r="K2311" s="343"/>
      <c r="L2311" s="343"/>
    </row>
    <row r="2312" spans="4:12" x14ac:dyDescent="0.2">
      <c r="D2312" s="341"/>
      <c r="F2312" s="343"/>
      <c r="G2312" s="343"/>
      <c r="H2312" s="343"/>
      <c r="I2312" s="343"/>
      <c r="J2312" s="343"/>
      <c r="K2312" s="343"/>
      <c r="L2312" s="343"/>
    </row>
    <row r="2313" spans="4:12" x14ac:dyDescent="0.2">
      <c r="D2313" s="341"/>
      <c r="F2313" s="343"/>
      <c r="G2313" s="343"/>
      <c r="H2313" s="343"/>
      <c r="I2313" s="343"/>
      <c r="J2313" s="343"/>
      <c r="K2313" s="343"/>
      <c r="L2313" s="343"/>
    </row>
    <row r="2314" spans="4:12" x14ac:dyDescent="0.2">
      <c r="D2314" s="341"/>
      <c r="F2314" s="343"/>
      <c r="G2314" s="343"/>
      <c r="H2314" s="343"/>
      <c r="I2314" s="343"/>
      <c r="J2314" s="343"/>
      <c r="K2314" s="343"/>
      <c r="L2314" s="343"/>
    </row>
    <row r="2315" spans="4:12" x14ac:dyDescent="0.2">
      <c r="D2315" s="341"/>
      <c r="F2315" s="343"/>
      <c r="G2315" s="343"/>
      <c r="H2315" s="343"/>
      <c r="I2315" s="343"/>
      <c r="J2315" s="343"/>
      <c r="K2315" s="343"/>
      <c r="L2315" s="343"/>
    </row>
    <row r="2316" spans="4:12" x14ac:dyDescent="0.2">
      <c r="D2316" s="341"/>
      <c r="F2316" s="343"/>
      <c r="G2316" s="343"/>
      <c r="H2316" s="343"/>
      <c r="I2316" s="343"/>
      <c r="J2316" s="343"/>
      <c r="K2316" s="343"/>
      <c r="L2316" s="343"/>
    </row>
    <row r="2317" spans="4:12" x14ac:dyDescent="0.2">
      <c r="D2317" s="341"/>
      <c r="F2317" s="343"/>
      <c r="G2317" s="343"/>
      <c r="H2317" s="343"/>
      <c r="I2317" s="343"/>
      <c r="J2317" s="343"/>
      <c r="K2317" s="343"/>
      <c r="L2317" s="343"/>
    </row>
    <row r="2318" spans="4:12" x14ac:dyDescent="0.2">
      <c r="D2318" s="341"/>
      <c r="F2318" s="343"/>
      <c r="G2318" s="343"/>
      <c r="H2318" s="343"/>
      <c r="I2318" s="343"/>
      <c r="J2318" s="343"/>
      <c r="K2318" s="343"/>
      <c r="L2318" s="343"/>
    </row>
    <row r="2319" spans="4:12" x14ac:dyDescent="0.2">
      <c r="D2319" s="341"/>
      <c r="F2319" s="343"/>
      <c r="G2319" s="343"/>
      <c r="H2319" s="343"/>
      <c r="I2319" s="343"/>
      <c r="J2319" s="343"/>
      <c r="K2319" s="343"/>
      <c r="L2319" s="343"/>
    </row>
    <row r="2320" spans="4:12" x14ac:dyDescent="0.2">
      <c r="D2320" s="341"/>
      <c r="F2320" s="343"/>
      <c r="G2320" s="343"/>
      <c r="H2320" s="343"/>
      <c r="I2320" s="343"/>
      <c r="J2320" s="343"/>
      <c r="K2320" s="343"/>
      <c r="L2320" s="343"/>
    </row>
    <row r="2321" spans="4:12" x14ac:dyDescent="0.2">
      <c r="D2321" s="341"/>
      <c r="F2321" s="343"/>
      <c r="G2321" s="343"/>
      <c r="H2321" s="343"/>
      <c r="I2321" s="343"/>
      <c r="J2321" s="343"/>
      <c r="K2321" s="343"/>
      <c r="L2321" s="343"/>
    </row>
    <row r="2322" spans="4:12" x14ac:dyDescent="0.2">
      <c r="D2322" s="341"/>
      <c r="F2322" s="343"/>
      <c r="G2322" s="343"/>
      <c r="H2322" s="343"/>
      <c r="I2322" s="343"/>
      <c r="J2322" s="343"/>
      <c r="K2322" s="343"/>
      <c r="L2322" s="343"/>
    </row>
    <row r="2323" spans="4:12" x14ac:dyDescent="0.2">
      <c r="D2323" s="341"/>
      <c r="F2323" s="343"/>
      <c r="G2323" s="343"/>
      <c r="H2323" s="343"/>
      <c r="I2323" s="343"/>
      <c r="J2323" s="343"/>
      <c r="K2323" s="343"/>
      <c r="L2323" s="343"/>
    </row>
    <row r="2324" spans="4:12" x14ac:dyDescent="0.2">
      <c r="D2324" s="341"/>
      <c r="F2324" s="343"/>
      <c r="G2324" s="343"/>
      <c r="H2324" s="343"/>
      <c r="I2324" s="343"/>
      <c r="J2324" s="343"/>
      <c r="K2324" s="343"/>
      <c r="L2324" s="343"/>
    </row>
    <row r="2325" spans="4:12" x14ac:dyDescent="0.2">
      <c r="D2325" s="341"/>
      <c r="F2325" s="343"/>
      <c r="G2325" s="343"/>
      <c r="H2325" s="343"/>
      <c r="I2325" s="343"/>
      <c r="J2325" s="343"/>
      <c r="K2325" s="343"/>
      <c r="L2325" s="343"/>
    </row>
    <row r="2326" spans="4:12" x14ac:dyDescent="0.2">
      <c r="D2326" s="341"/>
      <c r="F2326" s="343"/>
      <c r="G2326" s="343"/>
      <c r="H2326" s="343"/>
      <c r="I2326" s="343"/>
      <c r="J2326" s="343"/>
      <c r="K2326" s="343"/>
      <c r="L2326" s="343"/>
    </row>
    <row r="2327" spans="4:12" x14ac:dyDescent="0.2">
      <c r="D2327" s="341"/>
      <c r="F2327" s="343"/>
      <c r="G2327" s="343"/>
      <c r="H2327" s="343"/>
      <c r="I2327" s="343"/>
      <c r="J2327" s="343"/>
      <c r="K2327" s="343"/>
      <c r="L2327" s="343"/>
    </row>
    <row r="2328" spans="4:12" x14ac:dyDescent="0.2">
      <c r="D2328" s="341"/>
      <c r="F2328" s="343"/>
      <c r="G2328" s="343"/>
      <c r="H2328" s="343"/>
      <c r="I2328" s="343"/>
      <c r="J2328" s="343"/>
      <c r="K2328" s="343"/>
      <c r="L2328" s="343"/>
    </row>
    <row r="2329" spans="4:12" x14ac:dyDescent="0.2">
      <c r="D2329" s="341"/>
      <c r="F2329" s="343"/>
      <c r="G2329" s="343"/>
      <c r="H2329" s="343"/>
      <c r="I2329" s="343"/>
      <c r="J2329" s="343"/>
      <c r="K2329" s="343"/>
      <c r="L2329" s="343"/>
    </row>
    <row r="2330" spans="4:12" x14ac:dyDescent="0.2">
      <c r="D2330" s="341"/>
      <c r="F2330" s="343"/>
      <c r="G2330" s="343"/>
      <c r="H2330" s="343"/>
      <c r="I2330" s="343"/>
      <c r="J2330" s="343"/>
      <c r="K2330" s="343"/>
      <c r="L2330" s="343"/>
    </row>
    <row r="2331" spans="4:12" x14ac:dyDescent="0.2">
      <c r="D2331" s="341"/>
      <c r="F2331" s="343"/>
      <c r="G2331" s="343"/>
      <c r="H2331" s="343"/>
      <c r="I2331" s="343"/>
      <c r="J2331" s="343"/>
      <c r="K2331" s="343"/>
      <c r="L2331" s="343"/>
    </row>
    <row r="2332" spans="4:12" x14ac:dyDescent="0.2">
      <c r="D2332" s="341"/>
      <c r="F2332" s="343"/>
      <c r="G2332" s="343"/>
      <c r="H2332" s="343"/>
      <c r="I2332" s="343"/>
      <c r="J2332" s="343"/>
      <c r="K2332" s="343"/>
      <c r="L2332" s="343"/>
    </row>
    <row r="2333" spans="4:12" x14ac:dyDescent="0.2">
      <c r="D2333" s="341"/>
      <c r="F2333" s="343"/>
      <c r="G2333" s="343"/>
      <c r="H2333" s="343"/>
      <c r="I2333" s="343"/>
      <c r="J2333" s="343"/>
      <c r="K2333" s="343"/>
      <c r="L2333" s="343"/>
    </row>
    <row r="2334" spans="4:12" x14ac:dyDescent="0.2">
      <c r="D2334" s="341"/>
      <c r="F2334" s="343"/>
      <c r="G2334" s="343"/>
      <c r="H2334" s="343"/>
      <c r="I2334" s="343"/>
      <c r="J2334" s="343"/>
      <c r="K2334" s="343"/>
      <c r="L2334" s="343"/>
    </row>
    <row r="2335" spans="4:12" x14ac:dyDescent="0.2">
      <c r="D2335" s="341"/>
      <c r="F2335" s="343"/>
      <c r="G2335" s="343"/>
      <c r="H2335" s="343"/>
      <c r="I2335" s="343"/>
      <c r="J2335" s="343"/>
      <c r="K2335" s="343"/>
      <c r="L2335" s="343"/>
    </row>
    <row r="2336" spans="4:12" x14ac:dyDescent="0.2">
      <c r="D2336" s="341"/>
      <c r="F2336" s="343"/>
      <c r="G2336" s="343"/>
      <c r="H2336" s="343"/>
      <c r="I2336" s="343"/>
      <c r="J2336" s="343"/>
      <c r="K2336" s="343"/>
      <c r="L2336" s="343"/>
    </row>
    <row r="2337" spans="4:12" x14ac:dyDescent="0.2">
      <c r="D2337" s="341"/>
      <c r="F2337" s="343"/>
      <c r="G2337" s="343"/>
      <c r="H2337" s="343"/>
      <c r="I2337" s="343"/>
      <c r="J2337" s="343"/>
      <c r="K2337" s="343"/>
      <c r="L2337" s="343"/>
    </row>
    <row r="2338" spans="4:12" x14ac:dyDescent="0.2">
      <c r="D2338" s="341"/>
      <c r="F2338" s="343"/>
      <c r="G2338" s="343"/>
      <c r="H2338" s="343"/>
      <c r="I2338" s="343"/>
      <c r="J2338" s="343"/>
      <c r="K2338" s="343"/>
      <c r="L2338" s="343"/>
    </row>
    <row r="2339" spans="4:12" x14ac:dyDescent="0.2">
      <c r="D2339" s="341"/>
      <c r="F2339" s="343"/>
      <c r="G2339" s="343"/>
      <c r="H2339" s="343"/>
      <c r="I2339" s="343"/>
      <c r="J2339" s="343"/>
      <c r="K2339" s="343"/>
      <c r="L2339" s="343"/>
    </row>
    <row r="2340" spans="4:12" x14ac:dyDescent="0.2">
      <c r="D2340" s="341"/>
      <c r="F2340" s="343"/>
      <c r="G2340" s="343"/>
      <c r="H2340" s="343"/>
      <c r="I2340" s="343"/>
      <c r="J2340" s="343"/>
      <c r="K2340" s="343"/>
      <c r="L2340" s="343"/>
    </row>
    <row r="2341" spans="4:12" x14ac:dyDescent="0.2">
      <c r="D2341" s="341"/>
      <c r="F2341" s="343"/>
      <c r="G2341" s="343"/>
      <c r="H2341" s="343"/>
      <c r="I2341" s="343"/>
      <c r="J2341" s="343"/>
      <c r="K2341" s="343"/>
      <c r="L2341" s="343"/>
    </row>
    <row r="2342" spans="4:12" x14ac:dyDescent="0.2">
      <c r="D2342" s="341"/>
      <c r="F2342" s="343"/>
      <c r="G2342" s="343"/>
      <c r="H2342" s="343"/>
      <c r="I2342" s="343"/>
      <c r="J2342" s="343"/>
      <c r="K2342" s="343"/>
      <c r="L2342" s="343"/>
    </row>
    <row r="2343" spans="4:12" x14ac:dyDescent="0.2">
      <c r="D2343" s="341"/>
      <c r="F2343" s="343"/>
      <c r="G2343" s="343"/>
      <c r="H2343" s="343"/>
      <c r="I2343" s="343"/>
      <c r="J2343" s="343"/>
      <c r="K2343" s="343"/>
      <c r="L2343" s="343"/>
    </row>
    <row r="2344" spans="4:12" x14ac:dyDescent="0.2">
      <c r="D2344" s="341"/>
      <c r="F2344" s="343"/>
      <c r="G2344" s="343"/>
      <c r="H2344" s="343"/>
      <c r="I2344" s="343"/>
      <c r="J2344" s="343"/>
      <c r="K2344" s="343"/>
      <c r="L2344" s="343"/>
    </row>
    <row r="2345" spans="4:12" x14ac:dyDescent="0.2">
      <c r="D2345" s="341"/>
      <c r="F2345" s="343"/>
      <c r="G2345" s="343"/>
      <c r="H2345" s="343"/>
      <c r="I2345" s="343"/>
      <c r="J2345" s="343"/>
      <c r="K2345" s="343"/>
      <c r="L2345" s="343"/>
    </row>
    <row r="2346" spans="4:12" x14ac:dyDescent="0.2">
      <c r="D2346" s="341"/>
      <c r="F2346" s="343"/>
      <c r="G2346" s="343"/>
      <c r="H2346" s="343"/>
      <c r="I2346" s="343"/>
      <c r="J2346" s="343"/>
      <c r="K2346" s="343"/>
      <c r="L2346" s="343"/>
    </row>
    <row r="2347" spans="4:12" x14ac:dyDescent="0.2">
      <c r="D2347" s="341"/>
      <c r="F2347" s="343"/>
      <c r="G2347" s="343"/>
      <c r="H2347" s="343"/>
      <c r="I2347" s="343"/>
      <c r="J2347" s="343"/>
      <c r="K2347" s="343"/>
      <c r="L2347" s="343"/>
    </row>
    <row r="2348" spans="4:12" x14ac:dyDescent="0.2">
      <c r="D2348" s="341"/>
      <c r="F2348" s="343"/>
      <c r="G2348" s="343"/>
      <c r="H2348" s="343"/>
      <c r="I2348" s="343"/>
      <c r="J2348" s="343"/>
      <c r="K2348" s="343"/>
      <c r="L2348" s="343"/>
    </row>
    <row r="2349" spans="4:12" x14ac:dyDescent="0.2">
      <c r="D2349" s="341"/>
      <c r="F2349" s="343"/>
      <c r="G2349" s="343"/>
      <c r="H2349" s="343"/>
      <c r="I2349" s="343"/>
      <c r="J2349" s="343"/>
      <c r="K2349" s="343"/>
      <c r="L2349" s="343"/>
    </row>
    <row r="2350" spans="4:12" x14ac:dyDescent="0.2">
      <c r="D2350" s="341"/>
      <c r="F2350" s="343"/>
      <c r="G2350" s="343"/>
      <c r="H2350" s="343"/>
      <c r="I2350" s="343"/>
      <c r="J2350" s="343"/>
      <c r="K2350" s="343"/>
      <c r="L2350" s="343"/>
    </row>
    <row r="2351" spans="4:12" x14ac:dyDescent="0.2">
      <c r="D2351" s="341"/>
      <c r="F2351" s="343"/>
      <c r="G2351" s="343"/>
      <c r="H2351" s="343"/>
      <c r="I2351" s="343"/>
      <c r="J2351" s="343"/>
      <c r="K2351" s="343"/>
      <c r="L2351" s="343"/>
    </row>
    <row r="2352" spans="4:12" x14ac:dyDescent="0.2">
      <c r="D2352" s="341"/>
      <c r="F2352" s="343"/>
      <c r="G2352" s="343"/>
      <c r="H2352" s="343"/>
      <c r="I2352" s="343"/>
      <c r="J2352" s="343"/>
      <c r="K2352" s="343"/>
      <c r="L2352" s="343"/>
    </row>
    <row r="2353" spans="4:12" x14ac:dyDescent="0.2">
      <c r="D2353" s="341"/>
      <c r="F2353" s="343"/>
      <c r="G2353" s="343"/>
      <c r="H2353" s="343"/>
      <c r="I2353" s="343"/>
      <c r="J2353" s="343"/>
      <c r="K2353" s="343"/>
      <c r="L2353" s="343"/>
    </row>
    <row r="2354" spans="4:12" x14ac:dyDescent="0.2">
      <c r="D2354" s="341"/>
      <c r="F2354" s="343"/>
      <c r="G2354" s="343"/>
      <c r="H2354" s="343"/>
      <c r="I2354" s="343"/>
      <c r="J2354" s="343"/>
      <c r="K2354" s="343"/>
      <c r="L2354" s="343"/>
    </row>
    <row r="2355" spans="4:12" x14ac:dyDescent="0.2">
      <c r="D2355" s="341"/>
      <c r="F2355" s="343"/>
      <c r="G2355" s="343"/>
      <c r="H2355" s="343"/>
      <c r="I2355" s="343"/>
      <c r="J2355" s="343"/>
      <c r="K2355" s="343"/>
      <c r="L2355" s="343"/>
    </row>
    <row r="2356" spans="4:12" x14ac:dyDescent="0.2">
      <c r="D2356" s="341"/>
      <c r="F2356" s="343"/>
      <c r="G2356" s="343"/>
      <c r="H2356" s="343"/>
      <c r="I2356" s="343"/>
      <c r="J2356" s="343"/>
      <c r="K2356" s="343"/>
      <c r="L2356" s="343"/>
    </row>
    <row r="2357" spans="4:12" x14ac:dyDescent="0.2">
      <c r="D2357" s="341"/>
      <c r="F2357" s="343"/>
      <c r="G2357" s="343"/>
      <c r="H2357" s="343"/>
      <c r="I2357" s="343"/>
      <c r="J2357" s="343"/>
      <c r="K2357" s="343"/>
      <c r="L2357" s="343"/>
    </row>
    <row r="2358" spans="4:12" x14ac:dyDescent="0.2">
      <c r="D2358" s="341"/>
      <c r="F2358" s="343"/>
      <c r="G2358" s="343"/>
      <c r="H2358" s="343"/>
      <c r="I2358" s="343"/>
      <c r="J2358" s="343"/>
      <c r="K2358" s="343"/>
      <c r="L2358" s="343"/>
    </row>
    <row r="2359" spans="4:12" x14ac:dyDescent="0.2">
      <c r="D2359" s="341"/>
      <c r="F2359" s="343"/>
      <c r="G2359" s="343"/>
      <c r="H2359" s="343"/>
      <c r="I2359" s="343"/>
      <c r="J2359" s="343"/>
      <c r="K2359" s="343"/>
      <c r="L2359" s="343"/>
    </row>
    <row r="2360" spans="4:12" x14ac:dyDescent="0.2">
      <c r="D2360" s="341"/>
      <c r="F2360" s="343"/>
      <c r="G2360" s="343"/>
      <c r="H2360" s="343"/>
      <c r="I2360" s="343"/>
      <c r="J2360" s="343"/>
      <c r="K2360" s="343"/>
      <c r="L2360" s="343"/>
    </row>
    <row r="2361" spans="4:12" x14ac:dyDescent="0.2">
      <c r="D2361" s="341"/>
      <c r="F2361" s="343"/>
      <c r="G2361" s="343"/>
      <c r="H2361" s="343"/>
      <c r="I2361" s="343"/>
      <c r="J2361" s="343"/>
      <c r="K2361" s="343"/>
      <c r="L2361" s="343"/>
    </row>
    <row r="2362" spans="4:12" x14ac:dyDescent="0.2">
      <c r="D2362" s="341"/>
      <c r="F2362" s="343"/>
      <c r="G2362" s="343"/>
      <c r="H2362" s="343"/>
      <c r="I2362" s="343"/>
      <c r="J2362" s="343"/>
      <c r="K2362" s="343"/>
      <c r="L2362" s="343"/>
    </row>
    <row r="2363" spans="4:12" x14ac:dyDescent="0.2">
      <c r="D2363" s="341"/>
      <c r="F2363" s="343"/>
      <c r="G2363" s="343"/>
      <c r="H2363" s="343"/>
      <c r="I2363" s="343"/>
      <c r="J2363" s="343"/>
      <c r="K2363" s="343"/>
      <c r="L2363" s="343"/>
    </row>
    <row r="2364" spans="4:12" x14ac:dyDescent="0.2">
      <c r="D2364" s="341"/>
      <c r="F2364" s="343"/>
      <c r="G2364" s="343"/>
      <c r="H2364" s="343"/>
      <c r="I2364" s="343"/>
      <c r="J2364" s="343"/>
      <c r="K2364" s="343"/>
      <c r="L2364" s="343"/>
    </row>
    <row r="2365" spans="4:12" x14ac:dyDescent="0.2">
      <c r="D2365" s="341"/>
      <c r="F2365" s="343"/>
      <c r="G2365" s="343"/>
      <c r="H2365" s="343"/>
      <c r="I2365" s="343"/>
      <c r="J2365" s="343"/>
      <c r="K2365" s="343"/>
      <c r="L2365" s="343"/>
    </row>
    <row r="2366" spans="4:12" x14ac:dyDescent="0.2">
      <c r="D2366" s="341"/>
      <c r="F2366" s="343"/>
      <c r="G2366" s="343"/>
      <c r="H2366" s="343"/>
      <c r="I2366" s="343"/>
      <c r="J2366" s="343"/>
      <c r="K2366" s="343"/>
      <c r="L2366" s="343"/>
    </row>
    <row r="2367" spans="4:12" x14ac:dyDescent="0.2">
      <c r="D2367" s="341"/>
      <c r="F2367" s="343"/>
      <c r="G2367" s="343"/>
      <c r="H2367" s="343"/>
      <c r="I2367" s="343"/>
      <c r="J2367" s="343"/>
      <c r="K2367" s="343"/>
      <c r="L2367" s="343"/>
    </row>
    <row r="2368" spans="4:12" x14ac:dyDescent="0.2">
      <c r="D2368" s="341"/>
      <c r="F2368" s="343"/>
      <c r="G2368" s="343"/>
      <c r="H2368" s="343"/>
      <c r="I2368" s="343"/>
      <c r="J2368" s="343"/>
      <c r="K2368" s="343"/>
      <c r="L2368" s="343"/>
    </row>
    <row r="2369" spans="4:12" x14ac:dyDescent="0.2">
      <c r="D2369" s="341"/>
      <c r="F2369" s="343"/>
      <c r="G2369" s="343"/>
      <c r="H2369" s="343"/>
      <c r="I2369" s="343"/>
      <c r="J2369" s="343"/>
      <c r="K2369" s="343"/>
      <c r="L2369" s="343"/>
    </row>
    <row r="2370" spans="4:12" x14ac:dyDescent="0.2">
      <c r="D2370" s="341"/>
      <c r="F2370" s="343"/>
      <c r="G2370" s="343"/>
      <c r="H2370" s="343"/>
      <c r="I2370" s="343"/>
      <c r="J2370" s="343"/>
      <c r="K2370" s="343"/>
      <c r="L2370" s="343"/>
    </row>
    <row r="2371" spans="4:12" x14ac:dyDescent="0.2">
      <c r="D2371" s="341"/>
      <c r="F2371" s="343"/>
      <c r="G2371" s="343"/>
      <c r="H2371" s="343"/>
      <c r="I2371" s="343"/>
      <c r="J2371" s="343"/>
      <c r="K2371" s="343"/>
      <c r="L2371" s="343"/>
    </row>
    <row r="2372" spans="4:12" x14ac:dyDescent="0.2">
      <c r="D2372" s="341"/>
      <c r="F2372" s="343"/>
      <c r="G2372" s="343"/>
      <c r="H2372" s="343"/>
      <c r="I2372" s="343"/>
      <c r="J2372" s="343"/>
      <c r="K2372" s="343"/>
      <c r="L2372" s="343"/>
    </row>
    <row r="2373" spans="4:12" x14ac:dyDescent="0.2">
      <c r="D2373" s="341"/>
      <c r="F2373" s="343"/>
      <c r="G2373" s="343"/>
      <c r="H2373" s="343"/>
      <c r="I2373" s="343"/>
      <c r="J2373" s="343"/>
      <c r="K2373" s="343"/>
      <c r="L2373" s="343"/>
    </row>
    <row r="2374" spans="4:12" x14ac:dyDescent="0.2">
      <c r="D2374" s="341"/>
      <c r="F2374" s="343"/>
      <c r="G2374" s="343"/>
      <c r="H2374" s="343"/>
      <c r="I2374" s="343"/>
      <c r="J2374" s="343"/>
      <c r="K2374" s="343"/>
      <c r="L2374" s="343"/>
    </row>
    <row r="2375" spans="4:12" x14ac:dyDescent="0.2">
      <c r="D2375" s="341"/>
      <c r="F2375" s="343"/>
      <c r="G2375" s="343"/>
      <c r="H2375" s="343"/>
      <c r="I2375" s="343"/>
      <c r="J2375" s="343"/>
      <c r="K2375" s="343"/>
      <c r="L2375" s="343"/>
    </row>
    <row r="2376" spans="4:12" x14ac:dyDescent="0.2">
      <c r="D2376" s="341"/>
      <c r="F2376" s="343"/>
      <c r="G2376" s="343"/>
      <c r="H2376" s="343"/>
      <c r="I2376" s="343"/>
      <c r="J2376" s="343"/>
      <c r="K2376" s="343"/>
      <c r="L2376" s="343"/>
    </row>
    <row r="2377" spans="4:12" x14ac:dyDescent="0.2">
      <c r="D2377" s="341"/>
      <c r="F2377" s="343"/>
      <c r="G2377" s="343"/>
      <c r="H2377" s="343"/>
      <c r="I2377" s="343"/>
      <c r="J2377" s="343"/>
      <c r="K2377" s="343"/>
      <c r="L2377" s="343"/>
    </row>
    <row r="2378" spans="4:12" x14ac:dyDescent="0.2">
      <c r="D2378" s="341"/>
      <c r="F2378" s="343"/>
      <c r="G2378" s="343"/>
      <c r="H2378" s="343"/>
      <c r="I2378" s="343"/>
      <c r="J2378" s="343"/>
      <c r="K2378" s="343"/>
      <c r="L2378" s="343"/>
    </row>
    <row r="2379" spans="4:12" x14ac:dyDescent="0.2">
      <c r="D2379" s="341"/>
      <c r="F2379" s="343"/>
      <c r="G2379" s="343"/>
      <c r="H2379" s="343"/>
      <c r="I2379" s="343"/>
      <c r="J2379" s="343"/>
      <c r="K2379" s="343"/>
      <c r="L2379" s="343"/>
    </row>
    <row r="2380" spans="4:12" x14ac:dyDescent="0.2">
      <c r="D2380" s="341"/>
      <c r="F2380" s="343"/>
      <c r="G2380" s="343"/>
      <c r="H2380" s="343"/>
      <c r="I2380" s="343"/>
      <c r="J2380" s="343"/>
      <c r="K2380" s="343"/>
      <c r="L2380" s="343"/>
    </row>
    <row r="2381" spans="4:12" x14ac:dyDescent="0.2">
      <c r="D2381" s="341"/>
      <c r="F2381" s="343"/>
      <c r="G2381" s="343"/>
      <c r="H2381" s="343"/>
      <c r="I2381" s="343"/>
      <c r="J2381" s="343"/>
      <c r="K2381" s="343"/>
      <c r="L2381" s="343"/>
    </row>
    <row r="2382" spans="4:12" x14ac:dyDescent="0.2">
      <c r="D2382" s="341"/>
      <c r="F2382" s="343"/>
      <c r="G2382" s="343"/>
      <c r="H2382" s="343"/>
      <c r="I2382" s="343"/>
      <c r="J2382" s="343"/>
      <c r="K2382" s="343"/>
      <c r="L2382" s="343"/>
    </row>
    <row r="2383" spans="4:12" x14ac:dyDescent="0.2">
      <c r="D2383" s="341"/>
      <c r="F2383" s="343"/>
      <c r="G2383" s="343"/>
      <c r="H2383" s="343"/>
      <c r="I2383" s="343"/>
      <c r="J2383" s="343"/>
      <c r="K2383" s="343"/>
      <c r="L2383" s="343"/>
    </row>
    <row r="2384" spans="4:12" x14ac:dyDescent="0.2">
      <c r="D2384" s="341"/>
      <c r="F2384" s="343"/>
      <c r="G2384" s="343"/>
      <c r="H2384" s="343"/>
      <c r="I2384" s="343"/>
      <c r="J2384" s="343"/>
      <c r="K2384" s="343"/>
      <c r="L2384" s="343"/>
    </row>
    <row r="2385" spans="4:12" x14ac:dyDescent="0.2">
      <c r="D2385" s="341"/>
      <c r="F2385" s="343"/>
      <c r="G2385" s="343"/>
      <c r="H2385" s="343"/>
      <c r="I2385" s="343"/>
      <c r="J2385" s="343"/>
      <c r="K2385" s="343"/>
      <c r="L2385" s="343"/>
    </row>
    <row r="2386" spans="4:12" x14ac:dyDescent="0.2">
      <c r="D2386" s="341"/>
      <c r="F2386" s="343"/>
      <c r="G2386" s="343"/>
      <c r="H2386" s="343"/>
      <c r="I2386" s="343"/>
      <c r="J2386" s="343"/>
      <c r="K2386" s="343"/>
      <c r="L2386" s="343"/>
    </row>
    <row r="2387" spans="4:12" x14ac:dyDescent="0.2">
      <c r="D2387" s="341"/>
      <c r="F2387" s="343"/>
      <c r="G2387" s="343"/>
      <c r="H2387" s="343"/>
      <c r="I2387" s="343"/>
      <c r="J2387" s="343"/>
      <c r="K2387" s="343"/>
      <c r="L2387" s="343"/>
    </row>
    <row r="2388" spans="4:12" x14ac:dyDescent="0.2">
      <c r="D2388" s="341"/>
      <c r="F2388" s="343"/>
      <c r="G2388" s="343"/>
      <c r="H2388" s="343"/>
      <c r="I2388" s="343"/>
      <c r="J2388" s="343"/>
      <c r="K2388" s="343"/>
      <c r="L2388" s="343"/>
    </row>
    <row r="2389" spans="4:12" x14ac:dyDescent="0.2">
      <c r="D2389" s="341"/>
      <c r="F2389" s="343"/>
      <c r="G2389" s="343"/>
      <c r="H2389" s="343"/>
      <c r="I2389" s="343"/>
      <c r="J2389" s="343"/>
      <c r="K2389" s="343"/>
      <c r="L2389" s="343"/>
    </row>
    <row r="2390" spans="4:12" x14ac:dyDescent="0.2">
      <c r="D2390" s="341"/>
      <c r="F2390" s="343"/>
      <c r="G2390" s="343"/>
      <c r="H2390" s="343"/>
      <c r="I2390" s="343"/>
      <c r="J2390" s="343"/>
      <c r="K2390" s="343"/>
      <c r="L2390" s="343"/>
    </row>
    <row r="2391" spans="4:12" x14ac:dyDescent="0.2">
      <c r="D2391" s="341"/>
      <c r="F2391" s="343"/>
      <c r="G2391" s="343"/>
      <c r="H2391" s="343"/>
      <c r="I2391" s="343"/>
      <c r="J2391" s="343"/>
      <c r="K2391" s="343"/>
      <c r="L2391" s="343"/>
    </row>
    <row r="2392" spans="4:12" x14ac:dyDescent="0.2">
      <c r="D2392" s="341"/>
      <c r="F2392" s="343"/>
      <c r="G2392" s="343"/>
      <c r="H2392" s="343"/>
      <c r="I2392" s="343"/>
      <c r="J2392" s="343"/>
      <c r="K2392" s="343"/>
      <c r="L2392" s="343"/>
    </row>
    <row r="2393" spans="4:12" x14ac:dyDescent="0.2">
      <c r="D2393" s="341"/>
      <c r="F2393" s="343"/>
      <c r="G2393" s="343"/>
      <c r="H2393" s="343"/>
      <c r="I2393" s="343"/>
      <c r="J2393" s="343"/>
      <c r="K2393" s="343"/>
      <c r="L2393" s="343"/>
    </row>
    <row r="2394" spans="4:12" x14ac:dyDescent="0.2">
      <c r="D2394" s="341"/>
      <c r="F2394" s="343"/>
      <c r="G2394" s="343"/>
      <c r="H2394" s="343"/>
      <c r="I2394" s="343"/>
      <c r="J2394" s="343"/>
      <c r="K2394" s="343"/>
      <c r="L2394" s="343"/>
    </row>
    <row r="2395" spans="4:12" x14ac:dyDescent="0.2">
      <c r="D2395" s="341"/>
      <c r="F2395" s="343"/>
      <c r="G2395" s="343"/>
      <c r="H2395" s="343"/>
      <c r="I2395" s="343"/>
      <c r="J2395" s="343"/>
      <c r="K2395" s="343"/>
      <c r="L2395" s="343"/>
    </row>
    <row r="2396" spans="4:12" x14ac:dyDescent="0.2">
      <c r="D2396" s="341"/>
      <c r="F2396" s="343"/>
      <c r="G2396" s="343"/>
      <c r="H2396" s="343"/>
      <c r="I2396" s="343"/>
      <c r="J2396" s="343"/>
      <c r="K2396" s="343"/>
      <c r="L2396" s="343"/>
    </row>
    <row r="2397" spans="4:12" x14ac:dyDescent="0.2">
      <c r="D2397" s="341"/>
      <c r="F2397" s="343"/>
      <c r="G2397" s="343"/>
      <c r="H2397" s="343"/>
      <c r="I2397" s="343"/>
      <c r="J2397" s="343"/>
      <c r="K2397" s="343"/>
      <c r="L2397" s="343"/>
    </row>
    <row r="2398" spans="4:12" x14ac:dyDescent="0.2">
      <c r="D2398" s="341"/>
      <c r="F2398" s="343"/>
      <c r="G2398" s="343"/>
      <c r="H2398" s="343"/>
      <c r="I2398" s="343"/>
      <c r="J2398" s="343"/>
      <c r="K2398" s="343"/>
      <c r="L2398" s="343"/>
    </row>
    <row r="2399" spans="4:12" x14ac:dyDescent="0.2">
      <c r="D2399" s="341"/>
      <c r="F2399" s="343"/>
      <c r="G2399" s="343"/>
      <c r="H2399" s="343"/>
      <c r="I2399" s="343"/>
      <c r="J2399" s="343"/>
      <c r="K2399" s="343"/>
      <c r="L2399" s="343"/>
    </row>
    <row r="2400" spans="4:12" x14ac:dyDescent="0.2">
      <c r="D2400" s="341"/>
      <c r="F2400" s="343"/>
      <c r="G2400" s="343"/>
      <c r="H2400" s="343"/>
      <c r="I2400" s="343"/>
      <c r="J2400" s="343"/>
      <c r="K2400" s="343"/>
      <c r="L2400" s="343"/>
    </row>
    <row r="2401" spans="4:12" x14ac:dyDescent="0.2">
      <c r="D2401" s="341"/>
      <c r="F2401" s="343"/>
      <c r="G2401" s="343"/>
      <c r="H2401" s="343"/>
      <c r="I2401" s="343"/>
      <c r="J2401" s="343"/>
      <c r="K2401" s="343"/>
      <c r="L2401" s="343"/>
    </row>
    <row r="2402" spans="4:12" x14ac:dyDescent="0.2">
      <c r="D2402" s="341"/>
      <c r="F2402" s="343"/>
      <c r="G2402" s="343"/>
      <c r="H2402" s="343"/>
      <c r="I2402" s="343"/>
      <c r="J2402" s="343"/>
      <c r="K2402" s="343"/>
      <c r="L2402" s="343"/>
    </row>
    <row r="2403" spans="4:12" x14ac:dyDescent="0.2">
      <c r="D2403" s="341"/>
      <c r="F2403" s="343"/>
      <c r="G2403" s="343"/>
      <c r="H2403" s="343"/>
      <c r="I2403" s="343"/>
      <c r="J2403" s="343"/>
      <c r="K2403" s="343"/>
      <c r="L2403" s="343"/>
    </row>
    <row r="2404" spans="4:12" x14ac:dyDescent="0.2">
      <c r="D2404" s="341"/>
      <c r="F2404" s="343"/>
      <c r="G2404" s="343"/>
      <c r="H2404" s="343"/>
      <c r="I2404" s="343"/>
      <c r="J2404" s="343"/>
      <c r="K2404" s="343"/>
      <c r="L2404" s="343"/>
    </row>
    <row r="2405" spans="4:12" x14ac:dyDescent="0.2">
      <c r="D2405" s="341"/>
      <c r="F2405" s="343"/>
      <c r="G2405" s="343"/>
      <c r="H2405" s="343"/>
      <c r="I2405" s="343"/>
      <c r="J2405" s="343"/>
      <c r="K2405" s="343"/>
      <c r="L2405" s="343"/>
    </row>
    <row r="2406" spans="4:12" x14ac:dyDescent="0.2">
      <c r="D2406" s="341"/>
      <c r="F2406" s="343"/>
      <c r="G2406" s="343"/>
      <c r="H2406" s="343"/>
      <c r="I2406" s="343"/>
      <c r="J2406" s="343"/>
      <c r="K2406" s="343"/>
      <c r="L2406" s="343"/>
    </row>
    <row r="2407" spans="4:12" x14ac:dyDescent="0.2">
      <c r="D2407" s="341"/>
      <c r="F2407" s="343"/>
      <c r="G2407" s="343"/>
      <c r="H2407" s="343"/>
      <c r="I2407" s="343"/>
      <c r="J2407" s="343"/>
      <c r="K2407" s="343"/>
      <c r="L2407" s="343"/>
    </row>
    <row r="2408" spans="4:12" x14ac:dyDescent="0.2">
      <c r="D2408" s="341"/>
      <c r="F2408" s="343"/>
      <c r="G2408" s="343"/>
      <c r="H2408" s="343"/>
      <c r="I2408" s="343"/>
      <c r="J2408" s="343"/>
      <c r="K2408" s="343"/>
      <c r="L2408" s="343"/>
    </row>
    <row r="2409" spans="4:12" x14ac:dyDescent="0.2">
      <c r="D2409" s="341"/>
      <c r="F2409" s="343"/>
      <c r="G2409" s="343"/>
      <c r="H2409" s="343"/>
      <c r="I2409" s="343"/>
      <c r="J2409" s="343"/>
      <c r="K2409" s="343"/>
      <c r="L2409" s="343"/>
    </row>
    <row r="2410" spans="4:12" x14ac:dyDescent="0.2">
      <c r="D2410" s="341"/>
      <c r="F2410" s="343"/>
      <c r="G2410" s="343"/>
      <c r="H2410" s="343"/>
      <c r="I2410" s="343"/>
      <c r="J2410" s="343"/>
      <c r="K2410" s="343"/>
      <c r="L2410" s="343"/>
    </row>
    <row r="2411" spans="4:12" x14ac:dyDescent="0.2">
      <c r="D2411" s="341"/>
      <c r="F2411" s="343"/>
      <c r="G2411" s="343"/>
      <c r="H2411" s="343"/>
      <c r="I2411" s="343"/>
      <c r="J2411" s="343"/>
      <c r="K2411" s="343"/>
      <c r="L2411" s="343"/>
    </row>
    <row r="2412" spans="4:12" x14ac:dyDescent="0.2">
      <c r="D2412" s="341"/>
      <c r="F2412" s="343"/>
      <c r="G2412" s="343"/>
      <c r="H2412" s="343"/>
      <c r="I2412" s="343"/>
      <c r="J2412" s="343"/>
      <c r="K2412" s="343"/>
      <c r="L2412" s="343"/>
    </row>
    <row r="2413" spans="4:12" x14ac:dyDescent="0.2">
      <c r="D2413" s="341"/>
      <c r="F2413" s="343"/>
      <c r="G2413" s="343"/>
      <c r="H2413" s="343"/>
      <c r="I2413" s="343"/>
      <c r="J2413" s="343"/>
      <c r="K2413" s="343"/>
      <c r="L2413" s="343"/>
    </row>
    <row r="2414" spans="4:12" x14ac:dyDescent="0.2">
      <c r="D2414" s="341"/>
      <c r="F2414" s="343"/>
      <c r="G2414" s="343"/>
      <c r="H2414" s="343"/>
      <c r="I2414" s="343"/>
      <c r="J2414" s="343"/>
      <c r="K2414" s="343"/>
      <c r="L2414" s="343"/>
    </row>
    <row r="2415" spans="4:12" x14ac:dyDescent="0.2">
      <c r="D2415" s="341"/>
      <c r="F2415" s="343"/>
      <c r="G2415" s="343"/>
      <c r="H2415" s="343"/>
      <c r="I2415" s="343"/>
      <c r="J2415" s="343"/>
      <c r="K2415" s="343"/>
      <c r="L2415" s="343"/>
    </row>
    <row r="2416" spans="4:12" x14ac:dyDescent="0.2">
      <c r="D2416" s="341"/>
      <c r="F2416" s="343"/>
      <c r="G2416" s="343"/>
      <c r="H2416" s="343"/>
      <c r="I2416" s="343"/>
      <c r="J2416" s="343"/>
      <c r="K2416" s="343"/>
      <c r="L2416" s="343"/>
    </row>
    <row r="2417" spans="4:12" x14ac:dyDescent="0.2">
      <c r="D2417" s="341"/>
      <c r="F2417" s="343"/>
      <c r="G2417" s="343"/>
      <c r="H2417" s="343"/>
      <c r="I2417" s="343"/>
      <c r="J2417" s="343"/>
      <c r="K2417" s="343"/>
      <c r="L2417" s="343"/>
    </row>
    <row r="2418" spans="4:12" x14ac:dyDescent="0.2">
      <c r="D2418" s="341"/>
      <c r="F2418" s="343"/>
      <c r="G2418" s="343"/>
      <c r="H2418" s="343"/>
      <c r="I2418" s="343"/>
      <c r="J2418" s="343"/>
      <c r="K2418" s="343"/>
      <c r="L2418" s="343"/>
    </row>
    <row r="2419" spans="4:12" x14ac:dyDescent="0.2">
      <c r="D2419" s="341"/>
      <c r="F2419" s="343"/>
      <c r="G2419" s="343"/>
      <c r="H2419" s="343"/>
      <c r="I2419" s="343"/>
      <c r="J2419" s="343"/>
      <c r="K2419" s="343"/>
      <c r="L2419" s="343"/>
    </row>
    <row r="2420" spans="4:12" x14ac:dyDescent="0.2">
      <c r="D2420" s="341"/>
      <c r="F2420" s="343"/>
      <c r="G2420" s="343"/>
      <c r="H2420" s="343"/>
      <c r="I2420" s="343"/>
      <c r="J2420" s="343"/>
      <c r="K2420" s="343"/>
      <c r="L2420" s="343"/>
    </row>
    <row r="2421" spans="4:12" x14ac:dyDescent="0.2">
      <c r="D2421" s="341"/>
      <c r="F2421" s="343"/>
      <c r="G2421" s="343"/>
      <c r="H2421" s="343"/>
      <c r="I2421" s="343"/>
      <c r="J2421" s="343"/>
      <c r="K2421" s="343"/>
      <c r="L2421" s="343"/>
    </row>
    <row r="2422" spans="4:12" x14ac:dyDescent="0.2">
      <c r="D2422" s="341"/>
      <c r="F2422" s="343"/>
      <c r="G2422" s="343"/>
      <c r="H2422" s="343"/>
      <c r="I2422" s="343"/>
      <c r="J2422" s="343"/>
      <c r="K2422" s="343"/>
      <c r="L2422" s="343"/>
    </row>
    <row r="2423" spans="4:12" x14ac:dyDescent="0.2">
      <c r="D2423" s="341"/>
      <c r="F2423" s="343"/>
      <c r="G2423" s="343"/>
      <c r="H2423" s="343"/>
      <c r="I2423" s="343"/>
      <c r="J2423" s="343"/>
      <c r="K2423" s="343"/>
      <c r="L2423" s="343"/>
    </row>
    <row r="2424" spans="4:12" x14ac:dyDescent="0.2">
      <c r="D2424" s="341"/>
      <c r="F2424" s="343"/>
      <c r="G2424" s="343"/>
      <c r="H2424" s="343"/>
      <c r="I2424" s="343"/>
      <c r="J2424" s="343"/>
      <c r="K2424" s="343"/>
      <c r="L2424" s="343"/>
    </row>
    <row r="2425" spans="4:12" x14ac:dyDescent="0.2">
      <c r="D2425" s="341"/>
      <c r="F2425" s="343"/>
      <c r="G2425" s="343"/>
      <c r="H2425" s="343"/>
      <c r="I2425" s="343"/>
      <c r="J2425" s="343"/>
      <c r="K2425" s="343"/>
      <c r="L2425" s="343"/>
    </row>
    <row r="2426" spans="4:12" x14ac:dyDescent="0.2">
      <c r="D2426" s="341"/>
      <c r="F2426" s="343"/>
      <c r="G2426" s="343"/>
      <c r="H2426" s="343"/>
      <c r="I2426" s="343"/>
      <c r="J2426" s="343"/>
      <c r="K2426" s="343"/>
      <c r="L2426" s="343"/>
    </row>
    <row r="2427" spans="4:12" x14ac:dyDescent="0.2">
      <c r="D2427" s="341"/>
      <c r="F2427" s="343"/>
      <c r="G2427" s="343"/>
      <c r="H2427" s="343"/>
      <c r="I2427" s="343"/>
      <c r="J2427" s="343"/>
      <c r="K2427" s="343"/>
      <c r="L2427" s="343"/>
    </row>
    <row r="2428" spans="4:12" x14ac:dyDescent="0.2">
      <c r="D2428" s="341"/>
      <c r="F2428" s="343"/>
      <c r="G2428" s="343"/>
      <c r="H2428" s="343"/>
      <c r="I2428" s="343"/>
      <c r="J2428" s="343"/>
      <c r="K2428" s="343"/>
      <c r="L2428" s="343"/>
    </row>
    <row r="2429" spans="4:12" x14ac:dyDescent="0.2">
      <c r="D2429" s="341"/>
      <c r="F2429" s="343"/>
      <c r="G2429" s="343"/>
      <c r="H2429" s="343"/>
      <c r="I2429" s="343"/>
      <c r="J2429" s="343"/>
      <c r="K2429" s="343"/>
      <c r="L2429" s="343"/>
    </row>
    <row r="2430" spans="4:12" x14ac:dyDescent="0.2">
      <c r="D2430" s="341"/>
      <c r="F2430" s="343"/>
      <c r="G2430" s="343"/>
      <c r="H2430" s="343"/>
      <c r="I2430" s="343"/>
      <c r="J2430" s="343"/>
      <c r="K2430" s="343"/>
      <c r="L2430" s="343"/>
    </row>
    <row r="2431" spans="4:12" x14ac:dyDescent="0.2">
      <c r="D2431" s="341"/>
      <c r="F2431" s="343"/>
      <c r="G2431" s="343"/>
      <c r="H2431" s="343"/>
      <c r="I2431" s="343"/>
      <c r="J2431" s="343"/>
      <c r="K2431" s="343"/>
      <c r="L2431" s="343"/>
    </row>
    <row r="2432" spans="4:12" x14ac:dyDescent="0.2">
      <c r="D2432" s="341"/>
      <c r="F2432" s="343"/>
      <c r="G2432" s="343"/>
      <c r="H2432" s="343"/>
      <c r="I2432" s="343"/>
      <c r="J2432" s="343"/>
      <c r="K2432" s="343"/>
      <c r="L2432" s="343"/>
    </row>
    <row r="2433" spans="4:12" x14ac:dyDescent="0.2">
      <c r="D2433" s="341"/>
      <c r="F2433" s="343"/>
      <c r="G2433" s="343"/>
      <c r="H2433" s="343"/>
      <c r="I2433" s="343"/>
      <c r="J2433" s="343"/>
      <c r="K2433" s="343"/>
      <c r="L2433" s="343"/>
    </row>
    <row r="2434" spans="4:12" x14ac:dyDescent="0.2">
      <c r="D2434" s="341"/>
      <c r="F2434" s="343"/>
      <c r="G2434" s="343"/>
      <c r="H2434" s="343"/>
      <c r="I2434" s="343"/>
      <c r="J2434" s="343"/>
      <c r="K2434" s="343"/>
      <c r="L2434" s="343"/>
    </row>
    <row r="2435" spans="4:12" x14ac:dyDescent="0.2">
      <c r="D2435" s="341"/>
      <c r="F2435" s="343"/>
      <c r="G2435" s="343"/>
      <c r="H2435" s="343"/>
      <c r="I2435" s="343"/>
      <c r="J2435" s="343"/>
      <c r="K2435" s="343"/>
      <c r="L2435" s="343"/>
    </row>
    <row r="2436" spans="4:12" x14ac:dyDescent="0.2">
      <c r="D2436" s="341"/>
      <c r="F2436" s="343"/>
      <c r="G2436" s="343"/>
      <c r="H2436" s="343"/>
      <c r="I2436" s="343"/>
      <c r="J2436" s="343"/>
      <c r="K2436" s="343"/>
      <c r="L2436" s="343"/>
    </row>
    <row r="2437" spans="4:12" x14ac:dyDescent="0.2">
      <c r="D2437" s="341"/>
      <c r="F2437" s="343"/>
      <c r="G2437" s="343"/>
      <c r="H2437" s="343"/>
      <c r="I2437" s="343"/>
      <c r="J2437" s="343"/>
      <c r="K2437" s="343"/>
      <c r="L2437" s="343"/>
    </row>
    <row r="2438" spans="4:12" x14ac:dyDescent="0.2">
      <c r="D2438" s="341"/>
      <c r="F2438" s="343"/>
      <c r="G2438" s="343"/>
      <c r="H2438" s="343"/>
      <c r="I2438" s="343"/>
      <c r="J2438" s="343"/>
      <c r="K2438" s="343"/>
      <c r="L2438" s="343"/>
    </row>
    <row r="2439" spans="4:12" x14ac:dyDescent="0.2">
      <c r="D2439" s="341"/>
      <c r="F2439" s="343"/>
      <c r="G2439" s="343"/>
      <c r="H2439" s="343"/>
      <c r="I2439" s="343"/>
      <c r="J2439" s="343"/>
      <c r="K2439" s="343"/>
      <c r="L2439" s="343"/>
    </row>
    <row r="2440" spans="4:12" x14ac:dyDescent="0.2">
      <c r="D2440" s="341"/>
      <c r="F2440" s="343"/>
      <c r="G2440" s="343"/>
      <c r="H2440" s="343"/>
      <c r="I2440" s="343"/>
      <c r="J2440" s="343"/>
      <c r="K2440" s="343"/>
      <c r="L2440" s="343"/>
    </row>
    <row r="2441" spans="4:12" x14ac:dyDescent="0.2">
      <c r="D2441" s="341"/>
      <c r="F2441" s="343"/>
      <c r="G2441" s="343"/>
      <c r="H2441" s="343"/>
      <c r="I2441" s="343"/>
      <c r="J2441" s="343"/>
      <c r="K2441" s="343"/>
      <c r="L2441" s="343"/>
    </row>
    <row r="2442" spans="4:12" x14ac:dyDescent="0.2">
      <c r="D2442" s="341"/>
      <c r="F2442" s="343"/>
      <c r="G2442" s="343"/>
      <c r="H2442" s="343"/>
      <c r="I2442" s="343"/>
      <c r="J2442" s="343"/>
      <c r="K2442" s="343"/>
      <c r="L2442" s="343"/>
    </row>
    <row r="2443" spans="4:12" x14ac:dyDescent="0.2">
      <c r="D2443" s="341"/>
      <c r="F2443" s="343"/>
      <c r="G2443" s="343"/>
      <c r="H2443" s="343"/>
      <c r="I2443" s="343"/>
      <c r="J2443" s="343"/>
      <c r="K2443" s="343"/>
      <c r="L2443" s="343"/>
    </row>
    <row r="2444" spans="4:12" x14ac:dyDescent="0.2">
      <c r="D2444" s="341"/>
      <c r="F2444" s="343"/>
      <c r="G2444" s="343"/>
      <c r="H2444" s="343"/>
      <c r="I2444" s="343"/>
      <c r="J2444" s="343"/>
      <c r="K2444" s="343"/>
      <c r="L2444" s="343"/>
    </row>
    <row r="2445" spans="4:12" x14ac:dyDescent="0.2">
      <c r="D2445" s="341"/>
      <c r="F2445" s="343"/>
      <c r="G2445" s="343"/>
      <c r="H2445" s="343"/>
      <c r="I2445" s="343"/>
      <c r="J2445" s="343"/>
      <c r="K2445" s="343"/>
      <c r="L2445" s="343"/>
    </row>
    <row r="2446" spans="4:12" x14ac:dyDescent="0.2">
      <c r="D2446" s="341"/>
      <c r="F2446" s="343"/>
      <c r="G2446" s="343"/>
      <c r="H2446" s="343"/>
      <c r="I2446" s="343"/>
      <c r="J2446" s="343"/>
      <c r="K2446" s="343"/>
      <c r="L2446" s="343"/>
    </row>
    <row r="2447" spans="4:12" x14ac:dyDescent="0.2">
      <c r="D2447" s="341"/>
      <c r="F2447" s="343"/>
      <c r="G2447" s="343"/>
      <c r="H2447" s="343"/>
      <c r="I2447" s="343"/>
      <c r="J2447" s="343"/>
      <c r="K2447" s="343"/>
      <c r="L2447" s="343"/>
    </row>
    <row r="2448" spans="4:12" x14ac:dyDescent="0.2">
      <c r="D2448" s="341"/>
      <c r="F2448" s="343"/>
      <c r="G2448" s="343"/>
      <c r="H2448" s="343"/>
      <c r="I2448" s="343"/>
      <c r="J2448" s="343"/>
      <c r="K2448" s="343"/>
      <c r="L2448" s="343"/>
    </row>
    <row r="2449" spans="4:12" x14ac:dyDescent="0.2">
      <c r="D2449" s="341"/>
      <c r="F2449" s="343"/>
      <c r="G2449" s="343"/>
      <c r="H2449" s="343"/>
      <c r="I2449" s="343"/>
      <c r="J2449" s="343"/>
      <c r="K2449" s="343"/>
      <c r="L2449" s="343"/>
    </row>
    <row r="2450" spans="4:12" x14ac:dyDescent="0.2">
      <c r="D2450" s="341"/>
      <c r="F2450" s="343"/>
      <c r="G2450" s="343"/>
      <c r="H2450" s="343"/>
      <c r="I2450" s="343"/>
      <c r="J2450" s="343"/>
      <c r="K2450" s="343"/>
      <c r="L2450" s="343"/>
    </row>
    <row r="2451" spans="4:12" x14ac:dyDescent="0.2">
      <c r="D2451" s="341"/>
      <c r="F2451" s="343"/>
      <c r="G2451" s="343"/>
      <c r="H2451" s="343"/>
      <c r="I2451" s="343"/>
      <c r="J2451" s="343"/>
      <c r="K2451" s="343"/>
      <c r="L2451" s="343"/>
    </row>
    <row r="2452" spans="4:12" x14ac:dyDescent="0.2">
      <c r="D2452" s="341"/>
      <c r="F2452" s="343"/>
      <c r="G2452" s="343"/>
      <c r="H2452" s="343"/>
      <c r="I2452" s="343"/>
      <c r="J2452" s="343"/>
      <c r="K2452" s="343"/>
      <c r="L2452" s="343"/>
    </row>
    <row r="2453" spans="4:12" x14ac:dyDescent="0.2">
      <c r="D2453" s="341"/>
      <c r="F2453" s="343"/>
      <c r="G2453" s="343"/>
      <c r="H2453" s="343"/>
      <c r="I2453" s="343"/>
      <c r="J2453" s="343"/>
      <c r="K2453" s="343"/>
      <c r="L2453" s="343"/>
    </row>
    <row r="2454" spans="4:12" x14ac:dyDescent="0.2">
      <c r="D2454" s="341"/>
      <c r="F2454" s="343"/>
      <c r="G2454" s="343"/>
      <c r="H2454" s="343"/>
      <c r="I2454" s="343"/>
      <c r="J2454" s="343"/>
      <c r="K2454" s="343"/>
      <c r="L2454" s="343"/>
    </row>
    <row r="2455" spans="4:12" x14ac:dyDescent="0.2">
      <c r="D2455" s="341"/>
      <c r="F2455" s="343"/>
      <c r="G2455" s="343"/>
      <c r="H2455" s="343"/>
      <c r="I2455" s="343"/>
      <c r="J2455" s="343"/>
      <c r="K2455" s="343"/>
      <c r="L2455" s="343"/>
    </row>
    <row r="2456" spans="4:12" x14ac:dyDescent="0.2">
      <c r="D2456" s="341"/>
      <c r="F2456" s="343"/>
      <c r="G2456" s="343"/>
      <c r="H2456" s="343"/>
      <c r="I2456" s="343"/>
      <c r="J2456" s="343"/>
      <c r="K2456" s="343"/>
      <c r="L2456" s="343"/>
    </row>
    <row r="2457" spans="4:12" x14ac:dyDescent="0.2">
      <c r="D2457" s="341"/>
      <c r="F2457" s="343"/>
      <c r="G2457" s="343"/>
      <c r="H2457" s="343"/>
      <c r="I2457" s="343"/>
      <c r="J2457" s="343"/>
      <c r="K2457" s="343"/>
      <c r="L2457" s="343"/>
    </row>
    <row r="2458" spans="4:12" x14ac:dyDescent="0.2">
      <c r="D2458" s="341"/>
      <c r="F2458" s="343"/>
      <c r="G2458" s="343"/>
      <c r="H2458" s="343"/>
      <c r="I2458" s="343"/>
      <c r="J2458" s="343"/>
      <c r="K2458" s="343"/>
      <c r="L2458" s="343"/>
    </row>
    <row r="2459" spans="4:12" x14ac:dyDescent="0.2">
      <c r="D2459" s="341"/>
      <c r="F2459" s="343"/>
      <c r="G2459" s="343"/>
      <c r="H2459" s="343"/>
      <c r="I2459" s="343"/>
      <c r="J2459" s="343"/>
      <c r="K2459" s="343"/>
      <c r="L2459" s="343"/>
    </row>
    <row r="2460" spans="4:12" x14ac:dyDescent="0.2">
      <c r="D2460" s="341"/>
      <c r="F2460" s="343"/>
      <c r="G2460" s="343"/>
      <c r="H2460" s="343"/>
      <c r="I2460" s="343"/>
      <c r="J2460" s="343"/>
      <c r="K2460" s="343"/>
      <c r="L2460" s="343"/>
    </row>
    <row r="2461" spans="4:12" x14ac:dyDescent="0.2">
      <c r="D2461" s="341"/>
      <c r="F2461" s="343"/>
      <c r="G2461" s="343"/>
      <c r="H2461" s="343"/>
      <c r="I2461" s="343"/>
      <c r="J2461" s="343"/>
      <c r="K2461" s="343"/>
      <c r="L2461" s="343"/>
    </row>
    <row r="2462" spans="4:12" x14ac:dyDescent="0.2">
      <c r="D2462" s="341"/>
      <c r="F2462" s="343"/>
      <c r="G2462" s="343"/>
      <c r="H2462" s="343"/>
      <c r="I2462" s="343"/>
      <c r="J2462" s="343"/>
      <c r="K2462" s="343"/>
      <c r="L2462" s="343"/>
    </row>
    <row r="2463" spans="4:12" x14ac:dyDescent="0.2">
      <c r="D2463" s="341"/>
      <c r="F2463" s="343"/>
      <c r="G2463" s="343"/>
      <c r="H2463" s="343"/>
      <c r="I2463" s="343"/>
      <c r="J2463" s="343"/>
      <c r="K2463" s="343"/>
      <c r="L2463" s="343"/>
    </row>
    <row r="2464" spans="4:12" x14ac:dyDescent="0.2">
      <c r="D2464" s="341"/>
      <c r="F2464" s="343"/>
      <c r="G2464" s="343"/>
      <c r="H2464" s="343"/>
      <c r="I2464" s="343"/>
      <c r="J2464" s="343"/>
      <c r="K2464" s="343"/>
      <c r="L2464" s="343"/>
    </row>
    <row r="2465" spans="4:12" x14ac:dyDescent="0.2">
      <c r="D2465" s="341"/>
      <c r="F2465" s="343"/>
      <c r="G2465" s="343"/>
      <c r="H2465" s="343"/>
      <c r="I2465" s="343"/>
      <c r="J2465" s="343"/>
      <c r="K2465" s="343"/>
      <c r="L2465" s="343"/>
    </row>
    <row r="2466" spans="4:12" x14ac:dyDescent="0.2">
      <c r="D2466" s="341"/>
      <c r="F2466" s="343"/>
      <c r="G2466" s="343"/>
      <c r="H2466" s="343"/>
      <c r="I2466" s="343"/>
      <c r="J2466" s="343"/>
      <c r="K2466" s="343"/>
      <c r="L2466" s="343"/>
    </row>
    <row r="2467" spans="4:12" x14ac:dyDescent="0.2">
      <c r="D2467" s="341"/>
      <c r="F2467" s="343"/>
      <c r="G2467" s="343"/>
      <c r="H2467" s="343"/>
      <c r="I2467" s="343"/>
      <c r="J2467" s="343"/>
      <c r="K2467" s="343"/>
      <c r="L2467" s="343"/>
    </row>
    <row r="2468" spans="4:12" x14ac:dyDescent="0.2">
      <c r="D2468" s="341"/>
      <c r="F2468" s="343"/>
      <c r="G2468" s="343"/>
      <c r="H2468" s="343"/>
      <c r="I2468" s="343"/>
      <c r="J2468" s="343"/>
      <c r="K2468" s="343"/>
      <c r="L2468" s="343"/>
    </row>
    <row r="2469" spans="4:12" x14ac:dyDescent="0.2">
      <c r="D2469" s="341"/>
      <c r="F2469" s="343"/>
      <c r="G2469" s="343"/>
      <c r="H2469" s="343"/>
      <c r="I2469" s="343"/>
      <c r="J2469" s="343"/>
      <c r="K2469" s="343"/>
      <c r="L2469" s="343"/>
    </row>
    <row r="2470" spans="4:12" x14ac:dyDescent="0.2">
      <c r="D2470" s="341"/>
      <c r="F2470" s="343"/>
      <c r="G2470" s="343"/>
      <c r="H2470" s="343"/>
      <c r="I2470" s="343"/>
      <c r="J2470" s="343"/>
      <c r="K2470" s="343"/>
      <c r="L2470" s="343"/>
    </row>
    <row r="2471" spans="4:12" x14ac:dyDescent="0.2">
      <c r="D2471" s="341"/>
      <c r="F2471" s="343"/>
      <c r="G2471" s="343"/>
      <c r="H2471" s="343"/>
      <c r="I2471" s="343"/>
      <c r="J2471" s="343"/>
      <c r="K2471" s="343"/>
      <c r="L2471" s="343"/>
    </row>
    <row r="2472" spans="4:12" x14ac:dyDescent="0.2">
      <c r="D2472" s="341"/>
      <c r="F2472" s="343"/>
      <c r="G2472" s="343"/>
      <c r="H2472" s="343"/>
      <c r="I2472" s="343"/>
      <c r="J2472" s="343"/>
      <c r="K2472" s="343"/>
      <c r="L2472" s="343"/>
    </row>
    <row r="2473" spans="4:12" x14ac:dyDescent="0.2">
      <c r="D2473" s="341"/>
      <c r="F2473" s="343"/>
      <c r="G2473" s="343"/>
      <c r="H2473" s="343"/>
      <c r="I2473" s="343"/>
      <c r="J2473" s="343"/>
      <c r="K2473" s="343"/>
      <c r="L2473" s="343"/>
    </row>
    <row r="2474" spans="4:12" x14ac:dyDescent="0.2">
      <c r="D2474" s="341"/>
      <c r="F2474" s="343"/>
      <c r="G2474" s="343"/>
      <c r="H2474" s="343"/>
      <c r="I2474" s="343"/>
      <c r="J2474" s="343"/>
      <c r="K2474" s="343"/>
      <c r="L2474" s="343"/>
    </row>
    <row r="2475" spans="4:12" x14ac:dyDescent="0.2">
      <c r="D2475" s="341"/>
      <c r="F2475" s="343"/>
      <c r="G2475" s="343"/>
      <c r="H2475" s="343"/>
      <c r="I2475" s="343"/>
      <c r="J2475" s="343"/>
      <c r="K2475" s="343"/>
      <c r="L2475" s="343"/>
    </row>
    <row r="2476" spans="4:12" x14ac:dyDescent="0.2">
      <c r="D2476" s="341"/>
      <c r="F2476" s="343"/>
      <c r="G2476" s="343"/>
      <c r="H2476" s="343"/>
      <c r="I2476" s="343"/>
      <c r="J2476" s="343"/>
      <c r="K2476" s="343"/>
      <c r="L2476" s="343"/>
    </row>
    <row r="2477" spans="4:12" x14ac:dyDescent="0.2">
      <c r="D2477" s="341"/>
      <c r="F2477" s="343"/>
      <c r="G2477" s="343"/>
      <c r="H2477" s="343"/>
      <c r="I2477" s="343"/>
      <c r="J2477" s="343"/>
      <c r="K2477" s="343"/>
      <c r="L2477" s="343"/>
    </row>
    <row r="2478" spans="4:12" x14ac:dyDescent="0.2">
      <c r="D2478" s="341"/>
      <c r="F2478" s="343"/>
      <c r="G2478" s="343"/>
      <c r="H2478" s="343"/>
      <c r="I2478" s="343"/>
      <c r="J2478" s="343"/>
      <c r="K2478" s="343"/>
      <c r="L2478" s="343"/>
    </row>
    <row r="2479" spans="4:12" x14ac:dyDescent="0.2">
      <c r="D2479" s="341"/>
      <c r="F2479" s="343"/>
      <c r="G2479" s="343"/>
      <c r="H2479" s="343"/>
      <c r="I2479" s="343"/>
      <c r="J2479" s="343"/>
      <c r="K2479" s="343"/>
      <c r="L2479" s="343"/>
    </row>
    <row r="2480" spans="4:12" x14ac:dyDescent="0.2">
      <c r="D2480" s="341"/>
      <c r="F2480" s="343"/>
      <c r="G2480" s="343"/>
      <c r="H2480" s="343"/>
      <c r="I2480" s="343"/>
      <c r="J2480" s="343"/>
      <c r="K2480" s="343"/>
      <c r="L2480" s="343"/>
    </row>
    <row r="2481" spans="4:12" x14ac:dyDescent="0.2">
      <c r="D2481" s="341"/>
      <c r="F2481" s="343"/>
      <c r="G2481" s="343"/>
      <c r="H2481" s="343"/>
      <c r="I2481" s="343"/>
      <c r="J2481" s="343"/>
      <c r="K2481" s="343"/>
      <c r="L2481" s="343"/>
    </row>
    <row r="2482" spans="4:12" x14ac:dyDescent="0.2">
      <c r="D2482" s="341"/>
      <c r="F2482" s="343"/>
      <c r="G2482" s="343"/>
      <c r="H2482" s="343"/>
      <c r="I2482" s="343"/>
      <c r="J2482" s="343"/>
      <c r="K2482" s="343"/>
      <c r="L2482" s="343"/>
    </row>
    <row r="2483" spans="4:12" x14ac:dyDescent="0.2">
      <c r="D2483" s="341"/>
      <c r="F2483" s="343"/>
      <c r="G2483" s="343"/>
      <c r="H2483" s="343"/>
      <c r="I2483" s="343"/>
      <c r="J2483" s="343"/>
      <c r="K2483" s="343"/>
      <c r="L2483" s="343"/>
    </row>
    <row r="2484" spans="4:12" x14ac:dyDescent="0.2">
      <c r="D2484" s="341"/>
      <c r="F2484" s="343"/>
      <c r="G2484" s="343"/>
      <c r="H2484" s="343"/>
      <c r="I2484" s="343"/>
      <c r="J2484" s="343"/>
      <c r="K2484" s="343"/>
      <c r="L2484" s="343"/>
    </row>
    <row r="2485" spans="4:12" x14ac:dyDescent="0.2">
      <c r="D2485" s="341"/>
      <c r="F2485" s="343"/>
      <c r="G2485" s="343"/>
      <c r="H2485" s="343"/>
      <c r="I2485" s="343"/>
      <c r="J2485" s="343"/>
      <c r="K2485" s="343"/>
      <c r="L2485" s="343"/>
    </row>
    <row r="2486" spans="4:12" x14ac:dyDescent="0.2">
      <c r="D2486" s="341"/>
      <c r="F2486" s="343"/>
      <c r="G2486" s="343"/>
      <c r="H2486" s="343"/>
      <c r="I2486" s="343"/>
      <c r="J2486" s="343"/>
      <c r="K2486" s="343"/>
      <c r="L2486" s="343"/>
    </row>
    <row r="2487" spans="4:12" x14ac:dyDescent="0.2">
      <c r="D2487" s="341"/>
      <c r="F2487" s="343"/>
      <c r="G2487" s="343"/>
      <c r="H2487" s="343"/>
      <c r="I2487" s="343"/>
      <c r="J2487" s="343"/>
      <c r="K2487" s="343"/>
      <c r="L2487" s="343"/>
    </row>
    <row r="2488" spans="4:12" x14ac:dyDescent="0.2">
      <c r="D2488" s="341"/>
      <c r="F2488" s="343"/>
      <c r="G2488" s="343"/>
      <c r="H2488" s="343"/>
      <c r="I2488" s="343"/>
      <c r="J2488" s="343"/>
      <c r="K2488" s="343"/>
      <c r="L2488" s="343"/>
    </row>
    <row r="2489" spans="4:12" x14ac:dyDescent="0.2">
      <c r="D2489" s="341"/>
      <c r="F2489" s="343"/>
      <c r="G2489" s="343"/>
      <c r="H2489" s="343"/>
      <c r="I2489" s="343"/>
      <c r="J2489" s="343"/>
      <c r="K2489" s="343"/>
      <c r="L2489" s="343"/>
    </row>
    <row r="2490" spans="4:12" x14ac:dyDescent="0.2">
      <c r="D2490" s="341"/>
      <c r="F2490" s="343"/>
      <c r="G2490" s="343"/>
      <c r="H2490" s="343"/>
      <c r="I2490" s="343"/>
      <c r="J2490" s="343"/>
      <c r="K2490" s="343"/>
      <c r="L2490" s="343"/>
    </row>
    <row r="2491" spans="4:12" x14ac:dyDescent="0.2">
      <c r="D2491" s="341"/>
      <c r="F2491" s="343"/>
      <c r="G2491" s="343"/>
      <c r="H2491" s="343"/>
      <c r="I2491" s="343"/>
      <c r="J2491" s="343"/>
      <c r="K2491" s="343"/>
      <c r="L2491" s="343"/>
    </row>
    <row r="2492" spans="4:12" x14ac:dyDescent="0.2">
      <c r="D2492" s="341"/>
      <c r="F2492" s="343"/>
      <c r="G2492" s="343"/>
      <c r="H2492" s="343"/>
      <c r="I2492" s="343"/>
      <c r="J2492" s="343"/>
      <c r="K2492" s="343"/>
      <c r="L2492" s="343"/>
    </row>
    <row r="2493" spans="4:12" x14ac:dyDescent="0.2">
      <c r="D2493" s="341"/>
      <c r="F2493" s="343"/>
      <c r="G2493" s="343"/>
      <c r="H2493" s="343"/>
      <c r="I2493" s="343"/>
      <c r="J2493" s="343"/>
      <c r="K2493" s="343"/>
      <c r="L2493" s="343"/>
    </row>
    <row r="2494" spans="4:12" x14ac:dyDescent="0.2">
      <c r="D2494" s="341"/>
      <c r="F2494" s="343"/>
      <c r="G2494" s="343"/>
      <c r="H2494" s="343"/>
      <c r="I2494" s="343"/>
      <c r="J2494" s="343"/>
      <c r="K2494" s="343"/>
      <c r="L2494" s="343"/>
    </row>
    <row r="2495" spans="4:12" x14ac:dyDescent="0.2">
      <c r="D2495" s="341"/>
      <c r="F2495" s="343"/>
      <c r="G2495" s="343"/>
      <c r="H2495" s="343"/>
      <c r="I2495" s="343"/>
      <c r="J2495" s="343"/>
      <c r="K2495" s="343"/>
      <c r="L2495" s="343"/>
    </row>
    <row r="2496" spans="4:12" x14ac:dyDescent="0.2">
      <c r="D2496" s="341"/>
      <c r="F2496" s="343"/>
      <c r="G2496" s="343"/>
      <c r="H2496" s="343"/>
      <c r="I2496" s="343"/>
      <c r="J2496" s="343"/>
      <c r="K2496" s="343"/>
      <c r="L2496" s="343"/>
    </row>
    <row r="2497" spans="4:12" x14ac:dyDescent="0.2">
      <c r="D2497" s="341"/>
      <c r="F2497" s="343"/>
      <c r="G2497" s="343"/>
      <c r="H2497" s="343"/>
      <c r="I2497" s="343"/>
      <c r="J2497" s="343"/>
      <c r="K2497" s="343"/>
      <c r="L2497" s="343"/>
    </row>
    <row r="2498" spans="4:12" x14ac:dyDescent="0.2">
      <c r="D2498" s="341"/>
      <c r="F2498" s="343"/>
      <c r="G2498" s="343"/>
      <c r="H2498" s="343"/>
      <c r="I2498" s="343"/>
      <c r="J2498" s="343"/>
      <c r="K2498" s="343"/>
      <c r="L2498" s="343"/>
    </row>
    <row r="2499" spans="4:12" x14ac:dyDescent="0.2">
      <c r="D2499" s="341"/>
      <c r="F2499" s="343"/>
      <c r="G2499" s="343"/>
      <c r="H2499" s="343"/>
      <c r="I2499" s="343"/>
      <c r="J2499" s="343"/>
      <c r="K2499" s="343"/>
      <c r="L2499" s="343"/>
    </row>
    <row r="2500" spans="4:12" x14ac:dyDescent="0.2">
      <c r="D2500" s="341"/>
      <c r="F2500" s="343"/>
      <c r="G2500" s="343"/>
      <c r="H2500" s="343"/>
      <c r="I2500" s="343"/>
      <c r="J2500" s="343"/>
      <c r="K2500" s="343"/>
      <c r="L2500" s="343"/>
    </row>
    <row r="2501" spans="4:12" x14ac:dyDescent="0.2">
      <c r="D2501" s="341"/>
      <c r="F2501" s="343"/>
      <c r="G2501" s="343"/>
      <c r="H2501" s="343"/>
      <c r="I2501" s="343"/>
      <c r="J2501" s="343"/>
      <c r="K2501" s="343"/>
      <c r="L2501" s="343"/>
    </row>
    <row r="2502" spans="4:12" x14ac:dyDescent="0.2">
      <c r="D2502" s="341"/>
      <c r="F2502" s="343"/>
      <c r="G2502" s="343"/>
      <c r="H2502" s="343"/>
      <c r="I2502" s="343"/>
      <c r="J2502" s="343"/>
      <c r="K2502" s="343"/>
      <c r="L2502" s="343"/>
    </row>
    <row r="2503" spans="4:12" x14ac:dyDescent="0.2">
      <c r="D2503" s="341"/>
      <c r="F2503" s="343"/>
      <c r="G2503" s="343"/>
      <c r="H2503" s="343"/>
      <c r="I2503" s="343"/>
      <c r="J2503" s="343"/>
      <c r="K2503" s="343"/>
      <c r="L2503" s="343"/>
    </row>
    <row r="2504" spans="4:12" x14ac:dyDescent="0.2">
      <c r="D2504" s="341"/>
      <c r="F2504" s="343"/>
      <c r="G2504" s="343"/>
      <c r="H2504" s="343"/>
      <c r="I2504" s="343"/>
      <c r="J2504" s="343"/>
      <c r="K2504" s="343"/>
      <c r="L2504" s="343"/>
    </row>
    <row r="2505" spans="4:12" x14ac:dyDescent="0.2">
      <c r="D2505" s="341"/>
      <c r="F2505" s="343"/>
      <c r="G2505" s="343"/>
      <c r="H2505" s="343"/>
      <c r="I2505" s="343"/>
      <c r="J2505" s="343"/>
      <c r="K2505" s="343"/>
      <c r="L2505" s="343"/>
    </row>
    <row r="2506" spans="4:12" x14ac:dyDescent="0.2">
      <c r="D2506" s="341"/>
      <c r="F2506" s="343"/>
      <c r="G2506" s="343"/>
      <c r="H2506" s="343"/>
      <c r="I2506" s="343"/>
      <c r="J2506" s="343"/>
      <c r="K2506" s="343"/>
      <c r="L2506" s="343"/>
    </row>
    <row r="2507" spans="4:12" x14ac:dyDescent="0.2">
      <c r="D2507" s="341"/>
      <c r="F2507" s="343"/>
      <c r="G2507" s="343"/>
      <c r="H2507" s="343"/>
      <c r="I2507" s="343"/>
      <c r="J2507" s="343"/>
      <c r="K2507" s="343"/>
      <c r="L2507" s="343"/>
    </row>
    <row r="2508" spans="4:12" x14ac:dyDescent="0.2">
      <c r="D2508" s="341"/>
      <c r="F2508" s="343"/>
      <c r="G2508" s="343"/>
      <c r="H2508" s="343"/>
      <c r="I2508" s="343"/>
      <c r="J2508" s="343"/>
      <c r="K2508" s="343"/>
      <c r="L2508" s="343"/>
    </row>
    <row r="2509" spans="4:12" x14ac:dyDescent="0.2">
      <c r="D2509" s="341"/>
      <c r="F2509" s="343"/>
      <c r="G2509" s="343"/>
      <c r="H2509" s="343"/>
      <c r="I2509" s="343"/>
      <c r="J2509" s="343"/>
      <c r="K2509" s="343"/>
      <c r="L2509" s="343"/>
    </row>
    <row r="2510" spans="4:12" x14ac:dyDescent="0.2">
      <c r="D2510" s="341"/>
      <c r="F2510" s="343"/>
      <c r="G2510" s="343"/>
      <c r="H2510" s="343"/>
      <c r="I2510" s="343"/>
      <c r="J2510" s="343"/>
      <c r="K2510" s="343"/>
      <c r="L2510" s="343"/>
    </row>
    <row r="2511" spans="4:12" x14ac:dyDescent="0.2">
      <c r="D2511" s="341"/>
      <c r="F2511" s="343"/>
      <c r="G2511" s="343"/>
      <c r="H2511" s="343"/>
      <c r="I2511" s="343"/>
      <c r="J2511" s="343"/>
      <c r="K2511" s="343"/>
      <c r="L2511" s="343"/>
    </row>
    <row r="2512" spans="4:12" x14ac:dyDescent="0.2">
      <c r="D2512" s="341"/>
      <c r="F2512" s="343"/>
      <c r="G2512" s="343"/>
      <c r="H2512" s="343"/>
      <c r="I2512" s="343"/>
      <c r="J2512" s="343"/>
      <c r="K2512" s="343"/>
      <c r="L2512" s="343"/>
    </row>
    <row r="2513" spans="4:12" x14ac:dyDescent="0.2">
      <c r="D2513" s="341"/>
      <c r="F2513" s="343"/>
      <c r="G2513" s="343"/>
      <c r="H2513" s="343"/>
      <c r="I2513" s="343"/>
      <c r="J2513" s="343"/>
      <c r="K2513" s="343"/>
      <c r="L2513" s="343"/>
    </row>
    <row r="2514" spans="4:12" x14ac:dyDescent="0.2">
      <c r="D2514" s="341"/>
      <c r="F2514" s="343"/>
      <c r="G2514" s="343"/>
      <c r="H2514" s="343"/>
      <c r="I2514" s="343"/>
      <c r="J2514" s="343"/>
      <c r="K2514" s="343"/>
      <c r="L2514" s="343"/>
    </row>
    <row r="2515" spans="4:12" x14ac:dyDescent="0.2">
      <c r="D2515" s="341"/>
      <c r="F2515" s="343"/>
      <c r="G2515" s="343"/>
      <c r="H2515" s="343"/>
      <c r="I2515" s="343"/>
      <c r="J2515" s="343"/>
      <c r="K2515" s="343"/>
      <c r="L2515" s="343"/>
    </row>
    <row r="2516" spans="4:12" x14ac:dyDescent="0.2">
      <c r="D2516" s="341"/>
      <c r="F2516" s="343"/>
      <c r="G2516" s="343"/>
      <c r="H2516" s="343"/>
      <c r="I2516" s="343"/>
      <c r="J2516" s="343"/>
      <c r="K2516" s="343"/>
      <c r="L2516" s="343"/>
    </row>
    <row r="2517" spans="4:12" x14ac:dyDescent="0.2">
      <c r="D2517" s="341"/>
      <c r="F2517" s="343"/>
      <c r="G2517" s="343"/>
      <c r="H2517" s="343"/>
      <c r="I2517" s="343"/>
      <c r="J2517" s="343"/>
      <c r="K2517" s="343"/>
      <c r="L2517" s="343"/>
    </row>
    <row r="2518" spans="4:12" x14ac:dyDescent="0.2">
      <c r="D2518" s="341"/>
      <c r="F2518" s="343"/>
      <c r="G2518" s="343"/>
      <c r="H2518" s="343"/>
      <c r="I2518" s="343"/>
      <c r="J2518" s="343"/>
      <c r="K2518" s="343"/>
      <c r="L2518" s="343"/>
    </row>
    <row r="2519" spans="4:12" x14ac:dyDescent="0.2">
      <c r="D2519" s="341"/>
      <c r="F2519" s="343"/>
      <c r="G2519" s="343"/>
      <c r="H2519" s="343"/>
      <c r="I2519" s="343"/>
      <c r="J2519" s="343"/>
      <c r="K2519" s="343"/>
      <c r="L2519" s="343"/>
    </row>
    <row r="2520" spans="4:12" x14ac:dyDescent="0.2">
      <c r="D2520" s="341"/>
      <c r="F2520" s="343"/>
      <c r="G2520" s="343"/>
      <c r="H2520" s="343"/>
      <c r="I2520" s="343"/>
      <c r="J2520" s="343"/>
      <c r="K2520" s="343"/>
      <c r="L2520" s="343"/>
    </row>
    <row r="2521" spans="4:12" x14ac:dyDescent="0.2">
      <c r="D2521" s="341"/>
      <c r="F2521" s="343"/>
      <c r="G2521" s="343"/>
      <c r="H2521" s="343"/>
      <c r="I2521" s="343"/>
      <c r="J2521" s="343"/>
      <c r="K2521" s="343"/>
      <c r="L2521" s="343"/>
    </row>
    <row r="2522" spans="4:12" x14ac:dyDescent="0.2">
      <c r="D2522" s="341"/>
      <c r="F2522" s="343"/>
      <c r="G2522" s="343"/>
      <c r="H2522" s="343"/>
      <c r="I2522" s="343"/>
      <c r="J2522" s="343"/>
      <c r="K2522" s="343"/>
      <c r="L2522" s="343"/>
    </row>
    <row r="2523" spans="4:12" x14ac:dyDescent="0.2">
      <c r="D2523" s="341"/>
      <c r="F2523" s="343"/>
      <c r="G2523" s="343"/>
      <c r="H2523" s="343"/>
      <c r="I2523" s="343"/>
      <c r="J2523" s="343"/>
      <c r="K2523" s="343"/>
      <c r="L2523" s="343"/>
    </row>
    <row r="2524" spans="4:12" x14ac:dyDescent="0.2">
      <c r="D2524" s="341"/>
      <c r="F2524" s="343"/>
      <c r="G2524" s="343"/>
      <c r="H2524" s="343"/>
      <c r="I2524" s="343"/>
      <c r="J2524" s="343"/>
      <c r="K2524" s="343"/>
      <c r="L2524" s="343"/>
    </row>
    <row r="2525" spans="4:12" x14ac:dyDescent="0.2">
      <c r="D2525" s="341"/>
      <c r="F2525" s="343"/>
      <c r="G2525" s="343"/>
      <c r="H2525" s="343"/>
      <c r="I2525" s="343"/>
      <c r="J2525" s="343"/>
      <c r="K2525" s="343"/>
      <c r="L2525" s="343"/>
    </row>
    <row r="2526" spans="4:12" x14ac:dyDescent="0.2">
      <c r="D2526" s="341"/>
      <c r="F2526" s="343"/>
      <c r="G2526" s="343"/>
      <c r="H2526" s="343"/>
      <c r="I2526" s="343"/>
      <c r="J2526" s="343"/>
      <c r="K2526" s="343"/>
      <c r="L2526" s="343"/>
    </row>
    <row r="2527" spans="4:12" x14ac:dyDescent="0.2">
      <c r="D2527" s="341"/>
      <c r="F2527" s="343"/>
      <c r="G2527" s="343"/>
      <c r="H2527" s="343"/>
      <c r="I2527" s="343"/>
      <c r="J2527" s="343"/>
      <c r="K2527" s="343"/>
      <c r="L2527" s="343"/>
    </row>
    <row r="2528" spans="4:12" x14ac:dyDescent="0.2">
      <c r="D2528" s="341"/>
      <c r="F2528" s="343"/>
      <c r="G2528" s="343"/>
      <c r="H2528" s="343"/>
      <c r="I2528" s="343"/>
      <c r="J2528" s="343"/>
      <c r="K2528" s="343"/>
      <c r="L2528" s="343"/>
    </row>
    <row r="2529" spans="4:12" x14ac:dyDescent="0.2">
      <c r="D2529" s="341"/>
      <c r="F2529" s="343"/>
      <c r="G2529" s="343"/>
      <c r="H2529" s="343"/>
      <c r="I2529" s="343"/>
      <c r="J2529" s="343"/>
      <c r="K2529" s="343"/>
      <c r="L2529" s="343"/>
    </row>
    <row r="2530" spans="4:12" x14ac:dyDescent="0.2">
      <c r="D2530" s="341"/>
      <c r="F2530" s="343"/>
      <c r="G2530" s="343"/>
      <c r="H2530" s="343"/>
      <c r="I2530" s="343"/>
      <c r="J2530" s="343"/>
      <c r="K2530" s="343"/>
      <c r="L2530" s="343"/>
    </row>
    <row r="2531" spans="4:12" x14ac:dyDescent="0.2">
      <c r="D2531" s="341"/>
      <c r="F2531" s="343"/>
      <c r="G2531" s="343"/>
      <c r="H2531" s="343"/>
      <c r="I2531" s="343"/>
      <c r="J2531" s="343"/>
      <c r="K2531" s="343"/>
      <c r="L2531" s="343"/>
    </row>
    <row r="2532" spans="4:12" x14ac:dyDescent="0.2">
      <c r="D2532" s="341"/>
      <c r="F2532" s="343"/>
      <c r="G2532" s="343"/>
      <c r="H2532" s="343"/>
      <c r="I2532" s="343"/>
      <c r="J2532" s="343"/>
      <c r="K2532" s="343"/>
      <c r="L2532" s="343"/>
    </row>
    <row r="2533" spans="4:12" x14ac:dyDescent="0.2">
      <c r="D2533" s="341"/>
      <c r="F2533" s="343"/>
      <c r="G2533" s="343"/>
      <c r="H2533" s="343"/>
      <c r="I2533" s="343"/>
      <c r="J2533" s="343"/>
      <c r="K2533" s="343"/>
      <c r="L2533" s="343"/>
    </row>
    <row r="2534" spans="4:12" x14ac:dyDescent="0.2">
      <c r="D2534" s="341"/>
      <c r="F2534" s="343"/>
      <c r="G2534" s="343"/>
      <c r="H2534" s="343"/>
      <c r="I2534" s="343"/>
      <c r="J2534" s="343"/>
      <c r="K2534" s="343"/>
      <c r="L2534" s="343"/>
    </row>
    <row r="2535" spans="4:12" x14ac:dyDescent="0.2">
      <c r="D2535" s="341"/>
      <c r="F2535" s="343"/>
      <c r="G2535" s="343"/>
      <c r="H2535" s="343"/>
      <c r="I2535" s="343"/>
      <c r="J2535" s="343"/>
      <c r="K2535" s="343"/>
      <c r="L2535" s="343"/>
    </row>
    <row r="2536" spans="4:12" x14ac:dyDescent="0.2">
      <c r="D2536" s="341"/>
      <c r="F2536" s="343"/>
      <c r="G2536" s="343"/>
      <c r="H2536" s="343"/>
      <c r="I2536" s="343"/>
      <c r="J2536" s="343"/>
      <c r="K2536" s="343"/>
      <c r="L2536" s="343"/>
    </row>
    <row r="2537" spans="4:12" x14ac:dyDescent="0.2">
      <c r="D2537" s="341"/>
      <c r="F2537" s="343"/>
      <c r="G2537" s="343"/>
      <c r="H2537" s="343"/>
      <c r="I2537" s="343"/>
      <c r="J2537" s="343"/>
      <c r="K2537" s="343"/>
      <c r="L2537" s="343"/>
    </row>
    <row r="2538" spans="4:12" x14ac:dyDescent="0.2">
      <c r="D2538" s="341"/>
      <c r="F2538" s="343"/>
      <c r="G2538" s="343"/>
      <c r="H2538" s="343"/>
      <c r="I2538" s="343"/>
      <c r="J2538" s="343"/>
      <c r="K2538" s="343"/>
      <c r="L2538" s="343"/>
    </row>
    <row r="2539" spans="4:12" x14ac:dyDescent="0.2">
      <c r="D2539" s="341"/>
      <c r="F2539" s="343"/>
      <c r="G2539" s="343"/>
      <c r="H2539" s="343"/>
      <c r="I2539" s="343"/>
      <c r="J2539" s="343"/>
      <c r="K2539" s="343"/>
      <c r="L2539" s="343"/>
    </row>
    <row r="2540" spans="4:12" x14ac:dyDescent="0.2">
      <c r="D2540" s="341"/>
      <c r="F2540" s="343"/>
      <c r="G2540" s="343"/>
      <c r="H2540" s="343"/>
      <c r="I2540" s="343"/>
      <c r="J2540" s="343"/>
      <c r="K2540" s="343"/>
      <c r="L2540" s="343"/>
    </row>
    <row r="2541" spans="4:12" x14ac:dyDescent="0.2">
      <c r="D2541" s="341"/>
      <c r="F2541" s="343"/>
      <c r="G2541" s="343"/>
      <c r="H2541" s="343"/>
      <c r="I2541" s="343"/>
      <c r="J2541" s="343"/>
      <c r="K2541" s="343"/>
      <c r="L2541" s="343"/>
    </row>
    <row r="2542" spans="4:12" x14ac:dyDescent="0.2">
      <c r="D2542" s="341"/>
      <c r="F2542" s="343"/>
      <c r="G2542" s="343"/>
      <c r="H2542" s="343"/>
      <c r="I2542" s="343"/>
      <c r="J2542" s="343"/>
      <c r="K2542" s="343"/>
      <c r="L2542" s="343"/>
    </row>
    <row r="2543" spans="4:12" x14ac:dyDescent="0.2">
      <c r="D2543" s="341"/>
      <c r="F2543" s="343"/>
      <c r="G2543" s="343"/>
      <c r="H2543" s="343"/>
      <c r="I2543" s="343"/>
      <c r="J2543" s="343"/>
      <c r="K2543" s="343"/>
      <c r="L2543" s="343"/>
    </row>
    <row r="2544" spans="4:12" x14ac:dyDescent="0.2">
      <c r="D2544" s="341"/>
      <c r="F2544" s="343"/>
      <c r="G2544" s="343"/>
      <c r="H2544" s="343"/>
      <c r="I2544" s="343"/>
      <c r="J2544" s="343"/>
      <c r="K2544" s="343"/>
      <c r="L2544" s="343"/>
    </row>
    <row r="2545" spans="4:12" x14ac:dyDescent="0.2">
      <c r="D2545" s="341"/>
      <c r="F2545" s="343"/>
      <c r="G2545" s="343"/>
      <c r="H2545" s="343"/>
      <c r="I2545" s="343"/>
      <c r="J2545" s="343"/>
      <c r="K2545" s="343"/>
      <c r="L2545" s="343"/>
    </row>
    <row r="2546" spans="4:12" x14ac:dyDescent="0.2">
      <c r="D2546" s="341"/>
      <c r="F2546" s="343"/>
      <c r="G2546" s="343"/>
      <c r="H2546" s="343"/>
      <c r="I2546" s="343"/>
      <c r="J2546" s="343"/>
      <c r="K2546" s="343"/>
      <c r="L2546" s="343"/>
    </row>
    <row r="2547" spans="4:12" x14ac:dyDescent="0.2">
      <c r="D2547" s="341"/>
      <c r="F2547" s="343"/>
      <c r="G2547" s="343"/>
      <c r="H2547" s="343"/>
      <c r="I2547" s="343"/>
      <c r="J2547" s="343"/>
      <c r="K2547" s="343"/>
      <c r="L2547" s="343"/>
    </row>
    <row r="2548" spans="4:12" x14ac:dyDescent="0.2">
      <c r="D2548" s="341"/>
      <c r="F2548" s="343"/>
      <c r="G2548" s="343"/>
      <c r="H2548" s="343"/>
      <c r="I2548" s="343"/>
      <c r="J2548" s="343"/>
      <c r="K2548" s="343"/>
      <c r="L2548" s="343"/>
    </row>
    <row r="2549" spans="4:12" x14ac:dyDescent="0.2">
      <c r="D2549" s="341"/>
      <c r="F2549" s="343"/>
      <c r="G2549" s="343"/>
      <c r="H2549" s="343"/>
      <c r="I2549" s="343"/>
      <c r="J2549" s="343"/>
      <c r="K2549" s="343"/>
      <c r="L2549" s="343"/>
    </row>
    <row r="2550" spans="4:12" x14ac:dyDescent="0.2">
      <c r="D2550" s="341"/>
      <c r="F2550" s="343"/>
      <c r="G2550" s="343"/>
      <c r="H2550" s="343"/>
      <c r="I2550" s="343"/>
      <c r="J2550" s="343"/>
      <c r="K2550" s="343"/>
      <c r="L2550" s="343"/>
    </row>
    <row r="2551" spans="4:12" x14ac:dyDescent="0.2">
      <c r="D2551" s="341"/>
      <c r="F2551" s="343"/>
      <c r="G2551" s="343"/>
      <c r="H2551" s="343"/>
      <c r="I2551" s="343"/>
      <c r="J2551" s="343"/>
      <c r="K2551" s="343"/>
      <c r="L2551" s="343"/>
    </row>
    <row r="2552" spans="4:12" x14ac:dyDescent="0.2">
      <c r="D2552" s="341"/>
      <c r="F2552" s="343"/>
      <c r="G2552" s="343"/>
      <c r="H2552" s="343"/>
      <c r="I2552" s="343"/>
      <c r="J2552" s="343"/>
      <c r="K2552" s="343"/>
      <c r="L2552" s="343"/>
    </row>
    <row r="2553" spans="4:12" x14ac:dyDescent="0.2">
      <c r="D2553" s="341"/>
      <c r="F2553" s="343"/>
      <c r="G2553" s="343"/>
      <c r="H2553" s="343"/>
      <c r="I2553" s="343"/>
      <c r="J2553" s="343"/>
      <c r="K2553" s="343"/>
      <c r="L2553" s="343"/>
    </row>
    <row r="2554" spans="4:12" x14ac:dyDescent="0.2">
      <c r="D2554" s="341"/>
      <c r="F2554" s="343"/>
      <c r="G2554" s="343"/>
      <c r="H2554" s="343"/>
      <c r="I2554" s="343"/>
      <c r="J2554" s="343"/>
      <c r="K2554" s="343"/>
      <c r="L2554" s="343"/>
    </row>
    <row r="2555" spans="4:12" x14ac:dyDescent="0.2">
      <c r="D2555" s="341"/>
      <c r="F2555" s="343"/>
      <c r="G2555" s="343"/>
      <c r="H2555" s="343"/>
      <c r="I2555" s="343"/>
      <c r="J2555" s="343"/>
      <c r="K2555" s="343"/>
      <c r="L2555" s="343"/>
    </row>
    <row r="2556" spans="4:12" x14ac:dyDescent="0.2">
      <c r="D2556" s="341"/>
      <c r="F2556" s="343"/>
      <c r="G2556" s="343"/>
      <c r="H2556" s="343"/>
      <c r="I2556" s="343"/>
      <c r="J2556" s="343"/>
      <c r="K2556" s="343"/>
      <c r="L2556" s="343"/>
    </row>
    <row r="2557" spans="4:12" x14ac:dyDescent="0.2">
      <c r="D2557" s="341"/>
      <c r="F2557" s="343"/>
      <c r="G2557" s="343"/>
      <c r="H2557" s="343"/>
      <c r="I2557" s="343"/>
      <c r="J2557" s="343"/>
      <c r="K2557" s="343"/>
      <c r="L2557" s="343"/>
    </row>
    <row r="2558" spans="4:12" x14ac:dyDescent="0.2">
      <c r="D2558" s="341"/>
      <c r="F2558" s="343"/>
      <c r="G2558" s="343"/>
      <c r="H2558" s="343"/>
      <c r="I2558" s="343"/>
      <c r="J2558" s="343"/>
      <c r="K2558" s="343"/>
      <c r="L2558" s="343"/>
    </row>
    <row r="2559" spans="4:12" x14ac:dyDescent="0.2">
      <c r="D2559" s="341"/>
      <c r="F2559" s="343"/>
      <c r="G2559" s="343"/>
      <c r="H2559" s="343"/>
      <c r="I2559" s="343"/>
      <c r="J2559" s="343"/>
      <c r="K2559" s="343"/>
      <c r="L2559" s="343"/>
    </row>
    <row r="2560" spans="4:12" x14ac:dyDescent="0.2">
      <c r="D2560" s="341"/>
      <c r="F2560" s="343"/>
      <c r="G2560" s="343"/>
      <c r="H2560" s="343"/>
      <c r="I2560" s="343"/>
      <c r="J2560" s="343"/>
      <c r="K2560" s="343"/>
      <c r="L2560" s="343"/>
    </row>
    <row r="2561" spans="4:12" x14ac:dyDescent="0.2">
      <c r="D2561" s="341"/>
      <c r="F2561" s="343"/>
      <c r="G2561" s="343"/>
      <c r="H2561" s="343"/>
      <c r="I2561" s="343"/>
      <c r="J2561" s="343"/>
      <c r="K2561" s="343"/>
      <c r="L2561" s="343"/>
    </row>
    <row r="2562" spans="4:12" x14ac:dyDescent="0.2">
      <c r="D2562" s="341"/>
      <c r="F2562" s="343"/>
      <c r="G2562" s="343"/>
      <c r="H2562" s="343"/>
      <c r="I2562" s="343"/>
      <c r="J2562" s="343"/>
      <c r="K2562" s="343"/>
      <c r="L2562" s="343"/>
    </row>
    <row r="2563" spans="4:12" x14ac:dyDescent="0.2">
      <c r="D2563" s="341"/>
      <c r="F2563" s="343"/>
      <c r="G2563" s="343"/>
      <c r="H2563" s="343"/>
      <c r="I2563" s="343"/>
      <c r="J2563" s="343"/>
      <c r="K2563" s="343"/>
      <c r="L2563" s="343"/>
    </row>
    <row r="2564" spans="4:12" x14ac:dyDescent="0.2">
      <c r="D2564" s="341"/>
      <c r="F2564" s="343"/>
      <c r="G2564" s="343"/>
      <c r="H2564" s="343"/>
      <c r="I2564" s="343"/>
      <c r="J2564" s="343"/>
      <c r="K2564" s="343"/>
      <c r="L2564" s="343"/>
    </row>
    <row r="2565" spans="4:12" x14ac:dyDescent="0.2">
      <c r="D2565" s="341"/>
      <c r="F2565" s="343"/>
      <c r="G2565" s="343"/>
      <c r="H2565" s="343"/>
      <c r="I2565" s="343"/>
      <c r="J2565" s="343"/>
      <c r="K2565" s="343"/>
      <c r="L2565" s="343"/>
    </row>
    <row r="2566" spans="4:12" x14ac:dyDescent="0.2">
      <c r="D2566" s="341"/>
      <c r="F2566" s="343"/>
      <c r="G2566" s="343"/>
      <c r="H2566" s="343"/>
      <c r="I2566" s="343"/>
      <c r="J2566" s="343"/>
      <c r="K2566" s="343"/>
      <c r="L2566" s="343"/>
    </row>
    <row r="2567" spans="4:12" x14ac:dyDescent="0.2">
      <c r="D2567" s="341"/>
      <c r="F2567" s="343"/>
      <c r="G2567" s="343"/>
      <c r="H2567" s="343"/>
      <c r="I2567" s="343"/>
      <c r="J2567" s="343"/>
      <c r="K2567" s="343"/>
      <c r="L2567" s="343"/>
    </row>
    <row r="2568" spans="4:12" x14ac:dyDescent="0.2">
      <c r="D2568" s="341"/>
      <c r="F2568" s="343"/>
      <c r="G2568" s="343"/>
      <c r="H2568" s="343"/>
      <c r="I2568" s="343"/>
      <c r="J2568" s="343"/>
      <c r="K2568" s="343"/>
      <c r="L2568" s="343"/>
    </row>
    <row r="2569" spans="4:12" x14ac:dyDescent="0.2">
      <c r="D2569" s="341"/>
      <c r="F2569" s="343"/>
      <c r="G2569" s="343"/>
      <c r="H2569" s="343"/>
      <c r="I2569" s="343"/>
      <c r="J2569" s="343"/>
      <c r="K2569" s="343"/>
      <c r="L2569" s="343"/>
    </row>
    <row r="2570" spans="4:12" x14ac:dyDescent="0.2">
      <c r="D2570" s="341"/>
      <c r="F2570" s="343"/>
      <c r="G2570" s="343"/>
      <c r="H2570" s="343"/>
      <c r="I2570" s="343"/>
      <c r="J2570" s="343"/>
      <c r="K2570" s="343"/>
      <c r="L2570" s="343"/>
    </row>
    <row r="2571" spans="4:12" x14ac:dyDescent="0.2">
      <c r="D2571" s="341"/>
      <c r="F2571" s="343"/>
      <c r="G2571" s="343"/>
      <c r="H2571" s="343"/>
      <c r="I2571" s="343"/>
      <c r="J2571" s="343"/>
      <c r="K2571" s="343"/>
      <c r="L2571" s="343"/>
    </row>
    <row r="2572" spans="4:12" x14ac:dyDescent="0.2">
      <c r="D2572" s="341"/>
      <c r="F2572" s="343"/>
      <c r="G2572" s="343"/>
      <c r="H2572" s="343"/>
      <c r="I2572" s="343"/>
      <c r="J2572" s="343"/>
      <c r="K2572" s="343"/>
      <c r="L2572" s="343"/>
    </row>
    <row r="2573" spans="4:12" x14ac:dyDescent="0.2">
      <c r="D2573" s="341"/>
      <c r="F2573" s="343"/>
      <c r="G2573" s="343"/>
      <c r="H2573" s="343"/>
      <c r="I2573" s="343"/>
      <c r="J2573" s="343"/>
      <c r="K2573" s="343"/>
      <c r="L2573" s="343"/>
    </row>
    <row r="2574" spans="4:12" x14ac:dyDescent="0.2">
      <c r="D2574" s="341"/>
      <c r="F2574" s="343"/>
      <c r="G2574" s="343"/>
      <c r="H2574" s="343"/>
      <c r="I2574" s="343"/>
      <c r="J2574" s="343"/>
      <c r="K2574" s="343"/>
      <c r="L2574" s="343"/>
    </row>
    <row r="2575" spans="4:12" x14ac:dyDescent="0.2">
      <c r="D2575" s="341"/>
      <c r="F2575" s="343"/>
      <c r="G2575" s="343"/>
      <c r="H2575" s="343"/>
      <c r="I2575" s="343"/>
      <c r="J2575" s="343"/>
      <c r="K2575" s="343"/>
      <c r="L2575" s="343"/>
    </row>
    <row r="2576" spans="4:12" x14ac:dyDescent="0.2">
      <c r="D2576" s="341"/>
      <c r="F2576" s="343"/>
      <c r="G2576" s="343"/>
      <c r="H2576" s="343"/>
      <c r="I2576" s="343"/>
      <c r="J2576" s="343"/>
      <c r="K2576" s="343"/>
      <c r="L2576" s="343"/>
    </row>
    <row r="2577" spans="4:12" x14ac:dyDescent="0.2">
      <c r="D2577" s="341"/>
      <c r="F2577" s="343"/>
      <c r="G2577" s="343"/>
      <c r="H2577" s="343"/>
      <c r="I2577" s="343"/>
      <c r="J2577" s="343"/>
      <c r="K2577" s="343"/>
      <c r="L2577" s="343"/>
    </row>
    <row r="2578" spans="4:12" x14ac:dyDescent="0.2">
      <c r="D2578" s="341"/>
      <c r="F2578" s="343"/>
      <c r="G2578" s="343"/>
      <c r="H2578" s="343"/>
      <c r="I2578" s="343"/>
      <c r="J2578" s="343"/>
      <c r="K2578" s="343"/>
      <c r="L2578" s="343"/>
    </row>
    <row r="2579" spans="4:12" x14ac:dyDescent="0.2">
      <c r="D2579" s="341"/>
      <c r="F2579" s="343"/>
      <c r="G2579" s="343"/>
      <c r="H2579" s="343"/>
      <c r="I2579" s="343"/>
      <c r="J2579" s="343"/>
      <c r="K2579" s="343"/>
      <c r="L2579" s="343"/>
    </row>
    <row r="2580" spans="4:12" x14ac:dyDescent="0.2">
      <c r="D2580" s="341"/>
      <c r="F2580" s="343"/>
      <c r="G2580" s="343"/>
      <c r="H2580" s="343"/>
      <c r="I2580" s="343"/>
      <c r="J2580" s="343"/>
      <c r="K2580" s="343"/>
      <c r="L2580" s="343"/>
    </row>
    <row r="2581" spans="4:12" x14ac:dyDescent="0.2">
      <c r="D2581" s="341"/>
      <c r="F2581" s="343"/>
      <c r="G2581" s="343"/>
      <c r="H2581" s="343"/>
      <c r="I2581" s="343"/>
      <c r="J2581" s="343"/>
      <c r="K2581" s="343"/>
      <c r="L2581" s="343"/>
    </row>
    <row r="2582" spans="4:12" x14ac:dyDescent="0.2">
      <c r="D2582" s="341"/>
      <c r="F2582" s="343"/>
      <c r="G2582" s="343"/>
      <c r="H2582" s="343"/>
      <c r="I2582" s="343"/>
      <c r="J2582" s="343"/>
      <c r="K2582" s="343"/>
      <c r="L2582" s="343"/>
    </row>
    <row r="2583" spans="4:12" x14ac:dyDescent="0.2">
      <c r="D2583" s="341"/>
      <c r="F2583" s="343"/>
      <c r="G2583" s="343"/>
      <c r="H2583" s="343"/>
      <c r="I2583" s="343"/>
      <c r="J2583" s="343"/>
      <c r="K2583" s="343"/>
      <c r="L2583" s="343"/>
    </row>
    <row r="2584" spans="4:12" x14ac:dyDescent="0.2">
      <c r="D2584" s="341"/>
      <c r="F2584" s="343"/>
      <c r="G2584" s="343"/>
      <c r="H2584" s="343"/>
      <c r="I2584" s="343"/>
      <c r="J2584" s="343"/>
      <c r="K2584" s="343"/>
      <c r="L2584" s="343"/>
    </row>
    <row r="2585" spans="4:12" x14ac:dyDescent="0.2">
      <c r="D2585" s="341"/>
      <c r="F2585" s="343"/>
      <c r="G2585" s="343"/>
      <c r="H2585" s="343"/>
      <c r="I2585" s="343"/>
      <c r="J2585" s="343"/>
      <c r="K2585" s="343"/>
      <c r="L2585" s="343"/>
    </row>
    <row r="2586" spans="4:12" x14ac:dyDescent="0.2">
      <c r="D2586" s="341"/>
      <c r="F2586" s="343"/>
      <c r="G2586" s="343"/>
      <c r="H2586" s="343"/>
      <c r="I2586" s="343"/>
      <c r="J2586" s="343"/>
      <c r="K2586" s="343"/>
      <c r="L2586" s="343"/>
    </row>
    <row r="2587" spans="4:12" x14ac:dyDescent="0.2">
      <c r="D2587" s="341"/>
      <c r="F2587" s="343"/>
      <c r="G2587" s="343"/>
      <c r="H2587" s="343"/>
      <c r="I2587" s="343"/>
      <c r="J2587" s="343"/>
      <c r="K2587" s="343"/>
      <c r="L2587" s="343"/>
    </row>
    <row r="2588" spans="4:12" x14ac:dyDescent="0.2">
      <c r="D2588" s="341"/>
      <c r="F2588" s="343"/>
      <c r="G2588" s="343"/>
      <c r="H2588" s="343"/>
      <c r="I2588" s="343"/>
      <c r="J2588" s="343"/>
      <c r="K2588" s="343"/>
      <c r="L2588" s="343"/>
    </row>
    <row r="2589" spans="4:12" x14ac:dyDescent="0.2">
      <c r="D2589" s="341"/>
      <c r="F2589" s="343"/>
      <c r="G2589" s="343"/>
      <c r="H2589" s="343"/>
      <c r="I2589" s="343"/>
      <c r="J2589" s="343"/>
      <c r="K2589" s="343"/>
      <c r="L2589" s="343"/>
    </row>
    <row r="2590" spans="4:12" x14ac:dyDescent="0.2">
      <c r="D2590" s="341"/>
      <c r="F2590" s="343"/>
      <c r="G2590" s="343"/>
      <c r="H2590" s="343"/>
      <c r="I2590" s="343"/>
      <c r="J2590" s="343"/>
      <c r="K2590" s="343"/>
      <c r="L2590" s="343"/>
    </row>
    <row r="2591" spans="4:12" x14ac:dyDescent="0.2">
      <c r="D2591" s="341"/>
      <c r="F2591" s="343"/>
      <c r="G2591" s="343"/>
      <c r="H2591" s="343"/>
      <c r="I2591" s="343"/>
      <c r="J2591" s="343"/>
      <c r="K2591" s="343"/>
      <c r="L2591" s="343"/>
    </row>
    <row r="2592" spans="4:12" x14ac:dyDescent="0.2">
      <c r="D2592" s="341"/>
      <c r="F2592" s="343"/>
      <c r="G2592" s="343"/>
      <c r="H2592" s="343"/>
      <c r="I2592" s="343"/>
      <c r="J2592" s="343"/>
      <c r="K2592" s="343"/>
      <c r="L2592" s="343"/>
    </row>
    <row r="2593" spans="4:12" x14ac:dyDescent="0.2">
      <c r="D2593" s="341"/>
      <c r="F2593" s="343"/>
      <c r="G2593" s="343"/>
      <c r="H2593" s="343"/>
      <c r="I2593" s="343"/>
      <c r="J2593" s="343"/>
      <c r="K2593" s="343"/>
      <c r="L2593" s="343"/>
    </row>
    <row r="2594" spans="4:12" x14ac:dyDescent="0.2">
      <c r="D2594" s="341"/>
      <c r="F2594" s="343"/>
      <c r="G2594" s="343"/>
      <c r="H2594" s="343"/>
      <c r="I2594" s="343"/>
      <c r="J2594" s="343"/>
      <c r="K2594" s="343"/>
      <c r="L2594" s="343"/>
    </row>
    <row r="2595" spans="4:12" x14ac:dyDescent="0.2">
      <c r="D2595" s="341"/>
      <c r="F2595" s="343"/>
      <c r="G2595" s="343"/>
      <c r="H2595" s="343"/>
      <c r="I2595" s="343"/>
      <c r="J2595" s="343"/>
      <c r="K2595" s="343"/>
      <c r="L2595" s="343"/>
    </row>
    <row r="2596" spans="4:12" x14ac:dyDescent="0.2">
      <c r="D2596" s="341"/>
      <c r="F2596" s="343"/>
      <c r="G2596" s="343"/>
      <c r="H2596" s="343"/>
      <c r="I2596" s="343"/>
      <c r="J2596" s="343"/>
      <c r="K2596" s="343"/>
      <c r="L2596" s="343"/>
    </row>
    <row r="2597" spans="4:12" x14ac:dyDescent="0.2">
      <c r="D2597" s="341"/>
      <c r="F2597" s="343"/>
      <c r="G2597" s="343"/>
      <c r="H2597" s="343"/>
      <c r="I2597" s="343"/>
      <c r="J2597" s="343"/>
      <c r="K2597" s="343"/>
      <c r="L2597" s="343"/>
    </row>
    <row r="2598" spans="4:12" x14ac:dyDescent="0.2">
      <c r="D2598" s="341"/>
      <c r="F2598" s="343"/>
      <c r="G2598" s="343"/>
      <c r="H2598" s="343"/>
      <c r="I2598" s="343"/>
      <c r="J2598" s="343"/>
      <c r="K2598" s="343"/>
      <c r="L2598" s="343"/>
    </row>
    <row r="2599" spans="4:12" x14ac:dyDescent="0.2">
      <c r="D2599" s="341"/>
      <c r="F2599" s="343"/>
      <c r="G2599" s="343"/>
      <c r="H2599" s="343"/>
      <c r="I2599" s="343"/>
      <c r="J2599" s="343"/>
      <c r="K2599" s="343"/>
      <c r="L2599" s="343"/>
    </row>
    <row r="2600" spans="4:12" x14ac:dyDescent="0.2">
      <c r="D2600" s="341"/>
      <c r="F2600" s="343"/>
      <c r="G2600" s="343"/>
      <c r="H2600" s="343"/>
      <c r="I2600" s="343"/>
      <c r="J2600" s="343"/>
      <c r="K2600" s="343"/>
      <c r="L2600" s="343"/>
    </row>
    <row r="2601" spans="4:12" x14ac:dyDescent="0.2">
      <c r="D2601" s="341"/>
      <c r="F2601" s="343"/>
      <c r="G2601" s="343"/>
      <c r="H2601" s="343"/>
      <c r="I2601" s="343"/>
      <c r="J2601" s="343"/>
      <c r="K2601" s="343"/>
      <c r="L2601" s="343"/>
    </row>
    <row r="2602" spans="4:12" x14ac:dyDescent="0.2">
      <c r="D2602" s="341"/>
      <c r="F2602" s="343"/>
      <c r="G2602" s="343"/>
      <c r="H2602" s="343"/>
      <c r="I2602" s="343"/>
      <c r="J2602" s="343"/>
      <c r="K2602" s="343"/>
      <c r="L2602" s="343"/>
    </row>
    <row r="2603" spans="4:12" x14ac:dyDescent="0.2">
      <c r="D2603" s="341"/>
      <c r="F2603" s="343"/>
      <c r="G2603" s="343"/>
      <c r="H2603" s="343"/>
      <c r="I2603" s="343"/>
      <c r="J2603" s="343"/>
      <c r="K2603" s="343"/>
      <c r="L2603" s="343"/>
    </row>
    <row r="2604" spans="4:12" x14ac:dyDescent="0.2">
      <c r="D2604" s="341"/>
      <c r="F2604" s="343"/>
      <c r="G2604" s="343"/>
      <c r="H2604" s="343"/>
      <c r="I2604" s="343"/>
      <c r="J2604" s="343"/>
      <c r="K2604" s="343"/>
      <c r="L2604" s="343"/>
    </row>
    <row r="2605" spans="4:12" x14ac:dyDescent="0.2">
      <c r="D2605" s="341"/>
      <c r="F2605" s="343"/>
      <c r="G2605" s="343"/>
      <c r="H2605" s="343"/>
      <c r="I2605" s="343"/>
      <c r="J2605" s="343"/>
      <c r="K2605" s="343"/>
      <c r="L2605" s="343"/>
    </row>
    <row r="2606" spans="4:12" x14ac:dyDescent="0.2">
      <c r="D2606" s="341"/>
      <c r="F2606" s="343"/>
      <c r="G2606" s="343"/>
      <c r="H2606" s="343"/>
      <c r="I2606" s="343"/>
      <c r="J2606" s="343"/>
      <c r="K2606" s="343"/>
      <c r="L2606" s="343"/>
    </row>
    <row r="2607" spans="4:12" x14ac:dyDescent="0.2">
      <c r="D2607" s="341"/>
      <c r="F2607" s="343"/>
      <c r="G2607" s="343"/>
      <c r="H2607" s="343"/>
      <c r="I2607" s="343"/>
      <c r="J2607" s="343"/>
      <c r="K2607" s="343"/>
      <c r="L2607" s="343"/>
    </row>
    <row r="2608" spans="4:12" x14ac:dyDescent="0.2">
      <c r="D2608" s="341"/>
      <c r="F2608" s="343"/>
      <c r="G2608" s="343"/>
      <c r="H2608" s="343"/>
      <c r="I2608" s="343"/>
      <c r="J2608" s="343"/>
      <c r="K2608" s="343"/>
      <c r="L2608" s="343"/>
    </row>
    <row r="2609" spans="4:12" x14ac:dyDescent="0.2">
      <c r="D2609" s="341"/>
      <c r="F2609" s="343"/>
      <c r="G2609" s="343"/>
      <c r="H2609" s="343"/>
      <c r="I2609" s="343"/>
      <c r="J2609" s="343"/>
      <c r="K2609" s="343"/>
      <c r="L2609" s="343"/>
    </row>
    <row r="2610" spans="4:12" x14ac:dyDescent="0.2">
      <c r="D2610" s="341"/>
      <c r="F2610" s="343"/>
      <c r="G2610" s="343"/>
      <c r="H2610" s="343"/>
      <c r="I2610" s="343"/>
      <c r="J2610" s="343"/>
      <c r="K2610" s="343"/>
      <c r="L2610" s="343"/>
    </row>
    <row r="2611" spans="4:12" x14ac:dyDescent="0.2">
      <c r="D2611" s="341"/>
      <c r="F2611" s="343"/>
      <c r="G2611" s="343"/>
      <c r="H2611" s="343"/>
      <c r="I2611" s="343"/>
      <c r="J2611" s="343"/>
      <c r="K2611" s="343"/>
      <c r="L2611" s="343"/>
    </row>
    <row r="2612" spans="4:12" x14ac:dyDescent="0.2">
      <c r="D2612" s="341"/>
      <c r="F2612" s="343"/>
      <c r="G2612" s="343"/>
      <c r="H2612" s="343"/>
      <c r="I2612" s="343"/>
      <c r="J2612" s="343"/>
      <c r="K2612" s="343"/>
      <c r="L2612" s="343"/>
    </row>
    <row r="2613" spans="4:12" x14ac:dyDescent="0.2">
      <c r="D2613" s="341"/>
      <c r="F2613" s="343"/>
      <c r="G2613" s="343"/>
      <c r="H2613" s="343"/>
      <c r="I2613" s="343"/>
      <c r="J2613" s="343"/>
      <c r="K2613" s="343"/>
      <c r="L2613" s="343"/>
    </row>
    <row r="2614" spans="4:12" x14ac:dyDescent="0.2">
      <c r="D2614" s="341"/>
      <c r="F2614" s="343"/>
      <c r="G2614" s="343"/>
      <c r="H2614" s="343"/>
      <c r="I2614" s="343"/>
      <c r="J2614" s="343"/>
      <c r="K2614" s="343"/>
      <c r="L2614" s="343"/>
    </row>
    <row r="2615" spans="4:12" x14ac:dyDescent="0.2">
      <c r="D2615" s="341"/>
      <c r="F2615" s="343"/>
      <c r="G2615" s="343"/>
      <c r="H2615" s="343"/>
      <c r="I2615" s="343"/>
      <c r="J2615" s="343"/>
      <c r="K2615" s="343"/>
      <c r="L2615" s="343"/>
    </row>
    <row r="2616" spans="4:12" x14ac:dyDescent="0.2">
      <c r="D2616" s="341"/>
      <c r="F2616" s="343"/>
      <c r="G2616" s="343"/>
      <c r="H2616" s="343"/>
      <c r="I2616" s="343"/>
      <c r="J2616" s="343"/>
      <c r="K2616" s="343"/>
      <c r="L2616" s="343"/>
    </row>
    <row r="2617" spans="4:12" x14ac:dyDescent="0.2">
      <c r="D2617" s="341"/>
      <c r="F2617" s="343"/>
      <c r="G2617" s="343"/>
      <c r="H2617" s="343"/>
      <c r="I2617" s="343"/>
      <c r="J2617" s="343"/>
      <c r="K2617" s="343"/>
      <c r="L2617" s="343"/>
    </row>
    <row r="2618" spans="4:12" x14ac:dyDescent="0.2">
      <c r="D2618" s="341"/>
      <c r="F2618" s="343"/>
      <c r="G2618" s="343"/>
      <c r="H2618" s="343"/>
      <c r="I2618" s="343"/>
      <c r="J2618" s="343"/>
      <c r="K2618" s="343"/>
      <c r="L2618" s="343"/>
    </row>
    <row r="2619" spans="4:12" x14ac:dyDescent="0.2">
      <c r="D2619" s="341"/>
      <c r="F2619" s="343"/>
      <c r="G2619" s="343"/>
      <c r="H2619" s="343"/>
      <c r="I2619" s="343"/>
      <c r="J2619" s="343"/>
      <c r="K2619" s="343"/>
      <c r="L2619" s="343"/>
    </row>
    <row r="2620" spans="4:12" x14ac:dyDescent="0.2">
      <c r="D2620" s="341"/>
      <c r="F2620" s="343"/>
      <c r="G2620" s="343"/>
      <c r="H2620" s="343"/>
      <c r="I2620" s="343"/>
      <c r="J2620" s="343"/>
      <c r="K2620" s="343"/>
      <c r="L2620" s="343"/>
    </row>
    <row r="2621" spans="4:12" x14ac:dyDescent="0.2">
      <c r="D2621" s="341"/>
      <c r="F2621" s="343"/>
      <c r="G2621" s="343"/>
      <c r="H2621" s="343"/>
      <c r="I2621" s="343"/>
      <c r="J2621" s="343"/>
      <c r="K2621" s="343"/>
      <c r="L2621" s="343"/>
    </row>
    <row r="2622" spans="4:12" x14ac:dyDescent="0.2">
      <c r="D2622" s="341"/>
      <c r="F2622" s="343"/>
      <c r="G2622" s="343"/>
      <c r="H2622" s="343"/>
      <c r="I2622" s="343"/>
      <c r="J2622" s="343"/>
      <c r="K2622" s="343"/>
      <c r="L2622" s="343"/>
    </row>
    <row r="2623" spans="4:12" x14ac:dyDescent="0.2">
      <c r="D2623" s="341"/>
      <c r="F2623" s="343"/>
      <c r="G2623" s="343"/>
      <c r="H2623" s="343"/>
      <c r="I2623" s="343"/>
      <c r="J2623" s="343"/>
      <c r="K2623" s="343"/>
      <c r="L2623" s="343"/>
    </row>
    <row r="2624" spans="4:12" x14ac:dyDescent="0.2">
      <c r="D2624" s="341"/>
      <c r="F2624" s="343"/>
      <c r="G2624" s="343"/>
      <c r="H2624" s="343"/>
      <c r="I2624" s="343"/>
      <c r="J2624" s="343"/>
      <c r="K2624" s="343"/>
      <c r="L2624" s="343"/>
    </row>
    <row r="2625" spans="4:12" x14ac:dyDescent="0.2">
      <c r="D2625" s="341"/>
      <c r="F2625" s="343"/>
      <c r="G2625" s="343"/>
      <c r="H2625" s="343"/>
      <c r="I2625" s="343"/>
      <c r="J2625" s="343"/>
      <c r="K2625" s="343"/>
      <c r="L2625" s="343"/>
    </row>
    <row r="2626" spans="4:12" x14ac:dyDescent="0.2">
      <c r="D2626" s="341"/>
      <c r="F2626" s="343"/>
      <c r="G2626" s="343"/>
      <c r="H2626" s="343"/>
      <c r="I2626" s="343"/>
      <c r="J2626" s="343"/>
      <c r="K2626" s="343"/>
      <c r="L2626" s="343"/>
    </row>
    <row r="2627" spans="4:12" x14ac:dyDescent="0.2">
      <c r="D2627" s="341"/>
      <c r="F2627" s="343"/>
      <c r="G2627" s="343"/>
      <c r="H2627" s="343"/>
      <c r="I2627" s="343"/>
      <c r="J2627" s="343"/>
      <c r="K2627" s="343"/>
      <c r="L2627" s="343"/>
    </row>
    <row r="2628" spans="4:12" x14ac:dyDescent="0.2">
      <c r="D2628" s="341"/>
      <c r="F2628" s="343"/>
      <c r="G2628" s="343"/>
      <c r="H2628" s="343"/>
      <c r="I2628" s="343"/>
      <c r="J2628" s="343"/>
      <c r="K2628" s="343"/>
      <c r="L2628" s="343"/>
    </row>
    <row r="2629" spans="4:12" x14ac:dyDescent="0.2">
      <c r="D2629" s="341"/>
      <c r="F2629" s="343"/>
      <c r="G2629" s="343"/>
      <c r="H2629" s="343"/>
      <c r="I2629" s="343"/>
      <c r="J2629" s="343"/>
      <c r="K2629" s="343"/>
      <c r="L2629" s="343"/>
    </row>
    <row r="2630" spans="4:12" x14ac:dyDescent="0.2">
      <c r="D2630" s="341"/>
      <c r="F2630" s="343"/>
      <c r="G2630" s="343"/>
      <c r="H2630" s="343"/>
      <c r="I2630" s="343"/>
      <c r="J2630" s="343"/>
      <c r="K2630" s="343"/>
      <c r="L2630" s="343"/>
    </row>
    <row r="2631" spans="4:12" x14ac:dyDescent="0.2">
      <c r="D2631" s="341"/>
      <c r="F2631" s="343"/>
      <c r="G2631" s="343"/>
      <c r="H2631" s="343"/>
      <c r="I2631" s="343"/>
      <c r="J2631" s="343"/>
      <c r="K2631" s="343"/>
      <c r="L2631" s="343"/>
    </row>
    <row r="2632" spans="4:12" x14ac:dyDescent="0.2">
      <c r="D2632" s="341"/>
      <c r="F2632" s="343"/>
      <c r="G2632" s="343"/>
      <c r="H2632" s="343"/>
      <c r="I2632" s="343"/>
      <c r="J2632" s="343"/>
      <c r="K2632" s="343"/>
      <c r="L2632" s="343"/>
    </row>
    <row r="2633" spans="4:12" x14ac:dyDescent="0.2">
      <c r="D2633" s="341"/>
      <c r="F2633" s="343"/>
      <c r="G2633" s="343"/>
      <c r="H2633" s="343"/>
      <c r="I2633" s="343"/>
      <c r="J2633" s="343"/>
      <c r="K2633" s="343"/>
      <c r="L2633" s="343"/>
    </row>
    <row r="2634" spans="4:12" x14ac:dyDescent="0.2">
      <c r="D2634" s="341"/>
      <c r="F2634" s="343"/>
      <c r="G2634" s="343"/>
      <c r="H2634" s="343"/>
      <c r="I2634" s="343"/>
      <c r="J2634" s="343"/>
      <c r="K2634" s="343"/>
      <c r="L2634" s="343"/>
    </row>
    <row r="2635" spans="4:12" x14ac:dyDescent="0.2">
      <c r="D2635" s="341"/>
      <c r="F2635" s="343"/>
      <c r="G2635" s="343"/>
      <c r="H2635" s="343"/>
      <c r="I2635" s="343"/>
      <c r="J2635" s="343"/>
      <c r="K2635" s="343"/>
      <c r="L2635" s="343"/>
    </row>
    <row r="2636" spans="4:12" x14ac:dyDescent="0.2">
      <c r="D2636" s="341"/>
      <c r="F2636" s="343"/>
      <c r="G2636" s="343"/>
      <c r="H2636" s="343"/>
      <c r="I2636" s="343"/>
      <c r="J2636" s="343"/>
      <c r="K2636" s="343"/>
      <c r="L2636" s="343"/>
    </row>
    <row r="2637" spans="4:12" x14ac:dyDescent="0.2">
      <c r="D2637" s="341"/>
      <c r="F2637" s="343"/>
      <c r="G2637" s="343"/>
      <c r="H2637" s="343"/>
      <c r="I2637" s="343"/>
      <c r="J2637" s="343"/>
      <c r="K2637" s="343"/>
      <c r="L2637" s="343"/>
    </row>
    <row r="2638" spans="4:12" x14ac:dyDescent="0.2">
      <c r="D2638" s="341"/>
      <c r="F2638" s="343"/>
      <c r="G2638" s="343"/>
      <c r="H2638" s="343"/>
      <c r="I2638" s="343"/>
      <c r="J2638" s="343"/>
      <c r="K2638" s="343"/>
      <c r="L2638" s="343"/>
    </row>
    <row r="2639" spans="4:12" x14ac:dyDescent="0.2">
      <c r="D2639" s="341"/>
      <c r="F2639" s="343"/>
      <c r="G2639" s="343"/>
      <c r="H2639" s="343"/>
      <c r="I2639" s="343"/>
      <c r="J2639" s="343"/>
      <c r="K2639" s="343"/>
      <c r="L2639" s="343"/>
    </row>
    <row r="2640" spans="4:12" x14ac:dyDescent="0.2">
      <c r="D2640" s="341"/>
      <c r="F2640" s="343"/>
      <c r="G2640" s="343"/>
      <c r="H2640" s="343"/>
      <c r="I2640" s="343"/>
      <c r="J2640" s="343"/>
      <c r="K2640" s="343"/>
      <c r="L2640" s="343"/>
    </row>
    <row r="2641" spans="4:12" x14ac:dyDescent="0.2">
      <c r="D2641" s="341"/>
      <c r="F2641" s="343"/>
      <c r="G2641" s="343"/>
      <c r="H2641" s="343"/>
      <c r="I2641" s="343"/>
      <c r="J2641" s="343"/>
      <c r="K2641" s="343"/>
      <c r="L2641" s="343"/>
    </row>
    <row r="2642" spans="4:12" x14ac:dyDescent="0.2">
      <c r="D2642" s="341"/>
      <c r="F2642" s="343"/>
      <c r="G2642" s="343"/>
      <c r="H2642" s="343"/>
      <c r="I2642" s="343"/>
      <c r="J2642" s="343"/>
      <c r="K2642" s="343"/>
      <c r="L2642" s="343"/>
    </row>
    <row r="2643" spans="4:12" x14ac:dyDescent="0.2">
      <c r="D2643" s="341"/>
      <c r="F2643" s="343"/>
      <c r="G2643" s="343"/>
      <c r="H2643" s="343"/>
      <c r="I2643" s="343"/>
      <c r="J2643" s="343"/>
      <c r="K2643" s="343"/>
      <c r="L2643" s="343"/>
    </row>
    <row r="2644" spans="4:12" x14ac:dyDescent="0.2">
      <c r="D2644" s="341"/>
      <c r="F2644" s="343"/>
      <c r="G2644" s="343"/>
      <c r="H2644" s="343"/>
      <c r="I2644" s="343"/>
      <c r="J2644" s="343"/>
      <c r="K2644" s="343"/>
      <c r="L2644" s="343"/>
    </row>
    <row r="2645" spans="4:12" x14ac:dyDescent="0.2">
      <c r="D2645" s="341"/>
      <c r="F2645" s="343"/>
      <c r="G2645" s="343"/>
      <c r="H2645" s="343"/>
      <c r="I2645" s="343"/>
      <c r="J2645" s="343"/>
      <c r="K2645" s="343"/>
      <c r="L2645" s="343"/>
    </row>
    <row r="2646" spans="4:12" x14ac:dyDescent="0.2">
      <c r="D2646" s="341"/>
      <c r="F2646" s="343"/>
      <c r="G2646" s="343"/>
      <c r="H2646" s="343"/>
      <c r="I2646" s="343"/>
      <c r="J2646" s="343"/>
      <c r="K2646" s="343"/>
      <c r="L2646" s="343"/>
    </row>
    <row r="2647" spans="4:12" x14ac:dyDescent="0.2">
      <c r="D2647" s="341"/>
      <c r="F2647" s="343"/>
      <c r="G2647" s="343"/>
      <c r="H2647" s="343"/>
      <c r="I2647" s="343"/>
      <c r="J2647" s="343"/>
      <c r="K2647" s="343"/>
      <c r="L2647" s="343"/>
    </row>
    <row r="2648" spans="4:12" x14ac:dyDescent="0.2">
      <c r="D2648" s="341"/>
      <c r="F2648" s="343"/>
      <c r="G2648" s="343"/>
      <c r="H2648" s="343"/>
      <c r="I2648" s="343"/>
      <c r="J2648" s="343"/>
      <c r="K2648" s="343"/>
      <c r="L2648" s="343"/>
    </row>
    <row r="2649" spans="4:12" x14ac:dyDescent="0.2">
      <c r="D2649" s="341"/>
      <c r="F2649" s="343"/>
      <c r="G2649" s="343"/>
      <c r="H2649" s="343"/>
      <c r="I2649" s="343"/>
      <c r="J2649" s="343"/>
      <c r="K2649" s="343"/>
      <c r="L2649" s="343"/>
    </row>
    <row r="2650" spans="4:12" x14ac:dyDescent="0.2">
      <c r="D2650" s="341"/>
      <c r="F2650" s="343"/>
      <c r="G2650" s="343"/>
      <c r="H2650" s="343"/>
      <c r="I2650" s="343"/>
      <c r="J2650" s="343"/>
      <c r="K2650" s="343"/>
      <c r="L2650" s="343"/>
    </row>
    <row r="2651" spans="4:12" x14ac:dyDescent="0.2">
      <c r="D2651" s="341"/>
      <c r="F2651" s="343"/>
      <c r="G2651" s="343"/>
      <c r="H2651" s="343"/>
      <c r="I2651" s="343"/>
      <c r="J2651" s="343"/>
      <c r="K2651" s="343"/>
      <c r="L2651" s="343"/>
    </row>
    <row r="2652" spans="4:12" x14ac:dyDescent="0.2">
      <c r="D2652" s="341"/>
      <c r="F2652" s="343"/>
      <c r="G2652" s="343"/>
      <c r="H2652" s="343"/>
      <c r="I2652" s="343"/>
      <c r="J2652" s="343"/>
      <c r="K2652" s="343"/>
      <c r="L2652" s="343"/>
    </row>
    <row r="2653" spans="4:12" x14ac:dyDescent="0.2">
      <c r="D2653" s="341"/>
      <c r="F2653" s="343"/>
      <c r="G2653" s="343"/>
      <c r="H2653" s="343"/>
      <c r="I2653" s="343"/>
      <c r="J2653" s="343"/>
      <c r="K2653" s="343"/>
      <c r="L2653" s="343"/>
    </row>
    <row r="2654" spans="4:12" x14ac:dyDescent="0.2">
      <c r="D2654" s="341"/>
      <c r="F2654" s="343"/>
      <c r="G2654" s="343"/>
      <c r="H2654" s="343"/>
      <c r="I2654" s="343"/>
      <c r="J2654" s="343"/>
      <c r="K2654" s="343"/>
      <c r="L2654" s="343"/>
    </row>
    <row r="2655" spans="4:12" x14ac:dyDescent="0.2">
      <c r="D2655" s="341"/>
      <c r="F2655" s="343"/>
      <c r="G2655" s="343"/>
      <c r="H2655" s="343"/>
      <c r="I2655" s="343"/>
      <c r="J2655" s="343"/>
      <c r="K2655" s="343"/>
      <c r="L2655" s="343"/>
    </row>
    <row r="2656" spans="4:12" x14ac:dyDescent="0.2">
      <c r="D2656" s="341"/>
      <c r="F2656" s="343"/>
      <c r="G2656" s="343"/>
      <c r="H2656" s="343"/>
      <c r="I2656" s="343"/>
      <c r="J2656" s="343"/>
      <c r="K2656" s="343"/>
      <c r="L2656" s="343"/>
    </row>
    <row r="2657" spans="4:12" x14ac:dyDescent="0.2">
      <c r="D2657" s="341"/>
      <c r="F2657" s="343"/>
      <c r="G2657" s="343"/>
      <c r="H2657" s="343"/>
      <c r="I2657" s="343"/>
      <c r="J2657" s="343"/>
      <c r="K2657" s="343"/>
      <c r="L2657" s="343"/>
    </row>
    <row r="2658" spans="4:12" x14ac:dyDescent="0.2">
      <c r="D2658" s="341"/>
      <c r="F2658" s="343"/>
      <c r="G2658" s="343"/>
      <c r="H2658" s="343"/>
      <c r="I2658" s="343"/>
      <c r="J2658" s="343"/>
      <c r="K2658" s="343"/>
      <c r="L2658" s="343"/>
    </row>
    <row r="2659" spans="4:12" x14ac:dyDescent="0.2">
      <c r="D2659" s="341"/>
      <c r="F2659" s="343"/>
      <c r="G2659" s="343"/>
      <c r="H2659" s="343"/>
      <c r="I2659" s="343"/>
      <c r="J2659" s="343"/>
      <c r="K2659" s="343"/>
      <c r="L2659" s="343"/>
    </row>
    <row r="2660" spans="4:12" x14ac:dyDescent="0.2">
      <c r="D2660" s="341"/>
      <c r="F2660" s="343"/>
      <c r="G2660" s="343"/>
      <c r="H2660" s="343"/>
      <c r="I2660" s="343"/>
      <c r="J2660" s="343"/>
      <c r="K2660" s="343"/>
      <c r="L2660" s="343"/>
    </row>
    <row r="2661" spans="4:12" x14ac:dyDescent="0.2">
      <c r="D2661" s="341"/>
      <c r="F2661" s="343"/>
      <c r="G2661" s="343"/>
      <c r="H2661" s="343"/>
      <c r="I2661" s="343"/>
      <c r="J2661" s="343"/>
      <c r="K2661" s="343"/>
      <c r="L2661" s="343"/>
    </row>
    <row r="2662" spans="4:12" x14ac:dyDescent="0.2">
      <c r="D2662" s="341"/>
      <c r="F2662" s="343"/>
      <c r="G2662" s="343"/>
      <c r="H2662" s="343"/>
      <c r="I2662" s="343"/>
      <c r="J2662" s="343"/>
      <c r="K2662" s="343"/>
      <c r="L2662" s="343"/>
    </row>
    <row r="2663" spans="4:12" x14ac:dyDescent="0.2">
      <c r="D2663" s="341"/>
      <c r="F2663" s="343"/>
      <c r="G2663" s="343"/>
      <c r="H2663" s="343"/>
      <c r="I2663" s="343"/>
      <c r="J2663" s="343"/>
      <c r="K2663" s="343"/>
      <c r="L2663" s="343"/>
    </row>
    <row r="2664" spans="4:12" x14ac:dyDescent="0.2">
      <c r="D2664" s="341"/>
      <c r="F2664" s="343"/>
      <c r="G2664" s="343"/>
      <c r="H2664" s="343"/>
      <c r="I2664" s="343"/>
      <c r="J2664" s="343"/>
      <c r="K2664" s="343"/>
      <c r="L2664" s="343"/>
    </row>
    <row r="2665" spans="4:12" x14ac:dyDescent="0.2">
      <c r="D2665" s="341"/>
      <c r="F2665" s="343"/>
      <c r="G2665" s="343"/>
      <c r="H2665" s="343"/>
      <c r="I2665" s="343"/>
      <c r="J2665" s="343"/>
      <c r="K2665" s="343"/>
      <c r="L2665" s="343"/>
    </row>
    <row r="2666" spans="4:12" x14ac:dyDescent="0.2">
      <c r="D2666" s="341"/>
      <c r="F2666" s="343"/>
      <c r="G2666" s="343"/>
      <c r="H2666" s="343"/>
      <c r="I2666" s="343"/>
      <c r="J2666" s="343"/>
      <c r="K2666" s="343"/>
      <c r="L2666" s="343"/>
    </row>
    <row r="2667" spans="4:12" x14ac:dyDescent="0.2">
      <c r="D2667" s="341"/>
      <c r="F2667" s="343"/>
      <c r="G2667" s="343"/>
      <c r="H2667" s="343"/>
      <c r="I2667" s="343"/>
      <c r="J2667" s="343"/>
      <c r="K2667" s="343"/>
      <c r="L2667" s="343"/>
    </row>
    <row r="2668" spans="4:12" x14ac:dyDescent="0.2">
      <c r="D2668" s="341"/>
      <c r="F2668" s="343"/>
      <c r="G2668" s="343"/>
      <c r="H2668" s="343"/>
      <c r="I2668" s="343"/>
      <c r="J2668" s="343"/>
      <c r="K2668" s="343"/>
      <c r="L2668" s="343"/>
    </row>
    <row r="2669" spans="4:12" x14ac:dyDescent="0.2">
      <c r="D2669" s="341"/>
      <c r="F2669" s="343"/>
      <c r="G2669" s="343"/>
      <c r="H2669" s="343"/>
      <c r="I2669" s="343"/>
      <c r="J2669" s="343"/>
      <c r="K2669" s="343"/>
      <c r="L2669" s="343"/>
    </row>
    <row r="2670" spans="4:12" x14ac:dyDescent="0.2">
      <c r="D2670" s="341"/>
      <c r="F2670" s="343"/>
      <c r="G2670" s="343"/>
      <c r="H2670" s="343"/>
      <c r="I2670" s="343"/>
      <c r="J2670" s="343"/>
      <c r="K2670" s="343"/>
      <c r="L2670" s="343"/>
    </row>
    <row r="2671" spans="4:12" x14ac:dyDescent="0.2">
      <c r="D2671" s="341"/>
      <c r="F2671" s="343"/>
      <c r="G2671" s="343"/>
      <c r="H2671" s="343"/>
      <c r="I2671" s="343"/>
      <c r="J2671" s="343"/>
      <c r="K2671" s="343"/>
      <c r="L2671" s="343"/>
    </row>
    <row r="2672" spans="4:12" x14ac:dyDescent="0.2">
      <c r="D2672" s="341"/>
      <c r="F2672" s="343"/>
      <c r="G2672" s="343"/>
      <c r="H2672" s="343"/>
      <c r="I2672" s="343"/>
      <c r="J2672" s="343"/>
      <c r="K2672" s="343"/>
      <c r="L2672" s="343"/>
    </row>
    <row r="2673" spans="4:12" x14ac:dyDescent="0.2">
      <c r="D2673" s="341"/>
      <c r="F2673" s="343"/>
      <c r="G2673" s="343"/>
      <c r="H2673" s="343"/>
      <c r="I2673" s="343"/>
      <c r="J2673" s="343"/>
      <c r="K2673" s="343"/>
      <c r="L2673" s="343"/>
    </row>
    <row r="2674" spans="4:12" x14ac:dyDescent="0.2">
      <c r="D2674" s="341"/>
      <c r="F2674" s="343"/>
      <c r="G2674" s="343"/>
      <c r="H2674" s="343"/>
      <c r="I2674" s="343"/>
      <c r="J2674" s="343"/>
      <c r="K2674" s="343"/>
      <c r="L2674" s="343"/>
    </row>
    <row r="2675" spans="4:12" x14ac:dyDescent="0.2">
      <c r="D2675" s="341"/>
      <c r="F2675" s="343"/>
      <c r="G2675" s="343"/>
      <c r="H2675" s="343"/>
      <c r="I2675" s="343"/>
      <c r="J2675" s="343"/>
      <c r="K2675" s="343"/>
      <c r="L2675" s="343"/>
    </row>
    <row r="2676" spans="4:12" x14ac:dyDescent="0.2">
      <c r="D2676" s="341"/>
      <c r="F2676" s="343"/>
      <c r="G2676" s="343"/>
      <c r="H2676" s="343"/>
      <c r="I2676" s="343"/>
      <c r="J2676" s="343"/>
      <c r="K2676" s="343"/>
      <c r="L2676" s="343"/>
    </row>
    <row r="2677" spans="4:12" x14ac:dyDescent="0.2">
      <c r="D2677" s="341"/>
      <c r="F2677" s="343"/>
      <c r="G2677" s="343"/>
      <c r="H2677" s="343"/>
      <c r="I2677" s="343"/>
      <c r="J2677" s="343"/>
      <c r="K2677" s="343"/>
      <c r="L2677" s="343"/>
    </row>
    <row r="2678" spans="4:12" x14ac:dyDescent="0.2">
      <c r="D2678" s="341"/>
      <c r="F2678" s="343"/>
      <c r="G2678" s="343"/>
      <c r="H2678" s="343"/>
      <c r="I2678" s="343"/>
      <c r="J2678" s="343"/>
      <c r="K2678" s="343"/>
      <c r="L2678" s="343"/>
    </row>
    <row r="2679" spans="4:12" x14ac:dyDescent="0.2">
      <c r="D2679" s="341"/>
      <c r="F2679" s="343"/>
      <c r="G2679" s="343"/>
      <c r="H2679" s="343"/>
      <c r="I2679" s="343"/>
      <c r="J2679" s="343"/>
      <c r="K2679" s="343"/>
      <c r="L2679" s="343"/>
    </row>
    <row r="2680" spans="4:12" x14ac:dyDescent="0.2">
      <c r="D2680" s="341"/>
      <c r="F2680" s="343"/>
      <c r="G2680" s="343"/>
      <c r="H2680" s="343"/>
      <c r="I2680" s="343"/>
      <c r="J2680" s="343"/>
      <c r="K2680" s="343"/>
      <c r="L2680" s="343"/>
    </row>
    <row r="2681" spans="4:12" x14ac:dyDescent="0.2">
      <c r="D2681" s="341"/>
      <c r="F2681" s="343"/>
      <c r="G2681" s="343"/>
      <c r="H2681" s="343"/>
      <c r="I2681" s="343"/>
      <c r="J2681" s="343"/>
      <c r="K2681" s="343"/>
      <c r="L2681" s="343"/>
    </row>
    <row r="2682" spans="4:12" x14ac:dyDescent="0.2">
      <c r="D2682" s="341"/>
      <c r="F2682" s="343"/>
      <c r="G2682" s="343"/>
      <c r="H2682" s="343"/>
      <c r="I2682" s="343"/>
      <c r="J2682" s="343"/>
      <c r="K2682" s="343"/>
      <c r="L2682" s="343"/>
    </row>
    <row r="2683" spans="4:12" x14ac:dyDescent="0.2">
      <c r="D2683" s="341"/>
      <c r="F2683" s="343"/>
      <c r="G2683" s="343"/>
      <c r="H2683" s="343"/>
      <c r="I2683" s="343"/>
      <c r="J2683" s="343"/>
      <c r="K2683" s="343"/>
      <c r="L2683" s="343"/>
    </row>
    <row r="2684" spans="4:12" x14ac:dyDescent="0.2">
      <c r="D2684" s="341"/>
      <c r="F2684" s="343"/>
      <c r="G2684" s="343"/>
      <c r="H2684" s="343"/>
      <c r="I2684" s="343"/>
      <c r="J2684" s="343"/>
      <c r="K2684" s="343"/>
      <c r="L2684" s="343"/>
    </row>
    <row r="2685" spans="4:12" x14ac:dyDescent="0.2">
      <c r="D2685" s="341"/>
      <c r="F2685" s="343"/>
      <c r="G2685" s="343"/>
      <c r="H2685" s="343"/>
      <c r="I2685" s="343"/>
      <c r="J2685" s="343"/>
      <c r="K2685" s="343"/>
      <c r="L2685" s="343"/>
    </row>
    <row r="2686" spans="4:12" x14ac:dyDescent="0.2">
      <c r="D2686" s="341"/>
      <c r="F2686" s="343"/>
      <c r="G2686" s="343"/>
      <c r="H2686" s="343"/>
      <c r="I2686" s="343"/>
      <c r="J2686" s="343"/>
      <c r="K2686" s="343"/>
      <c r="L2686" s="343"/>
    </row>
    <row r="2687" spans="4:12" x14ac:dyDescent="0.2">
      <c r="D2687" s="341"/>
      <c r="F2687" s="343"/>
      <c r="G2687" s="343"/>
      <c r="H2687" s="343"/>
      <c r="I2687" s="343"/>
      <c r="J2687" s="343"/>
      <c r="K2687" s="343"/>
      <c r="L2687" s="343"/>
    </row>
    <row r="2688" spans="4:12" x14ac:dyDescent="0.2">
      <c r="D2688" s="341"/>
      <c r="F2688" s="343"/>
      <c r="G2688" s="343"/>
      <c r="H2688" s="343"/>
      <c r="I2688" s="343"/>
      <c r="J2688" s="343"/>
      <c r="K2688" s="343"/>
      <c r="L2688" s="343"/>
    </row>
    <row r="2689" spans="4:12" x14ac:dyDescent="0.2">
      <c r="D2689" s="341"/>
      <c r="F2689" s="343"/>
      <c r="G2689" s="343"/>
      <c r="H2689" s="343"/>
      <c r="I2689" s="343"/>
      <c r="J2689" s="343"/>
      <c r="K2689" s="343"/>
      <c r="L2689" s="343"/>
    </row>
    <row r="2690" spans="4:12" x14ac:dyDescent="0.2">
      <c r="D2690" s="341"/>
      <c r="F2690" s="343"/>
      <c r="G2690" s="343"/>
      <c r="H2690" s="343"/>
      <c r="I2690" s="343"/>
      <c r="J2690" s="343"/>
      <c r="K2690" s="343"/>
      <c r="L2690" s="343"/>
    </row>
    <row r="2691" spans="4:12" x14ac:dyDescent="0.2">
      <c r="D2691" s="341"/>
      <c r="F2691" s="343"/>
      <c r="G2691" s="343"/>
      <c r="H2691" s="343"/>
      <c r="I2691" s="343"/>
      <c r="J2691" s="343"/>
      <c r="K2691" s="343"/>
      <c r="L2691" s="343"/>
    </row>
    <row r="2692" spans="4:12" x14ac:dyDescent="0.2">
      <c r="D2692" s="341"/>
      <c r="F2692" s="343"/>
      <c r="G2692" s="343"/>
      <c r="H2692" s="343"/>
      <c r="I2692" s="343"/>
      <c r="J2692" s="343"/>
      <c r="K2692" s="343"/>
      <c r="L2692" s="343"/>
    </row>
    <row r="2693" spans="4:12" x14ac:dyDescent="0.2">
      <c r="D2693" s="341"/>
      <c r="F2693" s="343"/>
      <c r="G2693" s="343"/>
      <c r="H2693" s="343"/>
      <c r="I2693" s="343"/>
      <c r="J2693" s="343"/>
      <c r="K2693" s="343"/>
      <c r="L2693" s="343"/>
    </row>
    <row r="2694" spans="4:12" x14ac:dyDescent="0.2">
      <c r="D2694" s="341"/>
      <c r="F2694" s="343"/>
      <c r="G2694" s="343"/>
      <c r="H2694" s="343"/>
      <c r="I2694" s="343"/>
      <c r="J2694" s="343"/>
      <c r="K2694" s="343"/>
      <c r="L2694" s="343"/>
    </row>
    <row r="2695" spans="4:12" x14ac:dyDescent="0.2">
      <c r="D2695" s="341"/>
      <c r="F2695" s="343"/>
      <c r="G2695" s="343"/>
      <c r="H2695" s="343"/>
      <c r="I2695" s="343"/>
      <c r="J2695" s="343"/>
      <c r="K2695" s="343"/>
      <c r="L2695" s="343"/>
    </row>
    <row r="2696" spans="4:12" x14ac:dyDescent="0.2">
      <c r="D2696" s="341"/>
      <c r="F2696" s="343"/>
      <c r="G2696" s="343"/>
      <c r="H2696" s="343"/>
      <c r="I2696" s="343"/>
      <c r="J2696" s="343"/>
      <c r="K2696" s="343"/>
      <c r="L2696" s="343"/>
    </row>
    <row r="2697" spans="4:12" x14ac:dyDescent="0.2">
      <c r="D2697" s="341"/>
      <c r="F2697" s="343"/>
      <c r="G2697" s="343"/>
      <c r="H2697" s="343"/>
      <c r="I2697" s="343"/>
      <c r="J2697" s="343"/>
      <c r="K2697" s="343"/>
      <c r="L2697" s="343"/>
    </row>
    <row r="2698" spans="4:12" x14ac:dyDescent="0.2">
      <c r="D2698" s="341"/>
      <c r="F2698" s="343"/>
      <c r="G2698" s="343"/>
      <c r="H2698" s="343"/>
      <c r="I2698" s="343"/>
      <c r="J2698" s="343"/>
      <c r="K2698" s="343"/>
      <c r="L2698" s="343"/>
    </row>
    <row r="2699" spans="4:12" x14ac:dyDescent="0.2">
      <c r="D2699" s="341"/>
      <c r="F2699" s="343"/>
      <c r="G2699" s="343"/>
      <c r="H2699" s="343"/>
      <c r="I2699" s="343"/>
      <c r="J2699" s="343"/>
      <c r="K2699" s="343"/>
      <c r="L2699" s="343"/>
    </row>
    <row r="2700" spans="4:12" x14ac:dyDescent="0.2">
      <c r="D2700" s="341"/>
      <c r="F2700" s="343"/>
      <c r="G2700" s="343"/>
      <c r="H2700" s="343"/>
      <c r="I2700" s="343"/>
      <c r="J2700" s="343"/>
      <c r="K2700" s="343"/>
      <c r="L2700" s="343"/>
    </row>
    <row r="2701" spans="4:12" x14ac:dyDescent="0.2">
      <c r="D2701" s="341"/>
      <c r="F2701" s="343"/>
      <c r="G2701" s="343"/>
      <c r="H2701" s="343"/>
      <c r="I2701" s="343"/>
      <c r="J2701" s="343"/>
      <c r="K2701" s="343"/>
      <c r="L2701" s="343"/>
    </row>
    <row r="2702" spans="4:12" x14ac:dyDescent="0.2">
      <c r="D2702" s="341"/>
      <c r="F2702" s="343"/>
      <c r="G2702" s="343"/>
      <c r="H2702" s="343"/>
      <c r="I2702" s="343"/>
      <c r="J2702" s="343"/>
      <c r="K2702" s="343"/>
      <c r="L2702" s="343"/>
    </row>
    <row r="2703" spans="4:12" x14ac:dyDescent="0.2">
      <c r="D2703" s="341"/>
      <c r="F2703" s="343"/>
      <c r="G2703" s="343"/>
      <c r="H2703" s="343"/>
      <c r="I2703" s="343"/>
      <c r="J2703" s="343"/>
      <c r="K2703" s="343"/>
      <c r="L2703" s="343"/>
    </row>
    <row r="2704" spans="4:12" x14ac:dyDescent="0.2">
      <c r="D2704" s="341"/>
      <c r="F2704" s="343"/>
      <c r="G2704" s="343"/>
      <c r="H2704" s="343"/>
      <c r="I2704" s="343"/>
      <c r="J2704" s="343"/>
      <c r="K2704" s="343"/>
      <c r="L2704" s="343"/>
    </row>
    <row r="2705" spans="4:12" x14ac:dyDescent="0.2">
      <c r="D2705" s="341"/>
      <c r="F2705" s="343"/>
      <c r="G2705" s="343"/>
      <c r="H2705" s="343"/>
      <c r="I2705" s="343"/>
      <c r="J2705" s="343"/>
      <c r="K2705" s="343"/>
      <c r="L2705" s="343"/>
    </row>
    <row r="2706" spans="4:12" x14ac:dyDescent="0.2">
      <c r="D2706" s="341"/>
      <c r="F2706" s="343"/>
      <c r="G2706" s="343"/>
      <c r="H2706" s="343"/>
      <c r="I2706" s="343"/>
      <c r="J2706" s="343"/>
      <c r="K2706" s="343"/>
      <c r="L2706" s="343"/>
    </row>
    <row r="2707" spans="4:12" x14ac:dyDescent="0.2">
      <c r="D2707" s="341"/>
      <c r="F2707" s="343"/>
      <c r="G2707" s="343"/>
      <c r="H2707" s="343"/>
      <c r="I2707" s="343"/>
      <c r="J2707" s="343"/>
      <c r="K2707" s="343"/>
      <c r="L2707" s="343"/>
    </row>
    <row r="2708" spans="4:12" x14ac:dyDescent="0.2">
      <c r="D2708" s="341"/>
      <c r="F2708" s="343"/>
      <c r="G2708" s="343"/>
      <c r="H2708" s="343"/>
      <c r="I2708" s="343"/>
      <c r="J2708" s="343"/>
      <c r="K2708" s="343"/>
      <c r="L2708" s="343"/>
    </row>
    <row r="2709" spans="4:12" x14ac:dyDescent="0.2">
      <c r="D2709" s="341"/>
      <c r="F2709" s="343"/>
      <c r="G2709" s="343"/>
      <c r="H2709" s="343"/>
      <c r="I2709" s="343"/>
      <c r="J2709" s="343"/>
      <c r="K2709" s="343"/>
      <c r="L2709" s="343"/>
    </row>
    <row r="2710" spans="4:12" x14ac:dyDescent="0.2">
      <c r="D2710" s="341"/>
      <c r="F2710" s="343"/>
      <c r="G2710" s="343"/>
      <c r="H2710" s="343"/>
      <c r="I2710" s="343"/>
      <c r="J2710" s="343"/>
      <c r="K2710" s="343"/>
      <c r="L2710" s="343"/>
    </row>
    <row r="2711" spans="4:12" x14ac:dyDescent="0.2">
      <c r="D2711" s="341"/>
      <c r="F2711" s="343"/>
      <c r="G2711" s="343"/>
      <c r="H2711" s="343"/>
      <c r="I2711" s="343"/>
      <c r="J2711" s="343"/>
      <c r="K2711" s="343"/>
      <c r="L2711" s="343"/>
    </row>
    <row r="2712" spans="4:12" x14ac:dyDescent="0.2">
      <c r="D2712" s="341"/>
      <c r="F2712" s="343"/>
      <c r="G2712" s="343"/>
      <c r="H2712" s="343"/>
      <c r="I2712" s="343"/>
      <c r="J2712" s="343"/>
      <c r="K2712" s="343"/>
      <c r="L2712" s="343"/>
    </row>
    <row r="2713" spans="4:12" x14ac:dyDescent="0.2">
      <c r="D2713" s="341"/>
      <c r="F2713" s="343"/>
      <c r="G2713" s="343"/>
      <c r="H2713" s="343"/>
      <c r="I2713" s="343"/>
      <c r="J2713" s="343"/>
      <c r="K2713" s="343"/>
      <c r="L2713" s="343"/>
    </row>
    <row r="2714" spans="4:12" x14ac:dyDescent="0.2">
      <c r="D2714" s="341"/>
      <c r="F2714" s="343"/>
      <c r="G2714" s="343"/>
      <c r="H2714" s="343"/>
      <c r="I2714" s="343"/>
      <c r="J2714" s="343"/>
      <c r="K2714" s="343"/>
      <c r="L2714" s="343"/>
    </row>
    <row r="2715" spans="4:12" x14ac:dyDescent="0.2">
      <c r="D2715" s="341"/>
      <c r="F2715" s="343"/>
      <c r="G2715" s="343"/>
      <c r="H2715" s="343"/>
      <c r="I2715" s="343"/>
      <c r="J2715" s="343"/>
      <c r="K2715" s="343"/>
      <c r="L2715" s="343"/>
    </row>
    <row r="2716" spans="4:12" x14ac:dyDescent="0.2">
      <c r="D2716" s="341"/>
      <c r="F2716" s="343"/>
      <c r="G2716" s="343"/>
      <c r="H2716" s="343"/>
      <c r="I2716" s="343"/>
      <c r="J2716" s="343"/>
      <c r="K2716" s="343"/>
      <c r="L2716" s="343"/>
    </row>
    <row r="2717" spans="4:12" x14ac:dyDescent="0.2">
      <c r="D2717" s="341"/>
      <c r="F2717" s="343"/>
      <c r="G2717" s="343"/>
      <c r="H2717" s="343"/>
      <c r="I2717" s="343"/>
      <c r="J2717" s="343"/>
      <c r="K2717" s="343"/>
      <c r="L2717" s="343"/>
    </row>
    <row r="2718" spans="4:12" x14ac:dyDescent="0.2">
      <c r="D2718" s="341"/>
      <c r="F2718" s="343"/>
      <c r="G2718" s="343"/>
      <c r="H2718" s="343"/>
      <c r="I2718" s="343"/>
      <c r="J2718" s="343"/>
      <c r="K2718" s="343"/>
      <c r="L2718" s="343"/>
    </row>
    <row r="2719" spans="4:12" x14ac:dyDescent="0.2">
      <c r="D2719" s="341"/>
      <c r="F2719" s="343"/>
      <c r="G2719" s="343"/>
      <c r="H2719" s="343"/>
      <c r="I2719" s="343"/>
      <c r="J2719" s="343"/>
      <c r="K2719" s="343"/>
      <c r="L2719" s="343"/>
    </row>
    <row r="2720" spans="4:12" x14ac:dyDescent="0.2">
      <c r="D2720" s="341"/>
      <c r="F2720" s="343"/>
      <c r="G2720" s="343"/>
      <c r="H2720" s="343"/>
      <c r="I2720" s="343"/>
      <c r="J2720" s="343"/>
      <c r="K2720" s="343"/>
      <c r="L2720" s="343"/>
    </row>
    <row r="2721" spans="4:12" x14ac:dyDescent="0.2">
      <c r="D2721" s="341"/>
      <c r="F2721" s="343"/>
      <c r="G2721" s="343"/>
      <c r="H2721" s="343"/>
      <c r="I2721" s="343"/>
      <c r="J2721" s="343"/>
      <c r="K2721" s="343"/>
      <c r="L2721" s="343"/>
    </row>
    <row r="2722" spans="4:12" x14ac:dyDescent="0.2">
      <c r="D2722" s="341"/>
      <c r="F2722" s="343"/>
      <c r="G2722" s="343"/>
      <c r="H2722" s="343"/>
      <c r="I2722" s="343"/>
      <c r="J2722" s="343"/>
      <c r="K2722" s="343"/>
      <c r="L2722" s="343"/>
    </row>
    <row r="2723" spans="4:12" x14ac:dyDescent="0.2">
      <c r="D2723" s="341"/>
      <c r="F2723" s="343"/>
      <c r="G2723" s="343"/>
      <c r="H2723" s="343"/>
      <c r="I2723" s="343"/>
      <c r="J2723" s="343"/>
      <c r="K2723" s="343"/>
      <c r="L2723" s="343"/>
    </row>
    <row r="2724" spans="4:12" x14ac:dyDescent="0.2">
      <c r="D2724" s="341"/>
      <c r="F2724" s="343"/>
      <c r="G2724" s="343"/>
      <c r="H2724" s="343"/>
      <c r="I2724" s="343"/>
      <c r="J2724" s="343"/>
      <c r="K2724" s="343"/>
      <c r="L2724" s="343"/>
    </row>
    <row r="2725" spans="4:12" x14ac:dyDescent="0.2">
      <c r="D2725" s="341"/>
      <c r="F2725" s="343"/>
      <c r="G2725" s="343"/>
      <c r="H2725" s="343"/>
      <c r="I2725" s="343"/>
      <c r="J2725" s="343"/>
      <c r="K2725" s="343"/>
      <c r="L2725" s="343"/>
    </row>
    <row r="2726" spans="4:12" x14ac:dyDescent="0.2">
      <c r="D2726" s="341"/>
      <c r="F2726" s="343"/>
      <c r="G2726" s="343"/>
      <c r="H2726" s="343"/>
      <c r="I2726" s="343"/>
      <c r="J2726" s="343"/>
      <c r="K2726" s="343"/>
      <c r="L2726" s="343"/>
    </row>
    <row r="2727" spans="4:12" x14ac:dyDescent="0.2">
      <c r="D2727" s="341"/>
      <c r="F2727" s="343"/>
      <c r="G2727" s="343"/>
      <c r="H2727" s="343"/>
      <c r="I2727" s="343"/>
      <c r="J2727" s="343"/>
      <c r="K2727" s="343"/>
      <c r="L2727" s="343"/>
    </row>
    <row r="2728" spans="4:12" x14ac:dyDescent="0.2">
      <c r="D2728" s="341"/>
      <c r="F2728" s="343"/>
      <c r="G2728" s="343"/>
      <c r="H2728" s="343"/>
      <c r="I2728" s="343"/>
      <c r="J2728" s="343"/>
      <c r="K2728" s="343"/>
      <c r="L2728" s="343"/>
    </row>
    <row r="2729" spans="4:12" x14ac:dyDescent="0.2">
      <c r="D2729" s="341"/>
      <c r="F2729" s="343"/>
      <c r="G2729" s="343"/>
      <c r="H2729" s="343"/>
      <c r="I2729" s="343"/>
      <c r="J2729" s="343"/>
      <c r="K2729" s="343"/>
      <c r="L2729" s="343"/>
    </row>
    <row r="2730" spans="4:12" x14ac:dyDescent="0.2">
      <c r="D2730" s="341"/>
      <c r="F2730" s="343"/>
      <c r="G2730" s="343"/>
      <c r="H2730" s="343"/>
      <c r="I2730" s="343"/>
      <c r="J2730" s="343"/>
      <c r="K2730" s="343"/>
      <c r="L2730" s="343"/>
    </row>
    <row r="2731" spans="4:12" x14ac:dyDescent="0.2">
      <c r="D2731" s="341"/>
      <c r="F2731" s="343"/>
      <c r="G2731" s="343"/>
      <c r="H2731" s="343"/>
      <c r="I2731" s="343"/>
      <c r="J2731" s="343"/>
      <c r="K2731" s="343"/>
      <c r="L2731" s="343"/>
    </row>
    <row r="2732" spans="4:12" x14ac:dyDescent="0.2">
      <c r="D2732" s="341"/>
      <c r="F2732" s="343"/>
      <c r="G2732" s="343"/>
      <c r="H2732" s="343"/>
      <c r="I2732" s="343"/>
      <c r="J2732" s="343"/>
      <c r="K2732" s="343"/>
      <c r="L2732" s="343"/>
    </row>
    <row r="2733" spans="4:12" x14ac:dyDescent="0.2">
      <c r="D2733" s="341"/>
      <c r="F2733" s="343"/>
      <c r="G2733" s="343"/>
      <c r="H2733" s="343"/>
      <c r="I2733" s="343"/>
      <c r="J2733" s="343"/>
      <c r="K2733" s="343"/>
      <c r="L2733" s="343"/>
    </row>
    <row r="2734" spans="4:12" x14ac:dyDescent="0.2">
      <c r="D2734" s="341"/>
      <c r="F2734" s="343"/>
      <c r="G2734" s="343"/>
      <c r="H2734" s="343"/>
      <c r="I2734" s="343"/>
      <c r="J2734" s="343"/>
      <c r="K2734" s="343"/>
      <c r="L2734" s="343"/>
    </row>
    <row r="2735" spans="4:12" x14ac:dyDescent="0.2">
      <c r="D2735" s="341"/>
      <c r="F2735" s="343"/>
      <c r="G2735" s="343"/>
      <c r="H2735" s="343"/>
      <c r="I2735" s="343"/>
      <c r="J2735" s="343"/>
      <c r="K2735" s="343"/>
      <c r="L2735" s="343"/>
    </row>
    <row r="2736" spans="4:12" x14ac:dyDescent="0.2">
      <c r="D2736" s="341"/>
      <c r="F2736" s="343"/>
      <c r="G2736" s="343"/>
      <c r="H2736" s="343"/>
      <c r="I2736" s="343"/>
      <c r="J2736" s="343"/>
      <c r="K2736" s="343"/>
      <c r="L2736" s="343"/>
    </row>
    <row r="2737" spans="4:12" x14ac:dyDescent="0.2">
      <c r="D2737" s="341"/>
      <c r="F2737" s="343"/>
      <c r="G2737" s="343"/>
      <c r="H2737" s="343"/>
      <c r="I2737" s="343"/>
      <c r="J2737" s="343"/>
      <c r="K2737" s="343"/>
      <c r="L2737" s="343"/>
    </row>
    <row r="2738" spans="4:12" x14ac:dyDescent="0.2">
      <c r="D2738" s="341"/>
      <c r="F2738" s="343"/>
      <c r="G2738" s="343"/>
      <c r="H2738" s="343"/>
      <c r="I2738" s="343"/>
      <c r="J2738" s="343"/>
      <c r="K2738" s="343"/>
      <c r="L2738" s="343"/>
    </row>
    <row r="2739" spans="4:12" x14ac:dyDescent="0.2">
      <c r="D2739" s="341"/>
      <c r="F2739" s="343"/>
      <c r="G2739" s="343"/>
      <c r="H2739" s="343"/>
      <c r="I2739" s="343"/>
      <c r="J2739" s="343"/>
      <c r="K2739" s="343"/>
      <c r="L2739" s="343"/>
    </row>
    <row r="2740" spans="4:12" x14ac:dyDescent="0.2">
      <c r="D2740" s="341"/>
      <c r="F2740" s="343"/>
      <c r="G2740" s="343"/>
      <c r="H2740" s="343"/>
      <c r="I2740" s="343"/>
      <c r="J2740" s="343"/>
      <c r="K2740" s="343"/>
      <c r="L2740" s="343"/>
    </row>
    <row r="2741" spans="4:12" x14ac:dyDescent="0.2">
      <c r="D2741" s="341"/>
      <c r="F2741" s="343"/>
      <c r="G2741" s="343"/>
      <c r="H2741" s="343"/>
      <c r="I2741" s="343"/>
      <c r="J2741" s="343"/>
      <c r="K2741" s="343"/>
      <c r="L2741" s="343"/>
    </row>
    <row r="2742" spans="4:12" x14ac:dyDescent="0.2">
      <c r="D2742" s="341"/>
      <c r="F2742" s="343"/>
      <c r="G2742" s="343"/>
      <c r="H2742" s="343"/>
      <c r="I2742" s="343"/>
      <c r="J2742" s="343"/>
      <c r="K2742" s="343"/>
      <c r="L2742" s="343"/>
    </row>
    <row r="2743" spans="4:12" x14ac:dyDescent="0.2">
      <c r="D2743" s="341"/>
      <c r="F2743" s="343"/>
      <c r="G2743" s="343"/>
      <c r="H2743" s="343"/>
      <c r="I2743" s="343"/>
      <c r="J2743" s="343"/>
      <c r="K2743" s="343"/>
      <c r="L2743" s="343"/>
    </row>
    <row r="2744" spans="4:12" x14ac:dyDescent="0.2">
      <c r="D2744" s="341"/>
      <c r="F2744" s="343"/>
      <c r="G2744" s="343"/>
      <c r="H2744" s="343"/>
      <c r="I2744" s="343"/>
      <c r="J2744" s="343"/>
      <c r="K2744" s="343"/>
      <c r="L2744" s="343"/>
    </row>
    <row r="2745" spans="4:12" x14ac:dyDescent="0.2">
      <c r="D2745" s="341"/>
      <c r="F2745" s="343"/>
      <c r="G2745" s="343"/>
      <c r="H2745" s="343"/>
      <c r="I2745" s="343"/>
      <c r="J2745" s="343"/>
      <c r="K2745" s="343"/>
      <c r="L2745" s="343"/>
    </row>
    <row r="2746" spans="4:12" x14ac:dyDescent="0.2">
      <c r="D2746" s="341"/>
      <c r="F2746" s="343"/>
      <c r="G2746" s="343"/>
      <c r="H2746" s="343"/>
      <c r="I2746" s="343"/>
      <c r="J2746" s="343"/>
      <c r="K2746" s="343"/>
      <c r="L2746" s="343"/>
    </row>
    <row r="2747" spans="4:12" x14ac:dyDescent="0.2">
      <c r="D2747" s="341"/>
      <c r="F2747" s="343"/>
      <c r="G2747" s="343"/>
      <c r="H2747" s="343"/>
      <c r="I2747" s="343"/>
      <c r="J2747" s="343"/>
      <c r="K2747" s="343"/>
      <c r="L2747" s="343"/>
    </row>
    <row r="2748" spans="4:12" x14ac:dyDescent="0.2">
      <c r="D2748" s="341"/>
      <c r="F2748" s="343"/>
      <c r="G2748" s="343"/>
      <c r="H2748" s="343"/>
      <c r="I2748" s="343"/>
      <c r="J2748" s="343"/>
      <c r="K2748" s="343"/>
      <c r="L2748" s="343"/>
    </row>
    <row r="2749" spans="4:12" x14ac:dyDescent="0.2">
      <c r="D2749" s="341"/>
      <c r="F2749" s="343"/>
      <c r="G2749" s="343"/>
      <c r="H2749" s="343"/>
      <c r="I2749" s="343"/>
      <c r="J2749" s="343"/>
      <c r="K2749" s="343"/>
      <c r="L2749" s="343"/>
    </row>
    <row r="2750" spans="4:12" x14ac:dyDescent="0.2">
      <c r="D2750" s="341"/>
      <c r="F2750" s="343"/>
      <c r="G2750" s="343"/>
      <c r="H2750" s="343"/>
      <c r="I2750" s="343"/>
      <c r="J2750" s="343"/>
      <c r="K2750" s="343"/>
      <c r="L2750" s="343"/>
    </row>
    <row r="2751" spans="4:12" x14ac:dyDescent="0.2">
      <c r="D2751" s="341"/>
      <c r="F2751" s="343"/>
      <c r="G2751" s="343"/>
      <c r="H2751" s="343"/>
      <c r="I2751" s="343"/>
      <c r="J2751" s="343"/>
      <c r="K2751" s="343"/>
      <c r="L2751" s="343"/>
    </row>
    <row r="2752" spans="4:12" x14ac:dyDescent="0.2">
      <c r="D2752" s="341"/>
      <c r="F2752" s="343"/>
      <c r="G2752" s="343"/>
      <c r="H2752" s="343"/>
      <c r="I2752" s="343"/>
      <c r="J2752" s="343"/>
      <c r="K2752" s="343"/>
      <c r="L2752" s="343"/>
    </row>
    <row r="2753" spans="4:12" x14ac:dyDescent="0.2">
      <c r="D2753" s="341"/>
      <c r="F2753" s="343"/>
      <c r="G2753" s="343"/>
      <c r="H2753" s="343"/>
      <c r="I2753" s="343"/>
      <c r="J2753" s="343"/>
      <c r="K2753" s="343"/>
      <c r="L2753" s="343"/>
    </row>
    <row r="2754" spans="4:12" x14ac:dyDescent="0.2">
      <c r="D2754" s="341"/>
      <c r="F2754" s="343"/>
      <c r="G2754" s="343"/>
      <c r="H2754" s="343"/>
      <c r="I2754" s="343"/>
      <c r="J2754" s="343"/>
      <c r="K2754" s="343"/>
      <c r="L2754" s="343"/>
    </row>
    <row r="2755" spans="4:12" x14ac:dyDescent="0.2">
      <c r="D2755" s="341"/>
      <c r="F2755" s="343"/>
      <c r="G2755" s="343"/>
      <c r="H2755" s="343"/>
      <c r="I2755" s="343"/>
      <c r="J2755" s="343"/>
      <c r="K2755" s="343"/>
      <c r="L2755" s="343"/>
    </row>
    <row r="2756" spans="4:12" x14ac:dyDescent="0.2">
      <c r="D2756" s="341"/>
      <c r="F2756" s="343"/>
      <c r="G2756" s="343"/>
      <c r="H2756" s="343"/>
      <c r="I2756" s="343"/>
      <c r="J2756" s="343"/>
      <c r="K2756" s="343"/>
      <c r="L2756" s="343"/>
    </row>
    <row r="2757" spans="4:12" x14ac:dyDescent="0.2">
      <c r="D2757" s="341"/>
      <c r="F2757" s="343"/>
      <c r="G2757" s="343"/>
      <c r="H2757" s="343"/>
      <c r="I2757" s="343"/>
      <c r="J2757" s="343"/>
      <c r="K2757" s="343"/>
      <c r="L2757" s="343"/>
    </row>
    <row r="2758" spans="4:12" x14ac:dyDescent="0.2">
      <c r="D2758" s="341"/>
      <c r="F2758" s="343"/>
      <c r="G2758" s="343"/>
      <c r="H2758" s="343"/>
      <c r="I2758" s="343"/>
      <c r="J2758" s="343"/>
      <c r="K2758" s="343"/>
      <c r="L2758" s="343"/>
    </row>
    <row r="2759" spans="4:12" x14ac:dyDescent="0.2">
      <c r="D2759" s="341"/>
      <c r="F2759" s="343"/>
      <c r="G2759" s="343"/>
      <c r="H2759" s="343"/>
      <c r="I2759" s="343"/>
      <c r="J2759" s="343"/>
      <c r="K2759" s="343"/>
      <c r="L2759" s="343"/>
    </row>
    <row r="2760" spans="4:12" x14ac:dyDescent="0.2">
      <c r="D2760" s="341"/>
      <c r="F2760" s="343"/>
      <c r="G2760" s="343"/>
      <c r="H2760" s="343"/>
      <c r="I2760" s="343"/>
      <c r="J2760" s="343"/>
      <c r="K2760" s="343"/>
      <c r="L2760" s="343"/>
    </row>
    <row r="2761" spans="4:12" x14ac:dyDescent="0.2">
      <c r="D2761" s="341"/>
      <c r="F2761" s="343"/>
      <c r="G2761" s="343"/>
      <c r="H2761" s="343"/>
      <c r="I2761" s="343"/>
      <c r="J2761" s="343"/>
      <c r="K2761" s="343"/>
      <c r="L2761" s="343"/>
    </row>
    <row r="2762" spans="4:12" x14ac:dyDescent="0.2">
      <c r="D2762" s="341"/>
      <c r="F2762" s="343"/>
      <c r="G2762" s="343"/>
      <c r="H2762" s="343"/>
      <c r="I2762" s="343"/>
      <c r="J2762" s="343"/>
      <c r="K2762" s="343"/>
      <c r="L2762" s="343"/>
    </row>
    <row r="2763" spans="4:12" x14ac:dyDescent="0.2">
      <c r="D2763" s="341"/>
      <c r="F2763" s="343"/>
      <c r="G2763" s="343"/>
      <c r="H2763" s="343"/>
      <c r="I2763" s="343"/>
      <c r="J2763" s="343"/>
      <c r="K2763" s="343"/>
      <c r="L2763" s="343"/>
    </row>
    <row r="2764" spans="4:12" x14ac:dyDescent="0.2">
      <c r="D2764" s="341"/>
      <c r="F2764" s="343"/>
      <c r="G2764" s="343"/>
      <c r="H2764" s="343"/>
      <c r="I2764" s="343"/>
      <c r="J2764" s="343"/>
      <c r="K2764" s="343"/>
      <c r="L2764" s="343"/>
    </row>
    <row r="2765" spans="4:12" x14ac:dyDescent="0.2">
      <c r="D2765" s="341"/>
      <c r="F2765" s="343"/>
      <c r="G2765" s="343"/>
      <c r="H2765" s="343"/>
      <c r="I2765" s="343"/>
      <c r="J2765" s="343"/>
      <c r="K2765" s="343"/>
      <c r="L2765" s="343"/>
    </row>
    <row r="2766" spans="4:12" x14ac:dyDescent="0.2">
      <c r="D2766" s="341"/>
      <c r="F2766" s="343"/>
      <c r="G2766" s="343"/>
      <c r="H2766" s="343"/>
      <c r="I2766" s="343"/>
      <c r="J2766" s="343"/>
      <c r="K2766" s="343"/>
      <c r="L2766" s="343"/>
    </row>
    <row r="2767" spans="4:12" x14ac:dyDescent="0.2">
      <c r="D2767" s="341"/>
      <c r="F2767" s="343"/>
      <c r="G2767" s="343"/>
      <c r="H2767" s="343"/>
      <c r="I2767" s="343"/>
      <c r="J2767" s="343"/>
      <c r="K2767" s="343"/>
      <c r="L2767" s="343"/>
    </row>
    <row r="2768" spans="4:12" x14ac:dyDescent="0.2">
      <c r="D2768" s="341"/>
      <c r="F2768" s="343"/>
      <c r="G2768" s="343"/>
      <c r="H2768" s="343"/>
      <c r="I2768" s="343"/>
      <c r="J2768" s="343"/>
      <c r="K2768" s="343"/>
      <c r="L2768" s="343"/>
    </row>
    <row r="2769" spans="4:12" x14ac:dyDescent="0.2">
      <c r="D2769" s="341"/>
      <c r="F2769" s="343"/>
      <c r="G2769" s="343"/>
      <c r="H2769" s="343"/>
      <c r="I2769" s="343"/>
      <c r="J2769" s="343"/>
      <c r="K2769" s="343"/>
      <c r="L2769" s="343"/>
    </row>
    <row r="2770" spans="4:12" x14ac:dyDescent="0.2">
      <c r="D2770" s="341"/>
      <c r="F2770" s="343"/>
      <c r="G2770" s="343"/>
      <c r="H2770" s="343"/>
      <c r="I2770" s="343"/>
      <c r="J2770" s="343"/>
      <c r="K2770" s="343"/>
      <c r="L2770" s="343"/>
    </row>
    <row r="2771" spans="4:12" x14ac:dyDescent="0.2">
      <c r="D2771" s="341"/>
      <c r="F2771" s="343"/>
      <c r="G2771" s="343"/>
      <c r="H2771" s="343"/>
      <c r="I2771" s="343"/>
      <c r="J2771" s="343"/>
      <c r="K2771" s="343"/>
      <c r="L2771" s="343"/>
    </row>
    <row r="2772" spans="4:12" x14ac:dyDescent="0.2">
      <c r="D2772" s="341"/>
      <c r="F2772" s="343"/>
      <c r="G2772" s="343"/>
      <c r="H2772" s="343"/>
      <c r="I2772" s="343"/>
      <c r="J2772" s="343"/>
      <c r="K2772" s="343"/>
      <c r="L2772" s="343"/>
    </row>
    <row r="2773" spans="4:12" x14ac:dyDescent="0.2">
      <c r="D2773" s="341"/>
      <c r="F2773" s="343"/>
      <c r="G2773" s="343"/>
      <c r="H2773" s="343"/>
      <c r="I2773" s="343"/>
      <c r="J2773" s="343"/>
      <c r="K2773" s="343"/>
      <c r="L2773" s="343"/>
    </row>
    <row r="2774" spans="4:12" x14ac:dyDescent="0.2">
      <c r="D2774" s="341"/>
      <c r="F2774" s="343"/>
      <c r="G2774" s="343"/>
      <c r="H2774" s="343"/>
      <c r="I2774" s="343"/>
      <c r="J2774" s="343"/>
      <c r="K2774" s="343"/>
      <c r="L2774" s="343"/>
    </row>
    <row r="2775" spans="4:12" x14ac:dyDescent="0.2">
      <c r="D2775" s="341"/>
      <c r="F2775" s="343"/>
      <c r="G2775" s="343"/>
      <c r="H2775" s="343"/>
      <c r="I2775" s="343"/>
      <c r="J2775" s="343"/>
      <c r="K2775" s="343"/>
      <c r="L2775" s="343"/>
    </row>
    <row r="2776" spans="4:12" x14ac:dyDescent="0.2">
      <c r="D2776" s="341"/>
      <c r="F2776" s="343"/>
      <c r="G2776" s="343"/>
      <c r="H2776" s="343"/>
      <c r="I2776" s="343"/>
      <c r="J2776" s="343"/>
      <c r="K2776" s="343"/>
      <c r="L2776" s="343"/>
    </row>
    <row r="2777" spans="4:12" x14ac:dyDescent="0.2">
      <c r="D2777" s="341"/>
      <c r="F2777" s="343"/>
      <c r="G2777" s="343"/>
      <c r="H2777" s="343"/>
      <c r="I2777" s="343"/>
      <c r="J2777" s="343"/>
      <c r="K2777" s="343"/>
      <c r="L2777" s="343"/>
    </row>
    <row r="2778" spans="4:12" x14ac:dyDescent="0.2">
      <c r="D2778" s="341"/>
      <c r="F2778" s="343"/>
      <c r="G2778" s="343"/>
      <c r="H2778" s="343"/>
      <c r="I2778" s="343"/>
      <c r="J2778" s="343"/>
      <c r="K2778" s="343"/>
      <c r="L2778" s="343"/>
    </row>
    <row r="2779" spans="4:12" x14ac:dyDescent="0.2">
      <c r="D2779" s="341"/>
      <c r="F2779" s="343"/>
      <c r="G2779" s="343"/>
      <c r="H2779" s="343"/>
      <c r="I2779" s="343"/>
      <c r="J2779" s="343"/>
      <c r="K2779" s="343"/>
      <c r="L2779" s="343"/>
    </row>
    <row r="2780" spans="4:12" x14ac:dyDescent="0.2">
      <c r="D2780" s="341"/>
      <c r="F2780" s="343"/>
      <c r="G2780" s="343"/>
      <c r="H2780" s="343"/>
      <c r="I2780" s="343"/>
      <c r="J2780" s="343"/>
      <c r="K2780" s="343"/>
      <c r="L2780" s="343"/>
    </row>
    <row r="2781" spans="4:12" x14ac:dyDescent="0.2">
      <c r="D2781" s="341"/>
      <c r="F2781" s="343"/>
      <c r="G2781" s="343"/>
      <c r="H2781" s="343"/>
      <c r="I2781" s="343"/>
      <c r="J2781" s="343"/>
      <c r="K2781" s="343"/>
      <c r="L2781" s="343"/>
    </row>
    <row r="2782" spans="4:12" x14ac:dyDescent="0.2">
      <c r="D2782" s="341"/>
      <c r="F2782" s="343"/>
      <c r="G2782" s="343"/>
      <c r="H2782" s="343"/>
      <c r="I2782" s="343"/>
      <c r="J2782" s="343"/>
      <c r="K2782" s="343"/>
      <c r="L2782" s="343"/>
    </row>
    <row r="2783" spans="4:12" x14ac:dyDescent="0.2">
      <c r="D2783" s="341"/>
      <c r="F2783" s="343"/>
      <c r="G2783" s="343"/>
      <c r="H2783" s="343"/>
      <c r="I2783" s="343"/>
      <c r="J2783" s="343"/>
      <c r="K2783" s="343"/>
      <c r="L2783" s="343"/>
    </row>
    <row r="2784" spans="4:12" x14ac:dyDescent="0.2">
      <c r="D2784" s="341"/>
      <c r="F2784" s="343"/>
      <c r="G2784" s="343"/>
      <c r="H2784" s="343"/>
      <c r="I2784" s="343"/>
      <c r="J2784" s="343"/>
      <c r="K2784" s="343"/>
      <c r="L2784" s="343"/>
    </row>
    <row r="2785" spans="4:12" x14ac:dyDescent="0.2">
      <c r="D2785" s="341"/>
      <c r="F2785" s="343"/>
      <c r="G2785" s="343"/>
      <c r="H2785" s="343"/>
      <c r="I2785" s="343"/>
      <c r="J2785" s="343"/>
      <c r="K2785" s="343"/>
      <c r="L2785" s="343"/>
    </row>
    <row r="2786" spans="4:12" x14ac:dyDescent="0.2">
      <c r="D2786" s="341"/>
      <c r="F2786" s="343"/>
      <c r="G2786" s="343"/>
      <c r="H2786" s="343"/>
      <c r="I2786" s="343"/>
      <c r="J2786" s="343"/>
      <c r="K2786" s="343"/>
      <c r="L2786" s="343"/>
    </row>
    <row r="2787" spans="4:12" x14ac:dyDescent="0.2">
      <c r="D2787" s="341"/>
      <c r="F2787" s="343"/>
      <c r="G2787" s="343"/>
      <c r="H2787" s="343"/>
      <c r="I2787" s="343"/>
      <c r="J2787" s="343"/>
      <c r="K2787" s="343"/>
      <c r="L2787" s="343"/>
    </row>
    <row r="2788" spans="4:12" x14ac:dyDescent="0.2">
      <c r="D2788" s="341"/>
      <c r="F2788" s="343"/>
      <c r="G2788" s="343"/>
      <c r="H2788" s="343"/>
      <c r="I2788" s="343"/>
      <c r="J2788" s="343"/>
      <c r="K2788" s="343"/>
      <c r="L2788" s="343"/>
    </row>
    <row r="2789" spans="4:12" x14ac:dyDescent="0.2">
      <c r="D2789" s="341"/>
      <c r="F2789" s="343"/>
      <c r="G2789" s="343"/>
      <c r="H2789" s="343"/>
      <c r="I2789" s="343"/>
      <c r="J2789" s="343"/>
      <c r="K2789" s="343"/>
      <c r="L2789" s="343"/>
    </row>
    <row r="2790" spans="4:12" x14ac:dyDescent="0.2">
      <c r="D2790" s="341"/>
      <c r="F2790" s="343"/>
      <c r="G2790" s="343"/>
      <c r="H2790" s="343"/>
      <c r="I2790" s="343"/>
      <c r="J2790" s="343"/>
      <c r="K2790" s="343"/>
      <c r="L2790" s="343"/>
    </row>
    <row r="2791" spans="4:12" x14ac:dyDescent="0.2">
      <c r="D2791" s="341"/>
      <c r="F2791" s="343"/>
      <c r="G2791" s="343"/>
      <c r="H2791" s="343"/>
      <c r="I2791" s="343"/>
      <c r="J2791" s="343"/>
      <c r="K2791" s="343"/>
      <c r="L2791" s="343"/>
    </row>
    <row r="2792" spans="4:12" x14ac:dyDescent="0.2">
      <c r="D2792" s="341"/>
      <c r="F2792" s="343"/>
      <c r="G2792" s="343"/>
      <c r="H2792" s="343"/>
      <c r="I2792" s="343"/>
      <c r="J2792" s="343"/>
      <c r="K2792" s="343"/>
      <c r="L2792" s="343"/>
    </row>
    <row r="2793" spans="4:12" x14ac:dyDescent="0.2">
      <c r="D2793" s="341"/>
      <c r="F2793" s="343"/>
      <c r="G2793" s="343"/>
      <c r="H2793" s="343"/>
      <c r="I2793" s="343"/>
      <c r="J2793" s="343"/>
      <c r="K2793" s="343"/>
      <c r="L2793" s="343"/>
    </row>
    <row r="2794" spans="4:12" x14ac:dyDescent="0.2">
      <c r="D2794" s="341"/>
      <c r="F2794" s="343"/>
      <c r="G2794" s="343"/>
      <c r="H2794" s="343"/>
      <c r="I2794" s="343"/>
      <c r="J2794" s="343"/>
      <c r="K2794" s="343"/>
      <c r="L2794" s="343"/>
    </row>
    <row r="2795" spans="4:12" x14ac:dyDescent="0.2">
      <c r="D2795" s="341"/>
      <c r="F2795" s="343"/>
      <c r="G2795" s="343"/>
      <c r="H2795" s="343"/>
      <c r="I2795" s="343"/>
      <c r="J2795" s="343"/>
      <c r="K2795" s="343"/>
      <c r="L2795" s="343"/>
    </row>
    <row r="2796" spans="4:12" x14ac:dyDescent="0.2">
      <c r="D2796" s="341"/>
      <c r="F2796" s="343"/>
      <c r="G2796" s="343"/>
      <c r="H2796" s="343"/>
      <c r="I2796" s="343"/>
      <c r="J2796" s="343"/>
      <c r="K2796" s="343"/>
      <c r="L2796" s="343"/>
    </row>
    <row r="2797" spans="4:12" x14ac:dyDescent="0.2">
      <c r="D2797" s="341"/>
      <c r="F2797" s="343"/>
      <c r="G2797" s="343"/>
      <c r="H2797" s="343"/>
      <c r="I2797" s="343"/>
      <c r="J2797" s="343"/>
      <c r="K2797" s="343"/>
      <c r="L2797" s="343"/>
    </row>
    <row r="2798" spans="4:12" x14ac:dyDescent="0.2">
      <c r="D2798" s="341"/>
      <c r="F2798" s="343"/>
      <c r="G2798" s="343"/>
      <c r="H2798" s="343"/>
      <c r="I2798" s="343"/>
      <c r="J2798" s="343"/>
      <c r="K2798" s="343"/>
      <c r="L2798" s="343"/>
    </row>
    <row r="2799" spans="4:12" x14ac:dyDescent="0.2">
      <c r="D2799" s="341"/>
      <c r="F2799" s="343"/>
      <c r="G2799" s="343"/>
      <c r="H2799" s="343"/>
      <c r="I2799" s="343"/>
      <c r="J2799" s="343"/>
      <c r="K2799" s="343"/>
      <c r="L2799" s="343"/>
    </row>
    <row r="2800" spans="4:12" x14ac:dyDescent="0.2">
      <c r="D2800" s="341"/>
      <c r="F2800" s="343"/>
      <c r="G2800" s="343"/>
      <c r="H2800" s="343"/>
      <c r="I2800" s="343"/>
      <c r="J2800" s="343"/>
      <c r="K2800" s="343"/>
      <c r="L2800" s="343"/>
    </row>
    <row r="2801" spans="4:12" x14ac:dyDescent="0.2">
      <c r="D2801" s="341"/>
      <c r="F2801" s="343"/>
      <c r="G2801" s="343"/>
      <c r="H2801" s="343"/>
      <c r="I2801" s="343"/>
      <c r="J2801" s="343"/>
      <c r="K2801" s="343"/>
      <c r="L2801" s="343"/>
    </row>
    <row r="2802" spans="4:12" x14ac:dyDescent="0.2">
      <c r="D2802" s="341"/>
      <c r="F2802" s="343"/>
      <c r="G2802" s="343"/>
      <c r="H2802" s="343"/>
      <c r="I2802" s="343"/>
      <c r="J2802" s="343"/>
      <c r="K2802" s="343"/>
      <c r="L2802" s="343"/>
    </row>
    <row r="2803" spans="4:12" x14ac:dyDescent="0.2">
      <c r="D2803" s="341"/>
      <c r="F2803" s="343"/>
      <c r="G2803" s="343"/>
      <c r="H2803" s="343"/>
      <c r="I2803" s="343"/>
      <c r="J2803" s="343"/>
      <c r="K2803" s="343"/>
      <c r="L2803" s="343"/>
    </row>
    <row r="2804" spans="4:12" x14ac:dyDescent="0.2">
      <c r="D2804" s="341"/>
      <c r="F2804" s="343"/>
      <c r="G2804" s="343"/>
      <c r="H2804" s="343"/>
      <c r="I2804" s="343"/>
      <c r="J2804" s="343"/>
      <c r="K2804" s="343"/>
      <c r="L2804" s="343"/>
    </row>
    <row r="2805" spans="4:12" x14ac:dyDescent="0.2">
      <c r="D2805" s="341"/>
      <c r="F2805" s="343"/>
      <c r="G2805" s="343"/>
      <c r="H2805" s="343"/>
      <c r="I2805" s="343"/>
      <c r="J2805" s="343"/>
      <c r="K2805" s="343"/>
      <c r="L2805" s="343"/>
    </row>
    <row r="2806" spans="4:12" x14ac:dyDescent="0.2">
      <c r="D2806" s="341"/>
      <c r="F2806" s="343"/>
      <c r="G2806" s="343"/>
      <c r="H2806" s="343"/>
      <c r="I2806" s="343"/>
      <c r="J2806" s="343"/>
      <c r="K2806" s="343"/>
      <c r="L2806" s="343"/>
    </row>
    <row r="2807" spans="4:12" x14ac:dyDescent="0.2">
      <c r="D2807" s="341"/>
      <c r="F2807" s="343"/>
      <c r="G2807" s="343"/>
      <c r="H2807" s="343"/>
      <c r="I2807" s="343"/>
      <c r="J2807" s="343"/>
      <c r="K2807" s="343"/>
      <c r="L2807" s="343"/>
    </row>
    <row r="2808" spans="4:12" x14ac:dyDescent="0.2">
      <c r="D2808" s="341"/>
      <c r="F2808" s="343"/>
      <c r="G2808" s="343"/>
      <c r="H2808" s="343"/>
      <c r="I2808" s="343"/>
      <c r="J2808" s="343"/>
      <c r="K2808" s="343"/>
      <c r="L2808" s="343"/>
    </row>
    <row r="2809" spans="4:12" x14ac:dyDescent="0.2">
      <c r="D2809" s="341"/>
      <c r="F2809" s="343"/>
      <c r="G2809" s="343"/>
      <c r="H2809" s="343"/>
      <c r="I2809" s="343"/>
      <c r="J2809" s="343"/>
      <c r="K2809" s="343"/>
      <c r="L2809" s="343"/>
    </row>
    <row r="2810" spans="4:12" x14ac:dyDescent="0.2">
      <c r="D2810" s="341"/>
      <c r="F2810" s="343"/>
      <c r="G2810" s="343"/>
      <c r="H2810" s="343"/>
      <c r="I2810" s="343"/>
      <c r="J2810" s="343"/>
      <c r="K2810" s="343"/>
      <c r="L2810" s="343"/>
    </row>
    <row r="2811" spans="4:12" x14ac:dyDescent="0.2">
      <c r="D2811" s="341"/>
      <c r="F2811" s="343"/>
      <c r="G2811" s="343"/>
      <c r="H2811" s="343"/>
      <c r="I2811" s="343"/>
      <c r="J2811" s="343"/>
      <c r="K2811" s="343"/>
      <c r="L2811" s="343"/>
    </row>
    <row r="2812" spans="4:12" x14ac:dyDescent="0.2">
      <c r="D2812" s="341"/>
      <c r="F2812" s="343"/>
      <c r="G2812" s="343"/>
      <c r="H2812" s="343"/>
      <c r="I2812" s="343"/>
      <c r="J2812" s="343"/>
      <c r="K2812" s="343"/>
      <c r="L2812" s="343"/>
    </row>
    <row r="2813" spans="4:12" x14ac:dyDescent="0.2">
      <c r="D2813" s="341"/>
      <c r="F2813" s="343"/>
      <c r="G2813" s="343"/>
      <c r="H2813" s="343"/>
      <c r="I2813" s="343"/>
      <c r="J2813" s="343"/>
      <c r="K2813" s="343"/>
      <c r="L2813" s="343"/>
    </row>
    <row r="2814" spans="4:12" x14ac:dyDescent="0.2">
      <c r="D2814" s="341"/>
      <c r="F2814" s="343"/>
      <c r="G2814" s="343"/>
      <c r="H2814" s="343"/>
      <c r="I2814" s="343"/>
      <c r="J2814" s="343"/>
      <c r="K2814" s="343"/>
      <c r="L2814" s="343"/>
    </row>
    <row r="2815" spans="4:12" x14ac:dyDescent="0.2">
      <c r="D2815" s="341"/>
      <c r="F2815" s="343"/>
      <c r="G2815" s="343"/>
      <c r="H2815" s="343"/>
      <c r="I2815" s="343"/>
      <c r="J2815" s="343"/>
      <c r="K2815" s="343"/>
      <c r="L2815" s="343"/>
    </row>
    <row r="2816" spans="4:12" x14ac:dyDescent="0.2">
      <c r="D2816" s="341"/>
      <c r="F2816" s="343"/>
      <c r="G2816" s="343"/>
      <c r="H2816" s="343"/>
      <c r="I2816" s="343"/>
      <c r="J2816" s="343"/>
      <c r="K2816" s="343"/>
      <c r="L2816" s="343"/>
    </row>
    <row r="2817" spans="4:12" x14ac:dyDescent="0.2">
      <c r="D2817" s="341"/>
      <c r="F2817" s="343"/>
      <c r="G2817" s="343"/>
      <c r="H2817" s="343"/>
      <c r="I2817" s="343"/>
      <c r="J2817" s="343"/>
      <c r="K2817" s="343"/>
      <c r="L2817" s="343"/>
    </row>
    <row r="2818" spans="4:12" x14ac:dyDescent="0.2">
      <c r="D2818" s="341"/>
      <c r="F2818" s="343"/>
      <c r="G2818" s="343"/>
      <c r="H2818" s="343"/>
      <c r="I2818" s="343"/>
      <c r="J2818" s="343"/>
      <c r="K2818" s="343"/>
      <c r="L2818" s="343"/>
    </row>
    <row r="2819" spans="4:12" x14ac:dyDescent="0.2">
      <c r="D2819" s="341"/>
      <c r="F2819" s="343"/>
      <c r="G2819" s="343"/>
      <c r="H2819" s="343"/>
      <c r="I2819" s="343"/>
      <c r="J2819" s="343"/>
      <c r="K2819" s="343"/>
      <c r="L2819" s="343"/>
    </row>
    <row r="2820" spans="4:12" x14ac:dyDescent="0.2">
      <c r="D2820" s="341"/>
      <c r="F2820" s="343"/>
      <c r="G2820" s="343"/>
      <c r="H2820" s="343"/>
      <c r="I2820" s="343"/>
      <c r="J2820" s="343"/>
      <c r="K2820" s="343"/>
      <c r="L2820" s="343"/>
    </row>
    <row r="2821" spans="4:12" x14ac:dyDescent="0.2">
      <c r="D2821" s="341"/>
      <c r="F2821" s="343"/>
      <c r="G2821" s="343"/>
      <c r="H2821" s="343"/>
      <c r="I2821" s="343"/>
      <c r="J2821" s="343"/>
      <c r="K2821" s="343"/>
      <c r="L2821" s="343"/>
    </row>
    <row r="2822" spans="4:12" x14ac:dyDescent="0.2">
      <c r="D2822" s="341"/>
      <c r="F2822" s="343"/>
      <c r="G2822" s="343"/>
      <c r="H2822" s="343"/>
      <c r="I2822" s="343"/>
      <c r="J2822" s="343"/>
      <c r="K2822" s="343"/>
      <c r="L2822" s="343"/>
    </row>
    <row r="2823" spans="4:12" x14ac:dyDescent="0.2">
      <c r="D2823" s="341"/>
      <c r="F2823" s="343"/>
      <c r="G2823" s="343"/>
      <c r="H2823" s="343"/>
      <c r="I2823" s="343"/>
      <c r="J2823" s="343"/>
      <c r="K2823" s="343"/>
      <c r="L2823" s="343"/>
    </row>
    <row r="2824" spans="4:12" x14ac:dyDescent="0.2">
      <c r="D2824" s="341"/>
      <c r="F2824" s="343"/>
      <c r="G2824" s="343"/>
      <c r="H2824" s="343"/>
      <c r="I2824" s="343"/>
      <c r="J2824" s="343"/>
      <c r="K2824" s="343"/>
      <c r="L2824" s="343"/>
    </row>
    <row r="2825" spans="4:12" x14ac:dyDescent="0.2">
      <c r="D2825" s="341"/>
      <c r="F2825" s="343"/>
      <c r="G2825" s="343"/>
      <c r="H2825" s="343"/>
      <c r="I2825" s="343"/>
      <c r="J2825" s="343"/>
      <c r="K2825" s="343"/>
      <c r="L2825" s="343"/>
    </row>
    <row r="2826" spans="4:12" x14ac:dyDescent="0.2">
      <c r="D2826" s="341"/>
      <c r="F2826" s="343"/>
      <c r="G2826" s="343"/>
      <c r="H2826" s="343"/>
      <c r="I2826" s="343"/>
      <c r="J2826" s="343"/>
      <c r="K2826" s="343"/>
      <c r="L2826" s="343"/>
    </row>
    <row r="2827" spans="4:12" x14ac:dyDescent="0.2">
      <c r="D2827" s="341"/>
      <c r="F2827" s="343"/>
      <c r="G2827" s="343"/>
      <c r="H2827" s="343"/>
      <c r="I2827" s="343"/>
      <c r="J2827" s="343"/>
      <c r="K2827" s="343"/>
      <c r="L2827" s="343"/>
    </row>
    <row r="2828" spans="4:12" x14ac:dyDescent="0.2">
      <c r="D2828" s="341"/>
      <c r="F2828" s="343"/>
      <c r="G2828" s="343"/>
      <c r="H2828" s="343"/>
      <c r="I2828" s="343"/>
      <c r="J2828" s="343"/>
      <c r="K2828" s="343"/>
      <c r="L2828" s="343"/>
    </row>
    <row r="2829" spans="4:12" x14ac:dyDescent="0.2">
      <c r="D2829" s="341"/>
      <c r="F2829" s="343"/>
      <c r="G2829" s="343"/>
      <c r="H2829" s="343"/>
      <c r="I2829" s="343"/>
      <c r="J2829" s="343"/>
      <c r="K2829" s="343"/>
      <c r="L2829" s="343"/>
    </row>
    <row r="2830" spans="4:12" x14ac:dyDescent="0.2">
      <c r="D2830" s="341"/>
      <c r="F2830" s="343"/>
      <c r="G2830" s="343"/>
      <c r="H2830" s="343"/>
      <c r="I2830" s="343"/>
      <c r="J2830" s="343"/>
      <c r="K2830" s="343"/>
      <c r="L2830" s="343"/>
    </row>
    <row r="2831" spans="4:12" x14ac:dyDescent="0.2">
      <c r="D2831" s="341"/>
      <c r="F2831" s="343"/>
      <c r="G2831" s="343"/>
      <c r="H2831" s="343"/>
      <c r="I2831" s="343"/>
      <c r="J2831" s="343"/>
      <c r="K2831" s="343"/>
      <c r="L2831" s="343"/>
    </row>
    <row r="2832" spans="4:12" x14ac:dyDescent="0.2">
      <c r="D2832" s="341"/>
      <c r="F2832" s="343"/>
      <c r="G2832" s="343"/>
      <c r="H2832" s="343"/>
      <c r="I2832" s="343"/>
      <c r="J2832" s="343"/>
      <c r="K2832" s="343"/>
      <c r="L2832" s="343"/>
    </row>
    <row r="2833" spans="4:12" x14ac:dyDescent="0.2">
      <c r="D2833" s="341"/>
      <c r="F2833" s="343"/>
      <c r="G2833" s="343"/>
      <c r="H2833" s="343"/>
      <c r="I2833" s="343"/>
      <c r="J2833" s="343"/>
      <c r="K2833" s="343"/>
      <c r="L2833" s="343"/>
    </row>
    <row r="2834" spans="4:12" x14ac:dyDescent="0.2">
      <c r="D2834" s="341"/>
      <c r="F2834" s="343"/>
      <c r="G2834" s="343"/>
      <c r="H2834" s="343"/>
      <c r="I2834" s="343"/>
      <c r="J2834" s="343"/>
      <c r="K2834" s="343"/>
      <c r="L2834" s="343"/>
    </row>
    <row r="2835" spans="4:12" x14ac:dyDescent="0.2">
      <c r="D2835" s="341"/>
      <c r="F2835" s="343"/>
      <c r="G2835" s="343"/>
      <c r="H2835" s="343"/>
      <c r="I2835" s="343"/>
      <c r="J2835" s="343"/>
      <c r="K2835" s="343"/>
      <c r="L2835" s="343"/>
    </row>
    <row r="2836" spans="4:12" x14ac:dyDescent="0.2">
      <c r="D2836" s="341"/>
      <c r="F2836" s="343"/>
      <c r="G2836" s="343"/>
      <c r="H2836" s="343"/>
      <c r="I2836" s="343"/>
      <c r="J2836" s="343"/>
      <c r="K2836" s="343"/>
      <c r="L2836" s="343"/>
    </row>
    <row r="2837" spans="4:12" x14ac:dyDescent="0.2">
      <c r="D2837" s="341"/>
      <c r="F2837" s="343"/>
      <c r="G2837" s="343"/>
      <c r="H2837" s="343"/>
      <c r="I2837" s="343"/>
      <c r="J2837" s="343"/>
      <c r="K2837" s="343"/>
      <c r="L2837" s="343"/>
    </row>
    <row r="2838" spans="4:12" x14ac:dyDescent="0.2">
      <c r="D2838" s="341"/>
      <c r="F2838" s="343"/>
      <c r="G2838" s="343"/>
      <c r="H2838" s="343"/>
      <c r="I2838" s="343"/>
      <c r="J2838" s="343"/>
      <c r="K2838" s="343"/>
      <c r="L2838" s="343"/>
    </row>
    <row r="2839" spans="4:12" x14ac:dyDescent="0.2">
      <c r="D2839" s="341"/>
      <c r="F2839" s="343"/>
      <c r="G2839" s="343"/>
      <c r="H2839" s="343"/>
      <c r="I2839" s="343"/>
      <c r="J2839" s="343"/>
      <c r="K2839" s="343"/>
      <c r="L2839" s="343"/>
    </row>
    <row r="2840" spans="4:12" x14ac:dyDescent="0.2">
      <c r="D2840" s="341"/>
      <c r="F2840" s="343"/>
      <c r="G2840" s="343"/>
      <c r="H2840" s="343"/>
      <c r="I2840" s="343"/>
      <c r="J2840" s="343"/>
      <c r="K2840" s="343"/>
      <c r="L2840" s="343"/>
    </row>
    <row r="2841" spans="4:12" x14ac:dyDescent="0.2">
      <c r="D2841" s="341"/>
      <c r="F2841" s="343"/>
      <c r="G2841" s="343"/>
      <c r="H2841" s="343"/>
      <c r="I2841" s="343"/>
      <c r="J2841" s="343"/>
      <c r="K2841" s="343"/>
      <c r="L2841" s="343"/>
    </row>
    <row r="2842" spans="4:12" x14ac:dyDescent="0.2">
      <c r="D2842" s="341"/>
      <c r="F2842" s="343"/>
      <c r="G2842" s="343"/>
      <c r="H2842" s="343"/>
      <c r="I2842" s="343"/>
      <c r="J2842" s="343"/>
      <c r="K2842" s="343"/>
      <c r="L2842" s="343"/>
    </row>
    <row r="2843" spans="4:12" x14ac:dyDescent="0.2">
      <c r="D2843" s="341"/>
      <c r="F2843" s="343"/>
      <c r="G2843" s="343"/>
      <c r="H2843" s="343"/>
      <c r="I2843" s="343"/>
      <c r="J2843" s="343"/>
      <c r="K2843" s="343"/>
      <c r="L2843" s="343"/>
    </row>
    <row r="2844" spans="4:12" x14ac:dyDescent="0.2">
      <c r="D2844" s="341"/>
      <c r="F2844" s="343"/>
      <c r="G2844" s="343"/>
      <c r="H2844" s="343"/>
      <c r="I2844" s="343"/>
      <c r="J2844" s="343"/>
      <c r="K2844" s="343"/>
      <c r="L2844" s="343"/>
    </row>
    <row r="2845" spans="4:12" x14ac:dyDescent="0.2">
      <c r="D2845" s="341"/>
      <c r="F2845" s="343"/>
      <c r="G2845" s="343"/>
      <c r="H2845" s="343"/>
      <c r="I2845" s="343"/>
      <c r="J2845" s="343"/>
      <c r="K2845" s="343"/>
      <c r="L2845" s="343"/>
    </row>
    <row r="2846" spans="4:12" x14ac:dyDescent="0.2">
      <c r="D2846" s="341"/>
      <c r="F2846" s="343"/>
      <c r="G2846" s="343"/>
      <c r="H2846" s="343"/>
      <c r="I2846" s="343"/>
      <c r="J2846" s="343"/>
      <c r="K2846" s="343"/>
      <c r="L2846" s="343"/>
    </row>
    <row r="2847" spans="4:12" x14ac:dyDescent="0.2">
      <c r="D2847" s="341"/>
      <c r="F2847" s="343"/>
      <c r="G2847" s="343"/>
      <c r="H2847" s="343"/>
      <c r="I2847" s="343"/>
      <c r="J2847" s="343"/>
      <c r="K2847" s="343"/>
      <c r="L2847" s="343"/>
    </row>
    <row r="2848" spans="4:12" x14ac:dyDescent="0.2">
      <c r="D2848" s="341"/>
      <c r="F2848" s="343"/>
      <c r="G2848" s="343"/>
      <c r="H2848" s="343"/>
      <c r="I2848" s="343"/>
      <c r="J2848" s="343"/>
      <c r="K2848" s="343"/>
      <c r="L2848" s="343"/>
    </row>
    <row r="2849" spans="4:12" x14ac:dyDescent="0.2">
      <c r="D2849" s="341"/>
      <c r="F2849" s="343"/>
      <c r="G2849" s="343"/>
      <c r="H2849" s="343"/>
      <c r="I2849" s="343"/>
      <c r="J2849" s="343"/>
      <c r="K2849" s="343"/>
      <c r="L2849" s="343"/>
    </row>
    <row r="2850" spans="4:12" x14ac:dyDescent="0.2">
      <c r="D2850" s="341"/>
      <c r="F2850" s="343"/>
      <c r="G2850" s="343"/>
      <c r="H2850" s="343"/>
      <c r="I2850" s="343"/>
      <c r="J2850" s="343"/>
      <c r="K2850" s="343"/>
      <c r="L2850" s="343"/>
    </row>
    <row r="2851" spans="4:12" x14ac:dyDescent="0.2">
      <c r="D2851" s="341"/>
      <c r="F2851" s="343"/>
      <c r="G2851" s="343"/>
      <c r="H2851" s="343"/>
      <c r="I2851" s="343"/>
      <c r="J2851" s="343"/>
      <c r="K2851" s="343"/>
      <c r="L2851" s="343"/>
    </row>
    <row r="2852" spans="4:12" x14ac:dyDescent="0.2">
      <c r="D2852" s="341"/>
      <c r="F2852" s="343"/>
      <c r="G2852" s="343"/>
      <c r="H2852" s="343"/>
      <c r="I2852" s="343"/>
      <c r="J2852" s="343"/>
      <c r="K2852" s="343"/>
      <c r="L2852" s="343"/>
    </row>
    <row r="2853" spans="4:12" x14ac:dyDescent="0.2">
      <c r="D2853" s="341"/>
      <c r="F2853" s="343"/>
      <c r="G2853" s="343"/>
      <c r="H2853" s="343"/>
      <c r="I2853" s="343"/>
      <c r="J2853" s="343"/>
      <c r="K2853" s="343"/>
      <c r="L2853" s="343"/>
    </row>
    <row r="2854" spans="4:12" x14ac:dyDescent="0.2">
      <c r="D2854" s="341"/>
      <c r="F2854" s="343"/>
      <c r="G2854" s="343"/>
      <c r="H2854" s="343"/>
      <c r="I2854" s="343"/>
      <c r="J2854" s="343"/>
      <c r="K2854" s="343"/>
      <c r="L2854" s="343"/>
    </row>
    <row r="2855" spans="4:12" x14ac:dyDescent="0.2">
      <c r="D2855" s="341"/>
      <c r="F2855" s="343"/>
      <c r="G2855" s="343"/>
      <c r="H2855" s="343"/>
      <c r="I2855" s="343"/>
      <c r="J2855" s="343"/>
      <c r="K2855" s="343"/>
      <c r="L2855" s="343"/>
    </row>
    <row r="2856" spans="4:12" x14ac:dyDescent="0.2">
      <c r="D2856" s="341"/>
      <c r="F2856" s="343"/>
      <c r="G2856" s="343"/>
      <c r="H2856" s="343"/>
      <c r="I2856" s="343"/>
      <c r="J2856" s="343"/>
      <c r="K2856" s="343"/>
      <c r="L2856" s="343"/>
    </row>
    <row r="2857" spans="4:12" x14ac:dyDescent="0.2">
      <c r="D2857" s="341"/>
      <c r="F2857" s="343"/>
      <c r="G2857" s="343"/>
      <c r="H2857" s="343"/>
      <c r="I2857" s="343"/>
      <c r="J2857" s="343"/>
      <c r="K2857" s="343"/>
      <c r="L2857" s="343"/>
    </row>
    <row r="2858" spans="4:12" x14ac:dyDescent="0.2">
      <c r="D2858" s="341"/>
      <c r="F2858" s="343"/>
      <c r="G2858" s="343"/>
      <c r="H2858" s="343"/>
      <c r="I2858" s="343"/>
      <c r="J2858" s="343"/>
      <c r="K2858" s="343"/>
      <c r="L2858" s="343"/>
    </row>
    <row r="2859" spans="4:12" x14ac:dyDescent="0.2">
      <c r="D2859" s="341"/>
      <c r="F2859" s="343"/>
      <c r="G2859" s="343"/>
      <c r="H2859" s="343"/>
      <c r="I2859" s="343"/>
      <c r="J2859" s="343"/>
      <c r="K2859" s="343"/>
      <c r="L2859" s="343"/>
    </row>
    <row r="2860" spans="4:12" x14ac:dyDescent="0.2">
      <c r="D2860" s="341"/>
      <c r="F2860" s="343"/>
      <c r="G2860" s="343"/>
      <c r="H2860" s="343"/>
      <c r="I2860" s="343"/>
      <c r="J2860" s="343"/>
      <c r="K2860" s="343"/>
      <c r="L2860" s="343"/>
    </row>
    <row r="2861" spans="4:12" x14ac:dyDescent="0.2">
      <c r="D2861" s="341"/>
      <c r="F2861" s="343"/>
      <c r="G2861" s="343"/>
      <c r="H2861" s="343"/>
      <c r="I2861" s="343"/>
      <c r="J2861" s="343"/>
      <c r="K2861" s="343"/>
      <c r="L2861" s="343"/>
    </row>
    <row r="2862" spans="4:12" x14ac:dyDescent="0.2">
      <c r="D2862" s="341"/>
      <c r="F2862" s="343"/>
      <c r="G2862" s="343"/>
      <c r="H2862" s="343"/>
      <c r="I2862" s="343"/>
      <c r="J2862" s="343"/>
      <c r="K2862" s="343"/>
      <c r="L2862" s="343"/>
    </row>
    <row r="2863" spans="4:12" x14ac:dyDescent="0.2">
      <c r="D2863" s="341"/>
      <c r="F2863" s="343"/>
      <c r="G2863" s="343"/>
      <c r="H2863" s="343"/>
      <c r="I2863" s="343"/>
      <c r="J2863" s="343"/>
      <c r="K2863" s="343"/>
      <c r="L2863" s="343"/>
    </row>
    <row r="2864" spans="4:12" x14ac:dyDescent="0.2">
      <c r="D2864" s="341"/>
      <c r="F2864" s="343"/>
      <c r="G2864" s="343"/>
      <c r="H2864" s="343"/>
      <c r="I2864" s="343"/>
      <c r="J2864" s="343"/>
      <c r="K2864" s="343"/>
      <c r="L2864" s="343"/>
    </row>
    <row r="2865" spans="4:12" x14ac:dyDescent="0.2">
      <c r="D2865" s="341"/>
      <c r="F2865" s="343"/>
      <c r="G2865" s="343"/>
      <c r="H2865" s="343"/>
      <c r="I2865" s="343"/>
      <c r="J2865" s="343"/>
      <c r="K2865" s="343"/>
      <c r="L2865" s="343"/>
    </row>
    <row r="2866" spans="4:12" x14ac:dyDescent="0.2">
      <c r="D2866" s="341"/>
      <c r="F2866" s="343"/>
      <c r="G2866" s="343"/>
      <c r="H2866" s="343"/>
      <c r="I2866" s="343"/>
      <c r="J2866" s="343"/>
      <c r="K2866" s="343"/>
      <c r="L2866" s="343"/>
    </row>
    <row r="2867" spans="4:12" x14ac:dyDescent="0.2">
      <c r="D2867" s="341"/>
      <c r="F2867" s="343"/>
      <c r="G2867" s="343"/>
      <c r="H2867" s="343"/>
      <c r="I2867" s="343"/>
      <c r="J2867" s="343"/>
      <c r="K2867" s="343"/>
      <c r="L2867" s="343"/>
    </row>
    <row r="2868" spans="4:12" x14ac:dyDescent="0.2">
      <c r="D2868" s="341"/>
      <c r="F2868" s="343"/>
      <c r="G2868" s="343"/>
      <c r="H2868" s="343"/>
      <c r="I2868" s="343"/>
      <c r="J2868" s="343"/>
      <c r="K2868" s="343"/>
      <c r="L2868" s="343"/>
    </row>
    <row r="2869" spans="4:12" x14ac:dyDescent="0.2">
      <c r="D2869" s="341"/>
      <c r="F2869" s="343"/>
      <c r="G2869" s="343"/>
      <c r="H2869" s="343"/>
      <c r="I2869" s="343"/>
      <c r="J2869" s="343"/>
      <c r="K2869" s="343"/>
      <c r="L2869" s="343"/>
    </row>
    <row r="2870" spans="4:12" x14ac:dyDescent="0.2">
      <c r="D2870" s="341"/>
      <c r="F2870" s="343"/>
      <c r="G2870" s="343"/>
      <c r="H2870" s="343"/>
      <c r="I2870" s="343"/>
      <c r="J2870" s="343"/>
      <c r="K2870" s="343"/>
      <c r="L2870" s="343"/>
    </row>
    <row r="2871" spans="4:12" x14ac:dyDescent="0.2">
      <c r="D2871" s="341"/>
      <c r="F2871" s="343"/>
      <c r="G2871" s="343"/>
      <c r="H2871" s="343"/>
      <c r="I2871" s="343"/>
      <c r="J2871" s="343"/>
      <c r="K2871" s="343"/>
      <c r="L2871" s="343"/>
    </row>
    <row r="2872" spans="4:12" x14ac:dyDescent="0.2">
      <c r="D2872" s="341"/>
      <c r="F2872" s="343"/>
      <c r="G2872" s="343"/>
      <c r="H2872" s="343"/>
      <c r="I2872" s="343"/>
      <c r="J2872" s="343"/>
      <c r="K2872" s="343"/>
      <c r="L2872" s="343"/>
    </row>
    <row r="2873" spans="4:12" x14ac:dyDescent="0.2">
      <c r="D2873" s="341"/>
      <c r="F2873" s="343"/>
      <c r="G2873" s="343"/>
      <c r="H2873" s="343"/>
      <c r="I2873" s="343"/>
      <c r="J2873" s="343"/>
      <c r="K2873" s="343"/>
      <c r="L2873" s="343"/>
    </row>
    <row r="2874" spans="4:12" x14ac:dyDescent="0.2">
      <c r="D2874" s="341"/>
      <c r="F2874" s="343"/>
      <c r="G2874" s="343"/>
      <c r="H2874" s="343"/>
      <c r="I2874" s="343"/>
      <c r="J2874" s="343"/>
      <c r="K2874" s="343"/>
      <c r="L2874" s="343"/>
    </row>
    <row r="2875" spans="4:12" x14ac:dyDescent="0.2">
      <c r="D2875" s="341"/>
      <c r="F2875" s="343"/>
      <c r="G2875" s="343"/>
      <c r="H2875" s="343"/>
      <c r="I2875" s="343"/>
      <c r="J2875" s="343"/>
      <c r="K2875" s="343"/>
      <c r="L2875" s="343"/>
    </row>
    <row r="2876" spans="4:12" x14ac:dyDescent="0.2">
      <c r="D2876" s="341"/>
      <c r="F2876" s="343"/>
      <c r="G2876" s="343"/>
      <c r="H2876" s="343"/>
      <c r="I2876" s="343"/>
      <c r="J2876" s="343"/>
      <c r="K2876" s="343"/>
      <c r="L2876" s="343"/>
    </row>
    <row r="2877" spans="4:12" x14ac:dyDescent="0.2">
      <c r="D2877" s="341"/>
      <c r="F2877" s="343"/>
      <c r="G2877" s="343"/>
      <c r="H2877" s="343"/>
      <c r="I2877" s="343"/>
      <c r="J2877" s="343"/>
      <c r="K2877" s="343"/>
      <c r="L2877" s="343"/>
    </row>
    <row r="2878" spans="4:12" x14ac:dyDescent="0.2">
      <c r="D2878" s="341"/>
      <c r="F2878" s="343"/>
      <c r="G2878" s="343"/>
      <c r="H2878" s="343"/>
      <c r="I2878" s="343"/>
      <c r="J2878" s="343"/>
      <c r="K2878" s="343"/>
      <c r="L2878" s="343"/>
    </row>
    <row r="2879" spans="4:12" x14ac:dyDescent="0.2">
      <c r="D2879" s="341"/>
      <c r="F2879" s="343"/>
      <c r="G2879" s="343"/>
      <c r="H2879" s="343"/>
      <c r="I2879" s="343"/>
      <c r="J2879" s="343"/>
      <c r="K2879" s="343"/>
      <c r="L2879" s="343"/>
    </row>
    <row r="2880" spans="4:12" x14ac:dyDescent="0.2">
      <c r="D2880" s="341"/>
      <c r="F2880" s="343"/>
      <c r="G2880" s="343"/>
      <c r="H2880" s="343"/>
      <c r="I2880" s="343"/>
      <c r="J2880" s="343"/>
      <c r="K2880" s="343"/>
      <c r="L2880" s="343"/>
    </row>
    <row r="2881" spans="4:12" x14ac:dyDescent="0.2">
      <c r="D2881" s="341"/>
      <c r="F2881" s="343"/>
      <c r="G2881" s="343"/>
      <c r="H2881" s="343"/>
      <c r="I2881" s="343"/>
      <c r="J2881" s="343"/>
      <c r="K2881" s="343"/>
      <c r="L2881" s="343"/>
    </row>
    <row r="2882" spans="4:12" x14ac:dyDescent="0.2">
      <c r="D2882" s="341"/>
      <c r="F2882" s="343"/>
      <c r="G2882" s="343"/>
      <c r="H2882" s="343"/>
      <c r="I2882" s="343"/>
      <c r="J2882" s="343"/>
      <c r="K2882" s="343"/>
      <c r="L2882" s="343"/>
    </row>
    <row r="2883" spans="4:12" x14ac:dyDescent="0.2">
      <c r="D2883" s="341"/>
      <c r="F2883" s="343"/>
      <c r="G2883" s="343"/>
      <c r="H2883" s="343"/>
      <c r="I2883" s="343"/>
      <c r="J2883" s="343"/>
      <c r="K2883" s="343"/>
      <c r="L2883" s="343"/>
    </row>
    <row r="2884" spans="4:12" x14ac:dyDescent="0.2">
      <c r="D2884" s="341"/>
      <c r="F2884" s="343"/>
      <c r="G2884" s="343"/>
      <c r="H2884" s="343"/>
      <c r="I2884" s="343"/>
      <c r="J2884" s="343"/>
      <c r="K2884" s="343"/>
      <c r="L2884" s="343"/>
    </row>
    <row r="2885" spans="4:12" x14ac:dyDescent="0.2">
      <c r="D2885" s="341"/>
      <c r="F2885" s="343"/>
      <c r="G2885" s="343"/>
      <c r="H2885" s="343"/>
      <c r="I2885" s="343"/>
      <c r="J2885" s="343"/>
      <c r="K2885" s="343"/>
      <c r="L2885" s="343"/>
    </row>
    <row r="2886" spans="4:12" x14ac:dyDescent="0.2">
      <c r="D2886" s="341"/>
      <c r="F2886" s="343"/>
      <c r="G2886" s="343"/>
      <c r="H2886" s="343"/>
      <c r="I2886" s="343"/>
      <c r="J2886" s="343"/>
      <c r="K2886" s="343"/>
      <c r="L2886" s="343"/>
    </row>
    <row r="2887" spans="4:12" x14ac:dyDescent="0.2">
      <c r="D2887" s="341"/>
      <c r="F2887" s="343"/>
      <c r="G2887" s="343"/>
      <c r="H2887" s="343"/>
      <c r="I2887" s="343"/>
      <c r="J2887" s="343"/>
      <c r="K2887" s="343"/>
      <c r="L2887" s="343"/>
    </row>
    <row r="2888" spans="4:12" x14ac:dyDescent="0.2">
      <c r="D2888" s="341"/>
      <c r="F2888" s="343"/>
      <c r="G2888" s="343"/>
      <c r="H2888" s="343"/>
      <c r="I2888" s="343"/>
      <c r="J2888" s="343"/>
      <c r="K2888" s="343"/>
      <c r="L2888" s="343"/>
    </row>
    <row r="2889" spans="4:12" x14ac:dyDescent="0.2">
      <c r="D2889" s="341"/>
      <c r="F2889" s="343"/>
      <c r="G2889" s="343"/>
      <c r="H2889" s="343"/>
      <c r="I2889" s="343"/>
      <c r="J2889" s="343"/>
      <c r="K2889" s="343"/>
      <c r="L2889" s="343"/>
    </row>
    <row r="2890" spans="4:12" x14ac:dyDescent="0.2">
      <c r="D2890" s="341"/>
      <c r="F2890" s="343"/>
      <c r="G2890" s="343"/>
      <c r="H2890" s="343"/>
      <c r="I2890" s="343"/>
      <c r="J2890" s="343"/>
      <c r="K2890" s="343"/>
      <c r="L2890" s="343"/>
    </row>
    <row r="2891" spans="4:12" x14ac:dyDescent="0.2">
      <c r="D2891" s="341"/>
      <c r="F2891" s="343"/>
      <c r="G2891" s="343"/>
      <c r="H2891" s="343"/>
      <c r="I2891" s="343"/>
      <c r="J2891" s="343"/>
      <c r="K2891" s="343"/>
      <c r="L2891" s="343"/>
    </row>
    <row r="2892" spans="4:12" x14ac:dyDescent="0.2">
      <c r="D2892" s="341"/>
      <c r="F2892" s="343"/>
      <c r="G2892" s="343"/>
      <c r="H2892" s="343"/>
      <c r="I2892" s="343"/>
      <c r="J2892" s="343"/>
      <c r="K2892" s="343"/>
      <c r="L2892" s="343"/>
    </row>
    <row r="2893" spans="4:12" x14ac:dyDescent="0.2">
      <c r="D2893" s="341"/>
      <c r="F2893" s="343"/>
      <c r="G2893" s="343"/>
      <c r="H2893" s="343"/>
      <c r="I2893" s="343"/>
      <c r="J2893" s="343"/>
      <c r="K2893" s="343"/>
      <c r="L2893" s="343"/>
    </row>
    <row r="2894" spans="4:12" x14ac:dyDescent="0.2">
      <c r="D2894" s="341"/>
      <c r="F2894" s="343"/>
      <c r="G2894" s="343"/>
      <c r="H2894" s="343"/>
      <c r="I2894" s="343"/>
      <c r="J2894" s="343"/>
      <c r="K2894" s="343"/>
      <c r="L2894" s="343"/>
    </row>
    <row r="2895" spans="4:12" x14ac:dyDescent="0.2">
      <c r="D2895" s="341"/>
      <c r="F2895" s="343"/>
      <c r="G2895" s="343"/>
      <c r="H2895" s="343"/>
      <c r="I2895" s="343"/>
      <c r="J2895" s="343"/>
      <c r="K2895" s="343"/>
      <c r="L2895" s="343"/>
    </row>
    <row r="2896" spans="4:12" x14ac:dyDescent="0.2">
      <c r="D2896" s="341"/>
      <c r="F2896" s="343"/>
      <c r="G2896" s="343"/>
      <c r="H2896" s="343"/>
      <c r="I2896" s="343"/>
      <c r="J2896" s="343"/>
      <c r="K2896" s="343"/>
      <c r="L2896" s="343"/>
    </row>
    <row r="2897" spans="4:12" x14ac:dyDescent="0.2">
      <c r="D2897" s="341"/>
      <c r="F2897" s="343"/>
      <c r="G2897" s="343"/>
      <c r="H2897" s="343"/>
      <c r="I2897" s="343"/>
      <c r="J2897" s="343"/>
      <c r="K2897" s="343"/>
      <c r="L2897" s="343"/>
    </row>
    <row r="2898" spans="4:12" x14ac:dyDescent="0.2">
      <c r="D2898" s="341"/>
      <c r="F2898" s="343"/>
      <c r="G2898" s="343"/>
      <c r="H2898" s="343"/>
      <c r="I2898" s="343"/>
      <c r="J2898" s="343"/>
      <c r="K2898" s="343"/>
      <c r="L2898" s="343"/>
    </row>
    <row r="2899" spans="4:12" x14ac:dyDescent="0.2">
      <c r="D2899" s="341"/>
      <c r="F2899" s="343"/>
      <c r="G2899" s="343"/>
      <c r="H2899" s="343"/>
      <c r="I2899" s="343"/>
      <c r="J2899" s="343"/>
      <c r="K2899" s="343"/>
      <c r="L2899" s="343"/>
    </row>
    <row r="2900" spans="4:12" x14ac:dyDescent="0.2">
      <c r="D2900" s="341"/>
      <c r="F2900" s="343"/>
      <c r="G2900" s="343"/>
      <c r="H2900" s="343"/>
      <c r="I2900" s="343"/>
      <c r="J2900" s="343"/>
      <c r="K2900" s="343"/>
      <c r="L2900" s="343"/>
    </row>
    <row r="2901" spans="4:12" x14ac:dyDescent="0.2">
      <c r="D2901" s="341"/>
      <c r="F2901" s="343"/>
      <c r="G2901" s="343"/>
      <c r="H2901" s="343"/>
      <c r="I2901" s="343"/>
      <c r="J2901" s="343"/>
      <c r="K2901" s="343"/>
      <c r="L2901" s="343"/>
    </row>
    <row r="2902" spans="4:12" x14ac:dyDescent="0.2">
      <c r="D2902" s="341"/>
      <c r="F2902" s="343"/>
      <c r="G2902" s="343"/>
      <c r="H2902" s="343"/>
      <c r="I2902" s="343"/>
      <c r="J2902" s="343"/>
      <c r="K2902" s="343"/>
      <c r="L2902" s="343"/>
    </row>
    <row r="2903" spans="4:12" x14ac:dyDescent="0.2">
      <c r="D2903" s="341"/>
      <c r="F2903" s="343"/>
      <c r="G2903" s="343"/>
      <c r="H2903" s="343"/>
      <c r="I2903" s="343"/>
      <c r="J2903" s="343"/>
      <c r="K2903" s="343"/>
      <c r="L2903" s="343"/>
    </row>
    <row r="2904" spans="4:12" x14ac:dyDescent="0.2">
      <c r="D2904" s="341"/>
      <c r="F2904" s="343"/>
      <c r="G2904" s="343"/>
      <c r="H2904" s="343"/>
      <c r="I2904" s="343"/>
      <c r="J2904" s="343"/>
      <c r="K2904" s="343"/>
      <c r="L2904" s="343"/>
    </row>
    <row r="2905" spans="4:12" x14ac:dyDescent="0.2">
      <c r="D2905" s="341"/>
      <c r="F2905" s="343"/>
      <c r="G2905" s="343"/>
      <c r="H2905" s="343"/>
      <c r="I2905" s="343"/>
      <c r="J2905" s="343"/>
      <c r="K2905" s="343"/>
      <c r="L2905" s="343"/>
    </row>
    <row r="2906" spans="4:12" x14ac:dyDescent="0.2">
      <c r="D2906" s="341"/>
      <c r="F2906" s="343"/>
      <c r="G2906" s="343"/>
      <c r="H2906" s="343"/>
      <c r="I2906" s="343"/>
      <c r="J2906" s="343"/>
      <c r="K2906" s="343"/>
      <c r="L2906" s="343"/>
    </row>
    <row r="2907" spans="4:12" x14ac:dyDescent="0.2">
      <c r="D2907" s="341"/>
      <c r="F2907" s="343"/>
      <c r="G2907" s="343"/>
      <c r="H2907" s="343"/>
      <c r="I2907" s="343"/>
      <c r="J2907" s="343"/>
      <c r="K2907" s="343"/>
      <c r="L2907" s="343"/>
    </row>
    <row r="2908" spans="4:12" x14ac:dyDescent="0.2">
      <c r="D2908" s="341"/>
      <c r="F2908" s="343"/>
      <c r="G2908" s="343"/>
      <c r="H2908" s="343"/>
      <c r="I2908" s="343"/>
      <c r="J2908" s="343"/>
      <c r="K2908" s="343"/>
      <c r="L2908" s="343"/>
    </row>
    <row r="2909" spans="4:12" x14ac:dyDescent="0.2">
      <c r="D2909" s="341"/>
      <c r="F2909" s="343"/>
      <c r="G2909" s="343"/>
      <c r="H2909" s="343"/>
      <c r="I2909" s="343"/>
      <c r="J2909" s="343"/>
      <c r="K2909" s="343"/>
      <c r="L2909" s="343"/>
    </row>
    <row r="2910" spans="4:12" x14ac:dyDescent="0.2">
      <c r="D2910" s="341"/>
      <c r="F2910" s="343"/>
      <c r="G2910" s="343"/>
      <c r="H2910" s="343"/>
      <c r="I2910" s="343"/>
      <c r="J2910" s="343"/>
      <c r="K2910" s="343"/>
      <c r="L2910" s="343"/>
    </row>
    <row r="2911" spans="4:12" x14ac:dyDescent="0.2">
      <c r="D2911" s="341"/>
      <c r="F2911" s="343"/>
      <c r="G2911" s="343"/>
      <c r="H2911" s="343"/>
      <c r="I2911" s="343"/>
      <c r="J2911" s="343"/>
      <c r="K2911" s="343"/>
      <c r="L2911" s="343"/>
    </row>
    <row r="2912" spans="4:12" x14ac:dyDescent="0.2">
      <c r="D2912" s="341"/>
      <c r="F2912" s="343"/>
      <c r="G2912" s="343"/>
      <c r="H2912" s="343"/>
      <c r="I2912" s="343"/>
      <c r="J2912" s="343"/>
      <c r="K2912" s="343"/>
      <c r="L2912" s="343"/>
    </row>
    <row r="2913" spans="4:12" x14ac:dyDescent="0.2">
      <c r="D2913" s="341"/>
      <c r="F2913" s="343"/>
      <c r="G2913" s="343"/>
      <c r="H2913" s="343"/>
      <c r="I2913" s="343"/>
      <c r="J2913" s="343"/>
      <c r="K2913" s="343"/>
      <c r="L2913" s="343"/>
    </row>
    <row r="2914" spans="4:12" x14ac:dyDescent="0.2">
      <c r="D2914" s="341"/>
      <c r="F2914" s="343"/>
      <c r="G2914" s="343"/>
      <c r="H2914" s="343"/>
      <c r="I2914" s="343"/>
      <c r="J2914" s="343"/>
      <c r="K2914" s="343"/>
      <c r="L2914" s="343"/>
    </row>
    <row r="2915" spans="4:12" x14ac:dyDescent="0.2">
      <c r="D2915" s="341"/>
      <c r="F2915" s="343"/>
      <c r="G2915" s="343"/>
      <c r="H2915" s="343"/>
      <c r="I2915" s="343"/>
      <c r="J2915" s="343"/>
      <c r="K2915" s="343"/>
      <c r="L2915" s="343"/>
    </row>
    <row r="2916" spans="4:12" x14ac:dyDescent="0.2">
      <c r="D2916" s="341"/>
      <c r="F2916" s="343"/>
      <c r="G2916" s="343"/>
      <c r="H2916" s="343"/>
      <c r="I2916" s="343"/>
      <c r="J2916" s="343"/>
      <c r="K2916" s="343"/>
      <c r="L2916" s="343"/>
    </row>
    <row r="2917" spans="4:12" x14ac:dyDescent="0.2">
      <c r="D2917" s="341"/>
      <c r="F2917" s="343"/>
      <c r="G2917" s="343"/>
      <c r="H2917" s="343"/>
      <c r="I2917" s="343"/>
      <c r="J2917" s="343"/>
      <c r="K2917" s="343"/>
      <c r="L2917" s="343"/>
    </row>
    <row r="2918" spans="4:12" x14ac:dyDescent="0.2">
      <c r="D2918" s="341"/>
      <c r="F2918" s="343"/>
      <c r="G2918" s="343"/>
      <c r="H2918" s="343"/>
      <c r="I2918" s="343"/>
      <c r="J2918" s="343"/>
      <c r="K2918" s="343"/>
      <c r="L2918" s="343"/>
    </row>
    <row r="2919" spans="4:12" x14ac:dyDescent="0.2">
      <c r="D2919" s="341"/>
      <c r="F2919" s="343"/>
      <c r="G2919" s="343"/>
      <c r="H2919" s="343"/>
      <c r="I2919" s="343"/>
      <c r="J2919" s="343"/>
      <c r="K2919" s="343"/>
      <c r="L2919" s="343"/>
    </row>
    <row r="2920" spans="4:12" x14ac:dyDescent="0.2">
      <c r="D2920" s="341"/>
      <c r="F2920" s="343"/>
      <c r="G2920" s="343"/>
      <c r="H2920" s="343"/>
      <c r="I2920" s="343"/>
      <c r="J2920" s="343"/>
      <c r="K2920" s="343"/>
      <c r="L2920" s="343"/>
    </row>
    <row r="2921" spans="4:12" x14ac:dyDescent="0.2">
      <c r="D2921" s="341"/>
      <c r="F2921" s="343"/>
      <c r="G2921" s="343"/>
      <c r="H2921" s="343"/>
      <c r="I2921" s="343"/>
      <c r="J2921" s="343"/>
      <c r="K2921" s="343"/>
      <c r="L2921" s="343"/>
    </row>
    <row r="2922" spans="4:12" x14ac:dyDescent="0.2">
      <c r="D2922" s="341"/>
      <c r="F2922" s="343"/>
      <c r="G2922" s="343"/>
      <c r="H2922" s="343"/>
      <c r="I2922" s="343"/>
      <c r="J2922" s="343"/>
      <c r="K2922" s="343"/>
      <c r="L2922" s="343"/>
    </row>
    <row r="2923" spans="4:12" x14ac:dyDescent="0.2">
      <c r="D2923" s="341"/>
      <c r="F2923" s="343"/>
      <c r="G2923" s="343"/>
      <c r="H2923" s="343"/>
      <c r="I2923" s="343"/>
      <c r="J2923" s="343"/>
      <c r="K2923" s="343"/>
      <c r="L2923" s="343"/>
    </row>
    <row r="2924" spans="4:12" x14ac:dyDescent="0.2">
      <c r="D2924" s="341"/>
      <c r="F2924" s="343"/>
      <c r="G2924" s="343"/>
      <c r="H2924" s="343"/>
      <c r="I2924" s="343"/>
      <c r="J2924" s="343"/>
      <c r="K2924" s="343"/>
      <c r="L2924" s="343"/>
    </row>
    <row r="2925" spans="4:12" x14ac:dyDescent="0.2">
      <c r="D2925" s="341"/>
      <c r="F2925" s="343"/>
      <c r="G2925" s="343"/>
      <c r="H2925" s="343"/>
      <c r="I2925" s="343"/>
      <c r="J2925" s="343"/>
      <c r="K2925" s="343"/>
      <c r="L2925" s="343"/>
    </row>
    <row r="2926" spans="4:12" x14ac:dyDescent="0.2">
      <c r="D2926" s="341"/>
      <c r="F2926" s="343"/>
      <c r="G2926" s="343"/>
      <c r="H2926" s="343"/>
      <c r="I2926" s="343"/>
      <c r="J2926" s="343"/>
      <c r="K2926" s="343"/>
      <c r="L2926" s="343"/>
    </row>
    <row r="2927" spans="4:12" x14ac:dyDescent="0.2">
      <c r="D2927" s="341"/>
      <c r="F2927" s="343"/>
      <c r="G2927" s="343"/>
      <c r="H2927" s="343"/>
      <c r="I2927" s="343"/>
      <c r="J2927" s="343"/>
      <c r="K2927" s="343"/>
      <c r="L2927" s="343"/>
    </row>
    <row r="2928" spans="4:12" x14ac:dyDescent="0.2">
      <c r="D2928" s="341"/>
      <c r="F2928" s="343"/>
      <c r="G2928" s="343"/>
      <c r="H2928" s="343"/>
      <c r="I2928" s="343"/>
      <c r="J2928" s="343"/>
      <c r="K2928" s="343"/>
      <c r="L2928" s="343"/>
    </row>
    <row r="2929" spans="4:12" x14ac:dyDescent="0.2">
      <c r="D2929" s="341"/>
      <c r="F2929" s="343"/>
      <c r="G2929" s="343"/>
      <c r="H2929" s="343"/>
      <c r="I2929" s="343"/>
      <c r="J2929" s="343"/>
      <c r="K2929" s="343"/>
      <c r="L2929" s="343"/>
    </row>
    <row r="2930" spans="4:12" x14ac:dyDescent="0.2">
      <c r="D2930" s="341"/>
      <c r="F2930" s="343"/>
      <c r="G2930" s="343"/>
      <c r="H2930" s="343"/>
      <c r="I2930" s="343"/>
      <c r="J2930" s="343"/>
      <c r="K2930" s="343"/>
      <c r="L2930" s="343"/>
    </row>
    <row r="2931" spans="4:12" x14ac:dyDescent="0.2">
      <c r="D2931" s="341"/>
      <c r="F2931" s="343"/>
      <c r="G2931" s="343"/>
      <c r="H2931" s="343"/>
      <c r="I2931" s="343"/>
      <c r="J2931" s="343"/>
      <c r="K2931" s="343"/>
      <c r="L2931" s="343"/>
    </row>
    <row r="2932" spans="4:12" x14ac:dyDescent="0.2">
      <c r="D2932" s="341"/>
      <c r="F2932" s="343"/>
      <c r="G2932" s="343"/>
      <c r="H2932" s="343"/>
      <c r="I2932" s="343"/>
      <c r="J2932" s="343"/>
      <c r="K2932" s="343"/>
      <c r="L2932" s="343"/>
    </row>
    <row r="2933" spans="4:12" x14ac:dyDescent="0.2">
      <c r="D2933" s="341"/>
      <c r="F2933" s="343"/>
      <c r="G2933" s="343"/>
      <c r="H2933" s="343"/>
      <c r="I2933" s="343"/>
      <c r="J2933" s="343"/>
      <c r="K2933" s="343"/>
      <c r="L2933" s="343"/>
    </row>
    <row r="2934" spans="4:12" x14ac:dyDescent="0.2">
      <c r="D2934" s="341"/>
      <c r="F2934" s="343"/>
      <c r="G2934" s="343"/>
      <c r="H2934" s="343"/>
      <c r="I2934" s="343"/>
      <c r="J2934" s="343"/>
      <c r="K2934" s="343"/>
      <c r="L2934" s="343"/>
    </row>
    <row r="2935" spans="4:12" x14ac:dyDescent="0.2">
      <c r="D2935" s="341"/>
      <c r="F2935" s="343"/>
      <c r="G2935" s="343"/>
      <c r="H2935" s="343"/>
      <c r="I2935" s="343"/>
      <c r="J2935" s="343"/>
      <c r="K2935" s="343"/>
      <c r="L2935" s="343"/>
    </row>
    <row r="2936" spans="4:12" x14ac:dyDescent="0.2">
      <c r="D2936" s="341"/>
      <c r="F2936" s="343"/>
      <c r="G2936" s="343"/>
      <c r="H2936" s="343"/>
      <c r="I2936" s="343"/>
      <c r="J2936" s="343"/>
      <c r="K2936" s="343"/>
      <c r="L2936" s="343"/>
    </row>
    <row r="2937" spans="4:12" x14ac:dyDescent="0.2">
      <c r="D2937" s="341"/>
      <c r="F2937" s="343"/>
      <c r="G2937" s="343"/>
      <c r="H2937" s="343"/>
      <c r="I2937" s="343"/>
      <c r="J2937" s="343"/>
      <c r="K2937" s="343"/>
      <c r="L2937" s="343"/>
    </row>
    <row r="2938" spans="4:12" x14ac:dyDescent="0.2">
      <c r="D2938" s="341"/>
      <c r="F2938" s="343"/>
      <c r="G2938" s="343"/>
      <c r="H2938" s="343"/>
      <c r="I2938" s="343"/>
      <c r="J2938" s="343"/>
      <c r="K2938" s="343"/>
      <c r="L2938" s="343"/>
    </row>
    <row r="2939" spans="4:12" x14ac:dyDescent="0.2">
      <c r="D2939" s="341"/>
      <c r="F2939" s="343"/>
      <c r="G2939" s="343"/>
      <c r="H2939" s="343"/>
      <c r="I2939" s="343"/>
      <c r="J2939" s="343"/>
      <c r="K2939" s="343"/>
      <c r="L2939" s="343"/>
    </row>
    <row r="2940" spans="4:12" x14ac:dyDescent="0.2">
      <c r="D2940" s="341"/>
      <c r="F2940" s="343"/>
      <c r="G2940" s="343"/>
      <c r="H2940" s="343"/>
      <c r="I2940" s="343"/>
      <c r="J2940" s="343"/>
      <c r="K2940" s="343"/>
      <c r="L2940" s="343"/>
    </row>
    <row r="2941" spans="4:12" x14ac:dyDescent="0.2">
      <c r="D2941" s="341"/>
      <c r="F2941" s="343"/>
      <c r="G2941" s="343"/>
      <c r="H2941" s="343"/>
      <c r="I2941" s="343"/>
      <c r="J2941" s="343"/>
      <c r="K2941" s="343"/>
      <c r="L2941" s="343"/>
    </row>
    <row r="2942" spans="4:12" x14ac:dyDescent="0.2">
      <c r="D2942" s="341"/>
      <c r="F2942" s="343"/>
      <c r="G2942" s="343"/>
      <c r="H2942" s="343"/>
      <c r="I2942" s="343"/>
      <c r="J2942" s="343"/>
      <c r="K2942" s="343"/>
      <c r="L2942" s="343"/>
    </row>
    <row r="2943" spans="4:12" x14ac:dyDescent="0.2">
      <c r="D2943" s="341"/>
      <c r="F2943" s="343"/>
      <c r="G2943" s="343"/>
      <c r="H2943" s="343"/>
      <c r="I2943" s="343"/>
      <c r="J2943" s="343"/>
      <c r="K2943" s="343"/>
      <c r="L2943" s="343"/>
    </row>
    <row r="2944" spans="4:12" x14ac:dyDescent="0.2">
      <c r="D2944" s="341"/>
      <c r="F2944" s="343"/>
      <c r="G2944" s="343"/>
      <c r="H2944" s="343"/>
      <c r="I2944" s="343"/>
      <c r="J2944" s="343"/>
      <c r="K2944" s="343"/>
      <c r="L2944" s="343"/>
    </row>
    <row r="2945" spans="4:12" x14ac:dyDescent="0.2">
      <c r="D2945" s="341"/>
      <c r="F2945" s="343"/>
      <c r="G2945" s="343"/>
      <c r="H2945" s="343"/>
      <c r="I2945" s="343"/>
      <c r="J2945" s="343"/>
      <c r="K2945" s="343"/>
      <c r="L2945" s="343"/>
    </row>
    <row r="2946" spans="4:12" x14ac:dyDescent="0.2">
      <c r="D2946" s="341"/>
      <c r="F2946" s="343"/>
      <c r="G2946" s="343"/>
      <c r="H2946" s="343"/>
      <c r="I2946" s="343"/>
      <c r="J2946" s="343"/>
      <c r="K2946" s="343"/>
      <c r="L2946" s="343"/>
    </row>
    <row r="2947" spans="4:12" x14ac:dyDescent="0.2">
      <c r="D2947" s="341"/>
      <c r="F2947" s="343"/>
      <c r="G2947" s="343"/>
      <c r="H2947" s="343"/>
      <c r="I2947" s="343"/>
      <c r="J2947" s="343"/>
      <c r="K2947" s="343"/>
      <c r="L2947" s="343"/>
    </row>
    <row r="2948" spans="4:12" x14ac:dyDescent="0.2">
      <c r="D2948" s="341"/>
      <c r="F2948" s="343"/>
      <c r="G2948" s="343"/>
      <c r="H2948" s="343"/>
      <c r="I2948" s="343"/>
      <c r="J2948" s="343"/>
      <c r="K2948" s="343"/>
      <c r="L2948" s="343"/>
    </row>
    <row r="2949" spans="4:12" x14ac:dyDescent="0.2">
      <c r="D2949" s="341"/>
      <c r="F2949" s="343"/>
      <c r="G2949" s="343"/>
      <c r="H2949" s="343"/>
      <c r="I2949" s="343"/>
      <c r="J2949" s="343"/>
      <c r="K2949" s="343"/>
      <c r="L2949" s="343"/>
    </row>
    <row r="2950" spans="4:12" x14ac:dyDescent="0.2">
      <c r="D2950" s="341"/>
      <c r="F2950" s="343"/>
      <c r="G2950" s="343"/>
      <c r="H2950" s="343"/>
      <c r="I2950" s="343"/>
      <c r="J2950" s="343"/>
      <c r="K2950" s="343"/>
      <c r="L2950" s="343"/>
    </row>
    <row r="2951" spans="4:12" x14ac:dyDescent="0.2">
      <c r="D2951" s="341"/>
      <c r="F2951" s="343"/>
      <c r="G2951" s="343"/>
      <c r="H2951" s="343"/>
      <c r="I2951" s="343"/>
      <c r="J2951" s="343"/>
      <c r="K2951" s="343"/>
      <c r="L2951" s="343"/>
    </row>
    <row r="2952" spans="4:12" x14ac:dyDescent="0.2">
      <c r="D2952" s="341"/>
      <c r="F2952" s="343"/>
      <c r="G2952" s="343"/>
      <c r="H2952" s="343"/>
      <c r="I2952" s="343"/>
      <c r="J2952" s="343"/>
      <c r="K2952" s="343"/>
      <c r="L2952" s="343"/>
    </row>
    <row r="2953" spans="4:12" x14ac:dyDescent="0.2">
      <c r="D2953" s="341"/>
      <c r="F2953" s="343"/>
      <c r="G2953" s="343"/>
      <c r="H2953" s="343"/>
      <c r="I2953" s="343"/>
      <c r="J2953" s="343"/>
      <c r="K2953" s="343"/>
      <c r="L2953" s="343"/>
    </row>
    <row r="2954" spans="4:12" x14ac:dyDescent="0.2">
      <c r="D2954" s="341"/>
      <c r="F2954" s="343"/>
      <c r="G2954" s="343"/>
      <c r="H2954" s="343"/>
      <c r="I2954" s="343"/>
      <c r="J2954" s="343"/>
      <c r="K2954" s="343"/>
      <c r="L2954" s="343"/>
    </row>
    <row r="2955" spans="4:12" x14ac:dyDescent="0.2">
      <c r="D2955" s="341"/>
      <c r="F2955" s="343"/>
      <c r="G2955" s="343"/>
      <c r="H2955" s="343"/>
      <c r="I2955" s="343"/>
      <c r="J2955" s="343"/>
      <c r="K2955" s="343"/>
      <c r="L2955" s="343"/>
    </row>
    <row r="2956" spans="4:12" x14ac:dyDescent="0.2">
      <c r="D2956" s="341"/>
      <c r="F2956" s="343"/>
      <c r="G2956" s="343"/>
      <c r="H2956" s="343"/>
      <c r="I2956" s="343"/>
      <c r="J2956" s="343"/>
      <c r="K2956" s="343"/>
      <c r="L2956" s="343"/>
    </row>
    <row r="2957" spans="4:12" x14ac:dyDescent="0.2">
      <c r="D2957" s="341"/>
      <c r="F2957" s="343"/>
      <c r="G2957" s="343"/>
      <c r="H2957" s="343"/>
      <c r="I2957" s="343"/>
      <c r="J2957" s="343"/>
      <c r="K2957" s="343"/>
      <c r="L2957" s="343"/>
    </row>
    <row r="2958" spans="4:12" x14ac:dyDescent="0.2">
      <c r="D2958" s="341"/>
      <c r="F2958" s="343"/>
      <c r="G2958" s="343"/>
      <c r="H2958" s="343"/>
      <c r="I2958" s="343"/>
      <c r="J2958" s="343"/>
      <c r="K2958" s="343"/>
      <c r="L2958" s="343"/>
    </row>
    <row r="2959" spans="4:12" x14ac:dyDescent="0.2">
      <c r="D2959" s="341"/>
      <c r="F2959" s="343"/>
      <c r="G2959" s="343"/>
      <c r="H2959" s="343"/>
      <c r="I2959" s="343"/>
      <c r="J2959" s="343"/>
      <c r="K2959" s="343"/>
      <c r="L2959" s="343"/>
    </row>
    <row r="2960" spans="4:12" x14ac:dyDescent="0.2">
      <c r="D2960" s="341"/>
      <c r="F2960" s="343"/>
      <c r="G2960" s="343"/>
      <c r="H2960" s="343"/>
      <c r="I2960" s="343"/>
      <c r="J2960" s="343"/>
      <c r="K2960" s="343"/>
      <c r="L2960" s="343"/>
    </row>
    <row r="2961" spans="4:12" x14ac:dyDescent="0.2">
      <c r="D2961" s="341"/>
      <c r="F2961" s="343"/>
      <c r="G2961" s="343"/>
      <c r="H2961" s="343"/>
      <c r="I2961" s="343"/>
      <c r="J2961" s="343"/>
      <c r="K2961" s="343"/>
      <c r="L2961" s="343"/>
    </row>
    <row r="2962" spans="4:12" x14ac:dyDescent="0.2">
      <c r="D2962" s="341"/>
      <c r="F2962" s="343"/>
      <c r="G2962" s="343"/>
      <c r="H2962" s="343"/>
      <c r="I2962" s="343"/>
      <c r="J2962" s="343"/>
      <c r="K2962" s="343"/>
      <c r="L2962" s="343"/>
    </row>
    <row r="2963" spans="4:12" x14ac:dyDescent="0.2">
      <c r="D2963" s="341"/>
      <c r="F2963" s="343"/>
      <c r="G2963" s="343"/>
      <c r="H2963" s="343"/>
      <c r="I2963" s="343"/>
      <c r="J2963" s="343"/>
      <c r="K2963" s="343"/>
      <c r="L2963" s="343"/>
    </row>
    <row r="2964" spans="4:12" x14ac:dyDescent="0.2">
      <c r="D2964" s="341"/>
      <c r="F2964" s="343"/>
      <c r="G2964" s="343"/>
      <c r="H2964" s="343"/>
      <c r="I2964" s="343"/>
      <c r="J2964" s="343"/>
      <c r="K2964" s="343"/>
      <c r="L2964" s="343"/>
    </row>
    <row r="2965" spans="4:12" x14ac:dyDescent="0.2">
      <c r="D2965" s="341"/>
      <c r="F2965" s="343"/>
      <c r="G2965" s="343"/>
      <c r="H2965" s="343"/>
      <c r="I2965" s="343"/>
      <c r="J2965" s="343"/>
      <c r="K2965" s="343"/>
      <c r="L2965" s="343"/>
    </row>
    <row r="2966" spans="4:12" x14ac:dyDescent="0.2">
      <c r="D2966" s="341"/>
      <c r="F2966" s="343"/>
      <c r="G2966" s="343"/>
      <c r="H2966" s="343"/>
      <c r="I2966" s="343"/>
      <c r="J2966" s="343"/>
      <c r="K2966" s="343"/>
      <c r="L2966" s="343"/>
    </row>
    <row r="2967" spans="4:12" x14ac:dyDescent="0.2">
      <c r="D2967" s="341"/>
      <c r="F2967" s="343"/>
      <c r="G2967" s="343"/>
      <c r="H2967" s="343"/>
      <c r="I2967" s="343"/>
      <c r="J2967" s="343"/>
      <c r="K2967" s="343"/>
      <c r="L2967" s="343"/>
    </row>
    <row r="2968" spans="4:12" x14ac:dyDescent="0.2">
      <c r="D2968" s="341"/>
      <c r="F2968" s="343"/>
      <c r="G2968" s="343"/>
      <c r="H2968" s="343"/>
      <c r="I2968" s="343"/>
      <c r="J2968" s="343"/>
      <c r="K2968" s="343"/>
      <c r="L2968" s="343"/>
    </row>
    <row r="2969" spans="4:12" x14ac:dyDescent="0.2">
      <c r="D2969" s="341"/>
      <c r="F2969" s="343"/>
      <c r="G2969" s="343"/>
      <c r="H2969" s="343"/>
      <c r="I2969" s="343"/>
      <c r="J2969" s="343"/>
      <c r="K2969" s="343"/>
      <c r="L2969" s="343"/>
    </row>
    <row r="2970" spans="4:12" x14ac:dyDescent="0.2">
      <c r="D2970" s="341"/>
      <c r="F2970" s="343"/>
      <c r="G2970" s="343"/>
      <c r="H2970" s="343"/>
      <c r="I2970" s="343"/>
      <c r="J2970" s="343"/>
      <c r="K2970" s="343"/>
      <c r="L2970" s="343"/>
    </row>
    <row r="2971" spans="4:12" x14ac:dyDescent="0.2">
      <c r="D2971" s="341"/>
      <c r="F2971" s="343"/>
      <c r="G2971" s="343"/>
      <c r="H2971" s="343"/>
      <c r="I2971" s="343"/>
      <c r="J2971" s="343"/>
      <c r="K2971" s="343"/>
      <c r="L2971" s="343"/>
    </row>
    <row r="2972" spans="4:12" x14ac:dyDescent="0.2">
      <c r="D2972" s="341"/>
      <c r="F2972" s="343"/>
      <c r="G2972" s="343"/>
      <c r="H2972" s="343"/>
      <c r="I2972" s="343"/>
      <c r="J2972" s="343"/>
      <c r="K2972" s="343"/>
      <c r="L2972" s="343"/>
    </row>
    <row r="2973" spans="4:12" x14ac:dyDescent="0.2">
      <c r="D2973" s="341"/>
      <c r="F2973" s="343"/>
      <c r="G2973" s="343"/>
      <c r="H2973" s="343"/>
      <c r="I2973" s="343"/>
      <c r="J2973" s="343"/>
      <c r="K2973" s="343"/>
      <c r="L2973" s="343"/>
    </row>
    <row r="2974" spans="4:12" x14ac:dyDescent="0.2">
      <c r="D2974" s="341"/>
      <c r="F2974" s="343"/>
      <c r="G2974" s="343"/>
      <c r="H2974" s="343"/>
      <c r="I2974" s="343"/>
      <c r="J2974" s="343"/>
      <c r="K2974" s="343"/>
      <c r="L2974" s="343"/>
    </row>
    <row r="2975" spans="4:12" x14ac:dyDescent="0.2">
      <c r="D2975" s="341"/>
      <c r="F2975" s="343"/>
      <c r="G2975" s="343"/>
      <c r="H2975" s="343"/>
      <c r="I2975" s="343"/>
      <c r="J2975" s="343"/>
      <c r="K2975" s="343"/>
      <c r="L2975" s="343"/>
    </row>
    <row r="2976" spans="4:12" x14ac:dyDescent="0.2">
      <c r="D2976" s="341"/>
      <c r="F2976" s="343"/>
      <c r="G2976" s="343"/>
      <c r="H2976" s="343"/>
      <c r="I2976" s="343"/>
      <c r="J2976" s="343"/>
      <c r="K2976" s="343"/>
      <c r="L2976" s="343"/>
    </row>
    <row r="2977" spans="4:12" x14ac:dyDescent="0.2">
      <c r="D2977" s="341"/>
      <c r="F2977" s="343"/>
      <c r="G2977" s="343"/>
      <c r="H2977" s="343"/>
      <c r="I2977" s="343"/>
      <c r="J2977" s="343"/>
      <c r="K2977" s="343"/>
      <c r="L2977" s="343"/>
    </row>
    <row r="2978" spans="4:12" x14ac:dyDescent="0.2">
      <c r="D2978" s="341"/>
      <c r="F2978" s="343"/>
      <c r="G2978" s="343"/>
      <c r="H2978" s="343"/>
      <c r="I2978" s="343"/>
      <c r="J2978" s="343"/>
      <c r="K2978" s="343"/>
      <c r="L2978" s="343"/>
    </row>
    <row r="2979" spans="4:12" x14ac:dyDescent="0.2">
      <c r="D2979" s="341"/>
      <c r="F2979" s="343"/>
      <c r="G2979" s="343"/>
      <c r="H2979" s="343"/>
      <c r="I2979" s="343"/>
      <c r="J2979" s="343"/>
      <c r="K2979" s="343"/>
      <c r="L2979" s="343"/>
    </row>
    <row r="2980" spans="4:12" x14ac:dyDescent="0.2">
      <c r="D2980" s="341"/>
      <c r="F2980" s="343"/>
      <c r="G2980" s="343"/>
      <c r="H2980" s="343"/>
      <c r="I2980" s="343"/>
      <c r="J2980" s="343"/>
      <c r="K2980" s="343"/>
      <c r="L2980" s="343"/>
    </row>
    <row r="2981" spans="4:12" x14ac:dyDescent="0.2">
      <c r="D2981" s="341"/>
      <c r="F2981" s="343"/>
      <c r="G2981" s="343"/>
      <c r="H2981" s="343"/>
      <c r="I2981" s="343"/>
      <c r="J2981" s="343"/>
      <c r="K2981" s="343"/>
      <c r="L2981" s="343"/>
    </row>
    <row r="2982" spans="4:12" x14ac:dyDescent="0.2">
      <c r="D2982" s="341"/>
      <c r="F2982" s="343"/>
      <c r="G2982" s="343"/>
      <c r="H2982" s="343"/>
      <c r="I2982" s="343"/>
      <c r="J2982" s="343"/>
      <c r="K2982" s="343"/>
      <c r="L2982" s="343"/>
    </row>
    <row r="2983" spans="4:12" x14ac:dyDescent="0.2">
      <c r="D2983" s="341"/>
      <c r="F2983" s="343"/>
      <c r="G2983" s="343"/>
      <c r="H2983" s="343"/>
      <c r="I2983" s="343"/>
      <c r="J2983" s="343"/>
      <c r="K2983" s="343"/>
      <c r="L2983" s="343"/>
    </row>
    <row r="2984" spans="4:12" x14ac:dyDescent="0.2">
      <c r="D2984" s="341"/>
      <c r="F2984" s="343"/>
      <c r="G2984" s="343"/>
      <c r="H2984" s="343"/>
      <c r="I2984" s="343"/>
      <c r="J2984" s="343"/>
      <c r="K2984" s="343"/>
      <c r="L2984" s="343"/>
    </row>
    <row r="2985" spans="4:12" x14ac:dyDescent="0.2">
      <c r="D2985" s="341"/>
      <c r="F2985" s="343"/>
      <c r="G2985" s="343"/>
      <c r="H2985" s="343"/>
      <c r="I2985" s="343"/>
      <c r="J2985" s="343"/>
      <c r="K2985" s="343"/>
      <c r="L2985" s="343"/>
    </row>
    <row r="2986" spans="4:12" x14ac:dyDescent="0.2">
      <c r="D2986" s="341"/>
      <c r="F2986" s="343"/>
      <c r="G2986" s="343"/>
      <c r="H2986" s="343"/>
      <c r="I2986" s="343"/>
      <c r="J2986" s="343"/>
      <c r="K2986" s="343"/>
      <c r="L2986" s="343"/>
    </row>
    <row r="2987" spans="4:12" x14ac:dyDescent="0.2">
      <c r="D2987" s="341"/>
      <c r="F2987" s="343"/>
      <c r="G2987" s="343"/>
      <c r="H2987" s="343"/>
      <c r="I2987" s="343"/>
      <c r="J2987" s="343"/>
      <c r="K2987" s="343"/>
      <c r="L2987" s="343"/>
    </row>
    <row r="2988" spans="4:12" x14ac:dyDescent="0.2">
      <c r="D2988" s="341"/>
      <c r="F2988" s="343"/>
      <c r="G2988" s="343"/>
      <c r="H2988" s="343"/>
      <c r="I2988" s="343"/>
      <c r="J2988" s="343"/>
      <c r="K2988" s="343"/>
      <c r="L2988" s="343"/>
    </row>
    <row r="2989" spans="4:12" x14ac:dyDescent="0.2">
      <c r="D2989" s="341"/>
      <c r="F2989" s="343"/>
      <c r="G2989" s="343"/>
      <c r="H2989" s="343"/>
      <c r="I2989" s="343"/>
      <c r="J2989" s="343"/>
      <c r="K2989" s="343"/>
      <c r="L2989" s="343"/>
    </row>
    <row r="2990" spans="4:12" x14ac:dyDescent="0.2">
      <c r="D2990" s="341"/>
      <c r="F2990" s="343"/>
      <c r="G2990" s="343"/>
      <c r="H2990" s="343"/>
      <c r="I2990" s="343"/>
      <c r="J2990" s="343"/>
      <c r="K2990" s="343"/>
      <c r="L2990" s="343"/>
    </row>
    <row r="2991" spans="4:12" x14ac:dyDescent="0.2">
      <c r="D2991" s="341"/>
      <c r="F2991" s="343"/>
      <c r="G2991" s="343"/>
      <c r="H2991" s="343"/>
      <c r="I2991" s="343"/>
      <c r="J2991" s="343"/>
      <c r="K2991" s="343"/>
      <c r="L2991" s="343"/>
    </row>
    <row r="2992" spans="4:12" x14ac:dyDescent="0.2">
      <c r="D2992" s="341"/>
      <c r="F2992" s="343"/>
      <c r="G2992" s="343"/>
      <c r="H2992" s="343"/>
      <c r="I2992" s="343"/>
      <c r="J2992" s="343"/>
      <c r="K2992" s="343"/>
      <c r="L2992" s="343"/>
    </row>
    <row r="2993" spans="4:12" x14ac:dyDescent="0.2">
      <c r="D2993" s="341"/>
      <c r="F2993" s="343"/>
      <c r="G2993" s="343"/>
      <c r="H2993" s="343"/>
      <c r="I2993" s="343"/>
      <c r="J2993" s="343"/>
      <c r="K2993" s="343"/>
      <c r="L2993" s="343"/>
    </row>
    <row r="2994" spans="4:12" x14ac:dyDescent="0.2">
      <c r="D2994" s="341"/>
      <c r="F2994" s="343"/>
      <c r="G2994" s="343"/>
      <c r="H2994" s="343"/>
      <c r="I2994" s="343"/>
      <c r="J2994" s="343"/>
      <c r="K2994" s="343"/>
      <c r="L2994" s="343"/>
    </row>
    <row r="2995" spans="4:12" x14ac:dyDescent="0.2">
      <c r="D2995" s="341"/>
      <c r="F2995" s="343"/>
      <c r="G2995" s="343"/>
      <c r="H2995" s="343"/>
      <c r="I2995" s="343"/>
      <c r="J2995" s="343"/>
      <c r="K2995" s="343"/>
      <c r="L2995" s="343"/>
    </row>
    <row r="2996" spans="4:12" x14ac:dyDescent="0.2">
      <c r="D2996" s="341"/>
      <c r="F2996" s="343"/>
      <c r="G2996" s="343"/>
      <c r="H2996" s="343"/>
      <c r="I2996" s="343"/>
      <c r="J2996" s="343"/>
      <c r="K2996" s="343"/>
      <c r="L2996" s="343"/>
    </row>
    <row r="2997" spans="4:12" x14ac:dyDescent="0.2">
      <c r="D2997" s="341"/>
      <c r="F2997" s="343"/>
      <c r="G2997" s="343"/>
      <c r="H2997" s="343"/>
      <c r="I2997" s="343"/>
      <c r="J2997" s="343"/>
      <c r="K2997" s="343"/>
      <c r="L2997" s="343"/>
    </row>
    <row r="2998" spans="4:12" x14ac:dyDescent="0.2">
      <c r="D2998" s="341"/>
      <c r="F2998" s="343"/>
      <c r="G2998" s="343"/>
      <c r="H2998" s="343"/>
      <c r="I2998" s="343"/>
      <c r="J2998" s="343"/>
      <c r="K2998" s="343"/>
      <c r="L2998" s="343"/>
    </row>
    <row r="2999" spans="4:12" x14ac:dyDescent="0.2">
      <c r="D2999" s="341"/>
      <c r="F2999" s="343"/>
      <c r="G2999" s="343"/>
      <c r="H2999" s="343"/>
      <c r="I2999" s="343"/>
      <c r="J2999" s="343"/>
      <c r="K2999" s="343"/>
      <c r="L2999" s="343"/>
    </row>
    <row r="3000" spans="4:12" x14ac:dyDescent="0.2">
      <c r="D3000" s="341"/>
      <c r="F3000" s="343"/>
      <c r="G3000" s="343"/>
      <c r="H3000" s="343"/>
      <c r="I3000" s="343"/>
      <c r="J3000" s="343"/>
      <c r="K3000" s="343"/>
      <c r="L3000" s="343"/>
    </row>
    <row r="3001" spans="4:12" x14ac:dyDescent="0.2">
      <c r="D3001" s="341"/>
      <c r="F3001" s="343"/>
      <c r="G3001" s="343"/>
      <c r="H3001" s="343"/>
      <c r="I3001" s="343"/>
      <c r="J3001" s="343"/>
      <c r="K3001" s="343"/>
      <c r="L3001" s="343"/>
    </row>
    <row r="3002" spans="4:12" x14ac:dyDescent="0.2">
      <c r="D3002" s="341"/>
      <c r="F3002" s="343"/>
      <c r="G3002" s="343"/>
      <c r="H3002" s="343"/>
      <c r="I3002" s="343"/>
      <c r="J3002" s="343"/>
      <c r="K3002" s="343"/>
      <c r="L3002" s="343"/>
    </row>
    <row r="3003" spans="4:12" x14ac:dyDescent="0.2">
      <c r="D3003" s="341"/>
      <c r="F3003" s="343"/>
      <c r="G3003" s="343"/>
      <c r="H3003" s="343"/>
      <c r="I3003" s="343"/>
      <c r="J3003" s="343"/>
      <c r="K3003" s="343"/>
      <c r="L3003" s="343"/>
    </row>
    <row r="3004" spans="4:12" x14ac:dyDescent="0.2">
      <c r="D3004" s="341"/>
      <c r="F3004" s="343"/>
      <c r="G3004" s="343"/>
      <c r="H3004" s="343"/>
      <c r="I3004" s="343"/>
      <c r="J3004" s="343"/>
      <c r="K3004" s="343"/>
      <c r="L3004" s="343"/>
    </row>
    <row r="3005" spans="4:12" x14ac:dyDescent="0.2">
      <c r="D3005" s="341"/>
      <c r="F3005" s="343"/>
      <c r="G3005" s="343"/>
      <c r="H3005" s="343"/>
      <c r="I3005" s="343"/>
      <c r="J3005" s="343"/>
      <c r="K3005" s="343"/>
      <c r="L3005" s="343"/>
    </row>
    <row r="3006" spans="4:12" x14ac:dyDescent="0.2">
      <c r="D3006" s="341"/>
      <c r="F3006" s="343"/>
      <c r="G3006" s="343"/>
      <c r="H3006" s="343"/>
      <c r="I3006" s="343"/>
      <c r="J3006" s="343"/>
      <c r="K3006" s="343"/>
      <c r="L3006" s="343"/>
    </row>
    <row r="3007" spans="4:12" x14ac:dyDescent="0.2">
      <c r="D3007" s="341"/>
      <c r="F3007" s="343"/>
      <c r="G3007" s="343"/>
      <c r="H3007" s="343"/>
      <c r="I3007" s="343"/>
      <c r="J3007" s="343"/>
      <c r="K3007" s="343"/>
      <c r="L3007" s="343"/>
    </row>
    <row r="3008" spans="4:12" x14ac:dyDescent="0.2">
      <c r="D3008" s="341"/>
      <c r="F3008" s="343"/>
      <c r="G3008" s="343"/>
      <c r="H3008" s="343"/>
      <c r="I3008" s="343"/>
      <c r="J3008" s="343"/>
      <c r="K3008" s="343"/>
      <c r="L3008" s="343"/>
    </row>
    <row r="3009" spans="4:12" x14ac:dyDescent="0.2">
      <c r="D3009" s="341"/>
      <c r="F3009" s="343"/>
      <c r="G3009" s="343"/>
      <c r="H3009" s="343"/>
      <c r="I3009" s="343"/>
      <c r="J3009" s="343"/>
      <c r="K3009" s="343"/>
      <c r="L3009" s="343"/>
    </row>
    <row r="3010" spans="4:12" x14ac:dyDescent="0.2">
      <c r="D3010" s="341"/>
      <c r="F3010" s="343"/>
      <c r="G3010" s="343"/>
      <c r="H3010" s="343"/>
      <c r="I3010" s="343"/>
      <c r="J3010" s="343"/>
      <c r="K3010" s="343"/>
      <c r="L3010" s="343"/>
    </row>
    <row r="3011" spans="4:12" x14ac:dyDescent="0.2">
      <c r="D3011" s="341"/>
      <c r="F3011" s="343"/>
      <c r="G3011" s="343"/>
      <c r="H3011" s="343"/>
      <c r="I3011" s="343"/>
      <c r="J3011" s="343"/>
      <c r="K3011" s="343"/>
      <c r="L3011" s="343"/>
    </row>
    <row r="3012" spans="4:12" x14ac:dyDescent="0.2">
      <c r="D3012" s="341"/>
      <c r="F3012" s="343"/>
      <c r="G3012" s="343"/>
      <c r="H3012" s="343"/>
      <c r="I3012" s="343"/>
      <c r="J3012" s="343"/>
      <c r="K3012" s="343"/>
      <c r="L3012" s="343"/>
    </row>
    <row r="3013" spans="4:12" x14ac:dyDescent="0.2">
      <c r="D3013" s="341"/>
      <c r="F3013" s="343"/>
      <c r="G3013" s="343"/>
      <c r="H3013" s="343"/>
      <c r="I3013" s="343"/>
      <c r="J3013" s="343"/>
      <c r="K3013" s="343"/>
      <c r="L3013" s="343"/>
    </row>
    <row r="3014" spans="4:12" x14ac:dyDescent="0.2">
      <c r="D3014" s="341"/>
      <c r="F3014" s="343"/>
      <c r="G3014" s="343"/>
      <c r="H3014" s="343"/>
      <c r="I3014" s="343"/>
      <c r="J3014" s="343"/>
      <c r="K3014" s="343"/>
      <c r="L3014" s="343"/>
    </row>
    <row r="3015" spans="4:12" x14ac:dyDescent="0.2">
      <c r="D3015" s="341"/>
      <c r="F3015" s="343"/>
      <c r="G3015" s="343"/>
      <c r="H3015" s="343"/>
      <c r="I3015" s="343"/>
      <c r="J3015" s="343"/>
      <c r="K3015" s="343"/>
      <c r="L3015" s="343"/>
    </row>
    <row r="3016" spans="4:12" x14ac:dyDescent="0.2">
      <c r="D3016" s="341"/>
      <c r="F3016" s="343"/>
      <c r="G3016" s="343"/>
      <c r="H3016" s="343"/>
      <c r="I3016" s="343"/>
      <c r="J3016" s="343"/>
      <c r="K3016" s="343"/>
      <c r="L3016" s="343"/>
    </row>
    <row r="3017" spans="4:12" x14ac:dyDescent="0.2">
      <c r="D3017" s="341"/>
      <c r="F3017" s="343"/>
      <c r="G3017" s="343"/>
      <c r="H3017" s="343"/>
      <c r="I3017" s="343"/>
      <c r="J3017" s="343"/>
      <c r="K3017" s="343"/>
      <c r="L3017" s="343"/>
    </row>
    <row r="3018" spans="4:12" x14ac:dyDescent="0.2">
      <c r="D3018" s="341"/>
      <c r="F3018" s="343"/>
      <c r="G3018" s="343"/>
      <c r="H3018" s="343"/>
      <c r="I3018" s="343"/>
      <c r="J3018" s="343"/>
      <c r="K3018" s="343"/>
      <c r="L3018" s="343"/>
    </row>
    <row r="3019" spans="4:12" x14ac:dyDescent="0.2">
      <c r="D3019" s="341"/>
      <c r="F3019" s="343"/>
      <c r="G3019" s="343"/>
      <c r="H3019" s="343"/>
      <c r="I3019" s="343"/>
      <c r="J3019" s="343"/>
      <c r="K3019" s="343"/>
      <c r="L3019" s="343"/>
    </row>
    <row r="3020" spans="4:12" x14ac:dyDescent="0.2">
      <c r="D3020" s="341"/>
      <c r="F3020" s="343"/>
      <c r="G3020" s="343"/>
      <c r="H3020" s="343"/>
      <c r="I3020" s="343"/>
      <c r="J3020" s="343"/>
      <c r="K3020" s="343"/>
      <c r="L3020" s="343"/>
    </row>
    <row r="3021" spans="4:12" x14ac:dyDescent="0.2">
      <c r="D3021" s="341"/>
      <c r="F3021" s="343"/>
      <c r="G3021" s="343"/>
      <c r="H3021" s="343"/>
      <c r="I3021" s="343"/>
      <c r="J3021" s="343"/>
      <c r="K3021" s="343"/>
      <c r="L3021" s="343"/>
    </row>
    <row r="3022" spans="4:12" x14ac:dyDescent="0.2">
      <c r="D3022" s="341"/>
      <c r="F3022" s="343"/>
      <c r="G3022" s="343"/>
      <c r="H3022" s="343"/>
      <c r="I3022" s="343"/>
      <c r="J3022" s="343"/>
      <c r="K3022" s="343"/>
      <c r="L3022" s="343"/>
    </row>
    <row r="3023" spans="4:12" x14ac:dyDescent="0.2">
      <c r="D3023" s="341"/>
      <c r="F3023" s="343"/>
      <c r="G3023" s="343"/>
      <c r="H3023" s="343"/>
      <c r="I3023" s="343"/>
      <c r="J3023" s="343"/>
      <c r="K3023" s="343"/>
      <c r="L3023" s="343"/>
    </row>
    <row r="3024" spans="4:12" x14ac:dyDescent="0.2">
      <c r="D3024" s="341"/>
      <c r="F3024" s="343"/>
      <c r="G3024" s="343"/>
      <c r="H3024" s="343"/>
      <c r="I3024" s="343"/>
      <c r="J3024" s="343"/>
      <c r="K3024" s="343"/>
      <c r="L3024" s="343"/>
    </row>
    <row r="3025" spans="4:12" x14ac:dyDescent="0.2">
      <c r="D3025" s="341"/>
      <c r="F3025" s="343"/>
      <c r="G3025" s="343"/>
      <c r="H3025" s="343"/>
      <c r="I3025" s="343"/>
      <c r="J3025" s="343"/>
      <c r="K3025" s="343"/>
      <c r="L3025" s="343"/>
    </row>
    <row r="3026" spans="4:12" x14ac:dyDescent="0.2">
      <c r="D3026" s="341"/>
      <c r="F3026" s="343"/>
      <c r="G3026" s="343"/>
      <c r="H3026" s="343"/>
      <c r="I3026" s="343"/>
      <c r="J3026" s="343"/>
      <c r="K3026" s="343"/>
      <c r="L3026" s="343"/>
    </row>
    <row r="3027" spans="4:12" x14ac:dyDescent="0.2">
      <c r="D3027" s="341"/>
      <c r="F3027" s="343"/>
      <c r="G3027" s="343"/>
      <c r="H3027" s="343"/>
      <c r="I3027" s="343"/>
      <c r="J3027" s="343"/>
      <c r="K3027" s="343"/>
      <c r="L3027" s="343"/>
    </row>
    <row r="3028" spans="4:12" x14ac:dyDescent="0.2">
      <c r="D3028" s="341"/>
      <c r="F3028" s="343"/>
      <c r="G3028" s="343"/>
      <c r="H3028" s="343"/>
      <c r="I3028" s="343"/>
      <c r="J3028" s="343"/>
      <c r="K3028" s="343"/>
      <c r="L3028" s="343"/>
    </row>
    <row r="3029" spans="4:12" x14ac:dyDescent="0.2">
      <c r="D3029" s="341"/>
      <c r="F3029" s="343"/>
      <c r="G3029" s="343"/>
      <c r="H3029" s="343"/>
      <c r="I3029" s="343"/>
      <c r="J3029" s="343"/>
      <c r="K3029" s="343"/>
      <c r="L3029" s="343"/>
    </row>
    <row r="3030" spans="4:12" x14ac:dyDescent="0.2">
      <c r="D3030" s="341"/>
      <c r="F3030" s="343"/>
      <c r="G3030" s="343"/>
      <c r="H3030" s="343"/>
      <c r="I3030" s="343"/>
      <c r="J3030" s="343"/>
      <c r="K3030" s="343"/>
      <c r="L3030" s="343"/>
    </row>
    <row r="3031" spans="4:12" x14ac:dyDescent="0.2">
      <c r="D3031" s="341"/>
      <c r="F3031" s="343"/>
      <c r="G3031" s="343"/>
      <c r="H3031" s="343"/>
      <c r="I3031" s="343"/>
      <c r="J3031" s="343"/>
      <c r="K3031" s="343"/>
      <c r="L3031" s="343"/>
    </row>
    <row r="3032" spans="4:12" x14ac:dyDescent="0.2">
      <c r="D3032" s="341"/>
      <c r="F3032" s="343"/>
      <c r="G3032" s="343"/>
      <c r="H3032" s="343"/>
      <c r="I3032" s="343"/>
      <c r="J3032" s="343"/>
      <c r="K3032" s="343"/>
      <c r="L3032" s="343"/>
    </row>
    <row r="3033" spans="4:12" x14ac:dyDescent="0.2">
      <c r="D3033" s="341"/>
      <c r="F3033" s="343"/>
      <c r="G3033" s="343"/>
      <c r="H3033" s="343"/>
      <c r="I3033" s="343"/>
      <c r="J3033" s="343"/>
      <c r="K3033" s="343"/>
      <c r="L3033" s="343"/>
    </row>
    <row r="3034" spans="4:12" x14ac:dyDescent="0.2">
      <c r="D3034" s="341"/>
      <c r="F3034" s="343"/>
      <c r="G3034" s="343"/>
      <c r="H3034" s="343"/>
      <c r="I3034" s="343"/>
      <c r="J3034" s="343"/>
      <c r="K3034" s="343"/>
      <c r="L3034" s="343"/>
    </row>
    <row r="3035" spans="4:12" x14ac:dyDescent="0.2">
      <c r="D3035" s="341"/>
      <c r="F3035" s="343"/>
      <c r="G3035" s="343"/>
      <c r="H3035" s="343"/>
      <c r="I3035" s="343"/>
      <c r="J3035" s="343"/>
      <c r="K3035" s="343"/>
      <c r="L3035" s="343"/>
    </row>
    <row r="3036" spans="4:12" x14ac:dyDescent="0.2">
      <c r="D3036" s="341"/>
      <c r="F3036" s="343"/>
      <c r="G3036" s="343"/>
      <c r="H3036" s="343"/>
      <c r="I3036" s="343"/>
      <c r="J3036" s="343"/>
      <c r="K3036" s="343"/>
      <c r="L3036" s="343"/>
    </row>
    <row r="3037" spans="4:12" x14ac:dyDescent="0.2">
      <c r="D3037" s="341"/>
      <c r="F3037" s="343"/>
      <c r="G3037" s="343"/>
      <c r="H3037" s="343"/>
      <c r="I3037" s="343"/>
      <c r="J3037" s="343"/>
      <c r="K3037" s="343"/>
      <c r="L3037" s="343"/>
    </row>
    <row r="3038" spans="4:12" x14ac:dyDescent="0.2">
      <c r="D3038" s="341"/>
      <c r="F3038" s="343"/>
      <c r="G3038" s="343"/>
      <c r="H3038" s="343"/>
      <c r="I3038" s="343"/>
      <c r="J3038" s="343"/>
      <c r="K3038" s="343"/>
      <c r="L3038" s="343"/>
    </row>
    <row r="3039" spans="4:12" x14ac:dyDescent="0.2">
      <c r="D3039" s="341"/>
      <c r="F3039" s="343"/>
      <c r="G3039" s="343"/>
      <c r="H3039" s="343"/>
      <c r="I3039" s="343"/>
      <c r="J3039" s="343"/>
      <c r="K3039" s="343"/>
      <c r="L3039" s="343"/>
    </row>
    <row r="3040" spans="4:12" x14ac:dyDescent="0.2">
      <c r="D3040" s="341"/>
      <c r="F3040" s="343"/>
      <c r="G3040" s="343"/>
      <c r="H3040" s="343"/>
      <c r="I3040" s="343"/>
      <c r="J3040" s="343"/>
      <c r="K3040" s="343"/>
      <c r="L3040" s="343"/>
    </row>
    <row r="3041" spans="4:12" x14ac:dyDescent="0.2">
      <c r="D3041" s="341"/>
      <c r="F3041" s="343"/>
      <c r="G3041" s="343"/>
      <c r="H3041" s="343"/>
      <c r="I3041" s="343"/>
      <c r="J3041" s="343"/>
      <c r="K3041" s="343"/>
      <c r="L3041" s="343"/>
    </row>
    <row r="3042" spans="4:12" x14ac:dyDescent="0.2">
      <c r="D3042" s="341"/>
      <c r="F3042" s="343"/>
      <c r="G3042" s="343"/>
      <c r="H3042" s="343"/>
      <c r="I3042" s="343"/>
      <c r="J3042" s="343"/>
      <c r="K3042" s="343"/>
      <c r="L3042" s="343"/>
    </row>
    <row r="3043" spans="4:12" x14ac:dyDescent="0.2">
      <c r="D3043" s="341"/>
      <c r="F3043" s="343"/>
      <c r="G3043" s="343"/>
      <c r="H3043" s="343"/>
      <c r="I3043" s="343"/>
      <c r="J3043" s="343"/>
      <c r="K3043" s="343"/>
      <c r="L3043" s="343"/>
    </row>
    <row r="3044" spans="4:12" x14ac:dyDescent="0.2">
      <c r="D3044" s="341"/>
      <c r="F3044" s="343"/>
      <c r="G3044" s="343"/>
      <c r="H3044" s="343"/>
      <c r="I3044" s="343"/>
      <c r="J3044" s="343"/>
      <c r="K3044" s="343"/>
      <c r="L3044" s="343"/>
    </row>
    <row r="3045" spans="4:12" x14ac:dyDescent="0.2">
      <c r="D3045" s="341"/>
      <c r="F3045" s="343"/>
      <c r="G3045" s="343"/>
      <c r="H3045" s="343"/>
      <c r="I3045" s="343"/>
      <c r="J3045" s="343"/>
      <c r="K3045" s="343"/>
      <c r="L3045" s="343"/>
    </row>
    <row r="3046" spans="4:12" x14ac:dyDescent="0.2">
      <c r="D3046" s="341"/>
      <c r="F3046" s="343"/>
      <c r="G3046" s="343"/>
      <c r="H3046" s="343"/>
      <c r="I3046" s="343"/>
      <c r="J3046" s="343"/>
      <c r="K3046" s="343"/>
      <c r="L3046" s="343"/>
    </row>
    <row r="3047" spans="4:12" x14ac:dyDescent="0.2">
      <c r="D3047" s="341"/>
      <c r="F3047" s="343"/>
      <c r="G3047" s="343"/>
      <c r="H3047" s="343"/>
      <c r="I3047" s="343"/>
      <c r="J3047" s="343"/>
      <c r="K3047" s="343"/>
      <c r="L3047" s="343"/>
    </row>
    <row r="3048" spans="4:12" x14ac:dyDescent="0.2">
      <c r="D3048" s="341"/>
      <c r="F3048" s="343"/>
      <c r="G3048" s="343"/>
      <c r="H3048" s="343"/>
      <c r="I3048" s="343"/>
      <c r="J3048" s="343"/>
      <c r="K3048" s="343"/>
      <c r="L3048" s="343"/>
    </row>
    <row r="3049" spans="4:12" x14ac:dyDescent="0.2">
      <c r="D3049" s="341"/>
      <c r="F3049" s="343"/>
      <c r="G3049" s="343"/>
      <c r="H3049" s="343"/>
      <c r="I3049" s="343"/>
      <c r="J3049" s="343"/>
      <c r="K3049" s="343"/>
      <c r="L3049" s="343"/>
    </row>
    <row r="3050" spans="4:12" x14ac:dyDescent="0.2">
      <c r="D3050" s="341"/>
      <c r="F3050" s="343"/>
      <c r="G3050" s="343"/>
      <c r="H3050" s="343"/>
      <c r="I3050" s="343"/>
      <c r="J3050" s="343"/>
      <c r="K3050" s="343"/>
      <c r="L3050" s="343"/>
    </row>
    <row r="3051" spans="4:12" x14ac:dyDescent="0.2">
      <c r="D3051" s="341"/>
      <c r="F3051" s="343"/>
      <c r="G3051" s="343"/>
      <c r="H3051" s="343"/>
      <c r="I3051" s="343"/>
      <c r="J3051" s="343"/>
      <c r="K3051" s="343"/>
      <c r="L3051" s="343"/>
    </row>
    <row r="3052" spans="4:12" x14ac:dyDescent="0.2">
      <c r="D3052" s="341"/>
      <c r="F3052" s="343"/>
      <c r="G3052" s="343"/>
      <c r="H3052" s="343"/>
      <c r="I3052" s="343"/>
      <c r="J3052" s="343"/>
      <c r="K3052" s="343"/>
      <c r="L3052" s="343"/>
    </row>
    <row r="3053" spans="4:12" x14ac:dyDescent="0.2">
      <c r="D3053" s="341"/>
      <c r="F3053" s="343"/>
      <c r="G3053" s="343"/>
      <c r="H3053" s="343"/>
      <c r="I3053" s="343"/>
      <c r="J3053" s="343"/>
      <c r="K3053" s="343"/>
      <c r="L3053" s="343"/>
    </row>
    <row r="3054" spans="4:12" x14ac:dyDescent="0.2">
      <c r="D3054" s="341"/>
      <c r="F3054" s="343"/>
      <c r="G3054" s="343"/>
      <c r="H3054" s="343"/>
      <c r="I3054" s="343"/>
      <c r="J3054" s="343"/>
      <c r="K3054" s="343"/>
      <c r="L3054" s="343"/>
    </row>
    <row r="3055" spans="4:12" x14ac:dyDescent="0.2">
      <c r="D3055" s="341"/>
      <c r="F3055" s="343"/>
      <c r="G3055" s="343"/>
      <c r="H3055" s="343"/>
      <c r="I3055" s="343"/>
      <c r="J3055" s="343"/>
      <c r="K3055" s="343"/>
      <c r="L3055" s="343"/>
    </row>
    <row r="3056" spans="4:12" x14ac:dyDescent="0.2">
      <c r="D3056" s="341"/>
      <c r="F3056" s="343"/>
      <c r="G3056" s="343"/>
      <c r="H3056" s="343"/>
      <c r="I3056" s="343"/>
      <c r="J3056" s="343"/>
      <c r="K3056" s="343"/>
      <c r="L3056" s="343"/>
    </row>
    <row r="3057" spans="4:12" x14ac:dyDescent="0.2">
      <c r="D3057" s="341"/>
      <c r="F3057" s="343"/>
      <c r="G3057" s="343"/>
      <c r="H3057" s="343"/>
      <c r="I3057" s="343"/>
      <c r="J3057" s="343"/>
      <c r="K3057" s="343"/>
      <c r="L3057" s="343"/>
    </row>
    <row r="3058" spans="4:12" x14ac:dyDescent="0.2">
      <c r="D3058" s="341"/>
      <c r="F3058" s="343"/>
      <c r="G3058" s="343"/>
      <c r="H3058" s="343"/>
      <c r="I3058" s="343"/>
      <c r="J3058" s="343"/>
      <c r="K3058" s="343"/>
      <c r="L3058" s="343"/>
    </row>
    <row r="3059" spans="4:12" x14ac:dyDescent="0.2">
      <c r="D3059" s="341"/>
      <c r="F3059" s="343"/>
      <c r="G3059" s="343"/>
      <c r="H3059" s="343"/>
      <c r="I3059" s="343"/>
      <c r="J3059" s="343"/>
      <c r="K3059" s="343"/>
      <c r="L3059" s="343"/>
    </row>
    <row r="3060" spans="4:12" x14ac:dyDescent="0.2">
      <c r="D3060" s="341"/>
      <c r="F3060" s="343"/>
      <c r="G3060" s="343"/>
      <c r="H3060" s="343"/>
      <c r="I3060" s="343"/>
      <c r="J3060" s="343"/>
      <c r="K3060" s="343"/>
      <c r="L3060" s="343"/>
    </row>
    <row r="3061" spans="4:12" x14ac:dyDescent="0.2">
      <c r="D3061" s="341"/>
      <c r="F3061" s="343"/>
      <c r="G3061" s="343"/>
      <c r="H3061" s="343"/>
      <c r="I3061" s="343"/>
      <c r="J3061" s="343"/>
      <c r="K3061" s="343"/>
      <c r="L3061" s="343"/>
    </row>
    <row r="3062" spans="4:12" x14ac:dyDescent="0.2">
      <c r="D3062" s="341"/>
      <c r="F3062" s="343"/>
      <c r="G3062" s="343"/>
      <c r="H3062" s="343"/>
      <c r="I3062" s="343"/>
      <c r="J3062" s="343"/>
      <c r="K3062" s="343"/>
      <c r="L3062" s="343"/>
    </row>
    <row r="3063" spans="4:12" x14ac:dyDescent="0.2">
      <c r="D3063" s="341"/>
      <c r="F3063" s="343"/>
      <c r="G3063" s="343"/>
      <c r="H3063" s="343"/>
      <c r="I3063" s="343"/>
      <c r="J3063" s="343"/>
      <c r="K3063" s="343"/>
      <c r="L3063" s="343"/>
    </row>
    <row r="3064" spans="4:12" x14ac:dyDescent="0.2">
      <c r="D3064" s="341"/>
      <c r="F3064" s="343"/>
      <c r="G3064" s="343"/>
      <c r="H3064" s="343"/>
      <c r="I3064" s="343"/>
      <c r="J3064" s="343"/>
      <c r="K3064" s="343"/>
      <c r="L3064" s="343"/>
    </row>
    <row r="3065" spans="4:12" x14ac:dyDescent="0.2">
      <c r="D3065" s="341"/>
      <c r="F3065" s="343"/>
      <c r="G3065" s="343"/>
      <c r="H3065" s="343"/>
      <c r="I3065" s="343"/>
      <c r="J3065" s="343"/>
      <c r="K3065" s="343"/>
      <c r="L3065" s="343"/>
    </row>
    <row r="3066" spans="4:12" x14ac:dyDescent="0.2">
      <c r="D3066" s="341"/>
      <c r="F3066" s="343"/>
      <c r="G3066" s="343"/>
      <c r="H3066" s="343"/>
      <c r="I3066" s="343"/>
      <c r="J3066" s="343"/>
      <c r="K3066" s="343"/>
      <c r="L3066" s="343"/>
    </row>
    <row r="3067" spans="4:12" x14ac:dyDescent="0.2">
      <c r="D3067" s="341"/>
      <c r="F3067" s="343"/>
      <c r="G3067" s="343"/>
      <c r="H3067" s="343"/>
      <c r="I3067" s="343"/>
      <c r="J3067" s="343"/>
      <c r="K3067" s="343"/>
      <c r="L3067" s="343"/>
    </row>
    <row r="3068" spans="4:12" x14ac:dyDescent="0.2">
      <c r="D3068" s="341"/>
      <c r="F3068" s="343"/>
      <c r="G3068" s="343"/>
      <c r="H3068" s="343"/>
      <c r="I3068" s="343"/>
      <c r="J3068" s="343"/>
      <c r="K3068" s="343"/>
      <c r="L3068" s="343"/>
    </row>
    <row r="3069" spans="4:12" x14ac:dyDescent="0.2">
      <c r="D3069" s="341"/>
      <c r="F3069" s="343"/>
      <c r="G3069" s="343"/>
      <c r="H3069" s="343"/>
      <c r="I3069" s="343"/>
      <c r="J3069" s="343"/>
      <c r="K3069" s="343"/>
      <c r="L3069" s="343"/>
    </row>
    <row r="3070" spans="4:12" x14ac:dyDescent="0.2">
      <c r="D3070" s="341"/>
      <c r="F3070" s="343"/>
      <c r="G3070" s="343"/>
      <c r="H3070" s="343"/>
      <c r="I3070" s="343"/>
      <c r="J3070" s="343"/>
      <c r="K3070" s="343"/>
      <c r="L3070" s="343"/>
    </row>
    <row r="3071" spans="4:12" x14ac:dyDescent="0.2">
      <c r="D3071" s="341"/>
      <c r="F3071" s="343"/>
      <c r="G3071" s="343"/>
      <c r="H3071" s="343"/>
      <c r="I3071" s="343"/>
      <c r="J3071" s="343"/>
      <c r="K3071" s="343"/>
      <c r="L3071" s="343"/>
    </row>
    <row r="3072" spans="4:12" x14ac:dyDescent="0.2">
      <c r="D3072" s="341"/>
      <c r="F3072" s="343"/>
      <c r="G3072" s="343"/>
      <c r="H3072" s="343"/>
      <c r="I3072" s="343"/>
      <c r="J3072" s="343"/>
      <c r="K3072" s="343"/>
      <c r="L3072" s="343"/>
    </row>
    <row r="3073" spans="4:12" x14ac:dyDescent="0.2">
      <c r="D3073" s="341"/>
      <c r="F3073" s="343"/>
      <c r="G3073" s="343"/>
      <c r="H3073" s="343"/>
      <c r="I3073" s="343"/>
      <c r="J3073" s="343"/>
      <c r="K3073" s="343"/>
      <c r="L3073" s="343"/>
    </row>
    <row r="3074" spans="4:12" x14ac:dyDescent="0.2">
      <c r="D3074" s="341"/>
      <c r="F3074" s="343"/>
      <c r="G3074" s="343"/>
      <c r="H3074" s="343"/>
      <c r="I3074" s="343"/>
      <c r="J3074" s="343"/>
      <c r="K3074" s="343"/>
      <c r="L3074" s="343"/>
    </row>
    <row r="3075" spans="4:12" x14ac:dyDescent="0.2">
      <c r="D3075" s="341"/>
      <c r="F3075" s="343"/>
      <c r="G3075" s="343"/>
      <c r="H3075" s="343"/>
      <c r="I3075" s="343"/>
      <c r="J3075" s="343"/>
      <c r="K3075" s="343"/>
      <c r="L3075" s="343"/>
    </row>
    <row r="3076" spans="4:12" x14ac:dyDescent="0.2">
      <c r="D3076" s="341"/>
      <c r="F3076" s="343"/>
      <c r="G3076" s="343"/>
      <c r="H3076" s="343"/>
      <c r="I3076" s="343"/>
      <c r="J3076" s="343"/>
      <c r="K3076" s="343"/>
      <c r="L3076" s="343"/>
    </row>
    <row r="3077" spans="4:12" x14ac:dyDescent="0.2">
      <c r="D3077" s="341"/>
      <c r="F3077" s="343"/>
      <c r="G3077" s="343"/>
      <c r="H3077" s="343"/>
      <c r="I3077" s="343"/>
      <c r="J3077" s="343"/>
      <c r="K3077" s="343"/>
      <c r="L3077" s="343"/>
    </row>
    <row r="3078" spans="4:12" x14ac:dyDescent="0.2">
      <c r="D3078" s="341"/>
      <c r="F3078" s="343"/>
      <c r="G3078" s="343"/>
      <c r="H3078" s="343"/>
      <c r="I3078" s="343"/>
      <c r="J3078" s="343"/>
      <c r="K3078" s="343"/>
      <c r="L3078" s="343"/>
    </row>
    <row r="3079" spans="4:12" x14ac:dyDescent="0.2">
      <c r="D3079" s="341"/>
      <c r="F3079" s="343"/>
      <c r="G3079" s="343"/>
      <c r="H3079" s="343"/>
      <c r="I3079" s="343"/>
      <c r="J3079" s="343"/>
      <c r="K3079" s="343"/>
      <c r="L3079" s="343"/>
    </row>
    <row r="3080" spans="4:12" x14ac:dyDescent="0.2">
      <c r="D3080" s="341"/>
      <c r="F3080" s="343"/>
      <c r="G3080" s="343"/>
      <c r="H3080" s="343"/>
      <c r="I3080" s="343"/>
      <c r="J3080" s="343"/>
      <c r="K3080" s="343"/>
      <c r="L3080" s="343"/>
    </row>
    <row r="3081" spans="4:12" x14ac:dyDescent="0.2">
      <c r="D3081" s="341"/>
      <c r="F3081" s="343"/>
      <c r="G3081" s="343"/>
      <c r="H3081" s="343"/>
      <c r="I3081" s="343"/>
      <c r="J3081" s="343"/>
      <c r="K3081" s="343"/>
      <c r="L3081" s="343"/>
    </row>
    <row r="3082" spans="4:12" x14ac:dyDescent="0.2">
      <c r="D3082" s="341"/>
      <c r="F3082" s="343"/>
      <c r="G3082" s="343"/>
      <c r="H3082" s="343"/>
      <c r="I3082" s="343"/>
      <c r="J3082" s="343"/>
      <c r="K3082" s="343"/>
      <c r="L3082" s="343"/>
    </row>
    <row r="3083" spans="4:12" x14ac:dyDescent="0.2">
      <c r="D3083" s="341"/>
      <c r="F3083" s="343"/>
      <c r="G3083" s="343"/>
      <c r="H3083" s="343"/>
      <c r="I3083" s="343"/>
      <c r="J3083" s="343"/>
      <c r="K3083" s="343"/>
      <c r="L3083" s="343"/>
    </row>
    <row r="3084" spans="4:12" x14ac:dyDescent="0.2">
      <c r="D3084" s="341"/>
      <c r="F3084" s="343"/>
      <c r="G3084" s="343"/>
      <c r="H3084" s="343"/>
      <c r="I3084" s="343"/>
      <c r="J3084" s="343"/>
      <c r="K3084" s="343"/>
      <c r="L3084" s="343"/>
    </row>
    <row r="3085" spans="4:12" x14ac:dyDescent="0.2">
      <c r="D3085" s="341"/>
      <c r="F3085" s="343"/>
      <c r="G3085" s="343"/>
      <c r="H3085" s="343"/>
      <c r="I3085" s="343"/>
      <c r="J3085" s="343"/>
      <c r="K3085" s="343"/>
      <c r="L3085" s="343"/>
    </row>
    <row r="3086" spans="4:12" x14ac:dyDescent="0.2">
      <c r="D3086" s="341"/>
      <c r="F3086" s="343"/>
      <c r="G3086" s="343"/>
      <c r="H3086" s="343"/>
      <c r="I3086" s="343"/>
      <c r="J3086" s="343"/>
      <c r="K3086" s="343"/>
      <c r="L3086" s="343"/>
    </row>
    <row r="3087" spans="4:12" x14ac:dyDescent="0.2">
      <c r="D3087" s="341"/>
      <c r="F3087" s="343"/>
      <c r="G3087" s="343"/>
      <c r="H3087" s="343"/>
      <c r="I3087" s="343"/>
      <c r="J3087" s="343"/>
      <c r="K3087" s="343"/>
      <c r="L3087" s="343"/>
    </row>
    <row r="3088" spans="4:12" x14ac:dyDescent="0.2">
      <c r="D3088" s="341"/>
      <c r="F3088" s="343"/>
      <c r="G3088" s="343"/>
      <c r="H3088" s="343"/>
      <c r="I3088" s="343"/>
      <c r="J3088" s="343"/>
      <c r="K3088" s="343"/>
      <c r="L3088" s="343"/>
    </row>
    <row r="3089" spans="4:12" x14ac:dyDescent="0.2">
      <c r="D3089" s="341"/>
      <c r="F3089" s="343"/>
      <c r="G3089" s="343"/>
      <c r="H3089" s="343"/>
      <c r="I3089" s="343"/>
      <c r="J3089" s="343"/>
      <c r="K3089" s="343"/>
      <c r="L3089" s="343"/>
    </row>
    <row r="3090" spans="4:12" x14ac:dyDescent="0.2">
      <c r="D3090" s="341"/>
      <c r="F3090" s="343"/>
      <c r="G3090" s="343"/>
      <c r="H3090" s="343"/>
      <c r="I3090" s="343"/>
      <c r="J3090" s="343"/>
      <c r="K3090" s="343"/>
      <c r="L3090" s="343"/>
    </row>
    <row r="3091" spans="4:12" x14ac:dyDescent="0.2">
      <c r="D3091" s="341"/>
      <c r="F3091" s="343"/>
      <c r="G3091" s="343"/>
      <c r="H3091" s="343"/>
      <c r="I3091" s="343"/>
      <c r="J3091" s="343"/>
      <c r="K3091" s="343"/>
      <c r="L3091" s="343"/>
    </row>
    <row r="3092" spans="4:12" x14ac:dyDescent="0.2">
      <c r="D3092" s="341"/>
      <c r="F3092" s="343"/>
      <c r="G3092" s="343"/>
      <c r="H3092" s="343"/>
      <c r="I3092" s="343"/>
      <c r="J3092" s="343"/>
      <c r="K3092" s="343"/>
      <c r="L3092" s="343"/>
    </row>
    <row r="3093" spans="4:12" x14ac:dyDescent="0.2">
      <c r="D3093" s="341"/>
      <c r="F3093" s="343"/>
      <c r="G3093" s="343"/>
      <c r="H3093" s="343"/>
      <c r="I3093" s="343"/>
      <c r="J3093" s="343"/>
      <c r="K3093" s="343"/>
      <c r="L3093" s="343"/>
    </row>
    <row r="3094" spans="4:12" x14ac:dyDescent="0.2">
      <c r="D3094" s="341"/>
      <c r="F3094" s="343"/>
      <c r="G3094" s="343"/>
      <c r="H3094" s="343"/>
      <c r="I3094" s="343"/>
      <c r="J3094" s="343"/>
      <c r="K3094" s="343"/>
      <c r="L3094" s="343"/>
    </row>
    <row r="3095" spans="4:12" x14ac:dyDescent="0.2">
      <c r="D3095" s="341"/>
      <c r="F3095" s="343"/>
      <c r="G3095" s="343"/>
      <c r="H3095" s="343"/>
      <c r="I3095" s="343"/>
      <c r="J3095" s="343"/>
      <c r="K3095" s="343"/>
      <c r="L3095" s="343"/>
    </row>
    <row r="3096" spans="4:12" x14ac:dyDescent="0.2">
      <c r="D3096" s="341"/>
      <c r="F3096" s="343"/>
      <c r="G3096" s="343"/>
      <c r="H3096" s="343"/>
      <c r="I3096" s="343"/>
      <c r="J3096" s="343"/>
      <c r="K3096" s="343"/>
      <c r="L3096" s="343"/>
    </row>
    <row r="3097" spans="4:12" x14ac:dyDescent="0.2">
      <c r="D3097" s="341"/>
      <c r="F3097" s="343"/>
      <c r="G3097" s="343"/>
      <c r="H3097" s="343"/>
      <c r="I3097" s="343"/>
      <c r="J3097" s="343"/>
      <c r="K3097" s="343"/>
      <c r="L3097" s="343"/>
    </row>
    <row r="3098" spans="4:12" x14ac:dyDescent="0.2">
      <c r="D3098" s="341"/>
      <c r="F3098" s="343"/>
      <c r="G3098" s="343"/>
      <c r="H3098" s="343"/>
      <c r="I3098" s="343"/>
      <c r="J3098" s="343"/>
      <c r="K3098" s="343"/>
      <c r="L3098" s="343"/>
    </row>
    <row r="3099" spans="4:12" x14ac:dyDescent="0.2">
      <c r="D3099" s="341"/>
      <c r="F3099" s="343"/>
      <c r="G3099" s="343"/>
      <c r="H3099" s="343"/>
      <c r="I3099" s="343"/>
      <c r="J3099" s="343"/>
      <c r="K3099" s="343"/>
      <c r="L3099" s="343"/>
    </row>
    <row r="3100" spans="4:12" x14ac:dyDescent="0.2">
      <c r="D3100" s="341"/>
      <c r="F3100" s="343"/>
      <c r="G3100" s="343"/>
      <c r="H3100" s="343"/>
      <c r="I3100" s="343"/>
      <c r="J3100" s="343"/>
      <c r="K3100" s="343"/>
      <c r="L3100" s="343"/>
    </row>
    <row r="3101" spans="4:12" x14ac:dyDescent="0.2">
      <c r="D3101" s="341"/>
      <c r="F3101" s="343"/>
      <c r="G3101" s="343"/>
      <c r="H3101" s="343"/>
      <c r="I3101" s="343"/>
      <c r="J3101" s="343"/>
      <c r="K3101" s="343"/>
      <c r="L3101" s="343"/>
    </row>
    <row r="3102" spans="4:12" x14ac:dyDescent="0.2">
      <c r="D3102" s="341"/>
      <c r="F3102" s="343"/>
      <c r="G3102" s="343"/>
      <c r="H3102" s="343"/>
      <c r="I3102" s="343"/>
      <c r="J3102" s="343"/>
      <c r="K3102" s="343"/>
      <c r="L3102" s="343"/>
    </row>
    <row r="3103" spans="4:12" x14ac:dyDescent="0.2">
      <c r="D3103" s="341"/>
      <c r="F3103" s="343"/>
      <c r="G3103" s="343"/>
      <c r="H3103" s="343"/>
      <c r="I3103" s="343"/>
      <c r="J3103" s="343"/>
      <c r="K3103" s="343"/>
      <c r="L3103" s="343"/>
    </row>
    <row r="3104" spans="4:12" x14ac:dyDescent="0.2">
      <c r="D3104" s="341"/>
      <c r="F3104" s="343"/>
      <c r="G3104" s="343"/>
      <c r="H3104" s="343"/>
      <c r="I3104" s="343"/>
      <c r="J3104" s="343"/>
      <c r="K3104" s="343"/>
      <c r="L3104" s="343"/>
    </row>
    <row r="3105" spans="4:12" x14ac:dyDescent="0.2">
      <c r="D3105" s="341"/>
      <c r="F3105" s="343"/>
      <c r="G3105" s="343"/>
      <c r="H3105" s="343"/>
      <c r="I3105" s="343"/>
      <c r="J3105" s="343"/>
      <c r="K3105" s="343"/>
      <c r="L3105" s="343"/>
    </row>
    <row r="3106" spans="4:12" x14ac:dyDescent="0.2">
      <c r="D3106" s="341"/>
      <c r="F3106" s="343"/>
      <c r="G3106" s="343"/>
      <c r="H3106" s="343"/>
      <c r="I3106" s="343"/>
      <c r="J3106" s="343"/>
      <c r="K3106" s="343"/>
      <c r="L3106" s="343"/>
    </row>
    <row r="3107" spans="4:12" x14ac:dyDescent="0.2">
      <c r="D3107" s="341"/>
      <c r="F3107" s="343"/>
      <c r="G3107" s="343"/>
      <c r="H3107" s="343"/>
      <c r="I3107" s="343"/>
      <c r="J3107" s="343"/>
      <c r="K3107" s="343"/>
      <c r="L3107" s="343"/>
    </row>
    <row r="3108" spans="4:12" x14ac:dyDescent="0.2">
      <c r="D3108" s="341"/>
      <c r="F3108" s="343"/>
      <c r="G3108" s="343"/>
      <c r="H3108" s="343"/>
      <c r="I3108" s="343"/>
      <c r="J3108" s="343"/>
      <c r="K3108" s="343"/>
      <c r="L3108" s="343"/>
    </row>
    <row r="3109" spans="4:12" x14ac:dyDescent="0.2">
      <c r="D3109" s="341"/>
      <c r="F3109" s="343"/>
      <c r="G3109" s="343"/>
      <c r="H3109" s="343"/>
      <c r="I3109" s="343"/>
      <c r="J3109" s="343"/>
      <c r="K3109" s="343"/>
      <c r="L3109" s="343"/>
    </row>
    <row r="3110" spans="4:12" x14ac:dyDescent="0.2">
      <c r="D3110" s="341"/>
      <c r="F3110" s="343"/>
      <c r="G3110" s="343"/>
      <c r="H3110" s="343"/>
      <c r="I3110" s="343"/>
      <c r="J3110" s="343"/>
      <c r="K3110" s="343"/>
      <c r="L3110" s="343"/>
    </row>
    <row r="3111" spans="4:12" x14ac:dyDescent="0.2">
      <c r="D3111" s="341"/>
      <c r="F3111" s="343"/>
      <c r="G3111" s="343"/>
      <c r="H3111" s="343"/>
      <c r="I3111" s="343"/>
      <c r="J3111" s="343"/>
      <c r="K3111" s="343"/>
      <c r="L3111" s="343"/>
    </row>
    <row r="3112" spans="4:12" x14ac:dyDescent="0.2">
      <c r="D3112" s="341"/>
      <c r="F3112" s="343"/>
      <c r="G3112" s="343"/>
      <c r="H3112" s="343"/>
      <c r="I3112" s="343"/>
      <c r="J3112" s="343"/>
      <c r="K3112" s="343"/>
      <c r="L3112" s="343"/>
    </row>
    <row r="3113" spans="4:12" x14ac:dyDescent="0.2">
      <c r="D3113" s="341"/>
      <c r="F3113" s="343"/>
      <c r="G3113" s="343"/>
      <c r="H3113" s="343"/>
      <c r="I3113" s="343"/>
      <c r="J3113" s="343"/>
      <c r="K3113" s="343"/>
      <c r="L3113" s="343"/>
    </row>
    <row r="3114" spans="4:12" x14ac:dyDescent="0.2">
      <c r="D3114" s="341"/>
      <c r="F3114" s="343"/>
      <c r="G3114" s="343"/>
      <c r="H3114" s="343"/>
      <c r="I3114" s="343"/>
      <c r="J3114" s="343"/>
      <c r="K3114" s="343"/>
      <c r="L3114" s="343"/>
    </row>
    <row r="3115" spans="4:12" x14ac:dyDescent="0.2">
      <c r="D3115" s="341"/>
      <c r="F3115" s="343"/>
      <c r="G3115" s="343"/>
      <c r="H3115" s="343"/>
      <c r="I3115" s="343"/>
      <c r="J3115" s="343"/>
      <c r="K3115" s="343"/>
      <c r="L3115" s="343"/>
    </row>
    <row r="3116" spans="4:12" x14ac:dyDescent="0.2">
      <c r="D3116" s="341"/>
      <c r="F3116" s="343"/>
      <c r="G3116" s="343"/>
      <c r="H3116" s="343"/>
      <c r="I3116" s="343"/>
      <c r="J3116" s="343"/>
      <c r="K3116" s="343"/>
      <c r="L3116" s="343"/>
    </row>
    <row r="3117" spans="4:12" x14ac:dyDescent="0.2">
      <c r="D3117" s="341"/>
      <c r="F3117" s="343"/>
      <c r="G3117" s="343"/>
      <c r="H3117" s="343"/>
      <c r="I3117" s="343"/>
      <c r="J3117" s="343"/>
      <c r="K3117" s="343"/>
      <c r="L3117" s="343"/>
    </row>
    <row r="3118" spans="4:12" x14ac:dyDescent="0.2">
      <c r="D3118" s="341"/>
      <c r="F3118" s="343"/>
      <c r="G3118" s="343"/>
      <c r="H3118" s="343"/>
      <c r="I3118" s="343"/>
      <c r="J3118" s="343"/>
      <c r="K3118" s="343"/>
      <c r="L3118" s="343"/>
    </row>
    <row r="3119" spans="4:12" x14ac:dyDescent="0.2">
      <c r="D3119" s="341"/>
      <c r="F3119" s="343"/>
      <c r="G3119" s="343"/>
      <c r="H3119" s="343"/>
      <c r="I3119" s="343"/>
      <c r="J3119" s="343"/>
      <c r="K3119" s="343"/>
      <c r="L3119" s="343"/>
    </row>
    <row r="3120" spans="4:12" x14ac:dyDescent="0.2">
      <c r="D3120" s="341"/>
      <c r="F3120" s="343"/>
      <c r="G3120" s="343"/>
      <c r="H3120" s="343"/>
      <c r="I3120" s="343"/>
      <c r="J3120" s="343"/>
      <c r="K3120" s="343"/>
      <c r="L3120" s="343"/>
    </row>
    <row r="3121" spans="4:12" x14ac:dyDescent="0.2">
      <c r="D3121" s="341"/>
      <c r="F3121" s="343"/>
      <c r="G3121" s="343"/>
      <c r="H3121" s="343"/>
      <c r="I3121" s="343"/>
      <c r="J3121" s="343"/>
      <c r="K3121" s="343"/>
      <c r="L3121" s="343"/>
    </row>
    <row r="3122" spans="4:12" x14ac:dyDescent="0.2">
      <c r="D3122" s="341"/>
      <c r="F3122" s="343"/>
      <c r="G3122" s="343"/>
      <c r="H3122" s="343"/>
      <c r="I3122" s="343"/>
      <c r="J3122" s="343"/>
      <c r="K3122" s="343"/>
      <c r="L3122" s="343"/>
    </row>
    <row r="3123" spans="4:12" x14ac:dyDescent="0.2">
      <c r="D3123" s="341"/>
      <c r="F3123" s="343"/>
      <c r="G3123" s="343"/>
      <c r="H3123" s="343"/>
      <c r="I3123" s="343"/>
      <c r="J3123" s="343"/>
      <c r="K3123" s="343"/>
      <c r="L3123" s="343"/>
    </row>
    <row r="3124" spans="4:12" x14ac:dyDescent="0.2">
      <c r="D3124" s="341"/>
      <c r="F3124" s="343"/>
      <c r="G3124" s="343"/>
      <c r="H3124" s="343"/>
      <c r="I3124" s="343"/>
      <c r="J3124" s="343"/>
      <c r="K3124" s="343"/>
      <c r="L3124" s="343"/>
    </row>
    <row r="3125" spans="4:12" x14ac:dyDescent="0.2">
      <c r="D3125" s="341"/>
      <c r="F3125" s="343"/>
      <c r="G3125" s="343"/>
      <c r="H3125" s="343"/>
      <c r="I3125" s="343"/>
      <c r="J3125" s="343"/>
      <c r="K3125" s="343"/>
      <c r="L3125" s="343"/>
    </row>
    <row r="3126" spans="4:12" x14ac:dyDescent="0.2">
      <c r="D3126" s="341"/>
      <c r="F3126" s="343"/>
      <c r="G3126" s="343"/>
      <c r="H3126" s="343"/>
      <c r="I3126" s="343"/>
      <c r="J3126" s="343"/>
      <c r="K3126" s="343"/>
      <c r="L3126" s="343"/>
    </row>
    <row r="3127" spans="4:12" x14ac:dyDescent="0.2">
      <c r="D3127" s="341"/>
      <c r="F3127" s="343"/>
      <c r="G3127" s="343"/>
      <c r="H3127" s="343"/>
      <c r="I3127" s="343"/>
      <c r="J3127" s="343"/>
      <c r="K3127" s="343"/>
      <c r="L3127" s="343"/>
    </row>
    <row r="3128" spans="4:12" x14ac:dyDescent="0.2">
      <c r="D3128" s="341"/>
      <c r="F3128" s="343"/>
      <c r="G3128" s="343"/>
      <c r="H3128" s="343"/>
      <c r="I3128" s="343"/>
      <c r="J3128" s="343"/>
      <c r="K3128" s="343"/>
      <c r="L3128" s="343"/>
    </row>
    <row r="3129" spans="4:12" x14ac:dyDescent="0.2">
      <c r="D3129" s="341"/>
      <c r="F3129" s="343"/>
      <c r="G3129" s="343"/>
      <c r="H3129" s="343"/>
      <c r="I3129" s="343"/>
      <c r="J3129" s="343"/>
      <c r="K3129" s="343"/>
      <c r="L3129" s="343"/>
    </row>
    <row r="3130" spans="4:12" x14ac:dyDescent="0.2">
      <c r="D3130" s="341"/>
      <c r="F3130" s="343"/>
      <c r="G3130" s="343"/>
      <c r="H3130" s="343"/>
      <c r="I3130" s="343"/>
      <c r="J3130" s="343"/>
      <c r="K3130" s="343"/>
      <c r="L3130" s="343"/>
    </row>
    <row r="3131" spans="4:12" x14ac:dyDescent="0.2">
      <c r="D3131" s="341"/>
      <c r="F3131" s="343"/>
      <c r="G3131" s="343"/>
      <c r="H3131" s="343"/>
      <c r="I3131" s="343"/>
      <c r="J3131" s="343"/>
      <c r="K3131" s="343"/>
      <c r="L3131" s="343"/>
    </row>
    <row r="3132" spans="4:12" x14ac:dyDescent="0.2">
      <c r="D3132" s="341"/>
      <c r="F3132" s="343"/>
      <c r="G3132" s="343"/>
      <c r="H3132" s="343"/>
      <c r="I3132" s="343"/>
      <c r="J3132" s="343"/>
      <c r="K3132" s="343"/>
      <c r="L3132" s="343"/>
    </row>
    <row r="3133" spans="4:12" x14ac:dyDescent="0.2">
      <c r="D3133" s="341"/>
      <c r="F3133" s="343"/>
      <c r="G3133" s="343"/>
      <c r="H3133" s="343"/>
      <c r="I3133" s="343"/>
      <c r="J3133" s="343"/>
      <c r="K3133" s="343"/>
      <c r="L3133" s="343"/>
    </row>
    <row r="3134" spans="4:12" x14ac:dyDescent="0.2">
      <c r="D3134" s="341"/>
      <c r="F3134" s="343"/>
      <c r="G3134" s="343"/>
      <c r="H3134" s="343"/>
      <c r="I3134" s="343"/>
      <c r="J3134" s="343"/>
      <c r="K3134" s="343"/>
      <c r="L3134" s="343"/>
    </row>
    <row r="3135" spans="4:12" x14ac:dyDescent="0.2">
      <c r="D3135" s="341"/>
      <c r="F3135" s="343"/>
      <c r="G3135" s="343"/>
      <c r="H3135" s="343"/>
      <c r="I3135" s="343"/>
      <c r="J3135" s="343"/>
      <c r="K3135" s="343"/>
      <c r="L3135" s="343"/>
    </row>
    <row r="3136" spans="4:12" x14ac:dyDescent="0.2">
      <c r="D3136" s="341"/>
      <c r="F3136" s="343"/>
      <c r="G3136" s="343"/>
      <c r="H3136" s="343"/>
      <c r="I3136" s="343"/>
      <c r="J3136" s="343"/>
      <c r="K3136" s="343"/>
      <c r="L3136" s="343"/>
    </row>
    <row r="3137" spans="4:12" x14ac:dyDescent="0.2">
      <c r="D3137" s="341"/>
      <c r="F3137" s="343"/>
      <c r="G3137" s="343"/>
      <c r="H3137" s="343"/>
      <c r="I3137" s="343"/>
      <c r="J3137" s="343"/>
      <c r="K3137" s="343"/>
      <c r="L3137" s="343"/>
    </row>
    <row r="3138" spans="4:12" x14ac:dyDescent="0.2">
      <c r="D3138" s="341"/>
      <c r="F3138" s="343"/>
      <c r="G3138" s="343"/>
      <c r="H3138" s="343"/>
      <c r="I3138" s="343"/>
      <c r="J3138" s="343"/>
      <c r="K3138" s="343"/>
      <c r="L3138" s="343"/>
    </row>
    <row r="3139" spans="4:12" x14ac:dyDescent="0.2">
      <c r="D3139" s="341"/>
      <c r="F3139" s="343"/>
      <c r="G3139" s="343"/>
      <c r="H3139" s="343"/>
      <c r="I3139" s="343"/>
      <c r="J3139" s="343"/>
      <c r="K3139" s="343"/>
      <c r="L3139" s="343"/>
    </row>
    <row r="3140" spans="4:12" x14ac:dyDescent="0.2">
      <c r="D3140" s="341"/>
      <c r="F3140" s="343"/>
      <c r="G3140" s="343"/>
      <c r="H3140" s="343"/>
      <c r="I3140" s="343"/>
      <c r="J3140" s="343"/>
      <c r="K3140" s="343"/>
      <c r="L3140" s="343"/>
    </row>
    <row r="3141" spans="4:12" x14ac:dyDescent="0.2">
      <c r="D3141" s="341"/>
      <c r="F3141" s="343"/>
      <c r="G3141" s="343"/>
      <c r="H3141" s="343"/>
      <c r="I3141" s="343"/>
      <c r="J3141" s="343"/>
      <c r="K3141" s="343"/>
      <c r="L3141" s="343"/>
    </row>
    <row r="3142" spans="4:12" x14ac:dyDescent="0.2">
      <c r="D3142" s="341"/>
      <c r="F3142" s="343"/>
      <c r="G3142" s="343"/>
      <c r="H3142" s="343"/>
      <c r="I3142" s="343"/>
      <c r="J3142" s="343"/>
      <c r="K3142" s="343"/>
      <c r="L3142" s="343"/>
    </row>
    <row r="3143" spans="4:12" x14ac:dyDescent="0.2">
      <c r="D3143" s="341"/>
      <c r="F3143" s="343"/>
      <c r="G3143" s="343"/>
      <c r="H3143" s="343"/>
      <c r="I3143" s="343"/>
      <c r="J3143" s="343"/>
      <c r="K3143" s="343"/>
      <c r="L3143" s="343"/>
    </row>
    <row r="3144" spans="4:12" x14ac:dyDescent="0.2">
      <c r="D3144" s="341"/>
      <c r="F3144" s="343"/>
      <c r="G3144" s="343"/>
      <c r="H3144" s="343"/>
      <c r="I3144" s="343"/>
      <c r="J3144" s="343"/>
      <c r="K3144" s="343"/>
      <c r="L3144" s="343"/>
    </row>
    <row r="3145" spans="4:12" x14ac:dyDescent="0.2">
      <c r="D3145" s="341"/>
      <c r="F3145" s="343"/>
      <c r="G3145" s="343"/>
      <c r="H3145" s="343"/>
      <c r="I3145" s="343"/>
      <c r="J3145" s="343"/>
      <c r="K3145" s="343"/>
      <c r="L3145" s="343"/>
    </row>
    <row r="3146" spans="4:12" x14ac:dyDescent="0.2">
      <c r="D3146" s="341"/>
      <c r="F3146" s="343"/>
      <c r="G3146" s="343"/>
      <c r="H3146" s="343"/>
      <c r="I3146" s="343"/>
      <c r="J3146" s="343"/>
      <c r="K3146" s="343"/>
      <c r="L3146" s="343"/>
    </row>
    <row r="3147" spans="4:12" x14ac:dyDescent="0.2">
      <c r="D3147" s="341"/>
      <c r="F3147" s="343"/>
      <c r="G3147" s="343"/>
      <c r="H3147" s="343"/>
      <c r="I3147" s="343"/>
      <c r="J3147" s="343"/>
      <c r="K3147" s="343"/>
      <c r="L3147" s="343"/>
    </row>
    <row r="3148" spans="4:12" x14ac:dyDescent="0.2">
      <c r="D3148" s="341"/>
      <c r="F3148" s="343"/>
      <c r="G3148" s="343"/>
      <c r="H3148" s="343"/>
      <c r="I3148" s="343"/>
      <c r="J3148" s="343"/>
      <c r="K3148" s="343"/>
      <c r="L3148" s="343"/>
    </row>
    <row r="3149" spans="4:12" x14ac:dyDescent="0.2">
      <c r="D3149" s="341"/>
      <c r="F3149" s="343"/>
      <c r="G3149" s="343"/>
      <c r="H3149" s="343"/>
      <c r="I3149" s="343"/>
      <c r="J3149" s="343"/>
      <c r="K3149" s="343"/>
      <c r="L3149" s="343"/>
    </row>
    <row r="3150" spans="4:12" x14ac:dyDescent="0.2">
      <c r="D3150" s="341"/>
      <c r="F3150" s="343"/>
      <c r="G3150" s="343"/>
      <c r="H3150" s="343"/>
      <c r="I3150" s="343"/>
      <c r="J3150" s="343"/>
      <c r="K3150" s="343"/>
      <c r="L3150" s="343"/>
    </row>
    <row r="3151" spans="4:12" x14ac:dyDescent="0.2">
      <c r="D3151" s="341"/>
      <c r="F3151" s="343"/>
      <c r="G3151" s="343"/>
      <c r="H3151" s="343"/>
      <c r="I3151" s="343"/>
      <c r="J3151" s="343"/>
      <c r="K3151" s="343"/>
      <c r="L3151" s="343"/>
    </row>
    <row r="3152" spans="4:12" x14ac:dyDescent="0.2">
      <c r="D3152" s="341"/>
      <c r="F3152" s="343"/>
      <c r="G3152" s="343"/>
      <c r="H3152" s="343"/>
      <c r="I3152" s="343"/>
      <c r="J3152" s="343"/>
      <c r="K3152" s="343"/>
      <c r="L3152" s="343"/>
    </row>
    <row r="3153" spans="4:12" x14ac:dyDescent="0.2">
      <c r="D3153" s="341"/>
      <c r="F3153" s="343"/>
      <c r="G3153" s="343"/>
      <c r="H3153" s="343"/>
      <c r="I3153" s="343"/>
      <c r="J3153" s="343"/>
      <c r="K3153" s="343"/>
      <c r="L3153" s="343"/>
    </row>
    <row r="3154" spans="4:12" x14ac:dyDescent="0.2">
      <c r="D3154" s="341"/>
      <c r="F3154" s="343"/>
      <c r="G3154" s="343"/>
      <c r="H3154" s="343"/>
      <c r="I3154" s="343"/>
      <c r="J3154" s="343"/>
      <c r="K3154" s="343"/>
      <c r="L3154" s="343"/>
    </row>
    <row r="3155" spans="4:12" x14ac:dyDescent="0.2">
      <c r="D3155" s="341"/>
      <c r="F3155" s="343"/>
      <c r="G3155" s="343"/>
      <c r="H3155" s="343"/>
      <c r="I3155" s="343"/>
      <c r="J3155" s="343"/>
      <c r="K3155" s="343"/>
      <c r="L3155" s="343"/>
    </row>
    <row r="3156" spans="4:12" x14ac:dyDescent="0.2">
      <c r="D3156" s="341"/>
      <c r="F3156" s="343"/>
      <c r="G3156" s="343"/>
      <c r="H3156" s="343"/>
      <c r="I3156" s="343"/>
      <c r="J3156" s="343"/>
      <c r="K3156" s="343"/>
      <c r="L3156" s="343"/>
    </row>
    <row r="3157" spans="4:12" x14ac:dyDescent="0.2">
      <c r="D3157" s="341"/>
      <c r="F3157" s="343"/>
      <c r="G3157" s="343"/>
      <c r="H3157" s="343"/>
      <c r="I3157" s="343"/>
      <c r="J3157" s="343"/>
      <c r="K3157" s="343"/>
      <c r="L3157" s="343"/>
    </row>
    <row r="3158" spans="4:12" x14ac:dyDescent="0.2">
      <c r="D3158" s="341"/>
      <c r="F3158" s="343"/>
      <c r="G3158" s="343"/>
      <c r="H3158" s="343"/>
      <c r="I3158" s="343"/>
      <c r="J3158" s="343"/>
      <c r="K3158" s="343"/>
      <c r="L3158" s="343"/>
    </row>
    <row r="3159" spans="4:12" x14ac:dyDescent="0.2">
      <c r="D3159" s="341"/>
      <c r="F3159" s="343"/>
      <c r="G3159" s="343"/>
      <c r="H3159" s="343"/>
      <c r="I3159" s="343"/>
      <c r="J3159" s="343"/>
      <c r="K3159" s="343"/>
      <c r="L3159" s="343"/>
    </row>
    <row r="3160" spans="4:12" x14ac:dyDescent="0.2">
      <c r="D3160" s="341"/>
      <c r="F3160" s="343"/>
      <c r="G3160" s="343"/>
      <c r="H3160" s="343"/>
      <c r="I3160" s="343"/>
      <c r="J3160" s="343"/>
      <c r="K3160" s="343"/>
      <c r="L3160" s="343"/>
    </row>
    <row r="3161" spans="4:12" x14ac:dyDescent="0.2">
      <c r="D3161" s="341"/>
      <c r="F3161" s="343"/>
      <c r="G3161" s="343"/>
      <c r="H3161" s="343"/>
      <c r="I3161" s="343"/>
      <c r="J3161" s="343"/>
      <c r="K3161" s="343"/>
      <c r="L3161" s="343"/>
    </row>
    <row r="3162" spans="4:12" x14ac:dyDescent="0.2">
      <c r="D3162" s="341"/>
      <c r="F3162" s="343"/>
      <c r="G3162" s="343"/>
      <c r="H3162" s="343"/>
      <c r="I3162" s="343"/>
      <c r="J3162" s="343"/>
      <c r="K3162" s="343"/>
      <c r="L3162" s="343"/>
    </row>
    <row r="3163" spans="4:12" x14ac:dyDescent="0.2">
      <c r="D3163" s="341"/>
      <c r="F3163" s="343"/>
      <c r="G3163" s="343"/>
      <c r="H3163" s="343"/>
      <c r="I3163" s="343"/>
      <c r="J3163" s="343"/>
      <c r="K3163" s="343"/>
      <c r="L3163" s="343"/>
    </row>
    <row r="3164" spans="4:12" x14ac:dyDescent="0.2">
      <c r="D3164" s="341"/>
      <c r="F3164" s="343"/>
      <c r="G3164" s="343"/>
      <c r="H3164" s="343"/>
      <c r="I3164" s="343"/>
      <c r="J3164" s="343"/>
      <c r="K3164" s="343"/>
      <c r="L3164" s="343"/>
    </row>
    <row r="3165" spans="4:12" x14ac:dyDescent="0.2">
      <c r="D3165" s="341"/>
      <c r="F3165" s="343"/>
      <c r="G3165" s="343"/>
      <c r="H3165" s="343"/>
      <c r="I3165" s="343"/>
      <c r="J3165" s="343"/>
      <c r="K3165" s="343"/>
      <c r="L3165" s="343"/>
    </row>
    <row r="3166" spans="4:12" x14ac:dyDescent="0.2">
      <c r="D3166" s="341"/>
      <c r="F3166" s="343"/>
      <c r="G3166" s="343"/>
      <c r="H3166" s="343"/>
      <c r="I3166" s="343"/>
      <c r="J3166" s="343"/>
      <c r="K3166" s="343"/>
      <c r="L3166" s="343"/>
    </row>
    <row r="3167" spans="4:12" x14ac:dyDescent="0.2">
      <c r="D3167" s="341"/>
      <c r="F3167" s="343"/>
      <c r="G3167" s="343"/>
      <c r="H3167" s="343"/>
      <c r="I3167" s="343"/>
      <c r="J3167" s="343"/>
      <c r="K3167" s="343"/>
      <c r="L3167" s="343"/>
    </row>
    <row r="3168" spans="4:12" x14ac:dyDescent="0.2">
      <c r="D3168" s="341"/>
      <c r="F3168" s="343"/>
      <c r="G3168" s="343"/>
      <c r="H3168" s="343"/>
      <c r="I3168" s="343"/>
      <c r="J3168" s="343"/>
      <c r="K3168" s="343"/>
      <c r="L3168" s="343"/>
    </row>
    <row r="3169" spans="4:12" x14ac:dyDescent="0.2">
      <c r="D3169" s="341"/>
      <c r="F3169" s="343"/>
      <c r="G3169" s="343"/>
      <c r="H3169" s="343"/>
      <c r="I3169" s="343"/>
      <c r="J3169" s="343"/>
      <c r="K3169" s="343"/>
      <c r="L3169" s="343"/>
    </row>
    <row r="3170" spans="4:12" x14ac:dyDescent="0.2">
      <c r="D3170" s="341"/>
      <c r="F3170" s="343"/>
      <c r="G3170" s="343"/>
      <c r="H3170" s="343"/>
      <c r="I3170" s="343"/>
      <c r="J3170" s="343"/>
      <c r="K3170" s="343"/>
      <c r="L3170" s="343"/>
    </row>
    <row r="3171" spans="4:12" x14ac:dyDescent="0.2">
      <c r="D3171" s="341"/>
      <c r="F3171" s="343"/>
      <c r="G3171" s="343"/>
      <c r="H3171" s="343"/>
      <c r="I3171" s="343"/>
      <c r="J3171" s="343"/>
      <c r="K3171" s="343"/>
      <c r="L3171" s="343"/>
    </row>
    <row r="3172" spans="4:12" x14ac:dyDescent="0.2">
      <c r="D3172" s="341"/>
      <c r="F3172" s="343"/>
      <c r="G3172" s="343"/>
      <c r="H3172" s="343"/>
      <c r="I3172" s="343"/>
      <c r="J3172" s="343"/>
      <c r="K3172" s="343"/>
      <c r="L3172" s="343"/>
    </row>
    <row r="3173" spans="4:12" x14ac:dyDescent="0.2">
      <c r="D3173" s="341"/>
      <c r="F3173" s="343"/>
      <c r="G3173" s="343"/>
      <c r="H3173" s="343"/>
      <c r="I3173" s="343"/>
      <c r="J3173" s="343"/>
      <c r="K3173" s="343"/>
      <c r="L3173" s="343"/>
    </row>
    <row r="3174" spans="4:12" x14ac:dyDescent="0.2">
      <c r="D3174" s="341"/>
      <c r="F3174" s="343"/>
      <c r="G3174" s="343"/>
      <c r="H3174" s="343"/>
      <c r="I3174" s="343"/>
      <c r="J3174" s="343"/>
      <c r="K3174" s="343"/>
      <c r="L3174" s="343"/>
    </row>
    <row r="3175" spans="4:12" x14ac:dyDescent="0.2">
      <c r="D3175" s="341"/>
      <c r="F3175" s="343"/>
      <c r="G3175" s="343"/>
      <c r="H3175" s="343"/>
      <c r="I3175" s="343"/>
      <c r="J3175" s="343"/>
      <c r="K3175" s="343"/>
      <c r="L3175" s="343"/>
    </row>
    <row r="3176" spans="4:12" x14ac:dyDescent="0.2">
      <c r="D3176" s="341"/>
      <c r="F3176" s="343"/>
      <c r="G3176" s="343"/>
      <c r="H3176" s="343"/>
      <c r="I3176" s="343"/>
      <c r="J3176" s="343"/>
      <c r="K3176" s="343"/>
      <c r="L3176" s="343"/>
    </row>
    <row r="3177" spans="4:12" x14ac:dyDescent="0.2">
      <c r="D3177" s="341"/>
      <c r="F3177" s="343"/>
      <c r="G3177" s="343"/>
      <c r="H3177" s="343"/>
      <c r="I3177" s="343"/>
      <c r="J3177" s="343"/>
      <c r="K3177" s="343"/>
      <c r="L3177" s="343"/>
    </row>
    <row r="3178" spans="4:12" x14ac:dyDescent="0.2">
      <c r="D3178" s="341"/>
      <c r="F3178" s="343"/>
      <c r="G3178" s="343"/>
      <c r="H3178" s="343"/>
      <c r="I3178" s="343"/>
      <c r="J3178" s="343"/>
      <c r="K3178" s="343"/>
      <c r="L3178" s="343"/>
    </row>
    <row r="3179" spans="4:12" x14ac:dyDescent="0.2">
      <c r="D3179" s="341"/>
      <c r="F3179" s="343"/>
      <c r="G3179" s="343"/>
      <c r="H3179" s="343"/>
      <c r="I3179" s="343"/>
      <c r="J3179" s="343"/>
      <c r="K3179" s="343"/>
      <c r="L3179" s="343"/>
    </row>
    <row r="3180" spans="4:12" x14ac:dyDescent="0.2">
      <c r="D3180" s="341"/>
      <c r="F3180" s="343"/>
      <c r="G3180" s="343"/>
      <c r="H3180" s="343"/>
      <c r="I3180" s="343"/>
      <c r="J3180" s="343"/>
      <c r="K3180" s="343"/>
      <c r="L3180" s="343"/>
    </row>
    <row r="3181" spans="4:12" x14ac:dyDescent="0.2">
      <c r="D3181" s="341"/>
      <c r="F3181" s="343"/>
      <c r="G3181" s="343"/>
      <c r="H3181" s="343"/>
      <c r="I3181" s="343"/>
      <c r="J3181" s="343"/>
      <c r="K3181" s="343"/>
      <c r="L3181" s="343"/>
    </row>
    <row r="3182" spans="4:12" x14ac:dyDescent="0.2">
      <c r="D3182" s="341"/>
      <c r="F3182" s="343"/>
      <c r="G3182" s="343"/>
      <c r="H3182" s="343"/>
      <c r="I3182" s="343"/>
      <c r="J3182" s="343"/>
      <c r="K3182" s="343"/>
      <c r="L3182" s="343"/>
    </row>
    <row r="3183" spans="4:12" x14ac:dyDescent="0.2">
      <c r="D3183" s="341"/>
      <c r="F3183" s="343"/>
      <c r="G3183" s="343"/>
      <c r="H3183" s="343"/>
      <c r="I3183" s="343"/>
      <c r="J3183" s="343"/>
      <c r="K3183" s="343"/>
      <c r="L3183" s="343"/>
    </row>
    <row r="3184" spans="4:12" x14ac:dyDescent="0.2">
      <c r="D3184" s="341"/>
      <c r="F3184" s="343"/>
      <c r="G3184" s="343"/>
      <c r="H3184" s="343"/>
      <c r="I3184" s="343"/>
      <c r="J3184" s="343"/>
      <c r="K3184" s="343"/>
      <c r="L3184" s="343"/>
    </row>
    <row r="3185" spans="4:12" x14ac:dyDescent="0.2">
      <c r="D3185" s="341"/>
      <c r="F3185" s="343"/>
      <c r="G3185" s="343"/>
      <c r="H3185" s="343"/>
      <c r="I3185" s="343"/>
      <c r="J3185" s="343"/>
      <c r="K3185" s="343"/>
      <c r="L3185" s="343"/>
    </row>
    <row r="3186" spans="4:12" x14ac:dyDescent="0.2">
      <c r="D3186" s="341"/>
      <c r="F3186" s="343"/>
      <c r="G3186" s="343"/>
      <c r="H3186" s="343"/>
      <c r="I3186" s="343"/>
      <c r="J3186" s="343"/>
      <c r="K3186" s="343"/>
      <c r="L3186" s="343"/>
    </row>
    <row r="3187" spans="4:12" x14ac:dyDescent="0.2">
      <c r="D3187" s="341"/>
      <c r="F3187" s="343"/>
      <c r="G3187" s="343"/>
      <c r="H3187" s="343"/>
      <c r="I3187" s="343"/>
      <c r="J3187" s="343"/>
      <c r="K3187" s="343"/>
      <c r="L3187" s="343"/>
    </row>
    <row r="3188" spans="4:12" x14ac:dyDescent="0.2">
      <c r="D3188" s="341"/>
      <c r="F3188" s="343"/>
      <c r="G3188" s="343"/>
      <c r="H3188" s="343"/>
      <c r="I3188" s="343"/>
      <c r="J3188" s="343"/>
      <c r="K3188" s="343"/>
      <c r="L3188" s="343"/>
    </row>
    <row r="3189" spans="4:12" x14ac:dyDescent="0.2">
      <c r="D3189" s="341"/>
      <c r="F3189" s="343"/>
      <c r="G3189" s="343"/>
      <c r="H3189" s="343"/>
      <c r="I3189" s="343"/>
      <c r="J3189" s="343"/>
      <c r="K3189" s="343"/>
      <c r="L3189" s="343"/>
    </row>
    <row r="3190" spans="4:12" x14ac:dyDescent="0.2">
      <c r="D3190" s="341"/>
      <c r="F3190" s="343"/>
      <c r="G3190" s="343"/>
      <c r="H3190" s="343"/>
      <c r="I3190" s="343"/>
      <c r="J3190" s="343"/>
      <c r="K3190" s="343"/>
      <c r="L3190" s="343"/>
    </row>
    <row r="3191" spans="4:12" x14ac:dyDescent="0.2">
      <c r="D3191" s="341"/>
      <c r="F3191" s="343"/>
      <c r="G3191" s="343"/>
      <c r="H3191" s="343"/>
      <c r="I3191" s="343"/>
      <c r="J3191" s="343"/>
      <c r="K3191" s="343"/>
      <c r="L3191" s="343"/>
    </row>
    <row r="3192" spans="4:12" x14ac:dyDescent="0.2">
      <c r="D3192" s="341"/>
      <c r="F3192" s="343"/>
      <c r="G3192" s="343"/>
      <c r="H3192" s="343"/>
      <c r="I3192" s="343"/>
      <c r="J3192" s="343"/>
      <c r="K3192" s="343"/>
      <c r="L3192" s="343"/>
    </row>
    <row r="3193" spans="4:12" x14ac:dyDescent="0.2">
      <c r="D3193" s="341"/>
      <c r="F3193" s="343"/>
      <c r="G3193" s="343"/>
      <c r="H3193" s="343"/>
      <c r="I3193" s="343"/>
      <c r="J3193" s="343"/>
      <c r="K3193" s="343"/>
      <c r="L3193" s="343"/>
    </row>
    <row r="3194" spans="4:12" x14ac:dyDescent="0.2">
      <c r="D3194" s="341"/>
      <c r="F3194" s="343"/>
      <c r="G3194" s="343"/>
      <c r="H3194" s="343"/>
      <c r="I3194" s="343"/>
      <c r="J3194" s="343"/>
      <c r="K3194" s="343"/>
      <c r="L3194" s="343"/>
    </row>
    <row r="3195" spans="4:12" x14ac:dyDescent="0.2">
      <c r="D3195" s="341"/>
      <c r="F3195" s="343"/>
      <c r="G3195" s="343"/>
      <c r="H3195" s="343"/>
      <c r="I3195" s="343"/>
      <c r="J3195" s="343"/>
      <c r="K3195" s="343"/>
      <c r="L3195" s="343"/>
    </row>
    <row r="3196" spans="4:12" x14ac:dyDescent="0.2">
      <c r="D3196" s="341"/>
      <c r="F3196" s="343"/>
      <c r="G3196" s="343"/>
      <c r="H3196" s="343"/>
      <c r="I3196" s="343"/>
      <c r="J3196" s="343"/>
      <c r="K3196" s="343"/>
      <c r="L3196" s="343"/>
    </row>
    <row r="3197" spans="4:12" x14ac:dyDescent="0.2">
      <c r="D3197" s="341"/>
      <c r="F3197" s="343"/>
      <c r="G3197" s="343"/>
      <c r="H3197" s="343"/>
      <c r="I3197" s="343"/>
      <c r="J3197" s="343"/>
      <c r="K3197" s="343"/>
      <c r="L3197" s="343"/>
    </row>
    <row r="3198" spans="4:12" x14ac:dyDescent="0.2">
      <c r="D3198" s="341"/>
      <c r="F3198" s="343"/>
      <c r="G3198" s="343"/>
      <c r="H3198" s="343"/>
      <c r="I3198" s="343"/>
      <c r="J3198" s="343"/>
      <c r="K3198" s="343"/>
      <c r="L3198" s="343"/>
    </row>
    <row r="3199" spans="4:12" x14ac:dyDescent="0.2">
      <c r="D3199" s="341"/>
      <c r="F3199" s="343"/>
      <c r="G3199" s="343"/>
      <c r="H3199" s="343"/>
      <c r="I3199" s="343"/>
      <c r="J3199" s="343"/>
      <c r="K3199" s="343"/>
      <c r="L3199" s="343"/>
    </row>
    <row r="3200" spans="4:12" x14ac:dyDescent="0.2">
      <c r="D3200" s="341"/>
      <c r="F3200" s="343"/>
      <c r="G3200" s="343"/>
      <c r="H3200" s="343"/>
      <c r="I3200" s="343"/>
      <c r="J3200" s="343"/>
      <c r="K3200" s="343"/>
      <c r="L3200" s="343"/>
    </row>
    <row r="3201" spans="4:12" x14ac:dyDescent="0.2">
      <c r="D3201" s="341"/>
      <c r="F3201" s="343"/>
      <c r="G3201" s="343"/>
      <c r="H3201" s="343"/>
      <c r="I3201" s="343"/>
      <c r="J3201" s="343"/>
      <c r="K3201" s="343"/>
      <c r="L3201" s="343"/>
    </row>
    <row r="3202" spans="4:12" x14ac:dyDescent="0.2">
      <c r="D3202" s="341"/>
      <c r="F3202" s="343"/>
      <c r="G3202" s="343"/>
      <c r="H3202" s="343"/>
      <c r="I3202" s="343"/>
      <c r="J3202" s="343"/>
      <c r="K3202" s="343"/>
      <c r="L3202" s="343"/>
    </row>
    <row r="3203" spans="4:12" x14ac:dyDescent="0.2">
      <c r="D3203" s="341"/>
      <c r="F3203" s="343"/>
      <c r="G3203" s="343"/>
      <c r="H3203" s="343"/>
      <c r="I3203" s="343"/>
      <c r="J3203" s="343"/>
      <c r="K3203" s="343"/>
      <c r="L3203" s="343"/>
    </row>
    <row r="3204" spans="4:12" x14ac:dyDescent="0.2">
      <c r="D3204" s="341"/>
      <c r="F3204" s="343"/>
      <c r="G3204" s="343"/>
      <c r="H3204" s="343"/>
      <c r="I3204" s="343"/>
      <c r="J3204" s="343"/>
      <c r="K3204" s="343"/>
      <c r="L3204" s="343"/>
    </row>
    <row r="3205" spans="4:12" x14ac:dyDescent="0.2">
      <c r="D3205" s="341"/>
      <c r="F3205" s="343"/>
      <c r="G3205" s="343"/>
      <c r="H3205" s="343"/>
      <c r="I3205" s="343"/>
      <c r="J3205" s="343"/>
      <c r="K3205" s="343"/>
      <c r="L3205" s="343"/>
    </row>
    <row r="3206" spans="4:12" x14ac:dyDescent="0.2">
      <c r="D3206" s="341"/>
      <c r="F3206" s="343"/>
      <c r="G3206" s="343"/>
      <c r="H3206" s="343"/>
      <c r="I3206" s="343"/>
      <c r="J3206" s="343"/>
      <c r="K3206" s="343"/>
      <c r="L3206" s="343"/>
    </row>
    <row r="3207" spans="4:12" x14ac:dyDescent="0.2">
      <c r="D3207" s="341"/>
      <c r="F3207" s="343"/>
      <c r="G3207" s="343"/>
      <c r="H3207" s="343"/>
      <c r="I3207" s="343"/>
      <c r="J3207" s="343"/>
      <c r="K3207" s="343"/>
      <c r="L3207" s="343"/>
    </row>
    <row r="3208" spans="4:12" x14ac:dyDescent="0.2">
      <c r="D3208" s="341"/>
      <c r="F3208" s="343"/>
      <c r="G3208" s="343"/>
      <c r="H3208" s="343"/>
      <c r="I3208" s="343"/>
      <c r="J3208" s="343"/>
      <c r="K3208" s="343"/>
      <c r="L3208" s="343"/>
    </row>
    <row r="3209" spans="4:12" x14ac:dyDescent="0.2">
      <c r="D3209" s="341"/>
      <c r="F3209" s="343"/>
      <c r="G3209" s="343"/>
      <c r="H3209" s="343"/>
      <c r="I3209" s="343"/>
      <c r="J3209" s="343"/>
      <c r="K3209" s="343"/>
      <c r="L3209" s="343"/>
    </row>
    <row r="3210" spans="4:12" x14ac:dyDescent="0.2">
      <c r="D3210" s="341"/>
      <c r="F3210" s="343"/>
      <c r="G3210" s="343"/>
      <c r="H3210" s="343"/>
      <c r="I3210" s="343"/>
      <c r="J3210" s="343"/>
      <c r="K3210" s="343"/>
      <c r="L3210" s="343"/>
    </row>
    <row r="3211" spans="4:12" x14ac:dyDescent="0.2">
      <c r="D3211" s="341"/>
      <c r="F3211" s="343"/>
      <c r="G3211" s="343"/>
      <c r="H3211" s="343"/>
      <c r="I3211" s="343"/>
      <c r="J3211" s="343"/>
      <c r="K3211" s="343"/>
      <c r="L3211" s="343"/>
    </row>
    <row r="3212" spans="4:12" x14ac:dyDescent="0.2">
      <c r="D3212" s="341"/>
      <c r="F3212" s="343"/>
      <c r="G3212" s="343"/>
      <c r="H3212" s="343"/>
      <c r="I3212" s="343"/>
      <c r="J3212" s="343"/>
      <c r="K3212" s="343"/>
      <c r="L3212" s="343"/>
    </row>
    <row r="3213" spans="4:12" x14ac:dyDescent="0.2">
      <c r="D3213" s="341"/>
      <c r="F3213" s="343"/>
      <c r="G3213" s="343"/>
      <c r="H3213" s="343"/>
      <c r="I3213" s="343"/>
      <c r="J3213" s="343"/>
      <c r="K3213" s="343"/>
      <c r="L3213" s="343"/>
    </row>
    <row r="3214" spans="4:12" x14ac:dyDescent="0.2">
      <c r="D3214" s="341"/>
      <c r="F3214" s="343"/>
      <c r="G3214" s="343"/>
      <c r="H3214" s="343"/>
      <c r="I3214" s="343"/>
      <c r="J3214" s="343"/>
      <c r="K3214" s="343"/>
      <c r="L3214" s="343"/>
    </row>
    <row r="3215" spans="4:12" x14ac:dyDescent="0.2">
      <c r="D3215" s="341"/>
      <c r="F3215" s="343"/>
      <c r="G3215" s="343"/>
      <c r="H3215" s="343"/>
      <c r="I3215" s="343"/>
      <c r="J3215" s="343"/>
      <c r="K3215" s="343"/>
      <c r="L3215" s="343"/>
    </row>
    <row r="3216" spans="4:12" x14ac:dyDescent="0.2">
      <c r="D3216" s="341"/>
      <c r="F3216" s="343"/>
      <c r="G3216" s="343"/>
      <c r="H3216" s="343"/>
      <c r="I3216" s="343"/>
      <c r="J3216" s="343"/>
      <c r="K3216" s="343"/>
      <c r="L3216" s="343"/>
    </row>
    <row r="3217" spans="4:12" x14ac:dyDescent="0.2">
      <c r="D3217" s="341"/>
      <c r="F3217" s="343"/>
      <c r="G3217" s="343"/>
      <c r="H3217" s="343"/>
      <c r="I3217" s="343"/>
      <c r="J3217" s="343"/>
      <c r="K3217" s="343"/>
      <c r="L3217" s="343"/>
    </row>
    <row r="3218" spans="4:12" x14ac:dyDescent="0.2">
      <c r="D3218" s="341"/>
      <c r="F3218" s="343"/>
      <c r="G3218" s="343"/>
      <c r="H3218" s="343"/>
      <c r="I3218" s="343"/>
      <c r="J3218" s="343"/>
      <c r="K3218" s="343"/>
      <c r="L3218" s="343"/>
    </row>
    <row r="3219" spans="4:12" x14ac:dyDescent="0.2">
      <c r="D3219" s="341"/>
      <c r="F3219" s="343"/>
      <c r="G3219" s="343"/>
      <c r="H3219" s="343"/>
      <c r="I3219" s="343"/>
      <c r="J3219" s="343"/>
      <c r="K3219" s="343"/>
      <c r="L3219" s="343"/>
    </row>
    <row r="3220" spans="4:12" x14ac:dyDescent="0.2">
      <c r="D3220" s="341"/>
      <c r="F3220" s="343"/>
      <c r="G3220" s="343"/>
      <c r="H3220" s="343"/>
      <c r="I3220" s="343"/>
      <c r="J3220" s="343"/>
      <c r="K3220" s="343"/>
      <c r="L3220" s="343"/>
    </row>
    <row r="3221" spans="4:12" x14ac:dyDescent="0.2">
      <c r="D3221" s="341"/>
      <c r="F3221" s="343"/>
      <c r="G3221" s="343"/>
      <c r="H3221" s="343"/>
      <c r="I3221" s="343"/>
      <c r="J3221" s="343"/>
      <c r="K3221" s="343"/>
      <c r="L3221" s="343"/>
    </row>
    <row r="3222" spans="4:12" x14ac:dyDescent="0.2">
      <c r="D3222" s="341"/>
      <c r="F3222" s="343"/>
      <c r="G3222" s="343"/>
      <c r="H3222" s="343"/>
      <c r="I3222" s="343"/>
      <c r="J3222" s="343"/>
      <c r="K3222" s="343"/>
      <c r="L3222" s="343"/>
    </row>
    <row r="3223" spans="4:12" x14ac:dyDescent="0.2">
      <c r="D3223" s="341"/>
      <c r="F3223" s="343"/>
      <c r="G3223" s="343"/>
      <c r="H3223" s="343"/>
      <c r="I3223" s="343"/>
      <c r="J3223" s="343"/>
      <c r="K3223" s="343"/>
      <c r="L3223" s="343"/>
    </row>
    <row r="3224" spans="4:12" x14ac:dyDescent="0.2">
      <c r="D3224" s="341"/>
      <c r="F3224" s="343"/>
      <c r="G3224" s="343"/>
      <c r="H3224" s="343"/>
      <c r="I3224" s="343"/>
      <c r="J3224" s="343"/>
      <c r="K3224" s="343"/>
      <c r="L3224" s="343"/>
    </row>
    <row r="3225" spans="4:12" x14ac:dyDescent="0.2">
      <c r="D3225" s="341"/>
      <c r="F3225" s="343"/>
      <c r="G3225" s="343"/>
      <c r="H3225" s="343"/>
      <c r="I3225" s="343"/>
      <c r="J3225" s="343"/>
      <c r="K3225" s="343"/>
      <c r="L3225" s="343"/>
    </row>
    <row r="3226" spans="4:12" x14ac:dyDescent="0.2">
      <c r="D3226" s="341"/>
      <c r="F3226" s="343"/>
      <c r="G3226" s="343"/>
      <c r="H3226" s="343"/>
      <c r="I3226" s="343"/>
      <c r="J3226" s="343"/>
      <c r="K3226" s="343"/>
      <c r="L3226" s="343"/>
    </row>
    <row r="3227" spans="4:12" x14ac:dyDescent="0.2">
      <c r="D3227" s="341"/>
      <c r="F3227" s="343"/>
      <c r="G3227" s="343"/>
      <c r="H3227" s="343"/>
      <c r="I3227" s="343"/>
      <c r="J3227" s="343"/>
      <c r="K3227" s="343"/>
      <c r="L3227" s="343"/>
    </row>
    <row r="3228" spans="4:12" x14ac:dyDescent="0.2">
      <c r="D3228" s="341"/>
      <c r="F3228" s="343"/>
      <c r="G3228" s="343"/>
      <c r="H3228" s="343"/>
      <c r="I3228" s="343"/>
      <c r="J3228" s="343"/>
      <c r="K3228" s="343"/>
      <c r="L3228" s="343"/>
    </row>
    <row r="3229" spans="4:12" x14ac:dyDescent="0.2">
      <c r="D3229" s="341"/>
      <c r="F3229" s="343"/>
      <c r="G3229" s="343"/>
      <c r="H3229" s="343"/>
      <c r="I3229" s="343"/>
      <c r="J3229" s="343"/>
      <c r="K3229" s="343"/>
      <c r="L3229" s="343"/>
    </row>
    <row r="3230" spans="4:12" x14ac:dyDescent="0.2">
      <c r="D3230" s="341"/>
      <c r="F3230" s="343"/>
      <c r="G3230" s="343"/>
      <c r="H3230" s="343"/>
      <c r="I3230" s="343"/>
      <c r="J3230" s="343"/>
      <c r="K3230" s="343"/>
      <c r="L3230" s="343"/>
    </row>
    <row r="3231" spans="4:12" x14ac:dyDescent="0.2">
      <c r="D3231" s="341"/>
      <c r="F3231" s="343"/>
      <c r="G3231" s="343"/>
      <c r="H3231" s="343"/>
      <c r="I3231" s="343"/>
      <c r="J3231" s="343"/>
      <c r="K3231" s="343"/>
      <c r="L3231" s="343"/>
    </row>
    <row r="3232" spans="4:12" x14ac:dyDescent="0.2">
      <c r="D3232" s="341"/>
      <c r="F3232" s="343"/>
      <c r="G3232" s="343"/>
      <c r="H3232" s="343"/>
      <c r="I3232" s="343"/>
      <c r="J3232" s="343"/>
      <c r="K3232" s="343"/>
      <c r="L3232" s="343"/>
    </row>
    <row r="3233" spans="4:12" x14ac:dyDescent="0.2">
      <c r="D3233" s="341"/>
      <c r="F3233" s="343"/>
      <c r="G3233" s="343"/>
      <c r="H3233" s="343"/>
      <c r="I3233" s="343"/>
      <c r="J3233" s="343"/>
      <c r="K3233" s="343"/>
      <c r="L3233" s="343"/>
    </row>
    <row r="3234" spans="4:12" x14ac:dyDescent="0.2">
      <c r="D3234" s="341"/>
      <c r="F3234" s="343"/>
      <c r="G3234" s="343"/>
      <c r="H3234" s="343"/>
      <c r="I3234" s="343"/>
      <c r="J3234" s="343"/>
      <c r="K3234" s="343"/>
      <c r="L3234" s="343"/>
    </row>
    <row r="3235" spans="4:12" x14ac:dyDescent="0.2">
      <c r="D3235" s="341"/>
      <c r="F3235" s="343"/>
      <c r="G3235" s="343"/>
      <c r="H3235" s="343"/>
      <c r="I3235" s="343"/>
      <c r="J3235" s="343"/>
      <c r="K3235" s="343"/>
      <c r="L3235" s="343"/>
    </row>
    <row r="3236" spans="4:12" x14ac:dyDescent="0.2">
      <c r="D3236" s="341"/>
      <c r="F3236" s="343"/>
      <c r="G3236" s="343"/>
      <c r="H3236" s="343"/>
      <c r="I3236" s="343"/>
      <c r="J3236" s="343"/>
      <c r="K3236" s="343"/>
      <c r="L3236" s="343"/>
    </row>
    <row r="3237" spans="4:12" x14ac:dyDescent="0.2">
      <c r="D3237" s="341"/>
      <c r="F3237" s="343"/>
      <c r="G3237" s="343"/>
      <c r="H3237" s="343"/>
      <c r="I3237" s="343"/>
      <c r="J3237" s="343"/>
      <c r="K3237" s="343"/>
      <c r="L3237" s="343"/>
    </row>
    <row r="3238" spans="4:12" x14ac:dyDescent="0.2">
      <c r="D3238" s="341"/>
      <c r="F3238" s="343"/>
      <c r="G3238" s="343"/>
      <c r="H3238" s="343"/>
      <c r="I3238" s="343"/>
      <c r="J3238" s="343"/>
      <c r="K3238" s="343"/>
      <c r="L3238" s="343"/>
    </row>
    <row r="3239" spans="4:12" x14ac:dyDescent="0.2">
      <c r="D3239" s="341"/>
      <c r="F3239" s="343"/>
      <c r="G3239" s="343"/>
      <c r="H3239" s="343"/>
      <c r="I3239" s="343"/>
      <c r="J3239" s="343"/>
      <c r="K3239" s="343"/>
      <c r="L3239" s="343"/>
    </row>
    <row r="3240" spans="4:12" x14ac:dyDescent="0.2">
      <c r="D3240" s="341"/>
      <c r="F3240" s="343"/>
      <c r="G3240" s="343"/>
      <c r="H3240" s="343"/>
      <c r="I3240" s="343"/>
      <c r="J3240" s="343"/>
      <c r="K3240" s="343"/>
      <c r="L3240" s="343"/>
    </row>
    <row r="3241" spans="4:12" x14ac:dyDescent="0.2">
      <c r="D3241" s="341"/>
      <c r="F3241" s="343"/>
      <c r="G3241" s="343"/>
      <c r="H3241" s="343"/>
      <c r="I3241" s="343"/>
      <c r="J3241" s="343"/>
      <c r="K3241" s="343"/>
      <c r="L3241" s="343"/>
    </row>
    <row r="3242" spans="4:12" x14ac:dyDescent="0.2">
      <c r="D3242" s="341"/>
      <c r="F3242" s="343"/>
      <c r="G3242" s="343"/>
      <c r="H3242" s="343"/>
      <c r="I3242" s="343"/>
      <c r="J3242" s="343"/>
      <c r="K3242" s="343"/>
      <c r="L3242" s="343"/>
    </row>
    <row r="3243" spans="4:12" x14ac:dyDescent="0.2">
      <c r="D3243" s="341"/>
      <c r="F3243" s="343"/>
      <c r="G3243" s="343"/>
      <c r="H3243" s="343"/>
      <c r="I3243" s="343"/>
      <c r="J3243" s="343"/>
      <c r="K3243" s="343"/>
      <c r="L3243" s="343"/>
    </row>
    <row r="3244" spans="4:12" x14ac:dyDescent="0.2">
      <c r="D3244" s="341"/>
      <c r="F3244" s="343"/>
      <c r="G3244" s="343"/>
      <c r="H3244" s="343"/>
      <c r="I3244" s="343"/>
      <c r="J3244" s="343"/>
      <c r="K3244" s="343"/>
      <c r="L3244" s="343"/>
    </row>
    <row r="3245" spans="4:12" x14ac:dyDescent="0.2">
      <c r="D3245" s="341"/>
      <c r="F3245" s="343"/>
      <c r="G3245" s="343"/>
      <c r="H3245" s="343"/>
      <c r="I3245" s="343"/>
      <c r="J3245" s="343"/>
      <c r="K3245" s="343"/>
      <c r="L3245" s="343"/>
    </row>
    <row r="3246" spans="4:12" x14ac:dyDescent="0.2">
      <c r="D3246" s="341"/>
      <c r="F3246" s="343"/>
      <c r="G3246" s="343"/>
      <c r="H3246" s="343"/>
      <c r="I3246" s="343"/>
      <c r="J3246" s="343"/>
      <c r="K3246" s="343"/>
      <c r="L3246" s="343"/>
    </row>
    <row r="3247" spans="4:12" x14ac:dyDescent="0.2">
      <c r="D3247" s="341"/>
      <c r="F3247" s="343"/>
      <c r="G3247" s="343"/>
      <c r="H3247" s="343"/>
      <c r="I3247" s="343"/>
      <c r="J3247" s="343"/>
      <c r="K3247" s="343"/>
      <c r="L3247" s="343"/>
    </row>
    <row r="3248" spans="4:12" x14ac:dyDescent="0.2">
      <c r="D3248" s="341"/>
      <c r="F3248" s="343"/>
      <c r="G3248" s="343"/>
      <c r="H3248" s="343"/>
      <c r="I3248" s="343"/>
      <c r="J3248" s="343"/>
      <c r="K3248" s="343"/>
      <c r="L3248" s="343"/>
    </row>
    <row r="3249" spans="4:12" x14ac:dyDescent="0.2">
      <c r="D3249" s="341"/>
      <c r="F3249" s="343"/>
      <c r="G3249" s="343"/>
      <c r="H3249" s="343"/>
      <c r="I3249" s="343"/>
      <c r="J3249" s="343"/>
      <c r="K3249" s="343"/>
      <c r="L3249" s="343"/>
    </row>
    <row r="3250" spans="4:12" x14ac:dyDescent="0.2">
      <c r="D3250" s="341"/>
      <c r="F3250" s="343"/>
      <c r="G3250" s="343"/>
      <c r="H3250" s="343"/>
      <c r="I3250" s="343"/>
      <c r="J3250" s="343"/>
      <c r="K3250" s="343"/>
      <c r="L3250" s="343"/>
    </row>
    <row r="3251" spans="4:12" x14ac:dyDescent="0.2">
      <c r="D3251" s="341"/>
      <c r="F3251" s="343"/>
      <c r="G3251" s="343"/>
      <c r="H3251" s="343"/>
      <c r="I3251" s="343"/>
      <c r="J3251" s="343"/>
      <c r="K3251" s="343"/>
      <c r="L3251" s="343"/>
    </row>
    <row r="3252" spans="4:12" x14ac:dyDescent="0.2">
      <c r="D3252" s="341"/>
      <c r="F3252" s="343"/>
      <c r="G3252" s="343"/>
      <c r="H3252" s="343"/>
      <c r="I3252" s="343"/>
      <c r="J3252" s="343"/>
      <c r="K3252" s="343"/>
      <c r="L3252" s="343"/>
    </row>
    <row r="3253" spans="4:12" x14ac:dyDescent="0.2">
      <c r="D3253" s="341"/>
      <c r="F3253" s="343"/>
      <c r="G3253" s="343"/>
      <c r="H3253" s="343"/>
      <c r="I3253" s="343"/>
      <c r="J3253" s="343"/>
      <c r="K3253" s="343"/>
      <c r="L3253" s="343"/>
    </row>
    <row r="3254" spans="4:12" x14ac:dyDescent="0.2">
      <c r="D3254" s="341"/>
      <c r="F3254" s="343"/>
      <c r="G3254" s="343"/>
      <c r="H3254" s="343"/>
      <c r="I3254" s="343"/>
      <c r="J3254" s="343"/>
      <c r="K3254" s="343"/>
      <c r="L3254" s="343"/>
    </row>
    <row r="3255" spans="4:12" x14ac:dyDescent="0.2">
      <c r="D3255" s="341"/>
      <c r="F3255" s="343"/>
      <c r="G3255" s="343"/>
      <c r="H3255" s="343"/>
      <c r="I3255" s="343"/>
      <c r="J3255" s="343"/>
      <c r="K3255" s="343"/>
      <c r="L3255" s="343"/>
    </row>
    <row r="3256" spans="4:12" x14ac:dyDescent="0.2">
      <c r="D3256" s="341"/>
      <c r="F3256" s="343"/>
      <c r="G3256" s="343"/>
      <c r="H3256" s="343"/>
      <c r="I3256" s="343"/>
      <c r="J3256" s="343"/>
      <c r="K3256" s="343"/>
      <c r="L3256" s="343"/>
    </row>
    <row r="3257" spans="4:12" x14ac:dyDescent="0.2">
      <c r="D3257" s="341"/>
      <c r="F3257" s="343"/>
      <c r="G3257" s="343"/>
      <c r="H3257" s="343"/>
      <c r="I3257" s="343"/>
      <c r="J3257" s="343"/>
      <c r="K3257" s="343"/>
      <c r="L3257" s="343"/>
    </row>
    <row r="3258" spans="4:12" x14ac:dyDescent="0.2">
      <c r="D3258" s="341"/>
      <c r="F3258" s="343"/>
      <c r="G3258" s="343"/>
      <c r="H3258" s="343"/>
      <c r="I3258" s="343"/>
      <c r="J3258" s="343"/>
      <c r="K3258" s="343"/>
      <c r="L3258" s="343"/>
    </row>
    <row r="3259" spans="4:12" x14ac:dyDescent="0.2">
      <c r="D3259" s="341"/>
      <c r="F3259" s="343"/>
      <c r="G3259" s="343"/>
      <c r="H3259" s="343"/>
      <c r="I3259" s="343"/>
      <c r="J3259" s="343"/>
      <c r="K3259" s="343"/>
      <c r="L3259" s="343"/>
    </row>
    <row r="3260" spans="4:12" x14ac:dyDescent="0.2">
      <c r="D3260" s="341"/>
      <c r="F3260" s="343"/>
      <c r="G3260" s="343"/>
      <c r="H3260" s="343"/>
      <c r="I3260" s="343"/>
      <c r="J3260" s="343"/>
      <c r="K3260" s="343"/>
      <c r="L3260" s="343"/>
    </row>
    <row r="3261" spans="4:12" x14ac:dyDescent="0.2">
      <c r="D3261" s="341"/>
      <c r="F3261" s="343"/>
      <c r="G3261" s="343"/>
      <c r="H3261" s="343"/>
      <c r="I3261" s="343"/>
      <c r="J3261" s="343"/>
      <c r="K3261" s="343"/>
      <c r="L3261" s="343"/>
    </row>
    <row r="3262" spans="4:12" x14ac:dyDescent="0.2">
      <c r="D3262" s="341"/>
      <c r="F3262" s="343"/>
      <c r="G3262" s="343"/>
      <c r="H3262" s="343"/>
      <c r="I3262" s="343"/>
      <c r="J3262" s="343"/>
      <c r="K3262" s="343"/>
      <c r="L3262" s="343"/>
    </row>
    <row r="3263" spans="4:12" x14ac:dyDescent="0.2">
      <c r="D3263" s="341"/>
      <c r="F3263" s="343"/>
      <c r="G3263" s="343"/>
      <c r="H3263" s="343"/>
      <c r="I3263" s="343"/>
      <c r="J3263" s="343"/>
      <c r="K3263" s="343"/>
      <c r="L3263" s="343"/>
    </row>
    <row r="3264" spans="4:12" x14ac:dyDescent="0.2">
      <c r="D3264" s="341"/>
      <c r="F3264" s="343"/>
      <c r="G3264" s="343"/>
      <c r="H3264" s="343"/>
      <c r="I3264" s="343"/>
      <c r="J3264" s="343"/>
      <c r="K3264" s="343"/>
      <c r="L3264" s="343"/>
    </row>
    <row r="3265" spans="4:12" x14ac:dyDescent="0.2">
      <c r="D3265" s="341"/>
      <c r="F3265" s="343"/>
      <c r="G3265" s="343"/>
      <c r="H3265" s="343"/>
      <c r="I3265" s="343"/>
      <c r="J3265" s="343"/>
      <c r="K3265" s="343"/>
      <c r="L3265" s="343"/>
    </row>
    <row r="3266" spans="4:12" x14ac:dyDescent="0.2">
      <c r="D3266" s="341"/>
      <c r="F3266" s="343"/>
      <c r="G3266" s="343"/>
      <c r="H3266" s="343"/>
      <c r="I3266" s="343"/>
      <c r="J3266" s="343"/>
      <c r="K3266" s="343"/>
      <c r="L3266" s="343"/>
    </row>
    <row r="3267" spans="4:12" x14ac:dyDescent="0.2">
      <c r="D3267" s="341"/>
      <c r="F3267" s="343"/>
      <c r="G3267" s="343"/>
      <c r="H3267" s="343"/>
      <c r="I3267" s="343"/>
      <c r="J3267" s="343"/>
      <c r="K3267" s="343"/>
      <c r="L3267" s="343"/>
    </row>
    <row r="3268" spans="4:12" x14ac:dyDescent="0.2">
      <c r="D3268" s="341"/>
      <c r="F3268" s="343"/>
      <c r="G3268" s="343"/>
      <c r="H3268" s="343"/>
      <c r="I3268" s="343"/>
      <c r="J3268" s="343"/>
      <c r="K3268" s="343"/>
      <c r="L3268" s="343"/>
    </row>
    <row r="3269" spans="4:12" x14ac:dyDescent="0.2">
      <c r="D3269" s="341"/>
      <c r="F3269" s="343"/>
      <c r="G3269" s="343"/>
      <c r="H3269" s="343"/>
      <c r="I3269" s="343"/>
      <c r="J3269" s="343"/>
      <c r="K3269" s="343"/>
      <c r="L3269" s="343"/>
    </row>
    <row r="3270" spans="4:12" x14ac:dyDescent="0.2">
      <c r="D3270" s="341"/>
      <c r="F3270" s="343"/>
      <c r="G3270" s="343"/>
      <c r="H3270" s="343"/>
      <c r="I3270" s="343"/>
      <c r="J3270" s="343"/>
      <c r="K3270" s="343"/>
      <c r="L3270" s="343"/>
    </row>
    <row r="3271" spans="4:12" x14ac:dyDescent="0.2">
      <c r="D3271" s="341"/>
      <c r="F3271" s="343"/>
      <c r="G3271" s="343"/>
      <c r="H3271" s="343"/>
      <c r="I3271" s="343"/>
      <c r="J3271" s="343"/>
      <c r="K3271" s="343"/>
      <c r="L3271" s="343"/>
    </row>
    <row r="3272" spans="4:12" x14ac:dyDescent="0.2">
      <c r="D3272" s="341"/>
      <c r="F3272" s="343"/>
      <c r="G3272" s="343"/>
      <c r="H3272" s="343"/>
      <c r="I3272" s="343"/>
      <c r="J3272" s="343"/>
      <c r="K3272" s="343"/>
      <c r="L3272" s="343"/>
    </row>
    <row r="3273" spans="4:12" x14ac:dyDescent="0.2">
      <c r="D3273" s="341"/>
      <c r="F3273" s="343"/>
      <c r="G3273" s="343"/>
      <c r="H3273" s="343"/>
      <c r="I3273" s="343"/>
      <c r="J3273" s="343"/>
      <c r="K3273" s="343"/>
      <c r="L3273" s="343"/>
    </row>
    <row r="3274" spans="4:12" x14ac:dyDescent="0.2">
      <c r="D3274" s="341"/>
      <c r="F3274" s="343"/>
      <c r="G3274" s="343"/>
      <c r="H3274" s="343"/>
      <c r="I3274" s="343"/>
      <c r="J3274" s="343"/>
      <c r="K3274" s="343"/>
      <c r="L3274" s="343"/>
    </row>
    <row r="3275" spans="4:12" x14ac:dyDescent="0.2">
      <c r="D3275" s="341"/>
      <c r="F3275" s="343"/>
      <c r="G3275" s="343"/>
      <c r="H3275" s="343"/>
      <c r="I3275" s="343"/>
      <c r="J3275" s="343"/>
      <c r="K3275" s="343"/>
      <c r="L3275" s="343"/>
    </row>
    <row r="3276" spans="4:12" x14ac:dyDescent="0.2">
      <c r="D3276" s="341"/>
      <c r="F3276" s="343"/>
      <c r="G3276" s="343"/>
      <c r="H3276" s="343"/>
      <c r="I3276" s="343"/>
      <c r="J3276" s="343"/>
      <c r="K3276" s="343"/>
      <c r="L3276" s="343"/>
    </row>
    <row r="3277" spans="4:12" x14ac:dyDescent="0.2">
      <c r="D3277" s="341"/>
      <c r="F3277" s="343"/>
      <c r="G3277" s="343"/>
      <c r="H3277" s="343"/>
      <c r="I3277" s="343"/>
      <c r="J3277" s="343"/>
      <c r="K3277" s="343"/>
      <c r="L3277" s="343"/>
    </row>
    <row r="3278" spans="4:12" x14ac:dyDescent="0.2">
      <c r="D3278" s="341"/>
      <c r="F3278" s="343"/>
      <c r="G3278" s="343"/>
      <c r="H3278" s="343"/>
      <c r="I3278" s="343"/>
      <c r="J3278" s="343"/>
      <c r="K3278" s="343"/>
      <c r="L3278" s="343"/>
    </row>
    <row r="3279" spans="4:12" x14ac:dyDescent="0.2">
      <c r="D3279" s="341"/>
      <c r="F3279" s="343"/>
      <c r="G3279" s="343"/>
      <c r="H3279" s="343"/>
      <c r="I3279" s="343"/>
      <c r="J3279" s="343"/>
      <c r="K3279" s="343"/>
      <c r="L3279" s="343"/>
    </row>
    <row r="3280" spans="4:12" x14ac:dyDescent="0.2">
      <c r="D3280" s="341"/>
      <c r="F3280" s="343"/>
      <c r="G3280" s="343"/>
      <c r="H3280" s="343"/>
      <c r="I3280" s="343"/>
      <c r="J3280" s="343"/>
      <c r="K3280" s="343"/>
      <c r="L3280" s="343"/>
    </row>
    <row r="3281" spans="4:12" x14ac:dyDescent="0.2">
      <c r="D3281" s="341"/>
      <c r="F3281" s="343"/>
      <c r="G3281" s="343"/>
      <c r="H3281" s="343"/>
      <c r="I3281" s="343"/>
      <c r="J3281" s="343"/>
      <c r="K3281" s="343"/>
      <c r="L3281" s="343"/>
    </row>
    <row r="3282" spans="4:12" x14ac:dyDescent="0.2">
      <c r="D3282" s="341"/>
      <c r="F3282" s="343"/>
      <c r="G3282" s="343"/>
      <c r="H3282" s="343"/>
      <c r="I3282" s="343"/>
      <c r="J3282" s="343"/>
      <c r="K3282" s="343"/>
      <c r="L3282" s="343"/>
    </row>
    <row r="3283" spans="4:12" x14ac:dyDescent="0.2">
      <c r="D3283" s="341"/>
      <c r="F3283" s="343"/>
      <c r="G3283" s="343"/>
      <c r="H3283" s="343"/>
      <c r="I3283" s="343"/>
      <c r="J3283" s="343"/>
      <c r="K3283" s="343"/>
      <c r="L3283" s="343"/>
    </row>
    <row r="3284" spans="4:12" x14ac:dyDescent="0.2">
      <c r="D3284" s="341"/>
      <c r="F3284" s="343"/>
      <c r="G3284" s="343"/>
      <c r="H3284" s="343"/>
      <c r="I3284" s="343"/>
      <c r="J3284" s="343"/>
      <c r="K3284" s="343"/>
      <c r="L3284" s="343"/>
    </row>
    <row r="3285" spans="4:12" x14ac:dyDescent="0.2">
      <c r="D3285" s="341"/>
      <c r="F3285" s="343"/>
      <c r="G3285" s="343"/>
      <c r="H3285" s="343"/>
      <c r="I3285" s="343"/>
      <c r="J3285" s="343"/>
      <c r="K3285" s="343"/>
      <c r="L3285" s="343"/>
    </row>
    <row r="3286" spans="4:12" x14ac:dyDescent="0.2">
      <c r="D3286" s="341"/>
      <c r="F3286" s="343"/>
      <c r="G3286" s="343"/>
      <c r="H3286" s="343"/>
      <c r="I3286" s="343"/>
      <c r="J3286" s="343"/>
      <c r="K3286" s="343"/>
      <c r="L3286" s="343"/>
    </row>
    <row r="3287" spans="4:12" x14ac:dyDescent="0.2">
      <c r="D3287" s="341"/>
      <c r="F3287" s="343"/>
      <c r="G3287" s="343"/>
      <c r="H3287" s="343"/>
      <c r="I3287" s="343"/>
      <c r="J3287" s="343"/>
      <c r="K3287" s="343"/>
      <c r="L3287" s="343"/>
    </row>
    <row r="3288" spans="4:12" x14ac:dyDescent="0.2">
      <c r="D3288" s="341"/>
      <c r="F3288" s="343"/>
      <c r="G3288" s="343"/>
      <c r="H3288" s="343"/>
      <c r="I3288" s="343"/>
      <c r="J3288" s="343"/>
      <c r="K3288" s="343"/>
      <c r="L3288" s="343"/>
    </row>
    <row r="3289" spans="4:12" x14ac:dyDescent="0.2">
      <c r="D3289" s="341"/>
      <c r="F3289" s="343"/>
      <c r="G3289" s="343"/>
      <c r="H3289" s="343"/>
      <c r="I3289" s="343"/>
      <c r="J3289" s="343"/>
      <c r="K3289" s="343"/>
      <c r="L3289" s="343"/>
    </row>
    <row r="3290" spans="4:12" x14ac:dyDescent="0.2">
      <c r="D3290" s="341"/>
      <c r="F3290" s="343"/>
      <c r="G3290" s="343"/>
      <c r="H3290" s="343"/>
      <c r="I3290" s="343"/>
      <c r="J3290" s="343"/>
      <c r="K3290" s="343"/>
      <c r="L3290" s="343"/>
    </row>
    <row r="3291" spans="4:12" x14ac:dyDescent="0.2">
      <c r="D3291" s="341"/>
      <c r="F3291" s="343"/>
      <c r="G3291" s="343"/>
      <c r="H3291" s="343"/>
      <c r="I3291" s="343"/>
      <c r="J3291" s="343"/>
      <c r="K3291" s="343"/>
      <c r="L3291" s="343"/>
    </row>
    <row r="3292" spans="4:12" x14ac:dyDescent="0.2">
      <c r="D3292" s="341"/>
      <c r="F3292" s="343"/>
      <c r="G3292" s="343"/>
      <c r="H3292" s="343"/>
      <c r="I3292" s="343"/>
      <c r="J3292" s="343"/>
      <c r="K3292" s="343"/>
      <c r="L3292" s="343"/>
    </row>
    <row r="3293" spans="4:12" x14ac:dyDescent="0.2">
      <c r="D3293" s="341"/>
      <c r="F3293" s="343"/>
      <c r="G3293" s="343"/>
      <c r="H3293" s="343"/>
      <c r="I3293" s="343"/>
      <c r="J3293" s="343"/>
      <c r="K3293" s="343"/>
      <c r="L3293" s="343"/>
    </row>
    <row r="3294" spans="4:12" x14ac:dyDescent="0.2">
      <c r="D3294" s="341"/>
      <c r="F3294" s="343"/>
      <c r="G3294" s="343"/>
      <c r="H3294" s="343"/>
      <c r="I3294" s="343"/>
      <c r="J3294" s="343"/>
      <c r="K3294" s="343"/>
      <c r="L3294" s="343"/>
    </row>
    <row r="3295" spans="4:12" x14ac:dyDescent="0.2">
      <c r="D3295" s="341"/>
      <c r="F3295" s="343"/>
      <c r="G3295" s="343"/>
      <c r="H3295" s="343"/>
      <c r="I3295" s="343"/>
      <c r="J3295" s="343"/>
      <c r="K3295" s="343"/>
      <c r="L3295" s="343"/>
    </row>
    <row r="3296" spans="4:12" x14ac:dyDescent="0.2">
      <c r="D3296" s="341"/>
      <c r="F3296" s="343"/>
      <c r="G3296" s="343"/>
      <c r="H3296" s="343"/>
      <c r="I3296" s="343"/>
      <c r="J3296" s="343"/>
      <c r="K3296" s="343"/>
      <c r="L3296" s="343"/>
    </row>
    <row r="3297" spans="4:12" x14ac:dyDescent="0.2">
      <c r="D3297" s="341"/>
      <c r="F3297" s="343"/>
      <c r="G3297" s="343"/>
      <c r="H3297" s="343"/>
      <c r="I3297" s="343"/>
      <c r="J3297" s="343"/>
      <c r="K3297" s="343"/>
      <c r="L3297" s="343"/>
    </row>
    <row r="3298" spans="4:12" x14ac:dyDescent="0.2">
      <c r="D3298" s="341"/>
      <c r="F3298" s="343"/>
      <c r="G3298" s="343"/>
      <c r="H3298" s="343"/>
      <c r="I3298" s="343"/>
      <c r="J3298" s="343"/>
      <c r="K3298" s="343"/>
      <c r="L3298" s="343"/>
    </row>
    <row r="3299" spans="4:12" x14ac:dyDescent="0.2">
      <c r="D3299" s="341"/>
      <c r="F3299" s="343"/>
      <c r="G3299" s="343"/>
      <c r="H3299" s="343"/>
      <c r="I3299" s="343"/>
      <c r="J3299" s="343"/>
      <c r="K3299" s="343"/>
      <c r="L3299" s="343"/>
    </row>
    <row r="3300" spans="4:12" x14ac:dyDescent="0.2">
      <c r="D3300" s="341"/>
      <c r="F3300" s="343"/>
      <c r="G3300" s="343"/>
      <c r="H3300" s="343"/>
      <c r="I3300" s="343"/>
      <c r="J3300" s="343"/>
      <c r="K3300" s="343"/>
      <c r="L3300" s="343"/>
    </row>
    <row r="3301" spans="4:12" x14ac:dyDescent="0.2">
      <c r="D3301" s="341"/>
      <c r="F3301" s="343"/>
      <c r="G3301" s="343"/>
      <c r="H3301" s="343"/>
      <c r="I3301" s="343"/>
      <c r="J3301" s="343"/>
      <c r="K3301" s="343"/>
      <c r="L3301" s="343"/>
    </row>
    <row r="3302" spans="4:12" x14ac:dyDescent="0.2">
      <c r="D3302" s="341"/>
      <c r="F3302" s="343"/>
      <c r="G3302" s="343"/>
      <c r="H3302" s="343"/>
      <c r="I3302" s="343"/>
      <c r="J3302" s="343"/>
      <c r="K3302" s="343"/>
      <c r="L3302" s="343"/>
    </row>
    <row r="3303" spans="4:12" x14ac:dyDescent="0.2">
      <c r="D3303" s="341"/>
      <c r="F3303" s="343"/>
      <c r="G3303" s="343"/>
      <c r="H3303" s="343"/>
      <c r="I3303" s="343"/>
      <c r="J3303" s="343"/>
      <c r="K3303" s="343"/>
      <c r="L3303" s="343"/>
    </row>
    <row r="3304" spans="4:12" x14ac:dyDescent="0.2">
      <c r="D3304" s="341"/>
      <c r="F3304" s="343"/>
      <c r="G3304" s="343"/>
      <c r="H3304" s="343"/>
      <c r="I3304" s="343"/>
      <c r="J3304" s="343"/>
      <c r="K3304" s="343"/>
      <c r="L3304" s="343"/>
    </row>
    <row r="3305" spans="4:12" x14ac:dyDescent="0.2">
      <c r="D3305" s="341"/>
      <c r="F3305" s="343"/>
      <c r="G3305" s="343"/>
      <c r="H3305" s="343"/>
      <c r="I3305" s="343"/>
      <c r="J3305" s="343"/>
      <c r="K3305" s="343"/>
      <c r="L3305" s="343"/>
    </row>
    <row r="3306" spans="4:12" x14ac:dyDescent="0.2">
      <c r="D3306" s="341"/>
      <c r="F3306" s="343"/>
      <c r="G3306" s="343"/>
      <c r="H3306" s="343"/>
      <c r="I3306" s="343"/>
      <c r="J3306" s="343"/>
      <c r="K3306" s="343"/>
      <c r="L3306" s="343"/>
    </row>
    <row r="3307" spans="4:12" x14ac:dyDescent="0.2">
      <c r="D3307" s="341"/>
      <c r="F3307" s="343"/>
      <c r="G3307" s="343"/>
      <c r="H3307" s="343"/>
      <c r="I3307" s="343"/>
      <c r="J3307" s="343"/>
      <c r="K3307" s="343"/>
      <c r="L3307" s="343"/>
    </row>
    <row r="3308" spans="4:12" x14ac:dyDescent="0.2">
      <c r="D3308" s="341"/>
      <c r="F3308" s="343"/>
      <c r="G3308" s="343"/>
      <c r="H3308" s="343"/>
      <c r="I3308" s="343"/>
      <c r="J3308" s="343"/>
      <c r="K3308" s="343"/>
      <c r="L3308" s="343"/>
    </row>
    <row r="3309" spans="4:12" x14ac:dyDescent="0.2">
      <c r="D3309" s="341"/>
      <c r="F3309" s="343"/>
      <c r="G3309" s="343"/>
      <c r="H3309" s="343"/>
      <c r="I3309" s="343"/>
      <c r="J3309" s="343"/>
      <c r="K3309" s="343"/>
      <c r="L3309" s="343"/>
    </row>
    <row r="3310" spans="4:12" x14ac:dyDescent="0.2">
      <c r="D3310" s="341"/>
      <c r="F3310" s="343"/>
      <c r="G3310" s="343"/>
      <c r="H3310" s="343"/>
      <c r="I3310" s="343"/>
      <c r="J3310" s="343"/>
      <c r="K3310" s="343"/>
      <c r="L3310" s="343"/>
    </row>
    <row r="3311" spans="4:12" x14ac:dyDescent="0.2">
      <c r="D3311" s="341"/>
      <c r="F3311" s="343"/>
      <c r="G3311" s="343"/>
      <c r="H3311" s="343"/>
      <c r="I3311" s="343"/>
      <c r="J3311" s="343"/>
      <c r="K3311" s="343"/>
      <c r="L3311" s="343"/>
    </row>
    <row r="3312" spans="4:12" x14ac:dyDescent="0.2">
      <c r="D3312" s="341"/>
      <c r="F3312" s="343"/>
      <c r="G3312" s="343"/>
      <c r="H3312" s="343"/>
      <c r="I3312" s="343"/>
      <c r="J3312" s="343"/>
      <c r="K3312" s="343"/>
      <c r="L3312" s="343"/>
    </row>
    <row r="3313" spans="4:12" x14ac:dyDescent="0.2">
      <c r="D3313" s="341"/>
      <c r="F3313" s="343"/>
      <c r="G3313" s="343"/>
      <c r="H3313" s="343"/>
      <c r="I3313" s="343"/>
      <c r="J3313" s="343"/>
      <c r="K3313" s="343"/>
      <c r="L3313" s="343"/>
    </row>
    <row r="3314" spans="4:12" x14ac:dyDescent="0.2">
      <c r="D3314" s="341"/>
      <c r="F3314" s="343"/>
      <c r="G3314" s="343"/>
      <c r="H3314" s="343"/>
      <c r="I3314" s="343"/>
      <c r="J3314" s="343"/>
      <c r="K3314" s="343"/>
      <c r="L3314" s="343"/>
    </row>
    <row r="3315" spans="4:12" x14ac:dyDescent="0.2">
      <c r="D3315" s="341"/>
      <c r="F3315" s="343"/>
      <c r="G3315" s="343"/>
      <c r="H3315" s="343"/>
      <c r="I3315" s="343"/>
      <c r="J3315" s="343"/>
      <c r="K3315" s="343"/>
      <c r="L3315" s="343"/>
    </row>
    <row r="3316" spans="4:12" x14ac:dyDescent="0.2">
      <c r="D3316" s="341"/>
      <c r="F3316" s="343"/>
      <c r="G3316" s="343"/>
      <c r="H3316" s="343"/>
      <c r="I3316" s="343"/>
      <c r="J3316" s="343"/>
      <c r="K3316" s="343"/>
      <c r="L3316" s="343"/>
    </row>
    <row r="3317" spans="4:12" x14ac:dyDescent="0.2">
      <c r="D3317" s="341"/>
      <c r="F3317" s="343"/>
      <c r="G3317" s="343"/>
      <c r="H3317" s="343"/>
      <c r="I3317" s="343"/>
      <c r="J3317" s="343"/>
      <c r="K3317" s="343"/>
      <c r="L3317" s="343"/>
    </row>
    <row r="3318" spans="4:12" x14ac:dyDescent="0.2">
      <c r="D3318" s="341"/>
      <c r="F3318" s="343"/>
      <c r="G3318" s="343"/>
      <c r="H3318" s="343"/>
      <c r="I3318" s="343"/>
      <c r="J3318" s="343"/>
      <c r="K3318" s="343"/>
      <c r="L3318" s="343"/>
    </row>
    <row r="3319" spans="4:12" x14ac:dyDescent="0.2">
      <c r="D3319" s="341"/>
      <c r="F3319" s="343"/>
      <c r="G3319" s="343"/>
      <c r="H3319" s="343"/>
      <c r="I3319" s="343"/>
      <c r="J3319" s="343"/>
      <c r="K3319" s="343"/>
      <c r="L3319" s="343"/>
    </row>
    <row r="3320" spans="4:12" x14ac:dyDescent="0.2">
      <c r="D3320" s="341"/>
      <c r="F3320" s="343"/>
      <c r="G3320" s="343"/>
      <c r="H3320" s="343"/>
      <c r="I3320" s="343"/>
      <c r="J3320" s="343"/>
      <c r="K3320" s="343"/>
      <c r="L3320" s="343"/>
    </row>
    <row r="3321" spans="4:12" x14ac:dyDescent="0.2">
      <c r="D3321" s="341"/>
      <c r="F3321" s="343"/>
      <c r="G3321" s="343"/>
      <c r="H3321" s="343"/>
      <c r="I3321" s="343"/>
      <c r="J3321" s="343"/>
      <c r="K3321" s="343"/>
      <c r="L3321" s="343"/>
    </row>
    <row r="3322" spans="4:12" x14ac:dyDescent="0.2">
      <c r="D3322" s="341"/>
      <c r="F3322" s="343"/>
      <c r="G3322" s="343"/>
      <c r="H3322" s="343"/>
      <c r="I3322" s="343"/>
      <c r="J3322" s="343"/>
      <c r="K3322" s="343"/>
      <c r="L3322" s="343"/>
    </row>
    <row r="3323" spans="4:12" x14ac:dyDescent="0.2">
      <c r="D3323" s="341"/>
      <c r="F3323" s="343"/>
      <c r="G3323" s="343"/>
      <c r="H3323" s="343"/>
      <c r="I3323" s="343"/>
      <c r="J3323" s="343"/>
      <c r="K3323" s="343"/>
      <c r="L3323" s="343"/>
    </row>
    <row r="3324" spans="4:12" x14ac:dyDescent="0.2">
      <c r="D3324" s="341"/>
      <c r="F3324" s="343"/>
      <c r="G3324" s="343"/>
      <c r="H3324" s="343"/>
      <c r="I3324" s="343"/>
      <c r="J3324" s="343"/>
      <c r="K3324" s="343"/>
      <c r="L3324" s="343"/>
    </row>
    <row r="3325" spans="4:12" x14ac:dyDescent="0.2">
      <c r="D3325" s="341"/>
      <c r="F3325" s="343"/>
      <c r="G3325" s="343"/>
      <c r="H3325" s="343"/>
      <c r="I3325" s="343"/>
      <c r="J3325" s="343"/>
      <c r="K3325" s="343"/>
      <c r="L3325" s="343"/>
    </row>
    <row r="3326" spans="4:12" x14ac:dyDescent="0.2">
      <c r="D3326" s="341"/>
      <c r="F3326" s="343"/>
      <c r="G3326" s="343"/>
      <c r="H3326" s="343"/>
      <c r="I3326" s="343"/>
      <c r="J3326" s="343"/>
      <c r="K3326" s="343"/>
      <c r="L3326" s="343"/>
    </row>
    <row r="3327" spans="4:12" x14ac:dyDescent="0.2">
      <c r="D3327" s="341"/>
      <c r="F3327" s="343"/>
      <c r="G3327" s="343"/>
      <c r="H3327" s="343"/>
      <c r="I3327" s="343"/>
      <c r="J3327" s="343"/>
      <c r="K3327" s="343"/>
      <c r="L3327" s="343"/>
    </row>
    <row r="3328" spans="4:12" x14ac:dyDescent="0.2">
      <c r="D3328" s="341"/>
      <c r="F3328" s="343"/>
      <c r="G3328" s="343"/>
      <c r="H3328" s="343"/>
      <c r="I3328" s="343"/>
      <c r="J3328" s="343"/>
      <c r="K3328" s="343"/>
      <c r="L3328" s="343"/>
    </row>
    <row r="3329" spans="4:12" x14ac:dyDescent="0.2">
      <c r="D3329" s="341"/>
      <c r="F3329" s="343"/>
      <c r="G3329" s="343"/>
      <c r="H3329" s="343"/>
      <c r="I3329" s="343"/>
      <c r="J3329" s="343"/>
      <c r="K3329" s="343"/>
      <c r="L3329" s="343"/>
    </row>
    <row r="3330" spans="4:12" x14ac:dyDescent="0.2">
      <c r="D3330" s="341"/>
      <c r="F3330" s="343"/>
      <c r="G3330" s="343"/>
      <c r="H3330" s="343"/>
      <c r="I3330" s="343"/>
      <c r="J3330" s="343"/>
      <c r="K3330" s="343"/>
      <c r="L3330" s="343"/>
    </row>
    <row r="3331" spans="4:12" x14ac:dyDescent="0.2">
      <c r="D3331" s="341"/>
      <c r="F3331" s="343"/>
      <c r="G3331" s="343"/>
      <c r="H3331" s="343"/>
      <c r="I3331" s="343"/>
      <c r="J3331" s="343"/>
      <c r="K3331" s="343"/>
      <c r="L3331" s="343"/>
    </row>
    <row r="3332" spans="4:12" x14ac:dyDescent="0.2">
      <c r="D3332" s="341"/>
      <c r="F3332" s="343"/>
      <c r="G3332" s="343"/>
      <c r="H3332" s="343"/>
      <c r="I3332" s="343"/>
      <c r="J3332" s="343"/>
      <c r="K3332" s="343"/>
      <c r="L3332" s="343"/>
    </row>
    <row r="3333" spans="4:12" x14ac:dyDescent="0.2">
      <c r="D3333" s="341"/>
      <c r="F3333" s="343"/>
      <c r="G3333" s="343"/>
      <c r="H3333" s="343"/>
      <c r="I3333" s="343"/>
      <c r="J3333" s="343"/>
      <c r="K3333" s="343"/>
      <c r="L3333" s="343"/>
    </row>
    <row r="3334" spans="4:12" x14ac:dyDescent="0.2">
      <c r="D3334" s="341"/>
      <c r="F3334" s="343"/>
      <c r="G3334" s="343"/>
      <c r="H3334" s="343"/>
      <c r="I3334" s="343"/>
      <c r="J3334" s="343"/>
      <c r="K3334" s="343"/>
      <c r="L3334" s="343"/>
    </row>
    <row r="3335" spans="4:12" x14ac:dyDescent="0.2">
      <c r="D3335" s="341"/>
      <c r="F3335" s="343"/>
      <c r="G3335" s="343"/>
      <c r="H3335" s="343"/>
      <c r="I3335" s="343"/>
      <c r="J3335" s="343"/>
      <c r="K3335" s="343"/>
      <c r="L3335" s="343"/>
    </row>
    <row r="3336" spans="4:12" x14ac:dyDescent="0.2">
      <c r="D3336" s="341"/>
      <c r="F3336" s="343"/>
      <c r="G3336" s="343"/>
      <c r="H3336" s="343"/>
      <c r="I3336" s="343"/>
      <c r="J3336" s="343"/>
      <c r="K3336" s="343"/>
      <c r="L3336" s="343"/>
    </row>
    <row r="3337" spans="4:12" x14ac:dyDescent="0.2">
      <c r="D3337" s="341"/>
      <c r="F3337" s="343"/>
      <c r="G3337" s="343"/>
      <c r="H3337" s="343"/>
      <c r="I3337" s="343"/>
      <c r="J3337" s="343"/>
      <c r="K3337" s="343"/>
      <c r="L3337" s="343"/>
    </row>
    <row r="3338" spans="4:12" x14ac:dyDescent="0.2">
      <c r="D3338" s="341"/>
      <c r="F3338" s="343"/>
      <c r="G3338" s="343"/>
      <c r="H3338" s="343"/>
      <c r="I3338" s="343"/>
      <c r="J3338" s="343"/>
      <c r="K3338" s="343"/>
      <c r="L3338" s="343"/>
    </row>
    <row r="3339" spans="4:12" x14ac:dyDescent="0.2">
      <c r="D3339" s="341"/>
      <c r="F3339" s="343"/>
      <c r="G3339" s="343"/>
      <c r="H3339" s="343"/>
      <c r="I3339" s="343"/>
      <c r="J3339" s="343"/>
      <c r="K3339" s="343"/>
      <c r="L3339" s="343"/>
    </row>
    <row r="3340" spans="4:12" x14ac:dyDescent="0.2">
      <c r="D3340" s="341"/>
      <c r="F3340" s="343"/>
      <c r="G3340" s="343"/>
      <c r="H3340" s="343"/>
      <c r="I3340" s="343"/>
      <c r="J3340" s="343"/>
      <c r="K3340" s="343"/>
      <c r="L3340" s="343"/>
    </row>
    <row r="3341" spans="4:12" x14ac:dyDescent="0.2">
      <c r="D3341" s="341"/>
      <c r="F3341" s="343"/>
      <c r="G3341" s="343"/>
      <c r="H3341" s="343"/>
      <c r="I3341" s="343"/>
      <c r="J3341" s="343"/>
      <c r="K3341" s="343"/>
      <c r="L3341" s="343"/>
    </row>
    <row r="3342" spans="4:12" x14ac:dyDescent="0.2">
      <c r="D3342" s="341"/>
      <c r="F3342" s="343"/>
      <c r="G3342" s="343"/>
      <c r="H3342" s="343"/>
      <c r="I3342" s="343"/>
      <c r="J3342" s="343"/>
      <c r="K3342" s="343"/>
      <c r="L3342" s="343"/>
    </row>
    <row r="3343" spans="4:12" x14ac:dyDescent="0.2">
      <c r="D3343" s="341"/>
      <c r="F3343" s="343"/>
      <c r="G3343" s="343"/>
      <c r="H3343" s="343"/>
      <c r="I3343" s="343"/>
      <c r="J3343" s="343"/>
      <c r="K3343" s="343"/>
      <c r="L3343" s="343"/>
    </row>
    <row r="3344" spans="4:12" x14ac:dyDescent="0.2">
      <c r="D3344" s="341"/>
      <c r="F3344" s="343"/>
      <c r="G3344" s="343"/>
      <c r="H3344" s="343"/>
      <c r="I3344" s="343"/>
      <c r="J3344" s="343"/>
      <c r="K3344" s="343"/>
      <c r="L3344" s="343"/>
    </row>
    <row r="3345" spans="4:12" x14ac:dyDescent="0.2">
      <c r="D3345" s="341"/>
      <c r="F3345" s="343"/>
      <c r="G3345" s="343"/>
      <c r="H3345" s="343"/>
      <c r="I3345" s="343"/>
      <c r="J3345" s="343"/>
      <c r="K3345" s="343"/>
      <c r="L3345" s="343"/>
    </row>
    <row r="3346" spans="4:12" x14ac:dyDescent="0.2">
      <c r="D3346" s="341"/>
      <c r="F3346" s="343"/>
      <c r="G3346" s="343"/>
      <c r="H3346" s="343"/>
      <c r="I3346" s="343"/>
      <c r="J3346" s="343"/>
      <c r="K3346" s="343"/>
      <c r="L3346" s="343"/>
    </row>
    <row r="3347" spans="4:12" x14ac:dyDescent="0.2">
      <c r="D3347" s="341"/>
      <c r="F3347" s="343"/>
      <c r="G3347" s="343"/>
      <c r="H3347" s="343"/>
      <c r="I3347" s="343"/>
      <c r="J3347" s="343"/>
      <c r="K3347" s="343"/>
      <c r="L3347" s="343"/>
    </row>
    <row r="3348" spans="4:12" x14ac:dyDescent="0.2">
      <c r="D3348" s="341"/>
      <c r="F3348" s="343"/>
      <c r="G3348" s="343"/>
      <c r="H3348" s="343"/>
      <c r="I3348" s="343"/>
      <c r="J3348" s="343"/>
      <c r="K3348" s="343"/>
      <c r="L3348" s="343"/>
    </row>
    <row r="3349" spans="4:12" x14ac:dyDescent="0.2">
      <c r="D3349" s="341"/>
      <c r="F3349" s="343"/>
      <c r="G3349" s="343"/>
      <c r="H3349" s="343"/>
      <c r="I3349" s="343"/>
      <c r="J3349" s="343"/>
      <c r="K3349" s="343"/>
      <c r="L3349" s="343"/>
    </row>
    <row r="3350" spans="4:12" x14ac:dyDescent="0.2">
      <c r="D3350" s="341"/>
      <c r="F3350" s="343"/>
      <c r="G3350" s="343"/>
      <c r="H3350" s="343"/>
      <c r="I3350" s="343"/>
      <c r="J3350" s="343"/>
      <c r="K3350" s="343"/>
      <c r="L3350" s="343"/>
    </row>
    <row r="3351" spans="4:12" x14ac:dyDescent="0.2">
      <c r="D3351" s="341"/>
      <c r="F3351" s="343"/>
      <c r="G3351" s="343"/>
      <c r="H3351" s="343"/>
      <c r="I3351" s="343"/>
      <c r="J3351" s="343"/>
      <c r="K3351" s="343"/>
      <c r="L3351" s="343"/>
    </row>
    <row r="3352" spans="4:12" x14ac:dyDescent="0.2">
      <c r="D3352" s="341"/>
      <c r="F3352" s="343"/>
      <c r="G3352" s="343"/>
      <c r="H3352" s="343"/>
      <c r="I3352" s="343"/>
      <c r="J3352" s="343"/>
      <c r="K3352" s="343"/>
      <c r="L3352" s="343"/>
    </row>
    <row r="3353" spans="4:12" x14ac:dyDescent="0.2">
      <c r="D3353" s="341"/>
      <c r="F3353" s="343"/>
      <c r="G3353" s="343"/>
      <c r="H3353" s="343"/>
      <c r="I3353" s="343"/>
      <c r="J3353" s="343"/>
      <c r="K3353" s="343"/>
      <c r="L3353" s="343"/>
    </row>
    <row r="3354" spans="4:12" x14ac:dyDescent="0.2">
      <c r="D3354" s="341"/>
      <c r="F3354" s="343"/>
      <c r="G3354" s="343"/>
      <c r="H3354" s="343"/>
      <c r="I3354" s="343"/>
      <c r="J3354" s="343"/>
      <c r="K3354" s="343"/>
      <c r="L3354" s="343"/>
    </row>
    <row r="3355" spans="4:12" x14ac:dyDescent="0.2">
      <c r="D3355" s="341"/>
      <c r="F3355" s="343"/>
      <c r="G3355" s="343"/>
      <c r="H3355" s="343"/>
      <c r="I3355" s="343"/>
      <c r="J3355" s="343"/>
      <c r="K3355" s="343"/>
      <c r="L3355" s="343"/>
    </row>
    <row r="3356" spans="4:12" x14ac:dyDescent="0.2">
      <c r="D3356" s="341"/>
      <c r="F3356" s="343"/>
      <c r="G3356" s="343"/>
      <c r="H3356" s="343"/>
      <c r="I3356" s="343"/>
      <c r="J3356" s="343"/>
      <c r="K3356" s="343"/>
      <c r="L3356" s="343"/>
    </row>
    <row r="3357" spans="4:12" x14ac:dyDescent="0.2">
      <c r="D3357" s="341"/>
      <c r="F3357" s="343"/>
      <c r="G3357" s="343"/>
      <c r="H3357" s="343"/>
      <c r="I3357" s="343"/>
      <c r="J3357" s="343"/>
      <c r="K3357" s="343"/>
      <c r="L3357" s="343"/>
    </row>
    <row r="3358" spans="4:12" x14ac:dyDescent="0.2">
      <c r="D3358" s="341"/>
      <c r="F3358" s="343"/>
      <c r="G3358" s="343"/>
      <c r="H3358" s="343"/>
      <c r="I3358" s="343"/>
      <c r="J3358" s="343"/>
      <c r="K3358" s="343"/>
      <c r="L3358" s="343"/>
    </row>
    <row r="3359" spans="4:12" x14ac:dyDescent="0.2">
      <c r="D3359" s="341"/>
      <c r="F3359" s="343"/>
      <c r="G3359" s="343"/>
      <c r="H3359" s="343"/>
      <c r="I3359" s="343"/>
      <c r="J3359" s="343"/>
      <c r="K3359" s="343"/>
      <c r="L3359" s="343"/>
    </row>
    <row r="3360" spans="4:12" x14ac:dyDescent="0.2">
      <c r="D3360" s="341"/>
      <c r="F3360" s="343"/>
      <c r="G3360" s="343"/>
      <c r="H3360" s="343"/>
      <c r="I3360" s="343"/>
      <c r="J3360" s="343"/>
      <c r="K3360" s="343"/>
      <c r="L3360" s="343"/>
    </row>
    <row r="3361" spans="4:12" x14ac:dyDescent="0.2">
      <c r="D3361" s="341"/>
      <c r="F3361" s="343"/>
      <c r="G3361" s="343"/>
      <c r="H3361" s="343"/>
      <c r="I3361" s="343"/>
      <c r="J3361" s="343"/>
      <c r="K3361" s="343"/>
      <c r="L3361" s="343"/>
    </row>
    <row r="3362" spans="4:12" x14ac:dyDescent="0.2">
      <c r="D3362" s="341"/>
      <c r="F3362" s="343"/>
      <c r="G3362" s="343"/>
      <c r="H3362" s="343"/>
      <c r="I3362" s="343"/>
      <c r="J3362" s="343"/>
      <c r="K3362" s="343"/>
      <c r="L3362" s="343"/>
    </row>
    <row r="3363" spans="4:12" x14ac:dyDescent="0.2">
      <c r="D3363" s="341"/>
      <c r="F3363" s="343"/>
      <c r="G3363" s="343"/>
      <c r="H3363" s="343"/>
      <c r="I3363" s="343"/>
      <c r="J3363" s="343"/>
      <c r="K3363" s="343"/>
      <c r="L3363" s="343"/>
    </row>
    <row r="3364" spans="4:12" x14ac:dyDescent="0.2">
      <c r="D3364" s="341"/>
      <c r="F3364" s="343"/>
      <c r="G3364" s="343"/>
      <c r="H3364" s="343"/>
      <c r="I3364" s="343"/>
      <c r="J3364" s="343"/>
      <c r="K3364" s="343"/>
      <c r="L3364" s="343"/>
    </row>
    <row r="3365" spans="4:12" x14ac:dyDescent="0.2">
      <c r="D3365" s="341"/>
      <c r="F3365" s="343"/>
      <c r="G3365" s="343"/>
      <c r="H3365" s="343"/>
      <c r="I3365" s="343"/>
      <c r="J3365" s="343"/>
      <c r="K3365" s="343"/>
      <c r="L3365" s="343"/>
    </row>
    <row r="3366" spans="4:12" x14ac:dyDescent="0.2">
      <c r="D3366" s="341"/>
      <c r="F3366" s="343"/>
      <c r="G3366" s="343"/>
      <c r="H3366" s="343"/>
      <c r="I3366" s="343"/>
      <c r="J3366" s="343"/>
      <c r="K3366" s="343"/>
      <c r="L3366" s="343"/>
    </row>
    <row r="3367" spans="4:12" x14ac:dyDescent="0.2">
      <c r="D3367" s="341"/>
      <c r="F3367" s="343"/>
      <c r="G3367" s="343"/>
      <c r="H3367" s="343"/>
      <c r="I3367" s="343"/>
      <c r="J3367" s="343"/>
      <c r="K3367" s="343"/>
      <c r="L3367" s="343"/>
    </row>
    <row r="3368" spans="4:12" x14ac:dyDescent="0.2">
      <c r="D3368" s="341"/>
      <c r="F3368" s="343"/>
      <c r="G3368" s="343"/>
      <c r="H3368" s="343"/>
      <c r="I3368" s="343"/>
      <c r="J3368" s="343"/>
      <c r="K3368" s="343"/>
      <c r="L3368" s="343"/>
    </row>
    <row r="3369" spans="4:12" x14ac:dyDescent="0.2">
      <c r="D3369" s="341"/>
      <c r="F3369" s="343"/>
      <c r="G3369" s="343"/>
      <c r="H3369" s="343"/>
      <c r="I3369" s="343"/>
      <c r="J3369" s="343"/>
      <c r="K3369" s="343"/>
      <c r="L3369" s="343"/>
    </row>
    <row r="3370" spans="4:12" x14ac:dyDescent="0.2">
      <c r="D3370" s="341"/>
      <c r="F3370" s="343"/>
      <c r="G3370" s="343"/>
      <c r="H3370" s="343"/>
      <c r="I3370" s="343"/>
      <c r="J3370" s="343"/>
      <c r="K3370" s="343"/>
      <c r="L3370" s="343"/>
    </row>
    <row r="3371" spans="4:12" x14ac:dyDescent="0.2">
      <c r="D3371" s="341"/>
      <c r="F3371" s="343"/>
      <c r="G3371" s="343"/>
      <c r="H3371" s="343"/>
      <c r="I3371" s="343"/>
      <c r="J3371" s="343"/>
      <c r="K3371" s="343"/>
      <c r="L3371" s="343"/>
    </row>
    <row r="3372" spans="4:12" x14ac:dyDescent="0.2">
      <c r="D3372" s="341"/>
      <c r="F3372" s="343"/>
      <c r="G3372" s="343"/>
      <c r="H3372" s="343"/>
      <c r="I3372" s="343"/>
      <c r="J3372" s="343"/>
      <c r="K3372" s="343"/>
      <c r="L3372" s="343"/>
    </row>
    <row r="3373" spans="4:12" x14ac:dyDescent="0.2">
      <c r="D3373" s="341"/>
      <c r="F3373" s="343"/>
      <c r="G3373" s="343"/>
      <c r="H3373" s="343"/>
      <c r="I3373" s="343"/>
      <c r="J3373" s="343"/>
      <c r="K3373" s="343"/>
      <c r="L3373" s="343"/>
    </row>
    <row r="3374" spans="4:12" x14ac:dyDescent="0.2">
      <c r="D3374" s="341"/>
      <c r="F3374" s="343"/>
      <c r="G3374" s="343"/>
      <c r="H3374" s="343"/>
      <c r="I3374" s="343"/>
      <c r="J3374" s="343"/>
      <c r="K3374" s="343"/>
      <c r="L3374" s="343"/>
    </row>
    <row r="3375" spans="4:12" x14ac:dyDescent="0.2">
      <c r="D3375" s="341"/>
      <c r="F3375" s="343"/>
      <c r="G3375" s="343"/>
      <c r="H3375" s="343"/>
      <c r="I3375" s="343"/>
      <c r="J3375" s="343"/>
      <c r="K3375" s="343"/>
      <c r="L3375" s="343"/>
    </row>
    <row r="3376" spans="4:12" x14ac:dyDescent="0.2">
      <c r="D3376" s="341"/>
      <c r="F3376" s="343"/>
      <c r="G3376" s="343"/>
      <c r="H3376" s="343"/>
      <c r="I3376" s="343"/>
      <c r="J3376" s="343"/>
      <c r="K3376" s="343"/>
      <c r="L3376" s="343"/>
    </row>
    <row r="3377" spans="4:12" x14ac:dyDescent="0.2">
      <c r="D3377" s="341"/>
      <c r="F3377" s="343"/>
      <c r="G3377" s="343"/>
      <c r="H3377" s="343"/>
      <c r="I3377" s="343"/>
      <c r="J3377" s="343"/>
      <c r="K3377" s="343"/>
      <c r="L3377" s="343"/>
    </row>
    <row r="3378" spans="4:12" x14ac:dyDescent="0.2">
      <c r="D3378" s="341"/>
      <c r="F3378" s="343"/>
      <c r="G3378" s="343"/>
      <c r="H3378" s="343"/>
      <c r="I3378" s="343"/>
      <c r="J3378" s="343"/>
      <c r="K3378" s="343"/>
      <c r="L3378" s="343"/>
    </row>
    <row r="3379" spans="4:12" x14ac:dyDescent="0.2">
      <c r="D3379" s="341"/>
      <c r="F3379" s="343"/>
      <c r="G3379" s="343"/>
      <c r="H3379" s="343"/>
      <c r="I3379" s="343"/>
      <c r="J3379" s="343"/>
      <c r="K3379" s="343"/>
      <c r="L3379" s="343"/>
    </row>
    <row r="3380" spans="4:12" x14ac:dyDescent="0.2">
      <c r="D3380" s="341"/>
      <c r="F3380" s="343"/>
      <c r="G3380" s="343"/>
      <c r="H3380" s="343"/>
      <c r="I3380" s="343"/>
      <c r="J3380" s="343"/>
      <c r="K3380" s="343"/>
      <c r="L3380" s="343"/>
    </row>
    <row r="3381" spans="4:12" x14ac:dyDescent="0.2">
      <c r="D3381" s="341"/>
      <c r="F3381" s="343"/>
      <c r="G3381" s="343"/>
      <c r="H3381" s="343"/>
      <c r="I3381" s="343"/>
      <c r="J3381" s="343"/>
      <c r="K3381" s="343"/>
      <c r="L3381" s="343"/>
    </row>
    <row r="3382" spans="4:12" x14ac:dyDescent="0.2">
      <c r="D3382" s="341"/>
      <c r="F3382" s="343"/>
      <c r="G3382" s="343"/>
      <c r="H3382" s="343"/>
      <c r="I3382" s="343"/>
      <c r="J3382" s="343"/>
      <c r="K3382" s="343"/>
      <c r="L3382" s="343"/>
    </row>
    <row r="3383" spans="4:12" x14ac:dyDescent="0.2">
      <c r="D3383" s="341"/>
      <c r="F3383" s="343"/>
      <c r="G3383" s="343"/>
      <c r="H3383" s="343"/>
      <c r="I3383" s="343"/>
      <c r="J3383" s="343"/>
      <c r="K3383" s="343"/>
      <c r="L3383" s="343"/>
    </row>
    <row r="3384" spans="4:12" x14ac:dyDescent="0.2">
      <c r="D3384" s="341"/>
      <c r="F3384" s="343"/>
      <c r="G3384" s="343"/>
      <c r="H3384" s="343"/>
      <c r="I3384" s="343"/>
      <c r="J3384" s="343"/>
      <c r="K3384" s="343"/>
      <c r="L3384" s="343"/>
    </row>
    <row r="3385" spans="4:12" x14ac:dyDescent="0.2">
      <c r="D3385" s="341"/>
      <c r="F3385" s="343"/>
      <c r="G3385" s="343"/>
      <c r="H3385" s="343"/>
      <c r="I3385" s="343"/>
      <c r="J3385" s="343"/>
      <c r="K3385" s="343"/>
      <c r="L3385" s="343"/>
    </row>
    <row r="3386" spans="4:12" x14ac:dyDescent="0.2">
      <c r="D3386" s="341"/>
      <c r="F3386" s="343"/>
      <c r="G3386" s="343"/>
      <c r="H3386" s="343"/>
      <c r="I3386" s="343"/>
      <c r="J3386" s="343"/>
      <c r="K3386" s="343"/>
      <c r="L3386" s="343"/>
    </row>
    <row r="3387" spans="4:12" x14ac:dyDescent="0.2">
      <c r="D3387" s="341"/>
      <c r="F3387" s="343"/>
      <c r="G3387" s="343"/>
      <c r="H3387" s="343"/>
      <c r="I3387" s="343"/>
      <c r="J3387" s="343"/>
      <c r="K3387" s="343"/>
      <c r="L3387" s="343"/>
    </row>
    <row r="3388" spans="4:12" x14ac:dyDescent="0.2">
      <c r="D3388" s="341"/>
      <c r="F3388" s="343"/>
      <c r="G3388" s="343"/>
      <c r="H3388" s="343"/>
      <c r="I3388" s="343"/>
      <c r="J3388" s="343"/>
      <c r="K3388" s="343"/>
      <c r="L3388" s="343"/>
    </row>
    <row r="3389" spans="4:12" x14ac:dyDescent="0.2">
      <c r="D3389" s="341"/>
      <c r="F3389" s="343"/>
      <c r="G3389" s="343"/>
      <c r="H3389" s="343"/>
      <c r="I3389" s="343"/>
      <c r="J3389" s="343"/>
      <c r="K3389" s="343"/>
      <c r="L3389" s="343"/>
    </row>
    <row r="3390" spans="4:12" x14ac:dyDescent="0.2">
      <c r="D3390" s="341"/>
      <c r="F3390" s="343"/>
      <c r="G3390" s="343"/>
      <c r="H3390" s="343"/>
      <c r="I3390" s="343"/>
      <c r="J3390" s="343"/>
      <c r="K3390" s="343"/>
      <c r="L3390" s="343"/>
    </row>
    <row r="3391" spans="4:12" x14ac:dyDescent="0.2">
      <c r="D3391" s="341"/>
      <c r="F3391" s="343"/>
      <c r="G3391" s="343"/>
      <c r="H3391" s="343"/>
      <c r="I3391" s="343"/>
      <c r="J3391" s="343"/>
      <c r="K3391" s="343"/>
      <c r="L3391" s="343"/>
    </row>
    <row r="3392" spans="4:12" x14ac:dyDescent="0.2">
      <c r="D3392" s="341"/>
      <c r="F3392" s="343"/>
      <c r="G3392" s="343"/>
      <c r="H3392" s="343"/>
      <c r="I3392" s="343"/>
      <c r="J3392" s="343"/>
      <c r="K3392" s="343"/>
      <c r="L3392" s="343"/>
    </row>
    <row r="3393" spans="4:12" x14ac:dyDescent="0.2">
      <c r="D3393" s="341"/>
      <c r="F3393" s="343"/>
      <c r="G3393" s="343"/>
      <c r="H3393" s="343"/>
      <c r="I3393" s="343"/>
      <c r="J3393" s="343"/>
      <c r="K3393" s="343"/>
      <c r="L3393" s="343"/>
    </row>
    <row r="3394" spans="4:12" x14ac:dyDescent="0.2">
      <c r="D3394" s="341"/>
      <c r="F3394" s="343"/>
      <c r="G3394" s="343"/>
      <c r="H3394" s="343"/>
      <c r="I3394" s="343"/>
      <c r="J3394" s="343"/>
      <c r="K3394" s="343"/>
      <c r="L3394" s="343"/>
    </row>
    <row r="3395" spans="4:12" x14ac:dyDescent="0.2">
      <c r="D3395" s="341"/>
      <c r="F3395" s="343"/>
      <c r="G3395" s="343"/>
      <c r="H3395" s="343"/>
      <c r="I3395" s="343"/>
      <c r="J3395" s="343"/>
      <c r="K3395" s="343"/>
      <c r="L3395" s="343"/>
    </row>
    <row r="3396" spans="4:12" x14ac:dyDescent="0.2">
      <c r="D3396" s="341"/>
      <c r="F3396" s="343"/>
      <c r="G3396" s="343"/>
      <c r="H3396" s="343"/>
      <c r="I3396" s="343"/>
      <c r="J3396" s="343"/>
      <c r="K3396" s="343"/>
      <c r="L3396" s="343"/>
    </row>
    <row r="3397" spans="4:12" x14ac:dyDescent="0.2">
      <c r="D3397" s="341"/>
      <c r="F3397" s="343"/>
      <c r="G3397" s="343"/>
      <c r="H3397" s="343"/>
      <c r="I3397" s="343"/>
      <c r="J3397" s="343"/>
      <c r="K3397" s="343"/>
      <c r="L3397" s="343"/>
    </row>
    <row r="3398" spans="4:12" x14ac:dyDescent="0.2">
      <c r="D3398" s="341"/>
      <c r="F3398" s="343"/>
      <c r="G3398" s="343"/>
      <c r="H3398" s="343"/>
      <c r="I3398" s="343"/>
      <c r="J3398" s="343"/>
      <c r="K3398" s="343"/>
      <c r="L3398" s="343"/>
    </row>
    <row r="3399" spans="4:12" x14ac:dyDescent="0.2">
      <c r="D3399" s="341"/>
      <c r="F3399" s="343"/>
      <c r="G3399" s="343"/>
      <c r="H3399" s="343"/>
      <c r="I3399" s="343"/>
      <c r="J3399" s="343"/>
      <c r="K3399" s="343"/>
      <c r="L3399" s="343"/>
    </row>
    <row r="3400" spans="4:12" x14ac:dyDescent="0.2">
      <c r="D3400" s="341"/>
      <c r="F3400" s="343"/>
      <c r="G3400" s="343"/>
      <c r="H3400" s="343"/>
      <c r="I3400" s="343"/>
      <c r="J3400" s="343"/>
      <c r="K3400" s="343"/>
      <c r="L3400" s="343"/>
    </row>
    <row r="3401" spans="4:12" x14ac:dyDescent="0.2">
      <c r="D3401" s="341"/>
      <c r="F3401" s="343"/>
      <c r="G3401" s="343"/>
      <c r="H3401" s="343"/>
      <c r="I3401" s="343"/>
      <c r="J3401" s="343"/>
      <c r="K3401" s="343"/>
      <c r="L3401" s="343"/>
    </row>
    <row r="3402" spans="4:12" x14ac:dyDescent="0.2">
      <c r="D3402" s="341"/>
      <c r="F3402" s="343"/>
      <c r="G3402" s="343"/>
      <c r="H3402" s="343"/>
      <c r="I3402" s="343"/>
      <c r="J3402" s="343"/>
      <c r="K3402" s="343"/>
      <c r="L3402" s="343"/>
    </row>
    <row r="3403" spans="4:12" x14ac:dyDescent="0.2">
      <c r="D3403" s="341"/>
      <c r="F3403" s="343"/>
      <c r="G3403" s="343"/>
      <c r="H3403" s="343"/>
      <c r="I3403" s="343"/>
      <c r="J3403" s="343"/>
      <c r="K3403" s="343"/>
      <c r="L3403" s="343"/>
    </row>
    <row r="3404" spans="4:12" x14ac:dyDescent="0.2">
      <c r="D3404" s="341"/>
      <c r="F3404" s="343"/>
      <c r="G3404" s="343"/>
      <c r="H3404" s="343"/>
      <c r="I3404" s="343"/>
      <c r="J3404" s="343"/>
      <c r="K3404" s="343"/>
      <c r="L3404" s="343"/>
    </row>
    <row r="3405" spans="4:12" x14ac:dyDescent="0.2">
      <c r="D3405" s="341"/>
      <c r="F3405" s="343"/>
      <c r="G3405" s="343"/>
      <c r="H3405" s="343"/>
      <c r="I3405" s="343"/>
      <c r="J3405" s="343"/>
      <c r="K3405" s="343"/>
      <c r="L3405" s="343"/>
    </row>
    <row r="3406" spans="4:12" x14ac:dyDescent="0.2">
      <c r="D3406" s="341"/>
      <c r="F3406" s="343"/>
      <c r="G3406" s="343"/>
      <c r="H3406" s="343"/>
      <c r="I3406" s="343"/>
      <c r="J3406" s="343"/>
      <c r="K3406" s="343"/>
      <c r="L3406" s="343"/>
    </row>
    <row r="3407" spans="4:12" x14ac:dyDescent="0.2">
      <c r="D3407" s="341"/>
      <c r="F3407" s="343"/>
      <c r="G3407" s="343"/>
      <c r="H3407" s="343"/>
      <c r="I3407" s="343"/>
      <c r="J3407" s="343"/>
      <c r="K3407" s="343"/>
      <c r="L3407" s="343"/>
    </row>
    <row r="3408" spans="4:12" x14ac:dyDescent="0.2">
      <c r="D3408" s="341"/>
      <c r="F3408" s="343"/>
      <c r="G3408" s="343"/>
      <c r="H3408" s="343"/>
      <c r="I3408" s="343"/>
      <c r="J3408" s="343"/>
      <c r="K3408" s="343"/>
      <c r="L3408" s="343"/>
    </row>
    <row r="3409" spans="4:12" x14ac:dyDescent="0.2">
      <c r="D3409" s="341"/>
      <c r="F3409" s="343"/>
      <c r="G3409" s="343"/>
      <c r="H3409" s="343"/>
      <c r="I3409" s="343"/>
      <c r="J3409" s="343"/>
      <c r="K3409" s="343"/>
      <c r="L3409" s="343"/>
    </row>
    <row r="3410" spans="4:12" x14ac:dyDescent="0.2">
      <c r="D3410" s="341"/>
      <c r="F3410" s="343"/>
      <c r="G3410" s="343"/>
      <c r="H3410" s="343"/>
      <c r="I3410" s="343"/>
      <c r="J3410" s="343"/>
      <c r="K3410" s="343"/>
      <c r="L3410" s="343"/>
    </row>
    <row r="3411" spans="4:12" x14ac:dyDescent="0.2">
      <c r="D3411" s="341"/>
      <c r="F3411" s="343"/>
      <c r="G3411" s="343"/>
      <c r="H3411" s="343"/>
      <c r="I3411" s="343"/>
      <c r="J3411" s="343"/>
      <c r="K3411" s="343"/>
      <c r="L3411" s="343"/>
    </row>
    <row r="3412" spans="4:12" x14ac:dyDescent="0.2">
      <c r="D3412" s="341"/>
      <c r="F3412" s="343"/>
      <c r="G3412" s="343"/>
      <c r="H3412" s="343"/>
      <c r="I3412" s="343"/>
      <c r="J3412" s="343"/>
      <c r="K3412" s="343"/>
      <c r="L3412" s="343"/>
    </row>
    <row r="3413" spans="4:12" x14ac:dyDescent="0.2">
      <c r="D3413" s="341"/>
      <c r="F3413" s="343"/>
      <c r="G3413" s="343"/>
      <c r="H3413" s="343"/>
      <c r="I3413" s="343"/>
      <c r="J3413" s="343"/>
      <c r="K3413" s="343"/>
      <c r="L3413" s="343"/>
    </row>
    <row r="3414" spans="4:12" x14ac:dyDescent="0.2">
      <c r="D3414" s="341"/>
      <c r="F3414" s="343"/>
      <c r="G3414" s="343"/>
      <c r="H3414" s="343"/>
      <c r="I3414" s="343"/>
      <c r="J3414" s="343"/>
      <c r="K3414" s="343"/>
      <c r="L3414" s="343"/>
    </row>
    <row r="3415" spans="4:12" x14ac:dyDescent="0.2">
      <c r="D3415" s="341"/>
      <c r="F3415" s="343"/>
      <c r="G3415" s="343"/>
      <c r="H3415" s="343"/>
      <c r="I3415" s="343"/>
      <c r="J3415" s="343"/>
      <c r="K3415" s="343"/>
      <c r="L3415" s="343"/>
    </row>
    <row r="3416" spans="4:12" x14ac:dyDescent="0.2">
      <c r="D3416" s="341"/>
      <c r="F3416" s="343"/>
      <c r="G3416" s="343"/>
      <c r="H3416" s="343"/>
      <c r="I3416" s="343"/>
      <c r="J3416" s="343"/>
      <c r="K3416" s="343"/>
      <c r="L3416" s="343"/>
    </row>
    <row r="3417" spans="4:12" x14ac:dyDescent="0.2">
      <c r="D3417" s="341"/>
      <c r="F3417" s="343"/>
      <c r="G3417" s="343"/>
      <c r="H3417" s="343"/>
      <c r="I3417" s="343"/>
      <c r="J3417" s="343"/>
      <c r="K3417" s="343"/>
      <c r="L3417" s="343"/>
    </row>
    <row r="3418" spans="4:12" x14ac:dyDescent="0.2">
      <c r="D3418" s="341"/>
      <c r="F3418" s="343"/>
      <c r="G3418" s="343"/>
      <c r="H3418" s="343"/>
      <c r="I3418" s="343"/>
      <c r="J3418" s="343"/>
      <c r="K3418" s="343"/>
      <c r="L3418" s="343"/>
    </row>
    <row r="3419" spans="4:12" x14ac:dyDescent="0.2">
      <c r="D3419" s="341"/>
      <c r="F3419" s="343"/>
      <c r="G3419" s="343"/>
      <c r="H3419" s="343"/>
      <c r="I3419" s="343"/>
      <c r="J3419" s="343"/>
      <c r="K3419" s="343"/>
      <c r="L3419" s="343"/>
    </row>
    <row r="3420" spans="4:12" x14ac:dyDescent="0.2">
      <c r="D3420" s="341"/>
      <c r="F3420" s="343"/>
      <c r="G3420" s="343"/>
      <c r="H3420" s="343"/>
      <c r="I3420" s="343"/>
      <c r="J3420" s="343"/>
      <c r="K3420" s="343"/>
      <c r="L3420" s="343"/>
    </row>
    <row r="3421" spans="4:12" x14ac:dyDescent="0.2">
      <c r="D3421" s="341"/>
      <c r="F3421" s="343"/>
      <c r="G3421" s="343"/>
      <c r="H3421" s="343"/>
      <c r="I3421" s="343"/>
      <c r="J3421" s="343"/>
      <c r="K3421" s="343"/>
      <c r="L3421" s="343"/>
    </row>
    <row r="3422" spans="4:12" x14ac:dyDescent="0.2">
      <c r="D3422" s="341"/>
      <c r="F3422" s="343"/>
      <c r="G3422" s="343"/>
      <c r="H3422" s="343"/>
      <c r="I3422" s="343"/>
      <c r="J3422" s="343"/>
      <c r="K3422" s="343"/>
      <c r="L3422" s="343"/>
    </row>
    <row r="3423" spans="4:12" x14ac:dyDescent="0.2">
      <c r="D3423" s="341"/>
      <c r="F3423" s="343"/>
      <c r="G3423" s="343"/>
      <c r="H3423" s="343"/>
      <c r="I3423" s="343"/>
      <c r="J3423" s="343"/>
      <c r="K3423" s="343"/>
      <c r="L3423" s="343"/>
    </row>
    <row r="3424" spans="4:12" x14ac:dyDescent="0.2">
      <c r="D3424" s="341"/>
      <c r="F3424" s="343"/>
      <c r="G3424" s="343"/>
      <c r="H3424" s="343"/>
      <c r="I3424" s="343"/>
      <c r="J3424" s="343"/>
      <c r="K3424" s="343"/>
      <c r="L3424" s="343"/>
    </row>
    <row r="3425" spans="4:12" x14ac:dyDescent="0.2">
      <c r="D3425" s="341"/>
      <c r="F3425" s="343"/>
      <c r="G3425" s="343"/>
      <c r="H3425" s="343"/>
      <c r="I3425" s="343"/>
      <c r="J3425" s="343"/>
      <c r="K3425" s="343"/>
      <c r="L3425" s="343"/>
    </row>
    <row r="3426" spans="4:12" x14ac:dyDescent="0.2">
      <c r="D3426" s="341"/>
      <c r="F3426" s="343"/>
      <c r="G3426" s="343"/>
      <c r="H3426" s="343"/>
      <c r="I3426" s="343"/>
      <c r="J3426" s="343"/>
      <c r="K3426" s="343"/>
      <c r="L3426" s="343"/>
    </row>
    <row r="3427" spans="4:12" x14ac:dyDescent="0.2">
      <c r="D3427" s="341"/>
      <c r="F3427" s="343"/>
      <c r="G3427" s="343"/>
      <c r="H3427" s="343"/>
      <c r="I3427" s="343"/>
      <c r="J3427" s="343"/>
      <c r="K3427" s="343"/>
      <c r="L3427" s="343"/>
    </row>
    <row r="3428" spans="4:12" x14ac:dyDescent="0.2">
      <c r="D3428" s="341"/>
      <c r="F3428" s="343"/>
      <c r="G3428" s="343"/>
      <c r="H3428" s="343"/>
      <c r="I3428" s="343"/>
      <c r="J3428" s="343"/>
      <c r="K3428" s="343"/>
      <c r="L3428" s="343"/>
    </row>
    <row r="3429" spans="4:12" x14ac:dyDescent="0.2">
      <c r="D3429" s="341"/>
      <c r="F3429" s="343"/>
      <c r="G3429" s="343"/>
      <c r="H3429" s="343"/>
      <c r="I3429" s="343"/>
      <c r="J3429" s="343"/>
      <c r="K3429" s="343"/>
      <c r="L3429" s="343"/>
    </row>
    <row r="3430" spans="4:12" x14ac:dyDescent="0.2">
      <c r="D3430" s="341"/>
      <c r="F3430" s="343"/>
      <c r="G3430" s="343"/>
      <c r="H3430" s="343"/>
      <c r="I3430" s="343"/>
      <c r="J3430" s="343"/>
      <c r="K3430" s="343"/>
      <c r="L3430" s="343"/>
    </row>
    <row r="3431" spans="4:12" x14ac:dyDescent="0.2">
      <c r="D3431" s="341"/>
      <c r="F3431" s="343"/>
      <c r="G3431" s="343"/>
      <c r="H3431" s="343"/>
      <c r="I3431" s="343"/>
      <c r="J3431" s="343"/>
      <c r="K3431" s="343"/>
      <c r="L3431" s="343"/>
    </row>
    <row r="3432" spans="4:12" x14ac:dyDescent="0.2">
      <c r="D3432" s="341"/>
      <c r="F3432" s="343"/>
      <c r="G3432" s="343"/>
      <c r="H3432" s="343"/>
      <c r="I3432" s="343"/>
      <c r="J3432" s="343"/>
      <c r="K3432" s="343"/>
      <c r="L3432" s="343"/>
    </row>
    <row r="3433" spans="4:12" x14ac:dyDescent="0.2">
      <c r="D3433" s="341"/>
      <c r="F3433" s="343"/>
      <c r="G3433" s="343"/>
      <c r="H3433" s="343"/>
      <c r="I3433" s="343"/>
      <c r="J3433" s="343"/>
      <c r="K3433" s="343"/>
      <c r="L3433" s="343"/>
    </row>
    <row r="3434" spans="4:12" x14ac:dyDescent="0.2">
      <c r="D3434" s="341"/>
      <c r="F3434" s="343"/>
      <c r="G3434" s="343"/>
      <c r="H3434" s="343"/>
      <c r="I3434" s="343"/>
      <c r="J3434" s="343"/>
      <c r="K3434" s="343"/>
      <c r="L3434" s="343"/>
    </row>
    <row r="3435" spans="4:12" x14ac:dyDescent="0.2">
      <c r="D3435" s="341"/>
      <c r="F3435" s="343"/>
      <c r="G3435" s="343"/>
      <c r="H3435" s="343"/>
      <c r="I3435" s="343"/>
      <c r="J3435" s="343"/>
      <c r="K3435" s="343"/>
      <c r="L3435" s="343"/>
    </row>
    <row r="3436" spans="4:12" x14ac:dyDescent="0.2">
      <c r="D3436" s="341"/>
      <c r="F3436" s="343"/>
      <c r="G3436" s="343"/>
      <c r="H3436" s="343"/>
      <c r="I3436" s="343"/>
      <c r="J3436" s="343"/>
      <c r="K3436" s="343"/>
      <c r="L3436" s="343"/>
    </row>
    <row r="3437" spans="4:12" x14ac:dyDescent="0.2">
      <c r="D3437" s="341"/>
      <c r="F3437" s="343"/>
      <c r="G3437" s="343"/>
      <c r="H3437" s="343"/>
      <c r="I3437" s="343"/>
      <c r="J3437" s="343"/>
      <c r="K3437" s="343"/>
      <c r="L3437" s="343"/>
    </row>
    <row r="3438" spans="4:12" x14ac:dyDescent="0.2">
      <c r="D3438" s="341"/>
      <c r="F3438" s="343"/>
      <c r="G3438" s="343"/>
      <c r="H3438" s="343"/>
      <c r="I3438" s="343"/>
      <c r="J3438" s="343"/>
      <c r="K3438" s="343"/>
      <c r="L3438" s="343"/>
    </row>
    <row r="3439" spans="4:12" x14ac:dyDescent="0.2">
      <c r="D3439" s="341"/>
      <c r="F3439" s="343"/>
      <c r="G3439" s="343"/>
      <c r="H3439" s="343"/>
      <c r="I3439" s="343"/>
      <c r="J3439" s="343"/>
      <c r="K3439" s="343"/>
      <c r="L3439" s="343"/>
    </row>
    <row r="3440" spans="4:12" x14ac:dyDescent="0.2">
      <c r="D3440" s="341"/>
      <c r="F3440" s="343"/>
      <c r="G3440" s="343"/>
      <c r="H3440" s="343"/>
      <c r="I3440" s="343"/>
      <c r="J3440" s="343"/>
      <c r="K3440" s="343"/>
      <c r="L3440" s="343"/>
    </row>
    <row r="3441" spans="4:12" x14ac:dyDescent="0.2">
      <c r="D3441" s="341"/>
      <c r="F3441" s="343"/>
      <c r="G3441" s="343"/>
      <c r="H3441" s="343"/>
      <c r="I3441" s="343"/>
      <c r="J3441" s="343"/>
      <c r="K3441" s="343"/>
      <c r="L3441" s="343"/>
    </row>
    <row r="3442" spans="4:12" x14ac:dyDescent="0.2">
      <c r="D3442" s="341"/>
      <c r="F3442" s="343"/>
      <c r="G3442" s="343"/>
      <c r="H3442" s="343"/>
      <c r="I3442" s="343"/>
      <c r="J3442" s="343"/>
      <c r="K3442" s="343"/>
      <c r="L3442" s="343"/>
    </row>
    <row r="3443" spans="4:12" x14ac:dyDescent="0.2">
      <c r="D3443" s="341"/>
      <c r="F3443" s="343"/>
      <c r="G3443" s="343"/>
      <c r="H3443" s="343"/>
      <c r="I3443" s="343"/>
      <c r="J3443" s="343"/>
      <c r="K3443" s="343"/>
      <c r="L3443" s="343"/>
    </row>
    <row r="3444" spans="4:12" x14ac:dyDescent="0.2">
      <c r="D3444" s="341"/>
      <c r="F3444" s="343"/>
      <c r="G3444" s="343"/>
      <c r="H3444" s="343"/>
      <c r="I3444" s="343"/>
      <c r="J3444" s="343"/>
      <c r="K3444" s="343"/>
      <c r="L3444" s="343"/>
    </row>
    <row r="3445" spans="4:12" x14ac:dyDescent="0.2">
      <c r="D3445" s="341"/>
      <c r="F3445" s="343"/>
      <c r="G3445" s="343"/>
      <c r="H3445" s="343"/>
      <c r="I3445" s="343"/>
      <c r="J3445" s="343"/>
      <c r="K3445" s="343"/>
      <c r="L3445" s="343"/>
    </row>
    <row r="3446" spans="4:12" x14ac:dyDescent="0.2">
      <c r="D3446" s="341"/>
      <c r="F3446" s="343"/>
      <c r="G3446" s="343"/>
      <c r="H3446" s="343"/>
      <c r="I3446" s="343"/>
      <c r="J3446" s="343"/>
      <c r="K3446" s="343"/>
      <c r="L3446" s="343"/>
    </row>
    <row r="3447" spans="4:12" x14ac:dyDescent="0.2">
      <c r="D3447" s="341"/>
      <c r="F3447" s="343"/>
      <c r="G3447" s="343"/>
      <c r="H3447" s="343"/>
      <c r="I3447" s="343"/>
      <c r="J3447" s="343"/>
      <c r="K3447" s="343"/>
      <c r="L3447" s="343"/>
    </row>
    <row r="3448" spans="4:12" x14ac:dyDescent="0.2">
      <c r="D3448" s="341"/>
      <c r="F3448" s="343"/>
      <c r="G3448" s="343"/>
      <c r="H3448" s="343"/>
      <c r="I3448" s="343"/>
      <c r="J3448" s="343"/>
      <c r="K3448" s="343"/>
      <c r="L3448" s="343"/>
    </row>
    <row r="3449" spans="4:12" x14ac:dyDescent="0.2">
      <c r="D3449" s="341"/>
      <c r="F3449" s="343"/>
      <c r="G3449" s="343"/>
      <c r="H3449" s="343"/>
      <c r="I3449" s="343"/>
      <c r="J3449" s="343"/>
      <c r="K3449" s="343"/>
      <c r="L3449" s="343"/>
    </row>
    <row r="3450" spans="4:12" x14ac:dyDescent="0.2">
      <c r="D3450" s="341"/>
      <c r="F3450" s="343"/>
      <c r="G3450" s="343"/>
      <c r="H3450" s="343"/>
      <c r="I3450" s="343"/>
      <c r="J3450" s="343"/>
      <c r="K3450" s="343"/>
      <c r="L3450" s="343"/>
    </row>
    <row r="3451" spans="4:12" x14ac:dyDescent="0.2">
      <c r="D3451" s="341"/>
      <c r="F3451" s="343"/>
      <c r="G3451" s="343"/>
      <c r="H3451" s="343"/>
      <c r="I3451" s="343"/>
      <c r="J3451" s="343"/>
      <c r="K3451" s="343"/>
      <c r="L3451" s="343"/>
    </row>
    <row r="3452" spans="4:12" x14ac:dyDescent="0.2">
      <c r="D3452" s="341"/>
      <c r="F3452" s="343"/>
      <c r="G3452" s="343"/>
      <c r="H3452" s="343"/>
      <c r="I3452" s="343"/>
      <c r="J3452" s="343"/>
      <c r="K3452" s="343"/>
      <c r="L3452" s="343"/>
    </row>
    <row r="3453" spans="4:12" x14ac:dyDescent="0.2">
      <c r="D3453" s="341"/>
      <c r="F3453" s="343"/>
      <c r="G3453" s="343"/>
      <c r="H3453" s="343"/>
      <c r="I3453" s="343"/>
      <c r="J3453" s="343"/>
      <c r="K3453" s="343"/>
      <c r="L3453" s="343"/>
    </row>
    <row r="3454" spans="4:12" x14ac:dyDescent="0.2">
      <c r="D3454" s="341"/>
      <c r="F3454" s="343"/>
      <c r="G3454" s="343"/>
      <c r="H3454" s="343"/>
      <c r="I3454" s="343"/>
      <c r="J3454" s="343"/>
      <c r="K3454" s="343"/>
      <c r="L3454" s="343"/>
    </row>
    <row r="3455" spans="4:12" x14ac:dyDescent="0.2">
      <c r="D3455" s="341"/>
      <c r="F3455" s="343"/>
      <c r="G3455" s="343"/>
      <c r="H3455" s="343"/>
      <c r="I3455" s="343"/>
      <c r="J3455" s="343"/>
      <c r="K3455" s="343"/>
      <c r="L3455" s="343"/>
    </row>
    <row r="3456" spans="4:12" x14ac:dyDescent="0.2">
      <c r="D3456" s="341"/>
      <c r="F3456" s="343"/>
      <c r="G3456" s="343"/>
      <c r="H3456" s="343"/>
      <c r="I3456" s="343"/>
      <c r="J3456" s="343"/>
      <c r="K3456" s="343"/>
      <c r="L3456" s="343"/>
    </row>
    <row r="3457" spans="4:12" x14ac:dyDescent="0.2">
      <c r="D3457" s="341"/>
      <c r="F3457" s="343"/>
      <c r="G3457" s="343"/>
      <c r="H3457" s="343"/>
      <c r="I3457" s="343"/>
      <c r="J3457" s="343"/>
      <c r="K3457" s="343"/>
      <c r="L3457" s="343"/>
    </row>
    <row r="3458" spans="4:12" x14ac:dyDescent="0.2">
      <c r="D3458" s="341"/>
      <c r="F3458" s="343"/>
      <c r="G3458" s="343"/>
      <c r="H3458" s="343"/>
      <c r="I3458" s="343"/>
      <c r="J3458" s="343"/>
      <c r="K3458" s="343"/>
      <c r="L3458" s="343"/>
    </row>
    <row r="3459" spans="4:12" x14ac:dyDescent="0.2">
      <c r="D3459" s="341"/>
      <c r="F3459" s="343"/>
      <c r="G3459" s="343"/>
      <c r="H3459" s="343"/>
      <c r="I3459" s="343"/>
      <c r="J3459" s="343"/>
      <c r="K3459" s="343"/>
      <c r="L3459" s="343"/>
    </row>
    <row r="3460" spans="4:12" x14ac:dyDescent="0.2">
      <c r="D3460" s="341"/>
      <c r="F3460" s="343"/>
      <c r="G3460" s="343"/>
      <c r="H3460" s="343"/>
      <c r="I3460" s="343"/>
      <c r="J3460" s="343"/>
      <c r="K3460" s="343"/>
      <c r="L3460" s="343"/>
    </row>
    <row r="3461" spans="4:12" x14ac:dyDescent="0.2">
      <c r="D3461" s="341"/>
      <c r="F3461" s="343"/>
      <c r="G3461" s="343"/>
      <c r="H3461" s="343"/>
      <c r="I3461" s="343"/>
      <c r="J3461" s="343"/>
      <c r="K3461" s="343"/>
      <c r="L3461" s="343"/>
    </row>
    <row r="3462" spans="4:12" x14ac:dyDescent="0.2">
      <c r="D3462" s="341"/>
      <c r="F3462" s="343"/>
      <c r="G3462" s="343"/>
      <c r="H3462" s="343"/>
      <c r="I3462" s="343"/>
      <c r="J3462" s="343"/>
      <c r="K3462" s="343"/>
      <c r="L3462" s="343"/>
    </row>
    <row r="3463" spans="4:12" x14ac:dyDescent="0.2">
      <c r="D3463" s="341"/>
      <c r="F3463" s="343"/>
      <c r="G3463" s="343"/>
      <c r="H3463" s="343"/>
      <c r="I3463" s="343"/>
      <c r="J3463" s="343"/>
      <c r="K3463" s="343"/>
      <c r="L3463" s="343"/>
    </row>
    <row r="3464" spans="4:12" x14ac:dyDescent="0.2">
      <c r="D3464" s="341"/>
      <c r="F3464" s="343"/>
      <c r="G3464" s="343"/>
      <c r="H3464" s="343"/>
      <c r="I3464" s="343"/>
      <c r="J3464" s="343"/>
      <c r="K3464" s="343"/>
      <c r="L3464" s="343"/>
    </row>
    <row r="3465" spans="4:12" x14ac:dyDescent="0.2">
      <c r="D3465" s="341"/>
      <c r="F3465" s="343"/>
      <c r="G3465" s="343"/>
      <c r="H3465" s="343"/>
      <c r="I3465" s="343"/>
      <c r="J3465" s="343"/>
      <c r="K3465" s="343"/>
      <c r="L3465" s="343"/>
    </row>
    <row r="3466" spans="4:12" x14ac:dyDescent="0.2">
      <c r="D3466" s="341"/>
      <c r="F3466" s="343"/>
      <c r="G3466" s="343"/>
      <c r="H3466" s="343"/>
      <c r="I3466" s="343"/>
      <c r="J3466" s="343"/>
      <c r="K3466" s="343"/>
      <c r="L3466" s="343"/>
    </row>
    <row r="3467" spans="4:12" x14ac:dyDescent="0.2">
      <c r="D3467" s="341"/>
      <c r="F3467" s="343"/>
      <c r="G3467" s="343"/>
      <c r="H3467" s="343"/>
      <c r="I3467" s="343"/>
      <c r="J3467" s="343"/>
      <c r="K3467" s="343"/>
      <c r="L3467" s="343"/>
    </row>
    <row r="3468" spans="4:12" x14ac:dyDescent="0.2">
      <c r="D3468" s="341"/>
      <c r="F3468" s="343"/>
      <c r="G3468" s="343"/>
      <c r="H3468" s="343"/>
      <c r="I3468" s="343"/>
      <c r="J3468" s="343"/>
      <c r="K3468" s="343"/>
      <c r="L3468" s="343"/>
    </row>
    <row r="3469" spans="4:12" x14ac:dyDescent="0.2">
      <c r="D3469" s="341"/>
      <c r="F3469" s="343"/>
      <c r="G3469" s="343"/>
      <c r="H3469" s="343"/>
      <c r="I3469" s="343"/>
      <c r="J3469" s="343"/>
      <c r="K3469" s="343"/>
      <c r="L3469" s="343"/>
    </row>
    <row r="3470" spans="4:12" x14ac:dyDescent="0.2">
      <c r="D3470" s="341"/>
      <c r="F3470" s="343"/>
      <c r="G3470" s="343"/>
      <c r="H3470" s="343"/>
      <c r="I3470" s="343"/>
      <c r="J3470" s="343"/>
      <c r="K3470" s="343"/>
      <c r="L3470" s="343"/>
    </row>
    <row r="3471" spans="4:12" x14ac:dyDescent="0.2">
      <c r="D3471" s="341"/>
      <c r="F3471" s="343"/>
      <c r="G3471" s="343"/>
      <c r="H3471" s="343"/>
      <c r="I3471" s="343"/>
      <c r="J3471" s="343"/>
      <c r="K3471" s="343"/>
      <c r="L3471" s="343"/>
    </row>
    <row r="3472" spans="4:12" x14ac:dyDescent="0.2">
      <c r="D3472" s="341"/>
      <c r="F3472" s="343"/>
      <c r="G3472" s="343"/>
      <c r="H3472" s="343"/>
      <c r="I3472" s="343"/>
      <c r="J3472" s="343"/>
      <c r="K3472" s="343"/>
      <c r="L3472" s="343"/>
    </row>
    <row r="3473" spans="4:12" x14ac:dyDescent="0.2">
      <c r="D3473" s="341"/>
      <c r="F3473" s="343"/>
      <c r="G3473" s="343"/>
      <c r="H3473" s="343"/>
      <c r="I3473" s="343"/>
      <c r="J3473" s="343"/>
      <c r="K3473" s="343"/>
      <c r="L3473" s="343"/>
    </row>
    <row r="3474" spans="4:12" x14ac:dyDescent="0.2">
      <c r="D3474" s="341"/>
      <c r="F3474" s="343"/>
      <c r="G3474" s="343"/>
      <c r="H3474" s="343"/>
      <c r="I3474" s="343"/>
      <c r="J3474" s="343"/>
      <c r="K3474" s="343"/>
      <c r="L3474" s="343"/>
    </row>
    <row r="3475" spans="4:12" x14ac:dyDescent="0.2">
      <c r="D3475" s="341"/>
      <c r="F3475" s="343"/>
      <c r="G3475" s="343"/>
      <c r="H3475" s="343"/>
      <c r="I3475" s="343"/>
      <c r="J3475" s="343"/>
      <c r="K3475" s="343"/>
      <c r="L3475" s="343"/>
    </row>
    <row r="3476" spans="4:12" x14ac:dyDescent="0.2">
      <c r="D3476" s="341"/>
      <c r="F3476" s="343"/>
      <c r="G3476" s="343"/>
      <c r="H3476" s="343"/>
      <c r="I3476" s="343"/>
      <c r="J3476" s="343"/>
      <c r="K3476" s="343"/>
      <c r="L3476" s="343"/>
    </row>
    <row r="3477" spans="4:12" x14ac:dyDescent="0.2">
      <c r="D3477" s="341"/>
      <c r="F3477" s="343"/>
      <c r="G3477" s="343"/>
      <c r="H3477" s="343"/>
      <c r="I3477" s="343"/>
      <c r="J3477" s="343"/>
      <c r="K3477" s="343"/>
      <c r="L3477" s="343"/>
    </row>
    <row r="3478" spans="4:12" x14ac:dyDescent="0.2">
      <c r="D3478" s="341"/>
      <c r="F3478" s="343"/>
      <c r="G3478" s="343"/>
      <c r="H3478" s="343"/>
      <c r="I3478" s="343"/>
      <c r="J3478" s="343"/>
      <c r="K3478" s="343"/>
      <c r="L3478" s="343"/>
    </row>
    <row r="3479" spans="4:12" x14ac:dyDescent="0.2">
      <c r="D3479" s="341"/>
      <c r="F3479" s="343"/>
      <c r="G3479" s="343"/>
      <c r="H3479" s="343"/>
      <c r="I3479" s="343"/>
      <c r="J3479" s="343"/>
      <c r="K3479" s="343"/>
      <c r="L3479" s="343"/>
    </row>
    <row r="3480" spans="4:12" x14ac:dyDescent="0.2">
      <c r="D3480" s="341"/>
      <c r="F3480" s="343"/>
      <c r="G3480" s="343"/>
      <c r="H3480" s="343"/>
      <c r="I3480" s="343"/>
      <c r="J3480" s="343"/>
      <c r="K3480" s="343"/>
      <c r="L3480" s="343"/>
    </row>
    <row r="3481" spans="4:12" x14ac:dyDescent="0.2">
      <c r="D3481" s="341"/>
      <c r="F3481" s="343"/>
      <c r="G3481" s="343"/>
      <c r="H3481" s="343"/>
      <c r="I3481" s="343"/>
      <c r="J3481" s="343"/>
      <c r="K3481" s="343"/>
      <c r="L3481" s="343"/>
    </row>
    <row r="3482" spans="4:12" x14ac:dyDescent="0.2">
      <c r="D3482" s="341"/>
      <c r="F3482" s="343"/>
      <c r="G3482" s="343"/>
      <c r="H3482" s="343"/>
      <c r="I3482" s="343"/>
      <c r="J3482" s="343"/>
      <c r="K3482" s="343"/>
      <c r="L3482" s="343"/>
    </row>
    <row r="3483" spans="4:12" x14ac:dyDescent="0.2">
      <c r="D3483" s="341"/>
      <c r="F3483" s="343"/>
      <c r="G3483" s="343"/>
      <c r="H3483" s="343"/>
      <c r="I3483" s="343"/>
      <c r="J3483" s="343"/>
      <c r="K3483" s="343"/>
      <c r="L3483" s="343"/>
    </row>
    <row r="3484" spans="4:12" x14ac:dyDescent="0.2">
      <c r="D3484" s="341"/>
      <c r="F3484" s="343"/>
      <c r="G3484" s="343"/>
      <c r="H3484" s="343"/>
      <c r="I3484" s="343"/>
      <c r="J3484" s="343"/>
      <c r="K3484" s="343"/>
      <c r="L3484" s="343"/>
    </row>
    <row r="3485" spans="4:12" x14ac:dyDescent="0.2">
      <c r="D3485" s="341"/>
      <c r="F3485" s="343"/>
      <c r="G3485" s="343"/>
      <c r="H3485" s="343"/>
      <c r="I3485" s="343"/>
      <c r="J3485" s="343"/>
      <c r="K3485" s="343"/>
      <c r="L3485" s="343"/>
    </row>
    <row r="3486" spans="4:12" x14ac:dyDescent="0.2">
      <c r="D3486" s="341"/>
      <c r="F3486" s="343"/>
      <c r="G3486" s="343"/>
      <c r="H3486" s="343"/>
      <c r="I3486" s="343"/>
      <c r="J3486" s="343"/>
      <c r="K3486" s="343"/>
      <c r="L3486" s="343"/>
    </row>
    <row r="3487" spans="4:12" x14ac:dyDescent="0.2">
      <c r="D3487" s="341"/>
      <c r="F3487" s="343"/>
      <c r="G3487" s="343"/>
      <c r="H3487" s="343"/>
      <c r="I3487" s="343"/>
      <c r="J3487" s="343"/>
      <c r="K3487" s="343"/>
      <c r="L3487" s="343"/>
    </row>
    <row r="3488" spans="4:12" x14ac:dyDescent="0.2">
      <c r="D3488" s="341"/>
      <c r="F3488" s="343"/>
      <c r="G3488" s="343"/>
      <c r="H3488" s="343"/>
      <c r="I3488" s="343"/>
      <c r="J3488" s="343"/>
      <c r="K3488" s="343"/>
      <c r="L3488" s="343"/>
    </row>
    <row r="3489" spans="4:12" x14ac:dyDescent="0.2">
      <c r="D3489" s="341"/>
      <c r="F3489" s="343"/>
      <c r="G3489" s="343"/>
      <c r="H3489" s="343"/>
      <c r="I3489" s="343"/>
      <c r="J3489" s="343"/>
      <c r="K3489" s="343"/>
      <c r="L3489" s="343"/>
    </row>
    <row r="3490" spans="4:12" x14ac:dyDescent="0.2">
      <c r="D3490" s="341"/>
      <c r="F3490" s="343"/>
      <c r="G3490" s="343"/>
      <c r="H3490" s="343"/>
      <c r="I3490" s="343"/>
      <c r="J3490" s="343"/>
      <c r="K3490" s="343"/>
      <c r="L3490" s="343"/>
    </row>
    <row r="3491" spans="4:12" x14ac:dyDescent="0.2">
      <c r="D3491" s="341"/>
      <c r="F3491" s="343"/>
      <c r="G3491" s="343"/>
      <c r="H3491" s="343"/>
      <c r="I3491" s="343"/>
      <c r="J3491" s="343"/>
      <c r="K3491" s="343"/>
      <c r="L3491" s="343"/>
    </row>
    <row r="3492" spans="4:12" x14ac:dyDescent="0.2">
      <c r="D3492" s="341"/>
      <c r="F3492" s="343"/>
      <c r="G3492" s="343"/>
      <c r="H3492" s="343"/>
      <c r="I3492" s="343"/>
      <c r="J3492" s="343"/>
      <c r="K3492" s="343"/>
      <c r="L3492" s="343"/>
    </row>
    <row r="3493" spans="4:12" x14ac:dyDescent="0.2">
      <c r="D3493" s="341"/>
      <c r="F3493" s="343"/>
      <c r="G3493" s="343"/>
      <c r="H3493" s="343"/>
      <c r="I3493" s="343"/>
      <c r="J3493" s="343"/>
      <c r="K3493" s="343"/>
      <c r="L3493" s="343"/>
    </row>
    <row r="3494" spans="4:12" x14ac:dyDescent="0.2">
      <c r="D3494" s="341"/>
      <c r="F3494" s="343"/>
      <c r="G3494" s="343"/>
      <c r="H3494" s="343"/>
      <c r="I3494" s="343"/>
      <c r="J3494" s="343"/>
      <c r="K3494" s="343"/>
      <c r="L3494" s="343"/>
    </row>
    <row r="3495" spans="4:12" x14ac:dyDescent="0.2">
      <c r="D3495" s="341"/>
      <c r="F3495" s="343"/>
      <c r="G3495" s="343"/>
      <c r="H3495" s="343"/>
      <c r="I3495" s="343"/>
      <c r="J3495" s="343"/>
      <c r="K3495" s="343"/>
      <c r="L3495" s="343"/>
    </row>
    <row r="3496" spans="4:12" x14ac:dyDescent="0.2">
      <c r="D3496" s="341"/>
      <c r="F3496" s="343"/>
      <c r="G3496" s="343"/>
      <c r="H3496" s="343"/>
      <c r="I3496" s="343"/>
      <c r="J3496" s="343"/>
      <c r="K3496" s="343"/>
      <c r="L3496" s="343"/>
    </row>
    <row r="3497" spans="4:12" x14ac:dyDescent="0.2">
      <c r="D3497" s="341"/>
      <c r="F3497" s="343"/>
      <c r="G3497" s="343"/>
      <c r="H3497" s="343"/>
      <c r="I3497" s="343"/>
      <c r="J3497" s="343"/>
      <c r="K3497" s="343"/>
      <c r="L3497" s="343"/>
    </row>
    <row r="3498" spans="4:12" x14ac:dyDescent="0.2">
      <c r="D3498" s="341"/>
      <c r="F3498" s="343"/>
      <c r="G3498" s="343"/>
      <c r="H3498" s="343"/>
      <c r="I3498" s="343"/>
      <c r="J3498" s="343"/>
      <c r="K3498" s="343"/>
      <c r="L3498" s="343"/>
    </row>
    <row r="3499" spans="4:12" x14ac:dyDescent="0.2">
      <c r="D3499" s="341"/>
      <c r="F3499" s="343"/>
      <c r="G3499" s="343"/>
      <c r="H3499" s="343"/>
      <c r="I3499" s="343"/>
      <c r="J3499" s="343"/>
      <c r="K3499" s="343"/>
      <c r="L3499" s="343"/>
    </row>
    <row r="3500" spans="4:12" x14ac:dyDescent="0.2">
      <c r="D3500" s="341"/>
      <c r="F3500" s="343"/>
      <c r="G3500" s="343"/>
      <c r="H3500" s="343"/>
      <c r="I3500" s="343"/>
      <c r="J3500" s="343"/>
      <c r="K3500" s="343"/>
      <c r="L3500" s="343"/>
    </row>
    <row r="3501" spans="4:12" x14ac:dyDescent="0.2">
      <c r="D3501" s="341"/>
      <c r="F3501" s="343"/>
      <c r="G3501" s="343"/>
      <c r="H3501" s="343"/>
      <c r="I3501" s="343"/>
      <c r="J3501" s="343"/>
      <c r="K3501" s="343"/>
      <c r="L3501" s="343"/>
    </row>
    <row r="3502" spans="4:12" x14ac:dyDescent="0.2">
      <c r="D3502" s="341"/>
      <c r="F3502" s="343"/>
      <c r="G3502" s="343"/>
      <c r="H3502" s="343"/>
      <c r="I3502" s="343"/>
      <c r="J3502" s="343"/>
      <c r="K3502" s="343"/>
      <c r="L3502" s="343"/>
    </row>
    <row r="3503" spans="4:12" x14ac:dyDescent="0.2">
      <c r="D3503" s="341"/>
      <c r="F3503" s="343"/>
      <c r="G3503" s="343"/>
      <c r="H3503" s="343"/>
      <c r="I3503" s="343"/>
      <c r="J3503" s="343"/>
      <c r="K3503" s="343"/>
      <c r="L3503" s="343"/>
    </row>
    <row r="3504" spans="4:12" x14ac:dyDescent="0.2">
      <c r="D3504" s="341"/>
      <c r="F3504" s="343"/>
      <c r="G3504" s="343"/>
      <c r="H3504" s="343"/>
      <c r="I3504" s="343"/>
      <c r="J3504" s="343"/>
      <c r="K3504" s="343"/>
      <c r="L3504" s="343"/>
    </row>
    <row r="3505" spans="4:12" x14ac:dyDescent="0.2">
      <c r="D3505" s="341"/>
      <c r="F3505" s="343"/>
      <c r="G3505" s="343"/>
      <c r="H3505" s="343"/>
      <c r="I3505" s="343"/>
      <c r="J3505" s="343"/>
      <c r="K3505" s="343"/>
      <c r="L3505" s="343"/>
    </row>
    <row r="3506" spans="4:12" x14ac:dyDescent="0.2">
      <c r="D3506" s="341"/>
      <c r="F3506" s="343"/>
      <c r="G3506" s="343"/>
      <c r="H3506" s="343"/>
      <c r="I3506" s="343"/>
      <c r="J3506" s="343"/>
      <c r="K3506" s="343"/>
      <c r="L3506" s="343"/>
    </row>
    <row r="3507" spans="4:12" x14ac:dyDescent="0.2">
      <c r="D3507" s="341"/>
      <c r="F3507" s="343"/>
      <c r="G3507" s="343"/>
      <c r="H3507" s="343"/>
      <c r="I3507" s="343"/>
      <c r="J3507" s="343"/>
      <c r="K3507" s="343"/>
      <c r="L3507" s="343"/>
    </row>
    <row r="3508" spans="4:12" x14ac:dyDescent="0.2">
      <c r="D3508" s="341"/>
      <c r="F3508" s="343"/>
      <c r="G3508" s="343"/>
      <c r="H3508" s="343"/>
      <c r="I3508" s="343"/>
      <c r="J3508" s="343"/>
      <c r="K3508" s="343"/>
      <c r="L3508" s="343"/>
    </row>
    <row r="3509" spans="4:12" x14ac:dyDescent="0.2">
      <c r="D3509" s="341"/>
      <c r="F3509" s="343"/>
      <c r="G3509" s="343"/>
      <c r="H3509" s="343"/>
      <c r="I3509" s="343"/>
      <c r="J3509" s="343"/>
      <c r="K3509" s="343"/>
      <c r="L3509" s="343"/>
    </row>
    <row r="3510" spans="4:12" x14ac:dyDescent="0.2">
      <c r="D3510" s="341"/>
      <c r="F3510" s="343"/>
      <c r="G3510" s="343"/>
      <c r="H3510" s="343"/>
      <c r="I3510" s="343"/>
      <c r="J3510" s="343"/>
      <c r="K3510" s="343"/>
      <c r="L3510" s="343"/>
    </row>
    <row r="3511" spans="4:12" x14ac:dyDescent="0.2">
      <c r="D3511" s="341"/>
      <c r="F3511" s="343"/>
      <c r="G3511" s="343"/>
      <c r="H3511" s="343"/>
      <c r="I3511" s="343"/>
      <c r="J3511" s="343"/>
      <c r="K3511" s="343"/>
      <c r="L3511" s="343"/>
    </row>
    <row r="3512" spans="4:12" x14ac:dyDescent="0.2">
      <c r="D3512" s="341"/>
      <c r="F3512" s="343"/>
      <c r="G3512" s="343"/>
      <c r="H3512" s="343"/>
      <c r="I3512" s="343"/>
      <c r="J3512" s="343"/>
      <c r="K3512" s="343"/>
      <c r="L3512" s="343"/>
    </row>
    <row r="3513" spans="4:12" x14ac:dyDescent="0.2">
      <c r="D3513" s="341"/>
      <c r="F3513" s="343"/>
      <c r="G3513" s="343"/>
      <c r="H3513" s="343"/>
      <c r="I3513" s="343"/>
      <c r="J3513" s="343"/>
      <c r="K3513" s="343"/>
      <c r="L3513" s="343"/>
    </row>
    <row r="3514" spans="4:12" x14ac:dyDescent="0.2">
      <c r="D3514" s="341"/>
      <c r="F3514" s="343"/>
      <c r="G3514" s="343"/>
      <c r="H3514" s="343"/>
      <c r="I3514" s="343"/>
      <c r="J3514" s="343"/>
      <c r="K3514" s="343"/>
      <c r="L3514" s="343"/>
    </row>
    <row r="3515" spans="4:12" x14ac:dyDescent="0.2">
      <c r="D3515" s="341"/>
      <c r="F3515" s="343"/>
      <c r="G3515" s="343"/>
      <c r="H3515" s="343"/>
      <c r="I3515" s="343"/>
      <c r="J3515" s="343"/>
      <c r="K3515" s="343"/>
      <c r="L3515" s="343"/>
    </row>
    <row r="3516" spans="4:12" x14ac:dyDescent="0.2">
      <c r="D3516" s="341"/>
      <c r="F3516" s="343"/>
      <c r="G3516" s="343"/>
      <c r="H3516" s="343"/>
      <c r="I3516" s="343"/>
      <c r="J3516" s="343"/>
      <c r="K3516" s="343"/>
      <c r="L3516" s="343"/>
    </row>
    <row r="3517" spans="4:12" x14ac:dyDescent="0.2">
      <c r="D3517" s="341"/>
      <c r="F3517" s="343"/>
      <c r="G3517" s="343"/>
      <c r="H3517" s="343"/>
      <c r="I3517" s="343"/>
      <c r="J3517" s="343"/>
      <c r="K3517" s="343"/>
      <c r="L3517" s="343"/>
    </row>
    <row r="3518" spans="4:12" x14ac:dyDescent="0.2">
      <c r="D3518" s="341"/>
      <c r="F3518" s="343"/>
      <c r="G3518" s="343"/>
      <c r="H3518" s="343"/>
      <c r="I3518" s="343"/>
      <c r="J3518" s="343"/>
      <c r="K3518" s="343"/>
      <c r="L3518" s="343"/>
    </row>
    <row r="3519" spans="4:12" x14ac:dyDescent="0.2">
      <c r="D3519" s="341"/>
      <c r="F3519" s="343"/>
      <c r="G3519" s="343"/>
      <c r="H3519" s="343"/>
      <c r="I3519" s="343"/>
      <c r="J3519" s="343"/>
      <c r="K3519" s="343"/>
      <c r="L3519" s="343"/>
    </row>
    <row r="3520" spans="4:12" x14ac:dyDescent="0.2">
      <c r="D3520" s="341"/>
      <c r="F3520" s="343"/>
      <c r="G3520" s="343"/>
      <c r="H3520" s="343"/>
      <c r="I3520" s="343"/>
      <c r="J3520" s="343"/>
      <c r="K3520" s="343"/>
      <c r="L3520" s="343"/>
    </row>
    <row r="3521" spans="4:12" x14ac:dyDescent="0.2">
      <c r="D3521" s="341"/>
      <c r="F3521" s="343"/>
      <c r="G3521" s="343"/>
      <c r="H3521" s="343"/>
      <c r="I3521" s="343"/>
      <c r="J3521" s="343"/>
      <c r="K3521" s="343"/>
      <c r="L3521" s="343"/>
    </row>
    <row r="3522" spans="4:12" x14ac:dyDescent="0.2">
      <c r="D3522" s="341"/>
      <c r="F3522" s="343"/>
      <c r="G3522" s="343"/>
      <c r="H3522" s="343"/>
      <c r="I3522" s="343"/>
      <c r="J3522" s="343"/>
      <c r="K3522" s="343"/>
      <c r="L3522" s="343"/>
    </row>
    <row r="3523" spans="4:12" x14ac:dyDescent="0.2">
      <c r="D3523" s="341"/>
      <c r="F3523" s="343"/>
      <c r="G3523" s="343"/>
      <c r="H3523" s="343"/>
      <c r="I3523" s="343"/>
      <c r="J3523" s="343"/>
      <c r="K3523" s="343"/>
      <c r="L3523" s="343"/>
    </row>
    <row r="3524" spans="4:12" x14ac:dyDescent="0.2">
      <c r="D3524" s="341"/>
      <c r="F3524" s="343"/>
      <c r="G3524" s="343"/>
      <c r="H3524" s="343"/>
      <c r="I3524" s="343"/>
      <c r="J3524" s="343"/>
      <c r="K3524" s="343"/>
      <c r="L3524" s="343"/>
    </row>
    <row r="3525" spans="4:12" x14ac:dyDescent="0.2">
      <c r="D3525" s="341"/>
      <c r="F3525" s="343"/>
      <c r="G3525" s="343"/>
      <c r="H3525" s="343"/>
      <c r="I3525" s="343"/>
      <c r="J3525" s="343"/>
      <c r="K3525" s="343"/>
      <c r="L3525" s="343"/>
    </row>
    <row r="3526" spans="4:12" x14ac:dyDescent="0.2">
      <c r="D3526" s="341"/>
      <c r="F3526" s="343"/>
      <c r="G3526" s="343"/>
      <c r="H3526" s="343"/>
      <c r="I3526" s="343"/>
      <c r="J3526" s="343"/>
      <c r="K3526" s="343"/>
      <c r="L3526" s="343"/>
    </row>
    <row r="3527" spans="4:12" x14ac:dyDescent="0.2">
      <c r="D3527" s="341"/>
      <c r="F3527" s="343"/>
      <c r="G3527" s="343"/>
      <c r="H3527" s="343"/>
      <c r="I3527" s="343"/>
      <c r="J3527" s="343"/>
      <c r="K3527" s="343"/>
      <c r="L3527" s="343"/>
    </row>
    <row r="3528" spans="4:12" x14ac:dyDescent="0.2">
      <c r="D3528" s="341"/>
      <c r="F3528" s="343"/>
      <c r="G3528" s="343"/>
      <c r="H3528" s="343"/>
      <c r="I3528" s="343"/>
      <c r="J3528" s="343"/>
      <c r="K3528" s="343"/>
      <c r="L3528" s="343"/>
    </row>
    <row r="3529" spans="4:12" x14ac:dyDescent="0.2">
      <c r="D3529" s="341"/>
      <c r="F3529" s="343"/>
      <c r="G3529" s="343"/>
      <c r="H3529" s="343"/>
      <c r="I3529" s="343"/>
      <c r="J3529" s="343"/>
      <c r="K3529" s="343"/>
      <c r="L3529" s="343"/>
    </row>
    <row r="3530" spans="4:12" x14ac:dyDescent="0.2">
      <c r="D3530" s="341"/>
      <c r="F3530" s="343"/>
      <c r="G3530" s="343"/>
      <c r="H3530" s="343"/>
      <c r="I3530" s="343"/>
      <c r="J3530" s="343"/>
      <c r="K3530" s="343"/>
      <c r="L3530" s="343"/>
    </row>
    <row r="3531" spans="4:12" x14ac:dyDescent="0.2">
      <c r="D3531" s="341"/>
      <c r="F3531" s="343"/>
      <c r="G3531" s="343"/>
      <c r="H3531" s="343"/>
      <c r="I3531" s="343"/>
      <c r="J3531" s="343"/>
      <c r="K3531" s="343"/>
      <c r="L3531" s="343"/>
    </row>
    <row r="3532" spans="4:12" x14ac:dyDescent="0.2">
      <c r="D3532" s="341"/>
      <c r="F3532" s="343"/>
      <c r="G3532" s="343"/>
      <c r="H3532" s="343"/>
      <c r="I3532" s="343"/>
      <c r="J3532" s="343"/>
      <c r="K3532" s="343"/>
      <c r="L3532" s="343"/>
    </row>
    <row r="3533" spans="4:12" x14ac:dyDescent="0.2">
      <c r="D3533" s="341"/>
      <c r="F3533" s="343"/>
      <c r="G3533" s="343"/>
      <c r="H3533" s="343"/>
      <c r="I3533" s="343"/>
      <c r="J3533" s="343"/>
      <c r="K3533" s="343"/>
      <c r="L3533" s="343"/>
    </row>
    <row r="3534" spans="4:12" x14ac:dyDescent="0.2">
      <c r="D3534" s="341"/>
      <c r="F3534" s="343"/>
      <c r="G3534" s="343"/>
      <c r="H3534" s="343"/>
      <c r="I3534" s="343"/>
      <c r="J3534" s="343"/>
      <c r="K3534" s="343"/>
      <c r="L3534" s="343"/>
    </row>
    <row r="3535" spans="4:12" x14ac:dyDescent="0.2">
      <c r="D3535" s="341"/>
      <c r="F3535" s="343"/>
      <c r="G3535" s="343"/>
      <c r="H3535" s="343"/>
      <c r="I3535" s="343"/>
      <c r="J3535" s="343"/>
      <c r="K3535" s="343"/>
      <c r="L3535" s="343"/>
    </row>
    <row r="3536" spans="4:12" x14ac:dyDescent="0.2">
      <c r="D3536" s="341"/>
      <c r="F3536" s="343"/>
      <c r="G3536" s="343"/>
      <c r="H3536" s="343"/>
      <c r="I3536" s="343"/>
      <c r="J3536" s="343"/>
      <c r="K3536" s="343"/>
      <c r="L3536" s="343"/>
    </row>
    <row r="3537" spans="4:12" x14ac:dyDescent="0.2">
      <c r="D3537" s="341"/>
      <c r="F3537" s="343"/>
      <c r="G3537" s="343"/>
      <c r="H3537" s="343"/>
      <c r="I3537" s="343"/>
      <c r="J3537" s="343"/>
      <c r="K3537" s="343"/>
      <c r="L3537" s="343"/>
    </row>
    <row r="3538" spans="4:12" x14ac:dyDescent="0.2">
      <c r="D3538" s="341"/>
      <c r="F3538" s="343"/>
      <c r="G3538" s="343"/>
      <c r="H3538" s="343"/>
      <c r="I3538" s="343"/>
      <c r="J3538" s="343"/>
      <c r="K3538" s="343"/>
      <c r="L3538" s="343"/>
    </row>
    <row r="3539" spans="4:12" x14ac:dyDescent="0.2">
      <c r="D3539" s="341"/>
      <c r="F3539" s="343"/>
      <c r="G3539" s="343"/>
      <c r="H3539" s="343"/>
      <c r="I3539" s="343"/>
      <c r="J3539" s="343"/>
      <c r="K3539" s="343"/>
      <c r="L3539" s="343"/>
    </row>
    <row r="3540" spans="4:12" x14ac:dyDescent="0.2">
      <c r="D3540" s="341"/>
      <c r="F3540" s="343"/>
      <c r="G3540" s="343"/>
      <c r="H3540" s="343"/>
      <c r="I3540" s="343"/>
      <c r="J3540" s="343"/>
      <c r="K3540" s="343"/>
      <c r="L3540" s="343"/>
    </row>
    <row r="3541" spans="4:12" x14ac:dyDescent="0.2">
      <c r="D3541" s="341"/>
      <c r="F3541" s="343"/>
      <c r="G3541" s="343"/>
      <c r="H3541" s="343"/>
      <c r="I3541" s="343"/>
      <c r="J3541" s="343"/>
      <c r="K3541" s="343"/>
      <c r="L3541" s="343"/>
    </row>
    <row r="3542" spans="4:12" x14ac:dyDescent="0.2">
      <c r="D3542" s="341"/>
      <c r="F3542" s="343"/>
      <c r="G3542" s="343"/>
      <c r="H3542" s="343"/>
      <c r="I3542" s="343"/>
      <c r="J3542" s="343"/>
      <c r="K3542" s="343"/>
      <c r="L3542" s="343"/>
    </row>
    <row r="3543" spans="4:12" x14ac:dyDescent="0.2">
      <c r="D3543" s="341"/>
      <c r="F3543" s="343"/>
      <c r="G3543" s="343"/>
      <c r="H3543" s="343"/>
      <c r="I3543" s="343"/>
      <c r="J3543" s="343"/>
      <c r="K3543" s="343"/>
      <c r="L3543" s="343"/>
    </row>
    <row r="3544" spans="4:12" x14ac:dyDescent="0.2">
      <c r="D3544" s="341"/>
      <c r="F3544" s="343"/>
      <c r="G3544" s="343"/>
      <c r="H3544" s="343"/>
      <c r="I3544" s="343"/>
      <c r="J3544" s="343"/>
      <c r="K3544" s="343"/>
      <c r="L3544" s="343"/>
    </row>
    <row r="3545" spans="4:12" x14ac:dyDescent="0.2">
      <c r="D3545" s="341"/>
      <c r="F3545" s="343"/>
      <c r="G3545" s="343"/>
      <c r="H3545" s="343"/>
      <c r="I3545" s="343"/>
      <c r="J3545" s="343"/>
      <c r="K3545" s="343"/>
      <c r="L3545" s="343"/>
    </row>
    <row r="3546" spans="4:12" x14ac:dyDescent="0.2">
      <c r="D3546" s="341"/>
      <c r="F3546" s="343"/>
      <c r="G3546" s="343"/>
      <c r="H3546" s="343"/>
      <c r="I3546" s="343"/>
      <c r="J3546" s="343"/>
      <c r="K3546" s="343"/>
      <c r="L3546" s="343"/>
    </row>
    <row r="3547" spans="4:12" x14ac:dyDescent="0.2">
      <c r="D3547" s="341"/>
      <c r="F3547" s="343"/>
      <c r="G3547" s="343"/>
      <c r="H3547" s="343"/>
      <c r="I3547" s="343"/>
      <c r="J3547" s="343"/>
      <c r="K3547" s="343"/>
      <c r="L3547" s="343"/>
    </row>
    <row r="3548" spans="4:12" x14ac:dyDescent="0.2">
      <c r="D3548" s="341"/>
      <c r="F3548" s="343"/>
      <c r="G3548" s="343"/>
      <c r="H3548" s="343"/>
      <c r="I3548" s="343"/>
      <c r="J3548" s="343"/>
      <c r="K3548" s="343"/>
      <c r="L3548" s="343"/>
    </row>
    <row r="3549" spans="4:12" x14ac:dyDescent="0.2">
      <c r="D3549" s="341"/>
      <c r="F3549" s="343"/>
      <c r="G3549" s="343"/>
      <c r="H3549" s="343"/>
      <c r="I3549" s="343"/>
      <c r="J3549" s="343"/>
      <c r="K3549" s="343"/>
      <c r="L3549" s="343"/>
    </row>
    <row r="3550" spans="4:12" x14ac:dyDescent="0.2">
      <c r="D3550" s="341"/>
      <c r="F3550" s="343"/>
      <c r="G3550" s="343"/>
      <c r="H3550" s="343"/>
      <c r="I3550" s="343"/>
      <c r="J3550" s="343"/>
      <c r="K3550" s="343"/>
      <c r="L3550" s="343"/>
    </row>
    <row r="3551" spans="4:12" x14ac:dyDescent="0.2">
      <c r="D3551" s="341"/>
      <c r="F3551" s="343"/>
      <c r="G3551" s="343"/>
      <c r="H3551" s="343"/>
      <c r="I3551" s="343"/>
      <c r="J3551" s="343"/>
      <c r="K3551" s="343"/>
      <c r="L3551" s="343"/>
    </row>
    <row r="3552" spans="4:12" x14ac:dyDescent="0.2">
      <c r="D3552" s="341"/>
      <c r="F3552" s="343"/>
      <c r="G3552" s="343"/>
      <c r="H3552" s="343"/>
      <c r="I3552" s="343"/>
      <c r="J3552" s="343"/>
      <c r="K3552" s="343"/>
      <c r="L3552" s="343"/>
    </row>
    <row r="3553" spans="4:12" x14ac:dyDescent="0.2">
      <c r="D3553" s="341"/>
      <c r="F3553" s="343"/>
      <c r="G3553" s="343"/>
      <c r="H3553" s="343"/>
      <c r="I3553" s="343"/>
      <c r="J3553" s="343"/>
      <c r="K3553" s="343"/>
      <c r="L3553" s="343"/>
    </row>
    <row r="3554" spans="4:12" x14ac:dyDescent="0.2">
      <c r="D3554" s="341"/>
      <c r="F3554" s="343"/>
      <c r="G3554" s="343"/>
      <c r="H3554" s="343"/>
      <c r="I3554" s="343"/>
      <c r="J3554" s="343"/>
      <c r="K3554" s="343"/>
      <c r="L3554" s="343"/>
    </row>
    <row r="3555" spans="4:12" x14ac:dyDescent="0.2">
      <c r="D3555" s="341"/>
      <c r="F3555" s="343"/>
      <c r="G3555" s="343"/>
      <c r="H3555" s="343"/>
      <c r="I3555" s="343"/>
      <c r="J3555" s="343"/>
      <c r="K3555" s="343"/>
      <c r="L3555" s="343"/>
    </row>
    <row r="3556" spans="4:12" x14ac:dyDescent="0.2">
      <c r="D3556" s="341"/>
      <c r="F3556" s="343"/>
      <c r="G3556" s="343"/>
      <c r="H3556" s="343"/>
      <c r="I3556" s="343"/>
      <c r="J3556" s="343"/>
      <c r="K3556" s="343"/>
      <c r="L3556" s="343"/>
    </row>
    <row r="3557" spans="4:12" x14ac:dyDescent="0.2">
      <c r="D3557" s="341"/>
      <c r="F3557" s="343"/>
      <c r="G3557" s="343"/>
      <c r="H3557" s="343"/>
      <c r="I3557" s="343"/>
      <c r="J3557" s="343"/>
      <c r="K3557" s="343"/>
      <c r="L3557" s="343"/>
    </row>
    <row r="3558" spans="4:12" x14ac:dyDescent="0.2">
      <c r="D3558" s="341"/>
      <c r="F3558" s="343"/>
      <c r="G3558" s="343"/>
      <c r="H3558" s="343"/>
      <c r="I3558" s="343"/>
      <c r="J3558" s="343"/>
      <c r="K3558" s="343"/>
      <c r="L3558" s="343"/>
    </row>
    <row r="3559" spans="4:12" x14ac:dyDescent="0.2">
      <c r="D3559" s="341"/>
      <c r="F3559" s="343"/>
      <c r="G3559" s="343"/>
      <c r="H3559" s="343"/>
      <c r="I3559" s="343"/>
      <c r="J3559" s="343"/>
      <c r="K3559" s="343"/>
      <c r="L3559" s="343"/>
    </row>
    <row r="3560" spans="4:12" x14ac:dyDescent="0.2">
      <c r="D3560" s="341"/>
      <c r="F3560" s="343"/>
      <c r="G3560" s="343"/>
      <c r="H3560" s="343"/>
      <c r="I3560" s="343"/>
      <c r="J3560" s="343"/>
      <c r="K3560" s="343"/>
      <c r="L3560" s="343"/>
    </row>
    <row r="3561" spans="4:12" x14ac:dyDescent="0.2">
      <c r="D3561" s="341"/>
      <c r="F3561" s="343"/>
      <c r="G3561" s="343"/>
      <c r="H3561" s="343"/>
      <c r="I3561" s="343"/>
      <c r="J3561" s="343"/>
      <c r="K3561" s="343"/>
      <c r="L3561" s="343"/>
    </row>
    <row r="3562" spans="4:12" x14ac:dyDescent="0.2">
      <c r="D3562" s="341"/>
      <c r="F3562" s="343"/>
      <c r="G3562" s="343"/>
      <c r="H3562" s="343"/>
      <c r="I3562" s="343"/>
      <c r="J3562" s="343"/>
      <c r="K3562" s="343"/>
      <c r="L3562" s="343"/>
    </row>
    <row r="3563" spans="4:12" x14ac:dyDescent="0.2">
      <c r="D3563" s="341"/>
      <c r="F3563" s="343"/>
      <c r="G3563" s="343"/>
      <c r="H3563" s="343"/>
      <c r="I3563" s="343"/>
      <c r="J3563" s="343"/>
      <c r="K3563" s="343"/>
      <c r="L3563" s="343"/>
    </row>
    <row r="3564" spans="4:12" x14ac:dyDescent="0.2">
      <c r="D3564" s="341"/>
      <c r="F3564" s="343"/>
      <c r="G3564" s="343"/>
      <c r="H3564" s="343"/>
      <c r="I3564" s="343"/>
      <c r="J3564" s="343"/>
      <c r="K3564" s="343"/>
      <c r="L3564" s="343"/>
    </row>
    <row r="3565" spans="4:12" x14ac:dyDescent="0.2">
      <c r="D3565" s="341"/>
      <c r="F3565" s="343"/>
      <c r="G3565" s="343"/>
      <c r="H3565" s="343"/>
      <c r="I3565" s="343"/>
      <c r="J3565" s="343"/>
      <c r="K3565" s="343"/>
      <c r="L3565" s="343"/>
    </row>
    <row r="3566" spans="4:12" x14ac:dyDescent="0.2">
      <c r="D3566" s="341"/>
      <c r="F3566" s="343"/>
      <c r="G3566" s="343"/>
      <c r="H3566" s="343"/>
      <c r="I3566" s="343"/>
      <c r="J3566" s="343"/>
      <c r="K3566" s="343"/>
      <c r="L3566" s="343"/>
    </row>
    <row r="3567" spans="4:12" x14ac:dyDescent="0.2">
      <c r="D3567" s="341"/>
      <c r="F3567" s="343"/>
      <c r="G3567" s="343"/>
      <c r="H3567" s="343"/>
      <c r="I3567" s="343"/>
      <c r="J3567" s="343"/>
      <c r="K3567" s="343"/>
      <c r="L3567" s="343"/>
    </row>
    <row r="3568" spans="4:12" x14ac:dyDescent="0.2">
      <c r="D3568" s="341"/>
      <c r="F3568" s="343"/>
      <c r="G3568" s="343"/>
      <c r="H3568" s="343"/>
      <c r="I3568" s="343"/>
      <c r="J3568" s="343"/>
      <c r="K3568" s="343"/>
      <c r="L3568" s="343"/>
    </row>
    <row r="3569" spans="4:12" x14ac:dyDescent="0.2">
      <c r="D3569" s="341"/>
      <c r="F3569" s="343"/>
      <c r="G3569" s="343"/>
      <c r="H3569" s="343"/>
      <c r="I3569" s="343"/>
      <c r="J3569" s="343"/>
      <c r="K3569" s="343"/>
      <c r="L3569" s="343"/>
    </row>
    <row r="3570" spans="4:12" x14ac:dyDescent="0.2">
      <c r="D3570" s="341"/>
      <c r="F3570" s="343"/>
      <c r="G3570" s="343"/>
      <c r="H3570" s="343"/>
      <c r="I3570" s="343"/>
      <c r="J3570" s="343"/>
      <c r="K3570" s="343"/>
      <c r="L3570" s="343"/>
    </row>
    <row r="3571" spans="4:12" x14ac:dyDescent="0.2">
      <c r="D3571" s="341"/>
      <c r="F3571" s="343"/>
      <c r="G3571" s="343"/>
      <c r="H3571" s="343"/>
      <c r="I3571" s="343"/>
      <c r="J3571" s="343"/>
      <c r="K3571" s="343"/>
      <c r="L3571" s="343"/>
    </row>
    <row r="3572" spans="4:12" x14ac:dyDescent="0.2">
      <c r="D3572" s="341"/>
      <c r="F3572" s="343"/>
      <c r="G3572" s="343"/>
      <c r="H3572" s="343"/>
      <c r="I3572" s="343"/>
      <c r="J3572" s="343"/>
      <c r="K3572" s="343"/>
      <c r="L3572" s="343"/>
    </row>
    <row r="3573" spans="4:12" x14ac:dyDescent="0.2">
      <c r="D3573" s="341"/>
      <c r="F3573" s="343"/>
      <c r="G3573" s="343"/>
      <c r="H3573" s="343"/>
      <c r="I3573" s="343"/>
      <c r="J3573" s="343"/>
      <c r="K3573" s="343"/>
      <c r="L3573" s="343"/>
    </row>
    <row r="3574" spans="4:12" x14ac:dyDescent="0.2">
      <c r="D3574" s="341"/>
      <c r="F3574" s="343"/>
      <c r="G3574" s="343"/>
      <c r="H3574" s="343"/>
      <c r="I3574" s="343"/>
      <c r="J3574" s="343"/>
      <c r="K3574" s="343"/>
      <c r="L3574" s="343"/>
    </row>
    <row r="3575" spans="4:12" x14ac:dyDescent="0.2">
      <c r="D3575" s="341"/>
      <c r="F3575" s="343"/>
      <c r="G3575" s="343"/>
      <c r="H3575" s="343"/>
      <c r="I3575" s="343"/>
      <c r="J3575" s="343"/>
      <c r="K3575" s="343"/>
      <c r="L3575" s="343"/>
    </row>
    <row r="3576" spans="4:12" x14ac:dyDescent="0.2">
      <c r="D3576" s="341"/>
      <c r="F3576" s="343"/>
      <c r="G3576" s="343"/>
      <c r="H3576" s="343"/>
      <c r="I3576" s="343"/>
      <c r="J3576" s="343"/>
      <c r="K3576" s="343"/>
      <c r="L3576" s="343"/>
    </row>
    <row r="3577" spans="4:12" x14ac:dyDescent="0.2">
      <c r="D3577" s="341"/>
      <c r="F3577" s="343"/>
      <c r="G3577" s="343"/>
      <c r="H3577" s="343"/>
      <c r="I3577" s="343"/>
      <c r="J3577" s="343"/>
      <c r="K3577" s="343"/>
      <c r="L3577" s="343"/>
    </row>
    <row r="3578" spans="4:12" x14ac:dyDescent="0.2">
      <c r="D3578" s="341"/>
      <c r="F3578" s="343"/>
      <c r="G3578" s="343"/>
      <c r="H3578" s="343"/>
      <c r="I3578" s="343"/>
      <c r="J3578" s="343"/>
      <c r="K3578" s="343"/>
      <c r="L3578" s="343"/>
    </row>
    <row r="3579" spans="4:12" x14ac:dyDescent="0.2">
      <c r="D3579" s="341"/>
      <c r="F3579" s="343"/>
      <c r="G3579" s="343"/>
      <c r="H3579" s="343"/>
      <c r="I3579" s="343"/>
      <c r="J3579" s="343"/>
      <c r="K3579" s="343"/>
      <c r="L3579" s="343"/>
    </row>
    <row r="3580" spans="4:12" x14ac:dyDescent="0.2">
      <c r="D3580" s="341"/>
      <c r="F3580" s="343"/>
      <c r="G3580" s="343"/>
      <c r="H3580" s="343"/>
      <c r="I3580" s="343"/>
      <c r="J3580" s="343"/>
      <c r="K3580" s="343"/>
      <c r="L3580" s="343"/>
    </row>
    <row r="3581" spans="4:12" x14ac:dyDescent="0.2">
      <c r="D3581" s="341"/>
      <c r="F3581" s="343"/>
      <c r="G3581" s="343"/>
      <c r="H3581" s="343"/>
      <c r="I3581" s="343"/>
      <c r="J3581" s="343"/>
      <c r="K3581" s="343"/>
      <c r="L3581" s="343"/>
    </row>
    <row r="3582" spans="4:12" x14ac:dyDescent="0.2">
      <c r="D3582" s="341"/>
      <c r="F3582" s="343"/>
      <c r="G3582" s="343"/>
      <c r="H3582" s="343"/>
      <c r="I3582" s="343"/>
      <c r="J3582" s="343"/>
      <c r="K3582" s="343"/>
      <c r="L3582" s="343"/>
    </row>
    <row r="3583" spans="4:12" x14ac:dyDescent="0.2">
      <c r="D3583" s="341"/>
      <c r="F3583" s="343"/>
      <c r="G3583" s="343"/>
      <c r="H3583" s="343"/>
      <c r="I3583" s="343"/>
      <c r="J3583" s="343"/>
      <c r="K3583" s="343"/>
      <c r="L3583" s="343"/>
    </row>
    <row r="3584" spans="4:12" x14ac:dyDescent="0.2">
      <c r="D3584" s="341"/>
      <c r="F3584" s="343"/>
      <c r="G3584" s="343"/>
      <c r="H3584" s="343"/>
      <c r="I3584" s="343"/>
      <c r="J3584" s="343"/>
      <c r="K3584" s="343"/>
      <c r="L3584" s="343"/>
    </row>
    <row r="3585" spans="4:12" x14ac:dyDescent="0.2">
      <c r="D3585" s="341"/>
      <c r="F3585" s="343"/>
      <c r="G3585" s="343"/>
      <c r="H3585" s="343"/>
      <c r="I3585" s="343"/>
      <c r="J3585" s="343"/>
      <c r="K3585" s="343"/>
      <c r="L3585" s="343"/>
    </row>
    <row r="3586" spans="4:12" x14ac:dyDescent="0.2">
      <c r="D3586" s="341"/>
      <c r="F3586" s="343"/>
      <c r="G3586" s="343"/>
      <c r="H3586" s="343"/>
      <c r="I3586" s="343"/>
      <c r="J3586" s="343"/>
      <c r="K3586" s="343"/>
      <c r="L3586" s="343"/>
    </row>
    <row r="3587" spans="4:12" x14ac:dyDescent="0.2">
      <c r="D3587" s="341"/>
      <c r="F3587" s="343"/>
      <c r="G3587" s="343"/>
      <c r="H3587" s="343"/>
      <c r="I3587" s="343"/>
      <c r="J3587" s="343"/>
      <c r="K3587" s="343"/>
      <c r="L3587" s="343"/>
    </row>
    <row r="3588" spans="4:12" x14ac:dyDescent="0.2">
      <c r="D3588" s="341"/>
      <c r="F3588" s="343"/>
      <c r="G3588" s="343"/>
      <c r="H3588" s="343"/>
      <c r="I3588" s="343"/>
      <c r="J3588" s="343"/>
      <c r="K3588" s="343"/>
      <c r="L3588" s="343"/>
    </row>
    <row r="3589" spans="4:12" x14ac:dyDescent="0.2">
      <c r="D3589" s="341"/>
      <c r="F3589" s="343"/>
      <c r="G3589" s="343"/>
      <c r="H3589" s="343"/>
      <c r="I3589" s="343"/>
      <c r="J3589" s="343"/>
      <c r="K3589" s="343"/>
      <c r="L3589" s="343"/>
    </row>
    <row r="3590" spans="4:12" x14ac:dyDescent="0.2">
      <c r="D3590" s="341"/>
      <c r="F3590" s="343"/>
      <c r="G3590" s="343"/>
      <c r="H3590" s="343"/>
      <c r="I3590" s="343"/>
      <c r="J3590" s="343"/>
      <c r="K3590" s="343"/>
      <c r="L3590" s="343"/>
    </row>
    <row r="3591" spans="4:12" x14ac:dyDescent="0.2">
      <c r="D3591" s="341"/>
      <c r="F3591" s="343"/>
      <c r="G3591" s="343"/>
      <c r="H3591" s="343"/>
      <c r="I3591" s="343"/>
      <c r="J3591" s="343"/>
      <c r="K3591" s="343"/>
      <c r="L3591" s="343"/>
    </row>
    <row r="3592" spans="4:12" x14ac:dyDescent="0.2">
      <c r="D3592" s="341"/>
      <c r="F3592" s="343"/>
      <c r="G3592" s="343"/>
      <c r="H3592" s="343"/>
      <c r="I3592" s="343"/>
      <c r="J3592" s="343"/>
      <c r="K3592" s="343"/>
      <c r="L3592" s="343"/>
    </row>
    <row r="3593" spans="4:12" x14ac:dyDescent="0.2">
      <c r="D3593" s="341"/>
      <c r="F3593" s="343"/>
      <c r="G3593" s="343"/>
      <c r="H3593" s="343"/>
      <c r="I3593" s="343"/>
      <c r="J3593" s="343"/>
      <c r="K3593" s="343"/>
      <c r="L3593" s="343"/>
    </row>
    <row r="3594" spans="4:12" x14ac:dyDescent="0.2">
      <c r="D3594" s="341"/>
      <c r="F3594" s="343"/>
      <c r="G3594" s="343"/>
      <c r="H3594" s="343"/>
      <c r="I3594" s="343"/>
      <c r="J3594" s="343"/>
      <c r="K3594" s="343"/>
      <c r="L3594" s="343"/>
    </row>
    <row r="3595" spans="4:12" x14ac:dyDescent="0.2">
      <c r="D3595" s="341"/>
      <c r="F3595" s="343"/>
      <c r="G3595" s="343"/>
      <c r="H3595" s="343"/>
      <c r="I3595" s="343"/>
      <c r="J3595" s="343"/>
      <c r="K3595" s="343"/>
      <c r="L3595" s="343"/>
    </row>
    <row r="3596" spans="4:12" x14ac:dyDescent="0.2">
      <c r="D3596" s="341"/>
      <c r="F3596" s="343"/>
      <c r="G3596" s="343"/>
      <c r="H3596" s="343"/>
      <c r="I3596" s="343"/>
      <c r="J3596" s="343"/>
      <c r="K3596" s="343"/>
      <c r="L3596" s="343"/>
    </row>
    <row r="3597" spans="4:12" x14ac:dyDescent="0.2">
      <c r="D3597" s="341"/>
      <c r="F3597" s="343"/>
      <c r="G3597" s="343"/>
      <c r="H3597" s="343"/>
      <c r="I3597" s="343"/>
      <c r="J3597" s="343"/>
      <c r="K3597" s="343"/>
      <c r="L3597" s="343"/>
    </row>
    <row r="3598" spans="4:12" x14ac:dyDescent="0.2">
      <c r="D3598" s="341"/>
      <c r="F3598" s="343"/>
      <c r="G3598" s="343"/>
      <c r="H3598" s="343"/>
      <c r="I3598" s="343"/>
      <c r="J3598" s="343"/>
      <c r="K3598" s="343"/>
      <c r="L3598" s="343"/>
    </row>
    <row r="3599" spans="4:12" x14ac:dyDescent="0.2">
      <c r="D3599" s="341"/>
      <c r="F3599" s="343"/>
      <c r="G3599" s="343"/>
      <c r="H3599" s="343"/>
      <c r="I3599" s="343"/>
      <c r="J3599" s="343"/>
      <c r="K3599" s="343"/>
      <c r="L3599" s="343"/>
    </row>
    <row r="3600" spans="4:12" x14ac:dyDescent="0.2">
      <c r="D3600" s="341"/>
      <c r="F3600" s="343"/>
      <c r="G3600" s="343"/>
      <c r="H3600" s="343"/>
      <c r="I3600" s="343"/>
      <c r="J3600" s="343"/>
      <c r="K3600" s="343"/>
      <c r="L3600" s="343"/>
    </row>
    <row r="3601" spans="4:12" x14ac:dyDescent="0.2">
      <c r="D3601" s="341"/>
      <c r="F3601" s="343"/>
      <c r="G3601" s="343"/>
      <c r="H3601" s="343"/>
      <c r="I3601" s="343"/>
      <c r="J3601" s="343"/>
      <c r="K3601" s="343"/>
      <c r="L3601" s="343"/>
    </row>
    <row r="3602" spans="4:12" x14ac:dyDescent="0.2">
      <c r="D3602" s="341"/>
      <c r="F3602" s="343"/>
      <c r="G3602" s="343"/>
      <c r="H3602" s="343"/>
      <c r="I3602" s="343"/>
      <c r="J3602" s="343"/>
      <c r="K3602" s="343"/>
      <c r="L3602" s="343"/>
    </row>
    <row r="3603" spans="4:12" x14ac:dyDescent="0.2">
      <c r="D3603" s="341"/>
      <c r="F3603" s="343"/>
      <c r="G3603" s="343"/>
      <c r="H3603" s="343"/>
      <c r="I3603" s="343"/>
      <c r="J3603" s="343"/>
      <c r="K3603" s="343"/>
      <c r="L3603" s="343"/>
    </row>
    <row r="3604" spans="4:12" x14ac:dyDescent="0.2">
      <c r="D3604" s="341"/>
      <c r="F3604" s="343"/>
      <c r="G3604" s="343"/>
      <c r="H3604" s="343"/>
      <c r="I3604" s="343"/>
      <c r="J3604" s="343"/>
      <c r="K3604" s="343"/>
      <c r="L3604" s="343"/>
    </row>
    <row r="3605" spans="4:12" x14ac:dyDescent="0.2">
      <c r="D3605" s="341"/>
      <c r="F3605" s="343"/>
      <c r="G3605" s="343"/>
      <c r="H3605" s="343"/>
      <c r="I3605" s="343"/>
      <c r="J3605" s="343"/>
      <c r="K3605" s="343"/>
      <c r="L3605" s="343"/>
    </row>
    <row r="3606" spans="4:12" x14ac:dyDescent="0.2">
      <c r="D3606" s="341"/>
      <c r="F3606" s="343"/>
      <c r="G3606" s="343"/>
      <c r="H3606" s="343"/>
      <c r="I3606" s="343"/>
      <c r="J3606" s="343"/>
      <c r="K3606" s="343"/>
      <c r="L3606" s="343"/>
    </row>
    <row r="3607" spans="4:12" x14ac:dyDescent="0.2">
      <c r="D3607" s="341"/>
      <c r="F3607" s="343"/>
      <c r="G3607" s="343"/>
      <c r="H3607" s="343"/>
      <c r="I3607" s="343"/>
      <c r="J3607" s="343"/>
      <c r="K3607" s="343"/>
      <c r="L3607" s="343"/>
    </row>
    <row r="3608" spans="4:12" x14ac:dyDescent="0.2">
      <c r="D3608" s="341"/>
      <c r="F3608" s="343"/>
      <c r="G3608" s="343"/>
      <c r="H3608" s="343"/>
      <c r="I3608" s="343"/>
      <c r="J3608" s="343"/>
      <c r="K3608" s="343"/>
      <c r="L3608" s="343"/>
    </row>
    <row r="3609" spans="4:12" x14ac:dyDescent="0.2">
      <c r="D3609" s="341"/>
      <c r="F3609" s="343"/>
      <c r="G3609" s="343"/>
      <c r="H3609" s="343"/>
      <c r="I3609" s="343"/>
      <c r="J3609" s="343"/>
      <c r="K3609" s="343"/>
      <c r="L3609" s="343"/>
    </row>
    <row r="3610" spans="4:12" x14ac:dyDescent="0.2">
      <c r="D3610" s="341"/>
      <c r="F3610" s="343"/>
      <c r="G3610" s="343"/>
      <c r="H3610" s="343"/>
      <c r="I3610" s="343"/>
      <c r="J3610" s="343"/>
      <c r="K3610" s="343"/>
      <c r="L3610" s="343"/>
    </row>
    <row r="3611" spans="4:12" x14ac:dyDescent="0.2">
      <c r="D3611" s="341"/>
      <c r="F3611" s="343"/>
      <c r="G3611" s="343"/>
      <c r="H3611" s="343"/>
      <c r="I3611" s="343"/>
      <c r="J3611" s="343"/>
      <c r="K3611" s="343"/>
      <c r="L3611" s="343"/>
    </row>
    <row r="3612" spans="4:12" x14ac:dyDescent="0.2">
      <c r="D3612" s="341"/>
      <c r="F3612" s="343"/>
      <c r="G3612" s="343"/>
      <c r="H3612" s="343"/>
      <c r="I3612" s="343"/>
      <c r="J3612" s="343"/>
      <c r="K3612" s="343"/>
      <c r="L3612" s="343"/>
    </row>
    <row r="3613" spans="4:12" x14ac:dyDescent="0.2">
      <c r="D3613" s="341"/>
      <c r="F3613" s="343"/>
      <c r="G3613" s="343"/>
      <c r="H3613" s="343"/>
      <c r="I3613" s="343"/>
      <c r="J3613" s="343"/>
      <c r="K3613" s="343"/>
      <c r="L3613" s="343"/>
    </row>
    <row r="3614" spans="4:12" x14ac:dyDescent="0.2">
      <c r="D3614" s="341"/>
      <c r="F3614" s="343"/>
      <c r="G3614" s="343"/>
      <c r="H3614" s="343"/>
      <c r="I3614" s="343"/>
      <c r="J3614" s="343"/>
      <c r="K3614" s="343"/>
      <c r="L3614" s="343"/>
    </row>
    <row r="3615" spans="4:12" x14ac:dyDescent="0.2">
      <c r="D3615" s="341"/>
      <c r="F3615" s="343"/>
      <c r="G3615" s="343"/>
      <c r="H3615" s="343"/>
      <c r="I3615" s="343"/>
      <c r="J3615" s="343"/>
      <c r="K3615" s="343"/>
      <c r="L3615" s="343"/>
    </row>
    <row r="3616" spans="4:12" x14ac:dyDescent="0.2">
      <c r="D3616" s="341"/>
      <c r="F3616" s="343"/>
      <c r="G3616" s="343"/>
      <c r="H3616" s="343"/>
      <c r="I3616" s="343"/>
      <c r="J3616" s="343"/>
      <c r="K3616" s="343"/>
      <c r="L3616" s="343"/>
    </row>
    <row r="3617" spans="4:12" x14ac:dyDescent="0.2">
      <c r="D3617" s="341"/>
      <c r="F3617" s="343"/>
      <c r="G3617" s="343"/>
      <c r="H3617" s="343"/>
      <c r="I3617" s="343"/>
      <c r="J3617" s="343"/>
      <c r="K3617" s="343"/>
      <c r="L3617" s="343"/>
    </row>
    <row r="3618" spans="4:12" x14ac:dyDescent="0.2">
      <c r="D3618" s="341"/>
      <c r="F3618" s="343"/>
      <c r="G3618" s="343"/>
      <c r="H3618" s="343"/>
      <c r="I3618" s="343"/>
      <c r="J3618" s="343"/>
      <c r="K3618" s="343"/>
      <c r="L3618" s="343"/>
    </row>
    <row r="3619" spans="4:12" x14ac:dyDescent="0.2">
      <c r="D3619" s="341"/>
      <c r="F3619" s="343"/>
      <c r="G3619" s="343"/>
      <c r="H3619" s="343"/>
      <c r="I3619" s="343"/>
      <c r="J3619" s="343"/>
      <c r="K3619" s="343"/>
      <c r="L3619" s="343"/>
    </row>
    <row r="3620" spans="4:12" x14ac:dyDescent="0.2">
      <c r="D3620" s="341"/>
      <c r="F3620" s="343"/>
      <c r="G3620" s="343"/>
      <c r="H3620" s="343"/>
      <c r="I3620" s="343"/>
      <c r="J3620" s="343"/>
      <c r="K3620" s="343"/>
      <c r="L3620" s="343"/>
    </row>
    <row r="3621" spans="4:12" x14ac:dyDescent="0.2">
      <c r="D3621" s="341"/>
      <c r="F3621" s="343"/>
      <c r="G3621" s="343"/>
      <c r="H3621" s="343"/>
      <c r="I3621" s="343"/>
      <c r="J3621" s="343"/>
      <c r="K3621" s="343"/>
      <c r="L3621" s="343"/>
    </row>
    <row r="3622" spans="4:12" x14ac:dyDescent="0.2">
      <c r="D3622" s="341"/>
      <c r="F3622" s="343"/>
      <c r="G3622" s="343"/>
      <c r="H3622" s="343"/>
      <c r="I3622" s="343"/>
      <c r="J3622" s="343"/>
      <c r="K3622" s="343"/>
      <c r="L3622" s="343"/>
    </row>
    <row r="3623" spans="4:12" x14ac:dyDescent="0.2">
      <c r="D3623" s="341"/>
      <c r="F3623" s="343"/>
      <c r="G3623" s="343"/>
      <c r="H3623" s="343"/>
      <c r="I3623" s="343"/>
      <c r="J3623" s="343"/>
      <c r="K3623" s="343"/>
      <c r="L3623" s="343"/>
    </row>
    <row r="3624" spans="4:12" x14ac:dyDescent="0.2">
      <c r="D3624" s="341"/>
      <c r="F3624" s="343"/>
      <c r="G3624" s="343"/>
      <c r="H3624" s="343"/>
      <c r="I3624" s="343"/>
      <c r="J3624" s="343"/>
      <c r="K3624" s="343"/>
      <c r="L3624" s="343"/>
    </row>
    <row r="3625" spans="4:12" x14ac:dyDescent="0.2">
      <c r="D3625" s="341"/>
      <c r="F3625" s="343"/>
      <c r="G3625" s="343"/>
      <c r="H3625" s="343"/>
      <c r="I3625" s="343"/>
      <c r="J3625" s="343"/>
      <c r="K3625" s="343"/>
      <c r="L3625" s="343"/>
    </row>
    <row r="3626" spans="4:12" x14ac:dyDescent="0.2">
      <c r="D3626" s="341"/>
      <c r="F3626" s="343"/>
      <c r="G3626" s="343"/>
      <c r="H3626" s="343"/>
      <c r="I3626" s="343"/>
      <c r="J3626" s="343"/>
      <c r="K3626" s="343"/>
      <c r="L3626" s="343"/>
    </row>
    <row r="3627" spans="4:12" x14ac:dyDescent="0.2">
      <c r="D3627" s="341"/>
      <c r="F3627" s="343"/>
      <c r="G3627" s="343"/>
      <c r="H3627" s="343"/>
      <c r="I3627" s="343"/>
      <c r="J3627" s="343"/>
      <c r="K3627" s="343"/>
      <c r="L3627" s="343"/>
    </row>
    <row r="3628" spans="4:12" x14ac:dyDescent="0.2">
      <c r="D3628" s="341"/>
      <c r="F3628" s="343"/>
      <c r="G3628" s="343"/>
      <c r="H3628" s="343"/>
      <c r="I3628" s="343"/>
      <c r="J3628" s="343"/>
      <c r="K3628" s="343"/>
      <c r="L3628" s="343"/>
    </row>
    <row r="3629" spans="4:12" x14ac:dyDescent="0.2">
      <c r="D3629" s="341"/>
      <c r="F3629" s="343"/>
      <c r="G3629" s="343"/>
      <c r="H3629" s="343"/>
      <c r="I3629" s="343"/>
      <c r="J3629" s="343"/>
      <c r="K3629" s="343"/>
      <c r="L3629" s="343"/>
    </row>
    <row r="3630" spans="4:12" x14ac:dyDescent="0.2">
      <c r="D3630" s="341"/>
      <c r="F3630" s="343"/>
      <c r="G3630" s="343"/>
      <c r="H3630" s="343"/>
      <c r="I3630" s="343"/>
      <c r="J3630" s="343"/>
      <c r="K3630" s="343"/>
      <c r="L3630" s="343"/>
    </row>
    <row r="3631" spans="4:12" x14ac:dyDescent="0.2">
      <c r="D3631" s="341"/>
      <c r="F3631" s="343"/>
      <c r="G3631" s="343"/>
      <c r="H3631" s="343"/>
      <c r="I3631" s="343"/>
      <c r="J3631" s="343"/>
      <c r="K3631" s="343"/>
      <c r="L3631" s="343"/>
    </row>
    <row r="3632" spans="4:12" x14ac:dyDescent="0.2">
      <c r="D3632" s="341"/>
      <c r="F3632" s="343"/>
      <c r="G3632" s="343"/>
      <c r="H3632" s="343"/>
      <c r="I3632" s="343"/>
      <c r="J3632" s="343"/>
      <c r="K3632" s="343"/>
      <c r="L3632" s="343"/>
    </row>
    <row r="3633" spans="4:12" x14ac:dyDescent="0.2">
      <c r="D3633" s="341"/>
      <c r="F3633" s="343"/>
      <c r="G3633" s="343"/>
      <c r="H3633" s="343"/>
      <c r="I3633" s="343"/>
      <c r="J3633" s="343"/>
      <c r="K3633" s="343"/>
      <c r="L3633" s="343"/>
    </row>
    <row r="3634" spans="4:12" x14ac:dyDescent="0.2">
      <c r="D3634" s="341"/>
      <c r="F3634" s="343"/>
      <c r="G3634" s="343"/>
      <c r="H3634" s="343"/>
      <c r="I3634" s="343"/>
      <c r="J3634" s="343"/>
      <c r="K3634" s="343"/>
      <c r="L3634" s="343"/>
    </row>
    <row r="3635" spans="4:12" x14ac:dyDescent="0.2">
      <c r="D3635" s="341"/>
      <c r="F3635" s="343"/>
      <c r="G3635" s="343"/>
      <c r="H3635" s="343"/>
      <c r="I3635" s="343"/>
      <c r="J3635" s="343"/>
      <c r="K3635" s="343"/>
      <c r="L3635" s="343"/>
    </row>
    <row r="3636" spans="4:12" x14ac:dyDescent="0.2">
      <c r="D3636" s="341"/>
      <c r="F3636" s="343"/>
      <c r="G3636" s="343"/>
      <c r="H3636" s="343"/>
      <c r="I3636" s="343"/>
      <c r="J3636" s="343"/>
      <c r="K3636" s="343"/>
      <c r="L3636" s="343"/>
    </row>
    <row r="3637" spans="4:12" x14ac:dyDescent="0.2">
      <c r="D3637" s="341"/>
      <c r="F3637" s="343"/>
      <c r="G3637" s="343"/>
      <c r="H3637" s="343"/>
      <c r="I3637" s="343"/>
      <c r="J3637" s="343"/>
      <c r="K3637" s="343"/>
      <c r="L3637" s="343"/>
    </row>
    <row r="3638" spans="4:12" x14ac:dyDescent="0.2">
      <c r="D3638" s="341"/>
      <c r="F3638" s="343"/>
      <c r="G3638" s="343"/>
      <c r="H3638" s="343"/>
      <c r="I3638" s="343"/>
      <c r="J3638" s="343"/>
      <c r="K3638" s="343"/>
      <c r="L3638" s="343"/>
    </row>
    <row r="3639" spans="4:12" x14ac:dyDescent="0.2">
      <c r="D3639" s="341"/>
      <c r="F3639" s="343"/>
      <c r="G3639" s="343"/>
      <c r="H3639" s="343"/>
      <c r="I3639" s="343"/>
      <c r="J3639" s="343"/>
      <c r="K3639" s="343"/>
      <c r="L3639" s="343"/>
    </row>
    <row r="3640" spans="4:12" x14ac:dyDescent="0.2">
      <c r="D3640" s="341"/>
      <c r="F3640" s="343"/>
      <c r="G3640" s="343"/>
      <c r="H3640" s="343"/>
      <c r="I3640" s="343"/>
      <c r="J3640" s="343"/>
      <c r="K3640" s="343"/>
      <c r="L3640" s="343"/>
    </row>
    <row r="3641" spans="4:12" x14ac:dyDescent="0.2">
      <c r="D3641" s="341"/>
      <c r="F3641" s="343"/>
      <c r="G3641" s="343"/>
      <c r="H3641" s="343"/>
      <c r="I3641" s="343"/>
      <c r="J3641" s="343"/>
      <c r="K3641" s="343"/>
      <c r="L3641" s="343"/>
    </row>
    <row r="3642" spans="4:12" x14ac:dyDescent="0.2">
      <c r="D3642" s="341"/>
      <c r="F3642" s="343"/>
      <c r="G3642" s="343"/>
      <c r="H3642" s="343"/>
      <c r="I3642" s="343"/>
      <c r="J3642" s="343"/>
      <c r="K3642" s="343"/>
      <c r="L3642" s="343"/>
    </row>
    <row r="3643" spans="4:12" x14ac:dyDescent="0.2">
      <c r="D3643" s="341"/>
      <c r="F3643" s="343"/>
      <c r="G3643" s="343"/>
      <c r="H3643" s="343"/>
      <c r="I3643" s="343"/>
      <c r="J3643" s="343"/>
      <c r="K3643" s="343"/>
      <c r="L3643" s="343"/>
    </row>
    <row r="3644" spans="4:12" x14ac:dyDescent="0.2">
      <c r="D3644" s="341"/>
      <c r="F3644" s="343"/>
      <c r="G3644" s="343"/>
      <c r="H3644" s="343"/>
      <c r="I3644" s="343"/>
      <c r="J3644" s="343"/>
      <c r="K3644" s="343"/>
      <c r="L3644" s="343"/>
    </row>
    <row r="3645" spans="4:12" x14ac:dyDescent="0.2">
      <c r="D3645" s="341"/>
      <c r="F3645" s="343"/>
      <c r="G3645" s="343"/>
      <c r="H3645" s="343"/>
      <c r="I3645" s="343"/>
      <c r="J3645" s="343"/>
      <c r="K3645" s="343"/>
      <c r="L3645" s="343"/>
    </row>
    <row r="3646" spans="4:12" x14ac:dyDescent="0.2">
      <c r="D3646" s="341"/>
      <c r="F3646" s="343"/>
      <c r="G3646" s="343"/>
      <c r="H3646" s="343"/>
      <c r="I3646" s="343"/>
      <c r="J3646" s="343"/>
      <c r="K3646" s="343"/>
      <c r="L3646" s="343"/>
    </row>
    <row r="3647" spans="4:12" x14ac:dyDescent="0.2">
      <c r="D3647" s="341"/>
      <c r="F3647" s="343"/>
      <c r="G3647" s="343"/>
      <c r="H3647" s="343"/>
      <c r="I3647" s="343"/>
      <c r="J3647" s="343"/>
      <c r="K3647" s="343"/>
      <c r="L3647" s="343"/>
    </row>
    <row r="3648" spans="4:12" x14ac:dyDescent="0.2">
      <c r="D3648" s="341"/>
      <c r="F3648" s="343"/>
      <c r="G3648" s="343"/>
      <c r="H3648" s="343"/>
      <c r="I3648" s="343"/>
      <c r="J3648" s="343"/>
      <c r="K3648" s="343"/>
      <c r="L3648" s="343"/>
    </row>
    <row r="3649" spans="4:12" x14ac:dyDescent="0.2">
      <c r="D3649" s="341"/>
      <c r="F3649" s="343"/>
      <c r="G3649" s="343"/>
      <c r="H3649" s="343"/>
      <c r="I3649" s="343"/>
      <c r="J3649" s="343"/>
      <c r="K3649" s="343"/>
      <c r="L3649" s="343"/>
    </row>
    <row r="3650" spans="4:12" x14ac:dyDescent="0.2">
      <c r="D3650" s="341"/>
      <c r="F3650" s="343"/>
      <c r="G3650" s="343"/>
      <c r="H3650" s="343"/>
      <c r="I3650" s="343"/>
      <c r="J3650" s="343"/>
      <c r="K3650" s="343"/>
      <c r="L3650" s="343"/>
    </row>
    <row r="3651" spans="4:12" x14ac:dyDescent="0.2">
      <c r="D3651" s="341"/>
      <c r="F3651" s="343"/>
      <c r="G3651" s="343"/>
      <c r="H3651" s="343"/>
      <c r="I3651" s="343"/>
      <c r="J3651" s="343"/>
      <c r="K3651" s="343"/>
      <c r="L3651" s="343"/>
    </row>
    <row r="3652" spans="4:12" x14ac:dyDescent="0.2">
      <c r="D3652" s="341"/>
      <c r="F3652" s="343"/>
      <c r="G3652" s="343"/>
      <c r="H3652" s="343"/>
      <c r="I3652" s="343"/>
      <c r="J3652" s="343"/>
      <c r="K3652" s="343"/>
      <c r="L3652" s="343"/>
    </row>
    <row r="3653" spans="4:12" x14ac:dyDescent="0.2">
      <c r="D3653" s="341"/>
      <c r="F3653" s="343"/>
      <c r="G3653" s="343"/>
      <c r="H3653" s="343"/>
      <c r="I3653" s="343"/>
      <c r="J3653" s="343"/>
      <c r="K3653" s="343"/>
      <c r="L3653" s="343"/>
    </row>
    <row r="3654" spans="4:12" x14ac:dyDescent="0.2">
      <c r="D3654" s="341"/>
      <c r="F3654" s="343"/>
      <c r="G3654" s="343"/>
      <c r="H3654" s="343"/>
      <c r="I3654" s="343"/>
      <c r="J3654" s="343"/>
      <c r="K3654" s="343"/>
      <c r="L3654" s="343"/>
    </row>
    <row r="3655" spans="4:12" x14ac:dyDescent="0.2">
      <c r="D3655" s="341"/>
      <c r="F3655" s="343"/>
      <c r="G3655" s="343"/>
      <c r="H3655" s="343"/>
      <c r="I3655" s="343"/>
      <c r="J3655" s="343"/>
      <c r="K3655" s="343"/>
      <c r="L3655" s="343"/>
    </row>
    <row r="3656" spans="4:12" x14ac:dyDescent="0.2">
      <c r="D3656" s="341"/>
      <c r="F3656" s="343"/>
      <c r="G3656" s="343"/>
      <c r="H3656" s="343"/>
      <c r="I3656" s="343"/>
      <c r="J3656" s="343"/>
      <c r="K3656" s="343"/>
      <c r="L3656" s="343"/>
    </row>
    <row r="3657" spans="4:12" x14ac:dyDescent="0.2">
      <c r="D3657" s="341"/>
      <c r="F3657" s="343"/>
      <c r="G3657" s="343"/>
      <c r="H3657" s="343"/>
      <c r="I3657" s="343"/>
      <c r="J3657" s="343"/>
      <c r="K3657" s="343"/>
      <c r="L3657" s="343"/>
    </row>
    <row r="3658" spans="4:12" x14ac:dyDescent="0.2">
      <c r="D3658" s="341"/>
      <c r="F3658" s="343"/>
      <c r="G3658" s="343"/>
      <c r="H3658" s="343"/>
      <c r="I3658" s="343"/>
      <c r="J3658" s="343"/>
      <c r="K3658" s="343"/>
      <c r="L3658" s="343"/>
    </row>
    <row r="3659" spans="4:12" x14ac:dyDescent="0.2">
      <c r="D3659" s="341"/>
      <c r="F3659" s="343"/>
      <c r="G3659" s="343"/>
      <c r="H3659" s="343"/>
      <c r="I3659" s="343"/>
      <c r="J3659" s="343"/>
      <c r="K3659" s="343"/>
      <c r="L3659" s="343"/>
    </row>
    <row r="3660" spans="4:12" x14ac:dyDescent="0.2">
      <c r="D3660" s="341"/>
      <c r="F3660" s="343"/>
      <c r="G3660" s="343"/>
      <c r="H3660" s="343"/>
      <c r="I3660" s="343"/>
      <c r="J3660" s="343"/>
      <c r="K3660" s="343"/>
      <c r="L3660" s="343"/>
    </row>
    <row r="3661" spans="4:12" x14ac:dyDescent="0.2">
      <c r="D3661" s="341"/>
      <c r="F3661" s="343"/>
      <c r="G3661" s="343"/>
      <c r="H3661" s="343"/>
      <c r="I3661" s="343"/>
      <c r="J3661" s="343"/>
      <c r="K3661" s="343"/>
      <c r="L3661" s="343"/>
    </row>
    <row r="3662" spans="4:12" x14ac:dyDescent="0.2">
      <c r="D3662" s="341"/>
      <c r="F3662" s="343"/>
      <c r="G3662" s="343"/>
      <c r="H3662" s="343"/>
      <c r="I3662" s="343"/>
      <c r="J3662" s="343"/>
      <c r="K3662" s="343"/>
      <c r="L3662" s="343"/>
    </row>
    <row r="3663" spans="4:12" x14ac:dyDescent="0.2">
      <c r="D3663" s="341"/>
      <c r="F3663" s="343"/>
      <c r="G3663" s="343"/>
      <c r="H3663" s="343"/>
      <c r="I3663" s="343"/>
      <c r="J3663" s="343"/>
      <c r="K3663" s="343"/>
      <c r="L3663" s="343"/>
    </row>
    <row r="3664" spans="4:12" x14ac:dyDescent="0.2">
      <c r="D3664" s="341"/>
      <c r="F3664" s="343"/>
      <c r="G3664" s="343"/>
      <c r="H3664" s="343"/>
      <c r="I3664" s="343"/>
      <c r="J3664" s="343"/>
      <c r="K3664" s="343"/>
      <c r="L3664" s="343"/>
    </row>
    <row r="3665" spans="4:12" x14ac:dyDescent="0.2">
      <c r="D3665" s="341"/>
      <c r="F3665" s="343"/>
      <c r="G3665" s="343"/>
      <c r="H3665" s="343"/>
      <c r="I3665" s="343"/>
      <c r="J3665" s="343"/>
      <c r="K3665" s="343"/>
      <c r="L3665" s="343"/>
    </row>
    <row r="3666" spans="4:12" x14ac:dyDescent="0.2">
      <c r="D3666" s="341"/>
      <c r="F3666" s="343"/>
      <c r="G3666" s="343"/>
      <c r="H3666" s="343"/>
      <c r="I3666" s="343"/>
      <c r="J3666" s="343"/>
      <c r="K3666" s="343"/>
      <c r="L3666" s="343"/>
    </row>
    <row r="3667" spans="4:12" x14ac:dyDescent="0.2">
      <c r="D3667" s="341"/>
      <c r="F3667" s="343"/>
      <c r="G3667" s="343"/>
      <c r="H3667" s="343"/>
      <c r="I3667" s="343"/>
      <c r="J3667" s="343"/>
      <c r="K3667" s="343"/>
      <c r="L3667" s="343"/>
    </row>
    <row r="3668" spans="4:12" x14ac:dyDescent="0.2">
      <c r="D3668" s="341"/>
      <c r="F3668" s="343"/>
      <c r="G3668" s="343"/>
      <c r="H3668" s="343"/>
      <c r="I3668" s="343"/>
      <c r="J3668" s="343"/>
      <c r="K3668" s="343"/>
      <c r="L3668" s="343"/>
    </row>
    <row r="3669" spans="4:12" x14ac:dyDescent="0.2">
      <c r="D3669" s="341"/>
      <c r="F3669" s="343"/>
      <c r="G3669" s="343"/>
      <c r="H3669" s="343"/>
      <c r="I3669" s="343"/>
      <c r="J3669" s="343"/>
      <c r="K3669" s="343"/>
      <c r="L3669" s="343"/>
    </row>
    <row r="3670" spans="4:12" x14ac:dyDescent="0.2">
      <c r="D3670" s="341"/>
      <c r="F3670" s="343"/>
      <c r="G3670" s="343"/>
      <c r="H3670" s="343"/>
      <c r="I3670" s="343"/>
      <c r="J3670" s="343"/>
      <c r="K3670" s="343"/>
      <c r="L3670" s="343"/>
    </row>
    <row r="3671" spans="4:12" x14ac:dyDescent="0.2">
      <c r="D3671" s="341"/>
      <c r="F3671" s="343"/>
      <c r="G3671" s="343"/>
      <c r="H3671" s="343"/>
      <c r="I3671" s="343"/>
      <c r="J3671" s="343"/>
      <c r="K3671" s="343"/>
      <c r="L3671" s="343"/>
    </row>
    <row r="3672" spans="4:12" x14ac:dyDescent="0.2">
      <c r="D3672" s="341"/>
      <c r="F3672" s="343"/>
      <c r="G3672" s="343"/>
      <c r="H3672" s="343"/>
      <c r="I3672" s="343"/>
      <c r="J3672" s="343"/>
      <c r="K3672" s="343"/>
      <c r="L3672" s="343"/>
    </row>
    <row r="3673" spans="4:12" x14ac:dyDescent="0.2">
      <c r="D3673" s="341"/>
      <c r="F3673" s="343"/>
      <c r="G3673" s="343"/>
      <c r="H3673" s="343"/>
      <c r="I3673" s="343"/>
      <c r="J3673" s="343"/>
      <c r="K3673" s="343"/>
      <c r="L3673" s="343"/>
    </row>
    <row r="3674" spans="4:12" x14ac:dyDescent="0.2">
      <c r="D3674" s="341"/>
      <c r="F3674" s="343"/>
      <c r="G3674" s="343"/>
      <c r="H3674" s="343"/>
      <c r="I3674" s="343"/>
      <c r="J3674" s="343"/>
      <c r="K3674" s="343"/>
      <c r="L3674" s="343"/>
    </row>
    <row r="3675" spans="4:12" x14ac:dyDescent="0.2">
      <c r="D3675" s="341"/>
      <c r="F3675" s="343"/>
      <c r="G3675" s="343"/>
      <c r="H3675" s="343"/>
      <c r="I3675" s="343"/>
      <c r="J3675" s="343"/>
      <c r="K3675" s="343"/>
      <c r="L3675" s="343"/>
    </row>
    <row r="3676" spans="4:12" x14ac:dyDescent="0.2">
      <c r="D3676" s="341"/>
      <c r="F3676" s="343"/>
      <c r="G3676" s="343"/>
      <c r="H3676" s="343"/>
      <c r="I3676" s="343"/>
      <c r="J3676" s="343"/>
      <c r="K3676" s="343"/>
      <c r="L3676" s="343"/>
    </row>
    <row r="3677" spans="4:12" x14ac:dyDescent="0.2">
      <c r="D3677" s="341"/>
      <c r="F3677" s="343"/>
      <c r="G3677" s="343"/>
      <c r="H3677" s="343"/>
      <c r="I3677" s="343"/>
      <c r="J3677" s="343"/>
      <c r="K3677" s="343"/>
      <c r="L3677" s="343"/>
    </row>
    <row r="3678" spans="4:12" x14ac:dyDescent="0.2">
      <c r="D3678" s="341"/>
      <c r="F3678" s="343"/>
      <c r="G3678" s="343"/>
      <c r="H3678" s="343"/>
      <c r="I3678" s="343"/>
      <c r="J3678" s="343"/>
      <c r="K3678" s="343"/>
      <c r="L3678" s="343"/>
    </row>
    <row r="3679" spans="4:12" x14ac:dyDescent="0.2">
      <c r="D3679" s="341"/>
      <c r="F3679" s="343"/>
      <c r="G3679" s="343"/>
      <c r="H3679" s="343"/>
      <c r="I3679" s="343"/>
      <c r="J3679" s="343"/>
      <c r="K3679" s="343"/>
      <c r="L3679" s="343"/>
    </row>
    <row r="3680" spans="4:12" x14ac:dyDescent="0.2">
      <c r="D3680" s="341"/>
      <c r="F3680" s="343"/>
      <c r="G3680" s="343"/>
      <c r="H3680" s="343"/>
      <c r="I3680" s="343"/>
      <c r="J3680" s="343"/>
      <c r="K3680" s="343"/>
      <c r="L3680" s="343"/>
    </row>
    <row r="3681" spans="4:12" x14ac:dyDescent="0.2">
      <c r="D3681" s="341"/>
      <c r="F3681" s="343"/>
      <c r="G3681" s="343"/>
      <c r="H3681" s="343"/>
      <c r="I3681" s="343"/>
      <c r="J3681" s="343"/>
      <c r="K3681" s="343"/>
      <c r="L3681" s="343"/>
    </row>
    <row r="3682" spans="4:12" x14ac:dyDescent="0.2">
      <c r="D3682" s="341"/>
      <c r="F3682" s="343"/>
      <c r="G3682" s="343"/>
      <c r="H3682" s="343"/>
      <c r="I3682" s="343"/>
      <c r="J3682" s="343"/>
      <c r="K3682" s="343"/>
      <c r="L3682" s="343"/>
    </row>
    <row r="3683" spans="4:12" x14ac:dyDescent="0.2">
      <c r="D3683" s="341"/>
      <c r="F3683" s="343"/>
      <c r="G3683" s="343"/>
      <c r="H3683" s="343"/>
      <c r="I3683" s="343"/>
      <c r="J3683" s="343"/>
      <c r="K3683" s="343"/>
      <c r="L3683" s="343"/>
    </row>
    <row r="3684" spans="4:12" x14ac:dyDescent="0.2">
      <c r="D3684" s="341"/>
      <c r="F3684" s="343"/>
      <c r="G3684" s="343"/>
      <c r="H3684" s="343"/>
      <c r="I3684" s="343"/>
      <c r="J3684" s="343"/>
      <c r="K3684" s="343"/>
      <c r="L3684" s="343"/>
    </row>
    <row r="3685" spans="4:12" x14ac:dyDescent="0.2">
      <c r="D3685" s="341"/>
      <c r="F3685" s="343"/>
      <c r="G3685" s="343"/>
      <c r="H3685" s="343"/>
      <c r="I3685" s="343"/>
      <c r="J3685" s="343"/>
      <c r="K3685" s="343"/>
      <c r="L3685" s="343"/>
    </row>
    <row r="3686" spans="4:12" x14ac:dyDescent="0.2">
      <c r="D3686" s="341"/>
      <c r="F3686" s="343"/>
      <c r="G3686" s="343"/>
      <c r="H3686" s="343"/>
      <c r="I3686" s="343"/>
      <c r="J3686" s="343"/>
      <c r="K3686" s="343"/>
      <c r="L3686" s="343"/>
    </row>
    <row r="3687" spans="4:12" x14ac:dyDescent="0.2">
      <c r="D3687" s="341"/>
      <c r="F3687" s="343"/>
      <c r="G3687" s="343"/>
      <c r="H3687" s="343"/>
      <c r="I3687" s="343"/>
      <c r="J3687" s="343"/>
      <c r="K3687" s="343"/>
      <c r="L3687" s="343"/>
    </row>
    <row r="3688" spans="4:12" x14ac:dyDescent="0.2">
      <c r="D3688" s="341"/>
      <c r="F3688" s="343"/>
      <c r="G3688" s="343"/>
      <c r="H3688" s="343"/>
      <c r="I3688" s="343"/>
      <c r="J3688" s="343"/>
      <c r="K3688" s="343"/>
      <c r="L3688" s="343"/>
    </row>
    <row r="3689" spans="4:12" x14ac:dyDescent="0.2">
      <c r="D3689" s="341"/>
      <c r="F3689" s="343"/>
      <c r="G3689" s="343"/>
      <c r="H3689" s="343"/>
      <c r="I3689" s="343"/>
      <c r="J3689" s="343"/>
      <c r="K3689" s="343"/>
      <c r="L3689" s="343"/>
    </row>
    <row r="3690" spans="4:12" x14ac:dyDescent="0.2">
      <c r="D3690" s="341"/>
      <c r="F3690" s="343"/>
      <c r="G3690" s="343"/>
      <c r="H3690" s="343"/>
      <c r="I3690" s="343"/>
      <c r="J3690" s="343"/>
      <c r="K3690" s="343"/>
      <c r="L3690" s="343"/>
    </row>
    <row r="3691" spans="4:12" x14ac:dyDescent="0.2">
      <c r="D3691" s="341"/>
      <c r="F3691" s="343"/>
      <c r="G3691" s="343"/>
      <c r="H3691" s="343"/>
      <c r="I3691" s="343"/>
      <c r="J3691" s="343"/>
      <c r="K3691" s="343"/>
      <c r="L3691" s="343"/>
    </row>
    <row r="3692" spans="4:12" x14ac:dyDescent="0.2">
      <c r="D3692" s="341"/>
      <c r="F3692" s="343"/>
      <c r="G3692" s="343"/>
      <c r="H3692" s="343"/>
      <c r="I3692" s="343"/>
      <c r="J3692" s="343"/>
      <c r="K3692" s="343"/>
      <c r="L3692" s="343"/>
    </row>
    <row r="3693" spans="4:12" x14ac:dyDescent="0.2">
      <c r="D3693" s="341"/>
      <c r="F3693" s="343"/>
      <c r="G3693" s="343"/>
      <c r="H3693" s="343"/>
      <c r="I3693" s="343"/>
      <c r="J3693" s="343"/>
      <c r="K3693" s="343"/>
      <c r="L3693" s="343"/>
    </row>
    <row r="3694" spans="4:12" x14ac:dyDescent="0.2">
      <c r="D3694" s="341"/>
      <c r="F3694" s="343"/>
      <c r="G3694" s="343"/>
      <c r="H3694" s="343"/>
      <c r="I3694" s="343"/>
      <c r="J3694" s="343"/>
      <c r="K3694" s="343"/>
      <c r="L3694" s="343"/>
    </row>
    <row r="3695" spans="4:12" x14ac:dyDescent="0.2">
      <c r="D3695" s="341"/>
      <c r="F3695" s="343"/>
      <c r="G3695" s="343"/>
      <c r="H3695" s="343"/>
      <c r="I3695" s="343"/>
      <c r="J3695" s="343"/>
      <c r="K3695" s="343"/>
      <c r="L3695" s="343"/>
    </row>
    <row r="3696" spans="4:12" x14ac:dyDescent="0.2">
      <c r="D3696" s="341"/>
      <c r="F3696" s="343"/>
      <c r="G3696" s="343"/>
      <c r="H3696" s="343"/>
      <c r="I3696" s="343"/>
      <c r="J3696" s="343"/>
      <c r="K3696" s="343"/>
      <c r="L3696" s="343"/>
    </row>
    <row r="3697" spans="4:12" x14ac:dyDescent="0.2">
      <c r="D3697" s="341"/>
      <c r="F3697" s="343"/>
      <c r="G3697" s="343"/>
      <c r="H3697" s="343"/>
      <c r="I3697" s="343"/>
      <c r="J3697" s="343"/>
      <c r="K3697" s="343"/>
      <c r="L3697" s="343"/>
    </row>
    <row r="3698" spans="4:12" x14ac:dyDescent="0.2">
      <c r="D3698" s="341"/>
      <c r="F3698" s="343"/>
      <c r="G3698" s="343"/>
      <c r="H3698" s="343"/>
      <c r="I3698" s="343"/>
      <c r="J3698" s="343"/>
      <c r="K3698" s="343"/>
      <c r="L3698" s="343"/>
    </row>
    <row r="3699" spans="4:12" x14ac:dyDescent="0.2">
      <c r="D3699" s="341"/>
      <c r="F3699" s="343"/>
      <c r="G3699" s="343"/>
      <c r="H3699" s="343"/>
      <c r="I3699" s="343"/>
      <c r="J3699" s="343"/>
      <c r="K3699" s="343"/>
      <c r="L3699" s="343"/>
    </row>
    <row r="3700" spans="4:12" x14ac:dyDescent="0.2">
      <c r="D3700" s="341"/>
      <c r="F3700" s="343"/>
      <c r="G3700" s="343"/>
      <c r="H3700" s="343"/>
      <c r="I3700" s="343"/>
      <c r="J3700" s="343"/>
      <c r="K3700" s="343"/>
      <c r="L3700" s="343"/>
    </row>
    <row r="3701" spans="4:12" x14ac:dyDescent="0.2">
      <c r="D3701" s="341"/>
      <c r="F3701" s="343"/>
      <c r="G3701" s="343"/>
      <c r="H3701" s="343"/>
      <c r="I3701" s="343"/>
      <c r="J3701" s="343"/>
      <c r="K3701" s="343"/>
      <c r="L3701" s="343"/>
    </row>
    <row r="3702" spans="4:12" x14ac:dyDescent="0.2">
      <c r="D3702" s="341"/>
      <c r="F3702" s="343"/>
      <c r="G3702" s="343"/>
      <c r="H3702" s="343"/>
      <c r="I3702" s="343"/>
      <c r="J3702" s="343"/>
      <c r="K3702" s="343"/>
      <c r="L3702" s="343"/>
    </row>
    <row r="3703" spans="4:12" x14ac:dyDescent="0.2">
      <c r="D3703" s="341"/>
      <c r="F3703" s="343"/>
      <c r="G3703" s="343"/>
      <c r="H3703" s="343"/>
      <c r="I3703" s="343"/>
      <c r="J3703" s="343"/>
      <c r="K3703" s="343"/>
      <c r="L3703" s="343"/>
    </row>
    <row r="3704" spans="4:12" x14ac:dyDescent="0.2">
      <c r="D3704" s="341"/>
      <c r="F3704" s="343"/>
      <c r="G3704" s="343"/>
      <c r="H3704" s="343"/>
      <c r="I3704" s="343"/>
      <c r="J3704" s="343"/>
      <c r="K3704" s="343"/>
      <c r="L3704" s="343"/>
    </row>
    <row r="3705" spans="4:12" x14ac:dyDescent="0.2">
      <c r="D3705" s="341"/>
      <c r="F3705" s="343"/>
      <c r="G3705" s="343"/>
      <c r="H3705" s="343"/>
      <c r="I3705" s="343"/>
      <c r="J3705" s="343"/>
      <c r="K3705" s="343"/>
      <c r="L3705" s="343"/>
    </row>
    <row r="3706" spans="4:12" x14ac:dyDescent="0.2">
      <c r="D3706" s="341"/>
      <c r="F3706" s="343"/>
      <c r="G3706" s="343"/>
      <c r="H3706" s="343"/>
      <c r="I3706" s="343"/>
      <c r="J3706" s="343"/>
      <c r="K3706" s="343"/>
      <c r="L3706" s="343"/>
    </row>
    <row r="3707" spans="4:12" x14ac:dyDescent="0.2">
      <c r="D3707" s="341"/>
      <c r="F3707" s="343"/>
      <c r="G3707" s="343"/>
      <c r="H3707" s="343"/>
      <c r="I3707" s="343"/>
      <c r="J3707" s="343"/>
      <c r="K3707" s="343"/>
      <c r="L3707" s="343"/>
    </row>
    <row r="3708" spans="4:12" x14ac:dyDescent="0.2">
      <c r="D3708" s="341"/>
      <c r="F3708" s="343"/>
      <c r="G3708" s="343"/>
      <c r="H3708" s="343"/>
      <c r="I3708" s="343"/>
      <c r="J3708" s="343"/>
      <c r="K3708" s="343"/>
      <c r="L3708" s="343"/>
    </row>
    <row r="3709" spans="4:12" x14ac:dyDescent="0.2">
      <c r="D3709" s="341"/>
      <c r="F3709" s="343"/>
      <c r="G3709" s="343"/>
      <c r="H3709" s="343"/>
      <c r="I3709" s="343"/>
      <c r="J3709" s="343"/>
      <c r="K3709" s="343"/>
      <c r="L3709" s="343"/>
    </row>
    <row r="3710" spans="4:12" x14ac:dyDescent="0.2">
      <c r="D3710" s="341"/>
      <c r="F3710" s="343"/>
      <c r="G3710" s="343"/>
      <c r="H3710" s="343"/>
      <c r="I3710" s="343"/>
      <c r="J3710" s="343"/>
      <c r="K3710" s="343"/>
      <c r="L3710" s="343"/>
    </row>
    <row r="3711" spans="4:12" x14ac:dyDescent="0.2">
      <c r="D3711" s="341"/>
      <c r="F3711" s="343"/>
      <c r="G3711" s="343"/>
      <c r="H3711" s="343"/>
      <c r="I3711" s="343"/>
      <c r="J3711" s="343"/>
      <c r="K3711" s="343"/>
      <c r="L3711" s="343"/>
    </row>
    <row r="3712" spans="4:12" x14ac:dyDescent="0.2">
      <c r="D3712" s="341"/>
      <c r="F3712" s="343"/>
      <c r="G3712" s="343"/>
      <c r="H3712" s="343"/>
      <c r="I3712" s="343"/>
      <c r="J3712" s="343"/>
      <c r="K3712" s="343"/>
      <c r="L3712" s="343"/>
    </row>
    <row r="3713" spans="4:12" x14ac:dyDescent="0.2">
      <c r="D3713" s="341"/>
      <c r="F3713" s="343"/>
      <c r="G3713" s="343"/>
      <c r="H3713" s="343"/>
      <c r="I3713" s="343"/>
      <c r="J3713" s="343"/>
      <c r="K3713" s="343"/>
      <c r="L3713" s="343"/>
    </row>
    <row r="3714" spans="4:12" x14ac:dyDescent="0.2">
      <c r="D3714" s="341"/>
      <c r="F3714" s="343"/>
      <c r="G3714" s="343"/>
      <c r="H3714" s="343"/>
      <c r="I3714" s="343"/>
      <c r="J3714" s="343"/>
      <c r="K3714" s="343"/>
      <c r="L3714" s="343"/>
    </row>
    <row r="3715" spans="4:12" x14ac:dyDescent="0.2">
      <c r="D3715" s="341"/>
      <c r="F3715" s="343"/>
      <c r="G3715" s="343"/>
      <c r="H3715" s="343"/>
      <c r="I3715" s="343"/>
      <c r="J3715" s="343"/>
      <c r="K3715" s="343"/>
      <c r="L3715" s="343"/>
    </row>
    <row r="3716" spans="4:12" x14ac:dyDescent="0.2">
      <c r="D3716" s="341"/>
      <c r="F3716" s="343"/>
      <c r="G3716" s="343"/>
      <c r="H3716" s="343"/>
      <c r="I3716" s="343"/>
      <c r="J3716" s="343"/>
      <c r="K3716" s="343"/>
      <c r="L3716" s="343"/>
    </row>
    <row r="3717" spans="4:12" x14ac:dyDescent="0.2">
      <c r="D3717" s="341"/>
      <c r="F3717" s="343"/>
      <c r="G3717" s="343"/>
      <c r="H3717" s="343"/>
      <c r="I3717" s="343"/>
      <c r="J3717" s="343"/>
      <c r="K3717" s="343"/>
      <c r="L3717" s="343"/>
    </row>
    <row r="3718" spans="4:12" x14ac:dyDescent="0.2">
      <c r="D3718" s="341"/>
      <c r="F3718" s="343"/>
      <c r="G3718" s="343"/>
      <c r="H3718" s="343"/>
      <c r="I3718" s="343"/>
      <c r="J3718" s="343"/>
      <c r="K3718" s="343"/>
      <c r="L3718" s="343"/>
    </row>
    <row r="3719" spans="4:12" x14ac:dyDescent="0.2">
      <c r="D3719" s="341"/>
      <c r="F3719" s="343"/>
      <c r="G3719" s="343"/>
      <c r="H3719" s="343"/>
      <c r="I3719" s="343"/>
      <c r="J3719" s="343"/>
      <c r="K3719" s="343"/>
      <c r="L3719" s="343"/>
    </row>
    <row r="3720" spans="4:12" x14ac:dyDescent="0.2">
      <c r="D3720" s="341"/>
      <c r="F3720" s="343"/>
      <c r="G3720" s="343"/>
      <c r="H3720" s="343"/>
      <c r="I3720" s="343"/>
      <c r="J3720" s="343"/>
      <c r="K3720" s="343"/>
      <c r="L3720" s="343"/>
    </row>
    <row r="3721" spans="4:12" x14ac:dyDescent="0.2">
      <c r="D3721" s="341"/>
      <c r="F3721" s="343"/>
      <c r="G3721" s="343"/>
      <c r="H3721" s="343"/>
      <c r="I3721" s="343"/>
      <c r="J3721" s="343"/>
      <c r="K3721" s="343"/>
      <c r="L3721" s="343"/>
    </row>
    <row r="3722" spans="4:12" x14ac:dyDescent="0.2">
      <c r="D3722" s="341"/>
      <c r="F3722" s="343"/>
      <c r="G3722" s="343"/>
      <c r="H3722" s="343"/>
      <c r="I3722" s="343"/>
      <c r="J3722" s="343"/>
      <c r="K3722" s="343"/>
      <c r="L3722" s="343"/>
    </row>
    <row r="3723" spans="4:12" x14ac:dyDescent="0.2">
      <c r="D3723" s="341"/>
      <c r="F3723" s="343"/>
      <c r="G3723" s="343"/>
      <c r="H3723" s="343"/>
      <c r="I3723" s="343"/>
      <c r="J3723" s="343"/>
      <c r="K3723" s="343"/>
      <c r="L3723" s="343"/>
    </row>
    <row r="3724" spans="4:12" x14ac:dyDescent="0.2">
      <c r="D3724" s="341"/>
      <c r="F3724" s="343"/>
      <c r="G3724" s="343"/>
      <c r="H3724" s="343"/>
      <c r="I3724" s="343"/>
      <c r="J3724" s="343"/>
      <c r="K3724" s="343"/>
      <c r="L3724" s="343"/>
    </row>
    <row r="3725" spans="4:12" x14ac:dyDescent="0.2">
      <c r="D3725" s="341"/>
      <c r="F3725" s="343"/>
      <c r="G3725" s="343"/>
      <c r="H3725" s="343"/>
      <c r="I3725" s="343"/>
      <c r="J3725" s="343"/>
      <c r="K3725" s="343"/>
      <c r="L3725" s="343"/>
    </row>
    <row r="3726" spans="4:12" x14ac:dyDescent="0.2">
      <c r="D3726" s="341"/>
      <c r="F3726" s="343"/>
      <c r="G3726" s="343"/>
      <c r="H3726" s="343"/>
      <c r="I3726" s="343"/>
      <c r="J3726" s="343"/>
      <c r="K3726" s="343"/>
      <c r="L3726" s="343"/>
    </row>
    <row r="3727" spans="4:12" x14ac:dyDescent="0.2">
      <c r="D3727" s="341"/>
      <c r="F3727" s="343"/>
      <c r="G3727" s="343"/>
      <c r="H3727" s="343"/>
      <c r="I3727" s="343"/>
      <c r="J3727" s="343"/>
      <c r="K3727" s="343"/>
      <c r="L3727" s="343"/>
    </row>
    <row r="3728" spans="4:12" x14ac:dyDescent="0.2">
      <c r="D3728" s="341"/>
      <c r="F3728" s="343"/>
      <c r="G3728" s="343"/>
      <c r="H3728" s="343"/>
      <c r="I3728" s="343"/>
      <c r="J3728" s="343"/>
      <c r="K3728" s="343"/>
      <c r="L3728" s="343"/>
    </row>
    <row r="3729" spans="4:12" x14ac:dyDescent="0.2">
      <c r="D3729" s="341"/>
      <c r="F3729" s="343"/>
      <c r="G3729" s="343"/>
      <c r="H3729" s="343"/>
      <c r="I3729" s="343"/>
      <c r="J3729" s="343"/>
      <c r="K3729" s="343"/>
      <c r="L3729" s="343"/>
    </row>
    <row r="3730" spans="4:12" x14ac:dyDescent="0.2">
      <c r="D3730" s="341"/>
      <c r="F3730" s="343"/>
      <c r="G3730" s="343"/>
      <c r="H3730" s="343"/>
      <c r="I3730" s="343"/>
      <c r="J3730" s="343"/>
      <c r="K3730" s="343"/>
      <c r="L3730" s="343"/>
    </row>
    <row r="3731" spans="4:12" x14ac:dyDescent="0.2">
      <c r="D3731" s="341"/>
      <c r="F3731" s="343"/>
      <c r="G3731" s="343"/>
      <c r="H3731" s="343"/>
      <c r="I3731" s="343"/>
      <c r="J3731" s="343"/>
      <c r="K3731" s="343"/>
      <c r="L3731" s="343"/>
    </row>
    <row r="3732" spans="4:12" x14ac:dyDescent="0.2">
      <c r="D3732" s="341"/>
      <c r="F3732" s="343"/>
      <c r="G3732" s="343"/>
      <c r="H3732" s="343"/>
      <c r="I3732" s="343"/>
      <c r="J3732" s="343"/>
      <c r="K3732" s="343"/>
      <c r="L3732" s="343"/>
    </row>
    <row r="3733" spans="4:12" x14ac:dyDescent="0.2">
      <c r="D3733" s="341"/>
      <c r="F3733" s="343"/>
      <c r="G3733" s="343"/>
      <c r="H3733" s="343"/>
      <c r="I3733" s="343"/>
      <c r="J3733" s="343"/>
      <c r="K3733" s="343"/>
      <c r="L3733" s="343"/>
    </row>
    <row r="3734" spans="4:12" x14ac:dyDescent="0.2">
      <c r="D3734" s="341"/>
      <c r="F3734" s="343"/>
      <c r="G3734" s="343"/>
      <c r="H3734" s="343"/>
      <c r="I3734" s="343"/>
      <c r="J3734" s="343"/>
      <c r="K3734" s="343"/>
      <c r="L3734" s="343"/>
    </row>
    <row r="3735" spans="4:12" x14ac:dyDescent="0.2">
      <c r="D3735" s="341"/>
      <c r="F3735" s="343"/>
      <c r="G3735" s="343"/>
      <c r="H3735" s="343"/>
      <c r="I3735" s="343"/>
      <c r="J3735" s="343"/>
      <c r="K3735" s="343"/>
      <c r="L3735" s="343"/>
    </row>
    <row r="3736" spans="4:12" x14ac:dyDescent="0.2">
      <c r="D3736" s="341"/>
      <c r="F3736" s="343"/>
      <c r="G3736" s="343"/>
      <c r="H3736" s="343"/>
      <c r="I3736" s="343"/>
      <c r="J3736" s="343"/>
      <c r="K3736" s="343"/>
      <c r="L3736" s="343"/>
    </row>
    <row r="3737" spans="4:12" x14ac:dyDescent="0.2">
      <c r="D3737" s="341"/>
      <c r="F3737" s="343"/>
      <c r="G3737" s="343"/>
      <c r="H3737" s="343"/>
      <c r="I3737" s="343"/>
      <c r="J3737" s="343"/>
      <c r="K3737" s="343"/>
      <c r="L3737" s="343"/>
    </row>
    <row r="3738" spans="4:12" x14ac:dyDescent="0.2">
      <c r="D3738" s="341"/>
      <c r="F3738" s="343"/>
      <c r="G3738" s="343"/>
      <c r="H3738" s="343"/>
      <c r="I3738" s="343"/>
      <c r="J3738" s="343"/>
      <c r="K3738" s="343"/>
      <c r="L3738" s="343"/>
    </row>
    <row r="3739" spans="4:12" x14ac:dyDescent="0.2">
      <c r="D3739" s="341"/>
      <c r="F3739" s="343"/>
      <c r="G3739" s="343"/>
      <c r="H3739" s="343"/>
      <c r="I3739" s="343"/>
      <c r="J3739" s="343"/>
      <c r="K3739" s="343"/>
      <c r="L3739" s="343"/>
    </row>
    <row r="3740" spans="4:12" x14ac:dyDescent="0.2">
      <c r="D3740" s="341"/>
      <c r="F3740" s="343"/>
      <c r="G3740" s="343"/>
      <c r="H3740" s="343"/>
      <c r="I3740" s="343"/>
      <c r="J3740" s="343"/>
      <c r="K3740" s="343"/>
      <c r="L3740" s="343"/>
    </row>
    <row r="3741" spans="4:12" x14ac:dyDescent="0.2">
      <c r="D3741" s="341"/>
      <c r="F3741" s="343"/>
      <c r="G3741" s="343"/>
      <c r="H3741" s="343"/>
      <c r="I3741" s="343"/>
      <c r="J3741" s="343"/>
      <c r="K3741" s="343"/>
      <c r="L3741" s="343"/>
    </row>
    <row r="3742" spans="4:12" x14ac:dyDescent="0.2">
      <c r="D3742" s="341"/>
      <c r="F3742" s="343"/>
      <c r="G3742" s="343"/>
      <c r="H3742" s="343"/>
      <c r="I3742" s="343"/>
      <c r="J3742" s="343"/>
      <c r="K3742" s="343"/>
      <c r="L3742" s="343"/>
    </row>
    <row r="3743" spans="4:12" x14ac:dyDescent="0.2">
      <c r="D3743" s="341"/>
      <c r="F3743" s="343"/>
      <c r="G3743" s="343"/>
      <c r="H3743" s="343"/>
      <c r="I3743" s="343"/>
      <c r="J3743" s="343"/>
      <c r="K3743" s="343"/>
      <c r="L3743" s="343"/>
    </row>
    <row r="3744" spans="4:12" x14ac:dyDescent="0.2">
      <c r="D3744" s="341"/>
      <c r="F3744" s="343"/>
      <c r="G3744" s="343"/>
      <c r="H3744" s="343"/>
      <c r="I3744" s="343"/>
      <c r="J3744" s="343"/>
      <c r="K3744" s="343"/>
      <c r="L3744" s="343"/>
    </row>
    <row r="3745" spans="4:12" x14ac:dyDescent="0.2">
      <c r="D3745" s="341"/>
      <c r="F3745" s="343"/>
      <c r="G3745" s="343"/>
      <c r="H3745" s="343"/>
      <c r="I3745" s="343"/>
      <c r="J3745" s="343"/>
      <c r="K3745" s="343"/>
      <c r="L3745" s="343"/>
    </row>
    <row r="3746" spans="4:12" x14ac:dyDescent="0.2">
      <c r="D3746" s="341"/>
      <c r="F3746" s="343"/>
      <c r="G3746" s="343"/>
      <c r="H3746" s="343"/>
      <c r="I3746" s="343"/>
      <c r="J3746" s="343"/>
      <c r="K3746" s="343"/>
      <c r="L3746" s="343"/>
    </row>
    <row r="3747" spans="4:12" x14ac:dyDescent="0.2">
      <c r="D3747" s="341"/>
      <c r="F3747" s="343"/>
      <c r="G3747" s="343"/>
      <c r="H3747" s="343"/>
      <c r="I3747" s="343"/>
      <c r="J3747" s="343"/>
      <c r="K3747" s="343"/>
      <c r="L3747" s="343"/>
    </row>
    <row r="3748" spans="4:12" x14ac:dyDescent="0.2">
      <c r="D3748" s="341"/>
      <c r="F3748" s="343"/>
      <c r="G3748" s="343"/>
      <c r="H3748" s="343"/>
      <c r="I3748" s="343"/>
      <c r="J3748" s="343"/>
      <c r="K3748" s="343"/>
      <c r="L3748" s="343"/>
    </row>
    <row r="3749" spans="4:12" x14ac:dyDescent="0.2">
      <c r="D3749" s="341"/>
      <c r="F3749" s="343"/>
      <c r="G3749" s="343"/>
      <c r="H3749" s="343"/>
      <c r="I3749" s="343"/>
      <c r="J3749" s="343"/>
      <c r="K3749" s="343"/>
      <c r="L3749" s="343"/>
    </row>
    <row r="3750" spans="4:12" x14ac:dyDescent="0.2">
      <c r="D3750" s="341"/>
      <c r="F3750" s="343"/>
      <c r="G3750" s="343"/>
      <c r="H3750" s="343"/>
      <c r="I3750" s="343"/>
      <c r="J3750" s="343"/>
      <c r="K3750" s="343"/>
      <c r="L3750" s="343"/>
    </row>
    <row r="3751" spans="4:12" x14ac:dyDescent="0.2">
      <c r="D3751" s="341"/>
      <c r="F3751" s="343"/>
      <c r="G3751" s="343"/>
      <c r="H3751" s="343"/>
      <c r="I3751" s="343"/>
      <c r="J3751" s="343"/>
      <c r="K3751" s="343"/>
      <c r="L3751" s="343"/>
    </row>
    <row r="3752" spans="4:12" x14ac:dyDescent="0.2">
      <c r="D3752" s="341"/>
      <c r="F3752" s="343"/>
      <c r="G3752" s="343"/>
      <c r="H3752" s="343"/>
      <c r="I3752" s="343"/>
      <c r="J3752" s="343"/>
      <c r="K3752" s="343"/>
      <c r="L3752" s="343"/>
    </row>
    <row r="3753" spans="4:12" x14ac:dyDescent="0.2">
      <c r="D3753" s="341"/>
      <c r="F3753" s="343"/>
      <c r="G3753" s="343"/>
      <c r="H3753" s="343"/>
      <c r="I3753" s="343"/>
      <c r="J3753" s="343"/>
      <c r="K3753" s="343"/>
      <c r="L3753" s="343"/>
    </row>
    <row r="3754" spans="4:12" x14ac:dyDescent="0.2">
      <c r="D3754" s="341"/>
      <c r="F3754" s="343"/>
      <c r="G3754" s="343"/>
      <c r="H3754" s="343"/>
      <c r="I3754" s="343"/>
      <c r="J3754" s="343"/>
      <c r="K3754" s="343"/>
      <c r="L3754" s="343"/>
    </row>
    <row r="3755" spans="4:12" x14ac:dyDescent="0.2">
      <c r="D3755" s="341"/>
      <c r="F3755" s="343"/>
      <c r="G3755" s="343"/>
      <c r="H3755" s="343"/>
      <c r="I3755" s="343"/>
      <c r="J3755" s="343"/>
      <c r="K3755" s="343"/>
      <c r="L3755" s="343"/>
    </row>
    <row r="3756" spans="4:12" x14ac:dyDescent="0.2">
      <c r="D3756" s="341"/>
      <c r="F3756" s="343"/>
      <c r="G3756" s="343"/>
      <c r="H3756" s="343"/>
      <c r="I3756" s="343"/>
      <c r="J3756" s="343"/>
      <c r="K3756" s="343"/>
      <c r="L3756" s="343"/>
    </row>
    <row r="3757" spans="4:12" x14ac:dyDescent="0.2">
      <c r="D3757" s="341"/>
      <c r="F3757" s="343"/>
      <c r="G3757" s="343"/>
      <c r="H3757" s="343"/>
      <c r="I3757" s="343"/>
      <c r="J3757" s="343"/>
      <c r="K3757" s="343"/>
      <c r="L3757" s="343"/>
    </row>
    <row r="3758" spans="4:12" x14ac:dyDescent="0.2">
      <c r="D3758" s="341"/>
      <c r="F3758" s="343"/>
      <c r="G3758" s="343"/>
      <c r="H3758" s="343"/>
      <c r="I3758" s="343"/>
      <c r="J3758" s="343"/>
      <c r="K3758" s="343"/>
      <c r="L3758" s="343"/>
    </row>
    <row r="3759" spans="4:12" x14ac:dyDescent="0.2">
      <c r="D3759" s="341"/>
      <c r="F3759" s="343"/>
      <c r="G3759" s="343"/>
      <c r="H3759" s="343"/>
      <c r="I3759" s="343"/>
      <c r="J3759" s="343"/>
      <c r="K3759" s="343"/>
      <c r="L3759" s="343"/>
    </row>
    <row r="3760" spans="4:12" x14ac:dyDescent="0.2">
      <c r="D3760" s="341"/>
      <c r="F3760" s="343"/>
      <c r="G3760" s="343"/>
      <c r="H3760" s="343"/>
      <c r="I3760" s="343"/>
      <c r="J3760" s="343"/>
      <c r="K3760" s="343"/>
      <c r="L3760" s="343"/>
    </row>
    <row r="3761" spans="4:12" x14ac:dyDescent="0.2">
      <c r="D3761" s="341"/>
      <c r="F3761" s="343"/>
      <c r="G3761" s="343"/>
      <c r="H3761" s="343"/>
      <c r="I3761" s="343"/>
      <c r="J3761" s="343"/>
      <c r="K3761" s="343"/>
      <c r="L3761" s="343"/>
    </row>
    <row r="3762" spans="4:12" x14ac:dyDescent="0.2">
      <c r="D3762" s="341"/>
      <c r="F3762" s="343"/>
      <c r="G3762" s="343"/>
      <c r="H3762" s="343"/>
      <c r="I3762" s="343"/>
      <c r="J3762" s="343"/>
      <c r="K3762" s="343"/>
      <c r="L3762" s="343"/>
    </row>
    <row r="3763" spans="4:12" x14ac:dyDescent="0.2">
      <c r="D3763" s="341"/>
      <c r="F3763" s="343"/>
      <c r="G3763" s="343"/>
      <c r="H3763" s="343"/>
      <c r="I3763" s="343"/>
      <c r="J3763" s="343"/>
      <c r="K3763" s="343"/>
      <c r="L3763" s="343"/>
    </row>
    <row r="3764" spans="4:12" x14ac:dyDescent="0.2">
      <c r="D3764" s="341"/>
      <c r="F3764" s="343"/>
      <c r="G3764" s="343"/>
      <c r="H3764" s="343"/>
      <c r="I3764" s="343"/>
      <c r="J3764" s="343"/>
      <c r="K3764" s="343"/>
      <c r="L3764" s="343"/>
    </row>
    <row r="3765" spans="4:12" x14ac:dyDescent="0.2">
      <c r="D3765" s="341"/>
      <c r="F3765" s="343"/>
      <c r="G3765" s="343"/>
      <c r="H3765" s="343"/>
      <c r="I3765" s="343"/>
      <c r="J3765" s="343"/>
      <c r="K3765" s="343"/>
      <c r="L3765" s="343"/>
    </row>
    <row r="3766" spans="4:12" x14ac:dyDescent="0.2">
      <c r="D3766" s="341"/>
      <c r="F3766" s="343"/>
      <c r="G3766" s="343"/>
      <c r="H3766" s="343"/>
      <c r="I3766" s="343"/>
      <c r="J3766" s="343"/>
      <c r="K3766" s="343"/>
      <c r="L3766" s="343"/>
    </row>
    <row r="3767" spans="4:12" x14ac:dyDescent="0.2">
      <c r="D3767" s="341"/>
      <c r="F3767" s="343"/>
      <c r="G3767" s="343"/>
      <c r="H3767" s="343"/>
      <c r="I3767" s="343"/>
      <c r="J3767" s="343"/>
      <c r="K3767" s="343"/>
      <c r="L3767" s="343"/>
    </row>
    <row r="3768" spans="4:12" x14ac:dyDescent="0.2">
      <c r="D3768" s="341"/>
      <c r="F3768" s="343"/>
      <c r="G3768" s="343"/>
      <c r="H3768" s="343"/>
      <c r="I3768" s="343"/>
      <c r="J3768" s="343"/>
      <c r="K3768" s="343"/>
      <c r="L3768" s="343"/>
    </row>
    <row r="3769" spans="4:12" x14ac:dyDescent="0.2">
      <c r="D3769" s="341"/>
      <c r="F3769" s="343"/>
      <c r="G3769" s="343"/>
      <c r="H3769" s="343"/>
      <c r="I3769" s="343"/>
      <c r="J3769" s="343"/>
      <c r="K3769" s="343"/>
      <c r="L3769" s="343"/>
    </row>
    <row r="3770" spans="4:12" x14ac:dyDescent="0.2">
      <c r="D3770" s="341"/>
      <c r="F3770" s="343"/>
      <c r="G3770" s="343"/>
      <c r="H3770" s="343"/>
      <c r="I3770" s="343"/>
      <c r="J3770" s="343"/>
      <c r="K3770" s="343"/>
      <c r="L3770" s="343"/>
    </row>
    <row r="3771" spans="4:12" x14ac:dyDescent="0.2">
      <c r="D3771" s="341"/>
      <c r="F3771" s="343"/>
      <c r="G3771" s="343"/>
      <c r="H3771" s="343"/>
      <c r="I3771" s="343"/>
      <c r="J3771" s="343"/>
      <c r="K3771" s="343"/>
      <c r="L3771" s="343"/>
    </row>
    <row r="3772" spans="4:12" x14ac:dyDescent="0.2">
      <c r="D3772" s="341"/>
      <c r="F3772" s="343"/>
      <c r="G3772" s="343"/>
      <c r="H3772" s="343"/>
      <c r="I3772" s="343"/>
      <c r="J3772" s="343"/>
      <c r="K3772" s="343"/>
      <c r="L3772" s="343"/>
    </row>
    <row r="3773" spans="4:12" x14ac:dyDescent="0.2">
      <c r="D3773" s="341"/>
      <c r="F3773" s="343"/>
      <c r="G3773" s="343"/>
      <c r="H3773" s="343"/>
      <c r="I3773" s="343"/>
      <c r="J3773" s="343"/>
      <c r="K3773" s="343"/>
      <c r="L3773" s="343"/>
    </row>
    <row r="3774" spans="4:12" x14ac:dyDescent="0.2">
      <c r="D3774" s="341"/>
      <c r="F3774" s="343"/>
      <c r="G3774" s="343"/>
      <c r="H3774" s="343"/>
      <c r="I3774" s="343"/>
      <c r="J3774" s="343"/>
      <c r="K3774" s="343"/>
      <c r="L3774" s="343"/>
    </row>
    <row r="3775" spans="4:12" x14ac:dyDescent="0.2">
      <c r="D3775" s="341"/>
      <c r="F3775" s="343"/>
      <c r="G3775" s="343"/>
      <c r="H3775" s="343"/>
      <c r="I3775" s="343"/>
      <c r="J3775" s="343"/>
      <c r="K3775" s="343"/>
      <c r="L3775" s="343"/>
    </row>
    <row r="3776" spans="4:12" x14ac:dyDescent="0.2">
      <c r="D3776" s="341"/>
      <c r="F3776" s="343"/>
      <c r="G3776" s="343"/>
      <c r="H3776" s="343"/>
      <c r="I3776" s="343"/>
      <c r="J3776" s="343"/>
      <c r="K3776" s="343"/>
      <c r="L3776" s="343"/>
    </row>
    <row r="3777" spans="4:12" x14ac:dyDescent="0.2">
      <c r="D3777" s="341"/>
      <c r="F3777" s="343"/>
      <c r="G3777" s="343"/>
      <c r="H3777" s="343"/>
      <c r="I3777" s="343"/>
      <c r="J3777" s="343"/>
      <c r="K3777" s="343"/>
      <c r="L3777" s="343"/>
    </row>
    <row r="3778" spans="4:12" x14ac:dyDescent="0.2">
      <c r="D3778" s="341"/>
      <c r="F3778" s="343"/>
      <c r="G3778" s="343"/>
      <c r="H3778" s="343"/>
      <c r="I3778" s="343"/>
      <c r="J3778" s="343"/>
      <c r="K3778" s="343"/>
      <c r="L3778" s="343"/>
    </row>
    <row r="3779" spans="4:12" x14ac:dyDescent="0.2">
      <c r="D3779" s="341"/>
      <c r="F3779" s="343"/>
      <c r="G3779" s="343"/>
      <c r="H3779" s="343"/>
      <c r="I3779" s="343"/>
      <c r="J3779" s="343"/>
      <c r="K3779" s="343"/>
      <c r="L3779" s="343"/>
    </row>
    <row r="3780" spans="4:12" x14ac:dyDescent="0.2">
      <c r="D3780" s="341"/>
      <c r="F3780" s="343"/>
      <c r="G3780" s="343"/>
      <c r="H3780" s="343"/>
      <c r="I3780" s="343"/>
      <c r="J3780" s="343"/>
      <c r="K3780" s="343"/>
      <c r="L3780" s="343"/>
    </row>
    <row r="3781" spans="4:12" x14ac:dyDescent="0.2">
      <c r="D3781" s="341"/>
      <c r="F3781" s="343"/>
      <c r="G3781" s="343"/>
      <c r="H3781" s="343"/>
      <c r="I3781" s="343"/>
      <c r="J3781" s="343"/>
      <c r="K3781" s="343"/>
      <c r="L3781" s="343"/>
    </row>
    <row r="3782" spans="4:12" x14ac:dyDescent="0.2">
      <c r="D3782" s="341"/>
      <c r="F3782" s="343"/>
      <c r="G3782" s="343"/>
      <c r="H3782" s="343"/>
      <c r="I3782" s="343"/>
      <c r="J3782" s="343"/>
      <c r="K3782" s="343"/>
      <c r="L3782" s="343"/>
    </row>
    <row r="3783" spans="4:12" x14ac:dyDescent="0.2">
      <c r="D3783" s="341"/>
      <c r="F3783" s="343"/>
      <c r="G3783" s="343"/>
      <c r="H3783" s="343"/>
      <c r="I3783" s="343"/>
      <c r="J3783" s="343"/>
      <c r="K3783" s="343"/>
      <c r="L3783" s="343"/>
    </row>
    <row r="3784" spans="4:12" x14ac:dyDescent="0.2">
      <c r="D3784" s="341"/>
      <c r="F3784" s="343"/>
      <c r="G3784" s="343"/>
      <c r="H3784" s="343"/>
      <c r="I3784" s="343"/>
      <c r="J3784" s="343"/>
      <c r="K3784" s="343"/>
      <c r="L3784" s="343"/>
    </row>
    <row r="3785" spans="4:12" x14ac:dyDescent="0.2">
      <c r="D3785" s="341"/>
      <c r="F3785" s="343"/>
      <c r="G3785" s="343"/>
      <c r="H3785" s="343"/>
      <c r="I3785" s="343"/>
      <c r="J3785" s="343"/>
      <c r="K3785" s="343"/>
      <c r="L3785" s="343"/>
    </row>
    <row r="3786" spans="4:12" x14ac:dyDescent="0.2">
      <c r="D3786" s="341"/>
      <c r="F3786" s="343"/>
      <c r="G3786" s="343"/>
      <c r="H3786" s="343"/>
      <c r="I3786" s="343"/>
      <c r="J3786" s="343"/>
      <c r="K3786" s="343"/>
      <c r="L3786" s="343"/>
    </row>
    <row r="3787" spans="4:12" x14ac:dyDescent="0.2">
      <c r="D3787" s="341"/>
      <c r="F3787" s="343"/>
      <c r="G3787" s="343"/>
      <c r="H3787" s="343"/>
      <c r="I3787" s="343"/>
      <c r="J3787" s="343"/>
      <c r="K3787" s="343"/>
      <c r="L3787" s="343"/>
    </row>
    <row r="3788" spans="4:12" x14ac:dyDescent="0.2">
      <c r="D3788" s="341"/>
      <c r="F3788" s="343"/>
      <c r="G3788" s="343"/>
      <c r="H3788" s="343"/>
      <c r="I3788" s="343"/>
      <c r="J3788" s="343"/>
      <c r="K3788" s="343"/>
      <c r="L3788" s="343"/>
    </row>
    <row r="3789" spans="4:12" x14ac:dyDescent="0.2">
      <c r="D3789" s="341"/>
      <c r="F3789" s="343"/>
      <c r="G3789" s="343"/>
      <c r="H3789" s="343"/>
      <c r="I3789" s="343"/>
      <c r="J3789" s="343"/>
      <c r="K3789" s="343"/>
      <c r="L3789" s="343"/>
    </row>
    <row r="3790" spans="4:12" x14ac:dyDescent="0.2">
      <c r="D3790" s="341"/>
      <c r="F3790" s="343"/>
      <c r="G3790" s="343"/>
      <c r="H3790" s="343"/>
      <c r="I3790" s="343"/>
      <c r="J3790" s="343"/>
      <c r="K3790" s="343"/>
      <c r="L3790" s="343"/>
    </row>
    <row r="3791" spans="4:12" x14ac:dyDescent="0.2">
      <c r="D3791" s="341"/>
      <c r="F3791" s="343"/>
      <c r="G3791" s="343"/>
      <c r="H3791" s="343"/>
      <c r="I3791" s="343"/>
      <c r="J3791" s="343"/>
      <c r="K3791" s="343"/>
      <c r="L3791" s="343"/>
    </row>
    <row r="3792" spans="4:12" x14ac:dyDescent="0.2">
      <c r="D3792" s="341"/>
      <c r="F3792" s="343"/>
      <c r="G3792" s="343"/>
      <c r="H3792" s="343"/>
      <c r="I3792" s="343"/>
      <c r="J3792" s="343"/>
      <c r="K3792" s="343"/>
      <c r="L3792" s="343"/>
    </row>
    <row r="3793" spans="4:12" x14ac:dyDescent="0.2">
      <c r="D3793" s="341"/>
      <c r="F3793" s="343"/>
      <c r="G3793" s="343"/>
      <c r="H3793" s="343"/>
      <c r="I3793" s="343"/>
      <c r="J3793" s="343"/>
      <c r="K3793" s="343"/>
      <c r="L3793" s="343"/>
    </row>
    <row r="3794" spans="4:12" x14ac:dyDescent="0.2">
      <c r="D3794" s="341"/>
      <c r="F3794" s="343"/>
      <c r="G3794" s="343"/>
      <c r="H3794" s="343"/>
      <c r="I3794" s="343"/>
      <c r="J3794" s="343"/>
      <c r="K3794" s="343"/>
      <c r="L3794" s="343"/>
    </row>
    <row r="3795" spans="4:12" x14ac:dyDescent="0.2">
      <c r="D3795" s="341"/>
      <c r="F3795" s="343"/>
      <c r="G3795" s="343"/>
      <c r="H3795" s="343"/>
      <c r="I3795" s="343"/>
      <c r="J3795" s="343"/>
      <c r="K3795" s="343"/>
      <c r="L3795" s="343"/>
    </row>
    <row r="3796" spans="4:12" x14ac:dyDescent="0.2">
      <c r="D3796" s="341"/>
      <c r="F3796" s="343"/>
      <c r="G3796" s="343"/>
      <c r="H3796" s="343"/>
      <c r="I3796" s="343"/>
      <c r="J3796" s="343"/>
      <c r="K3796" s="343"/>
      <c r="L3796" s="343"/>
    </row>
    <row r="3797" spans="4:12" x14ac:dyDescent="0.2">
      <c r="D3797" s="341"/>
      <c r="F3797" s="343"/>
      <c r="G3797" s="343"/>
      <c r="H3797" s="343"/>
      <c r="I3797" s="343"/>
      <c r="J3797" s="343"/>
      <c r="K3797" s="343"/>
      <c r="L3797" s="343"/>
    </row>
    <row r="3798" spans="4:12" x14ac:dyDescent="0.2">
      <c r="D3798" s="341"/>
      <c r="F3798" s="343"/>
      <c r="G3798" s="343"/>
      <c r="H3798" s="343"/>
      <c r="I3798" s="343"/>
      <c r="J3798" s="343"/>
      <c r="K3798" s="343"/>
      <c r="L3798" s="343"/>
    </row>
    <row r="3799" spans="4:12" x14ac:dyDescent="0.2">
      <c r="D3799" s="341"/>
      <c r="F3799" s="343"/>
      <c r="G3799" s="343"/>
      <c r="H3799" s="343"/>
      <c r="I3799" s="343"/>
      <c r="J3799" s="343"/>
      <c r="K3799" s="343"/>
      <c r="L3799" s="343"/>
    </row>
    <row r="3800" spans="4:12" x14ac:dyDescent="0.2">
      <c r="D3800" s="341"/>
      <c r="F3800" s="343"/>
      <c r="G3800" s="343"/>
      <c r="H3800" s="343"/>
      <c r="I3800" s="343"/>
      <c r="J3800" s="343"/>
      <c r="K3800" s="343"/>
      <c r="L3800" s="343"/>
    </row>
    <row r="3801" spans="4:12" x14ac:dyDescent="0.2">
      <c r="D3801" s="341"/>
      <c r="F3801" s="343"/>
      <c r="G3801" s="343"/>
      <c r="H3801" s="343"/>
      <c r="I3801" s="343"/>
      <c r="J3801" s="343"/>
      <c r="K3801" s="343"/>
      <c r="L3801" s="343"/>
    </row>
    <row r="3802" spans="4:12" x14ac:dyDescent="0.2">
      <c r="D3802" s="341"/>
      <c r="F3802" s="343"/>
      <c r="G3802" s="343"/>
      <c r="H3802" s="343"/>
      <c r="I3802" s="343"/>
      <c r="J3802" s="343"/>
      <c r="K3802" s="343"/>
      <c r="L3802" s="343"/>
    </row>
    <row r="3803" spans="4:12" x14ac:dyDescent="0.2">
      <c r="D3803" s="341"/>
      <c r="F3803" s="343"/>
      <c r="G3803" s="343"/>
      <c r="H3803" s="343"/>
      <c r="I3803" s="343"/>
      <c r="J3803" s="343"/>
      <c r="K3803" s="343"/>
      <c r="L3803" s="343"/>
    </row>
    <row r="3804" spans="4:12" x14ac:dyDescent="0.2">
      <c r="D3804" s="341"/>
      <c r="F3804" s="343"/>
      <c r="G3804" s="343"/>
      <c r="H3804" s="343"/>
      <c r="I3804" s="343"/>
      <c r="J3804" s="343"/>
      <c r="K3804" s="343"/>
      <c r="L3804" s="343"/>
    </row>
    <row r="3805" spans="4:12" x14ac:dyDescent="0.2">
      <c r="D3805" s="341"/>
      <c r="F3805" s="343"/>
      <c r="G3805" s="343"/>
      <c r="H3805" s="343"/>
      <c r="I3805" s="343"/>
      <c r="J3805" s="343"/>
      <c r="K3805" s="343"/>
      <c r="L3805" s="343"/>
    </row>
    <row r="3806" spans="4:12" x14ac:dyDescent="0.2">
      <c r="D3806" s="341"/>
      <c r="F3806" s="343"/>
      <c r="G3806" s="343"/>
      <c r="H3806" s="343"/>
      <c r="I3806" s="343"/>
      <c r="J3806" s="343"/>
      <c r="K3806" s="343"/>
      <c r="L3806" s="343"/>
    </row>
    <row r="3807" spans="4:12" x14ac:dyDescent="0.2">
      <c r="D3807" s="341"/>
      <c r="F3807" s="343"/>
      <c r="G3807" s="343"/>
      <c r="H3807" s="343"/>
      <c r="I3807" s="343"/>
      <c r="J3807" s="343"/>
      <c r="K3807" s="343"/>
      <c r="L3807" s="343"/>
    </row>
    <row r="3808" spans="4:12" x14ac:dyDescent="0.2">
      <c r="D3808" s="341"/>
      <c r="F3808" s="343"/>
      <c r="G3808" s="343"/>
      <c r="H3808" s="343"/>
      <c r="I3808" s="343"/>
      <c r="J3808" s="343"/>
      <c r="K3808" s="343"/>
      <c r="L3808" s="343"/>
    </row>
    <row r="3809" spans="4:12" x14ac:dyDescent="0.2">
      <c r="D3809" s="341"/>
      <c r="F3809" s="343"/>
      <c r="G3809" s="343"/>
      <c r="H3809" s="343"/>
      <c r="I3809" s="343"/>
      <c r="J3809" s="343"/>
      <c r="K3809" s="343"/>
      <c r="L3809" s="343"/>
    </row>
    <row r="3810" spans="4:12" x14ac:dyDescent="0.2">
      <c r="D3810" s="341"/>
      <c r="F3810" s="343"/>
      <c r="G3810" s="343"/>
      <c r="H3810" s="343"/>
      <c r="I3810" s="343"/>
      <c r="J3810" s="343"/>
      <c r="K3810" s="343"/>
      <c r="L3810" s="343"/>
    </row>
    <row r="3811" spans="4:12" x14ac:dyDescent="0.2">
      <c r="D3811" s="341"/>
      <c r="F3811" s="343"/>
      <c r="G3811" s="343"/>
      <c r="H3811" s="343"/>
      <c r="I3811" s="343"/>
      <c r="J3811" s="343"/>
      <c r="K3811" s="343"/>
      <c r="L3811" s="343"/>
    </row>
    <row r="3812" spans="4:12" x14ac:dyDescent="0.2">
      <c r="D3812" s="341"/>
      <c r="F3812" s="343"/>
      <c r="G3812" s="343"/>
      <c r="H3812" s="343"/>
      <c r="I3812" s="343"/>
      <c r="J3812" s="343"/>
      <c r="K3812" s="343"/>
      <c r="L3812" s="343"/>
    </row>
    <row r="3813" spans="4:12" x14ac:dyDescent="0.2">
      <c r="D3813" s="341"/>
      <c r="F3813" s="343"/>
      <c r="G3813" s="343"/>
      <c r="H3813" s="343"/>
      <c r="I3813" s="343"/>
      <c r="J3813" s="343"/>
      <c r="K3813" s="343"/>
      <c r="L3813" s="343"/>
    </row>
    <row r="3814" spans="4:12" x14ac:dyDescent="0.2">
      <c r="D3814" s="341"/>
      <c r="F3814" s="343"/>
      <c r="G3814" s="343"/>
      <c r="H3814" s="343"/>
      <c r="I3814" s="343"/>
      <c r="J3814" s="343"/>
      <c r="K3814" s="343"/>
      <c r="L3814" s="343"/>
    </row>
    <row r="3815" spans="4:12" x14ac:dyDescent="0.2">
      <c r="D3815" s="341"/>
      <c r="F3815" s="343"/>
      <c r="G3815" s="343"/>
      <c r="H3815" s="343"/>
      <c r="I3815" s="343"/>
      <c r="J3815" s="343"/>
      <c r="K3815" s="343"/>
      <c r="L3815" s="343"/>
    </row>
    <row r="3816" spans="4:12" x14ac:dyDescent="0.2">
      <c r="D3816" s="341"/>
      <c r="F3816" s="343"/>
      <c r="G3816" s="343"/>
      <c r="H3816" s="343"/>
      <c r="I3816" s="343"/>
      <c r="J3816" s="343"/>
      <c r="K3816" s="343"/>
      <c r="L3816" s="343"/>
    </row>
    <row r="3817" spans="4:12" x14ac:dyDescent="0.2">
      <c r="D3817" s="341"/>
      <c r="F3817" s="343"/>
      <c r="G3817" s="343"/>
      <c r="H3817" s="343"/>
      <c r="I3817" s="343"/>
      <c r="J3817" s="343"/>
      <c r="K3817" s="343"/>
      <c r="L3817" s="343"/>
    </row>
    <row r="3818" spans="4:12" x14ac:dyDescent="0.2">
      <c r="D3818" s="341"/>
      <c r="F3818" s="343"/>
      <c r="G3818" s="343"/>
      <c r="H3818" s="343"/>
      <c r="I3818" s="343"/>
      <c r="J3818" s="343"/>
      <c r="K3818" s="343"/>
      <c r="L3818" s="343"/>
    </row>
    <row r="3819" spans="4:12" x14ac:dyDescent="0.2">
      <c r="D3819" s="341"/>
      <c r="F3819" s="343"/>
      <c r="G3819" s="343"/>
      <c r="H3819" s="343"/>
      <c r="I3819" s="343"/>
      <c r="J3819" s="343"/>
      <c r="K3819" s="343"/>
      <c r="L3819" s="343"/>
    </row>
    <row r="3820" spans="4:12" x14ac:dyDescent="0.2">
      <c r="D3820" s="341"/>
      <c r="F3820" s="343"/>
      <c r="G3820" s="343"/>
      <c r="H3820" s="343"/>
      <c r="I3820" s="343"/>
      <c r="J3820" s="343"/>
      <c r="K3820" s="343"/>
      <c r="L3820" s="343"/>
    </row>
    <row r="3821" spans="4:12" x14ac:dyDescent="0.2">
      <c r="D3821" s="341"/>
      <c r="F3821" s="343"/>
      <c r="G3821" s="343"/>
      <c r="H3821" s="343"/>
      <c r="I3821" s="343"/>
      <c r="J3821" s="343"/>
      <c r="K3821" s="343"/>
      <c r="L3821" s="343"/>
    </row>
    <row r="3822" spans="4:12" x14ac:dyDescent="0.2">
      <c r="D3822" s="341"/>
      <c r="F3822" s="343"/>
      <c r="G3822" s="343"/>
      <c r="H3822" s="343"/>
      <c r="I3822" s="343"/>
      <c r="J3822" s="343"/>
      <c r="K3822" s="343"/>
      <c r="L3822" s="343"/>
    </row>
    <row r="3823" spans="4:12" x14ac:dyDescent="0.2">
      <c r="D3823" s="341"/>
      <c r="F3823" s="343"/>
      <c r="G3823" s="343"/>
      <c r="H3823" s="343"/>
      <c r="I3823" s="343"/>
      <c r="J3823" s="343"/>
      <c r="K3823" s="343"/>
      <c r="L3823" s="343"/>
    </row>
    <row r="3824" spans="4:12" x14ac:dyDescent="0.2">
      <c r="D3824" s="341"/>
      <c r="F3824" s="343"/>
      <c r="G3824" s="343"/>
      <c r="H3824" s="343"/>
      <c r="I3824" s="343"/>
      <c r="J3824" s="343"/>
      <c r="K3824" s="343"/>
      <c r="L3824" s="343"/>
    </row>
    <row r="3825" spans="4:12" x14ac:dyDescent="0.2">
      <c r="D3825" s="341"/>
      <c r="F3825" s="343"/>
      <c r="G3825" s="343"/>
      <c r="H3825" s="343"/>
      <c r="I3825" s="343"/>
      <c r="J3825" s="343"/>
      <c r="K3825" s="343"/>
      <c r="L3825" s="343"/>
    </row>
    <row r="3826" spans="4:12" x14ac:dyDescent="0.2">
      <c r="D3826" s="341"/>
      <c r="F3826" s="343"/>
      <c r="G3826" s="343"/>
      <c r="H3826" s="343"/>
      <c r="I3826" s="343"/>
      <c r="J3826" s="343"/>
      <c r="K3826" s="343"/>
      <c r="L3826" s="343"/>
    </row>
    <row r="3827" spans="4:12" x14ac:dyDescent="0.2">
      <c r="D3827" s="341"/>
      <c r="F3827" s="343"/>
      <c r="G3827" s="343"/>
      <c r="H3827" s="343"/>
      <c r="I3827" s="343"/>
      <c r="J3827" s="343"/>
      <c r="K3827" s="343"/>
      <c r="L3827" s="343"/>
    </row>
    <row r="3828" spans="4:12" x14ac:dyDescent="0.2">
      <c r="D3828" s="341"/>
      <c r="F3828" s="343"/>
      <c r="G3828" s="343"/>
      <c r="H3828" s="343"/>
      <c r="I3828" s="343"/>
      <c r="J3828" s="343"/>
      <c r="K3828" s="343"/>
      <c r="L3828" s="343"/>
    </row>
    <row r="3829" spans="4:12" x14ac:dyDescent="0.2">
      <c r="D3829" s="341"/>
      <c r="F3829" s="343"/>
      <c r="G3829" s="343"/>
      <c r="H3829" s="343"/>
      <c r="I3829" s="343"/>
      <c r="J3829" s="343"/>
      <c r="K3829" s="343"/>
      <c r="L3829" s="343"/>
    </row>
    <row r="3830" spans="4:12" x14ac:dyDescent="0.2">
      <c r="D3830" s="341"/>
      <c r="F3830" s="343"/>
      <c r="G3830" s="343"/>
      <c r="H3830" s="343"/>
      <c r="I3830" s="343"/>
      <c r="J3830" s="343"/>
      <c r="K3830" s="343"/>
      <c r="L3830" s="343"/>
    </row>
    <row r="3831" spans="4:12" x14ac:dyDescent="0.2">
      <c r="D3831" s="341"/>
      <c r="F3831" s="343"/>
      <c r="G3831" s="343"/>
      <c r="H3831" s="343"/>
      <c r="I3831" s="343"/>
      <c r="J3831" s="343"/>
      <c r="K3831" s="343"/>
      <c r="L3831" s="343"/>
    </row>
    <row r="3832" spans="4:12" x14ac:dyDescent="0.2">
      <c r="D3832" s="341"/>
      <c r="F3832" s="343"/>
      <c r="G3832" s="343"/>
      <c r="H3832" s="343"/>
      <c r="I3832" s="343"/>
      <c r="J3832" s="343"/>
      <c r="K3832" s="343"/>
      <c r="L3832" s="343"/>
    </row>
    <row r="3833" spans="4:12" x14ac:dyDescent="0.2">
      <c r="D3833" s="341"/>
      <c r="F3833" s="343"/>
      <c r="G3833" s="343"/>
      <c r="H3833" s="343"/>
      <c r="I3833" s="343"/>
      <c r="J3833" s="343"/>
      <c r="K3833" s="343"/>
      <c r="L3833" s="343"/>
    </row>
    <row r="3834" spans="4:12" x14ac:dyDescent="0.2">
      <c r="D3834" s="341"/>
      <c r="F3834" s="343"/>
      <c r="G3834" s="343"/>
      <c r="H3834" s="343"/>
      <c r="I3834" s="343"/>
      <c r="J3834" s="343"/>
      <c r="K3834" s="343"/>
      <c r="L3834" s="343"/>
    </row>
    <row r="3835" spans="4:12" x14ac:dyDescent="0.2">
      <c r="D3835" s="341"/>
      <c r="F3835" s="343"/>
      <c r="G3835" s="343"/>
      <c r="H3835" s="343"/>
      <c r="I3835" s="343"/>
      <c r="J3835" s="343"/>
      <c r="K3835" s="343"/>
      <c r="L3835" s="343"/>
    </row>
    <row r="3836" spans="4:12" x14ac:dyDescent="0.2">
      <c r="D3836" s="341"/>
      <c r="F3836" s="343"/>
      <c r="G3836" s="343"/>
      <c r="H3836" s="343"/>
      <c r="I3836" s="343"/>
      <c r="J3836" s="343"/>
      <c r="K3836" s="343"/>
      <c r="L3836" s="343"/>
    </row>
    <row r="3837" spans="4:12" x14ac:dyDescent="0.2">
      <c r="D3837" s="341"/>
      <c r="F3837" s="343"/>
      <c r="G3837" s="343"/>
      <c r="H3837" s="343"/>
      <c r="I3837" s="343"/>
      <c r="J3837" s="343"/>
      <c r="K3837" s="343"/>
      <c r="L3837" s="343"/>
    </row>
    <row r="3838" spans="4:12" x14ac:dyDescent="0.2">
      <c r="D3838" s="341"/>
      <c r="F3838" s="343"/>
      <c r="G3838" s="343"/>
      <c r="H3838" s="343"/>
      <c r="I3838" s="343"/>
      <c r="J3838" s="343"/>
      <c r="K3838" s="343"/>
      <c r="L3838" s="343"/>
    </row>
    <row r="3839" spans="4:12" x14ac:dyDescent="0.2">
      <c r="D3839" s="341"/>
      <c r="F3839" s="343"/>
      <c r="G3839" s="343"/>
      <c r="H3839" s="343"/>
      <c r="I3839" s="343"/>
      <c r="J3839" s="343"/>
      <c r="K3839" s="343"/>
      <c r="L3839" s="343"/>
    </row>
    <row r="3840" spans="4:12" x14ac:dyDescent="0.2">
      <c r="D3840" s="341"/>
      <c r="F3840" s="343"/>
      <c r="G3840" s="343"/>
      <c r="H3840" s="343"/>
      <c r="I3840" s="343"/>
      <c r="J3840" s="343"/>
      <c r="K3840" s="343"/>
      <c r="L3840" s="343"/>
    </row>
    <row r="3841" spans="4:12" x14ac:dyDescent="0.2">
      <c r="D3841" s="341"/>
      <c r="F3841" s="343"/>
      <c r="G3841" s="343"/>
      <c r="H3841" s="343"/>
      <c r="I3841" s="343"/>
      <c r="J3841" s="343"/>
      <c r="K3841" s="343"/>
      <c r="L3841" s="343"/>
    </row>
    <row r="3842" spans="4:12" x14ac:dyDescent="0.2">
      <c r="D3842" s="341"/>
      <c r="F3842" s="343"/>
      <c r="G3842" s="343"/>
      <c r="H3842" s="343"/>
      <c r="I3842" s="343"/>
      <c r="J3842" s="343"/>
      <c r="K3842" s="343"/>
      <c r="L3842" s="343"/>
    </row>
    <row r="3843" spans="4:12" x14ac:dyDescent="0.2">
      <c r="D3843" s="341"/>
      <c r="F3843" s="343"/>
      <c r="G3843" s="343"/>
      <c r="H3843" s="343"/>
      <c r="I3843" s="343"/>
      <c r="J3843" s="343"/>
      <c r="K3843" s="343"/>
      <c r="L3843" s="343"/>
    </row>
    <row r="3844" spans="4:12" x14ac:dyDescent="0.2">
      <c r="D3844" s="341"/>
      <c r="F3844" s="343"/>
      <c r="G3844" s="343"/>
      <c r="H3844" s="343"/>
      <c r="I3844" s="343"/>
      <c r="J3844" s="343"/>
      <c r="K3844" s="343"/>
      <c r="L3844" s="343"/>
    </row>
    <row r="3845" spans="4:12" x14ac:dyDescent="0.2">
      <c r="D3845" s="341"/>
      <c r="F3845" s="343"/>
      <c r="G3845" s="343"/>
      <c r="H3845" s="343"/>
      <c r="I3845" s="343"/>
      <c r="J3845" s="343"/>
      <c r="K3845" s="343"/>
      <c r="L3845" s="343"/>
    </row>
    <row r="3846" spans="4:12" x14ac:dyDescent="0.2">
      <c r="D3846" s="341"/>
      <c r="F3846" s="343"/>
      <c r="G3846" s="343"/>
      <c r="H3846" s="343"/>
      <c r="I3846" s="343"/>
      <c r="J3846" s="343"/>
      <c r="K3846" s="343"/>
      <c r="L3846" s="343"/>
    </row>
    <row r="3847" spans="4:12" x14ac:dyDescent="0.2">
      <c r="D3847" s="341"/>
      <c r="F3847" s="343"/>
      <c r="G3847" s="343"/>
      <c r="H3847" s="343"/>
      <c r="I3847" s="343"/>
      <c r="J3847" s="343"/>
      <c r="K3847" s="343"/>
      <c r="L3847" s="343"/>
    </row>
    <row r="3848" spans="4:12" x14ac:dyDescent="0.2">
      <c r="D3848" s="341"/>
      <c r="F3848" s="343"/>
      <c r="G3848" s="343"/>
      <c r="H3848" s="343"/>
      <c r="I3848" s="343"/>
      <c r="J3848" s="343"/>
      <c r="K3848" s="343"/>
      <c r="L3848" s="343"/>
    </row>
    <row r="3849" spans="4:12" x14ac:dyDescent="0.2">
      <c r="D3849" s="341"/>
      <c r="F3849" s="343"/>
      <c r="G3849" s="343"/>
      <c r="H3849" s="343"/>
      <c r="I3849" s="343"/>
      <c r="J3849" s="343"/>
      <c r="K3849" s="343"/>
      <c r="L3849" s="343"/>
    </row>
    <row r="3850" spans="4:12" x14ac:dyDescent="0.2">
      <c r="D3850" s="341"/>
      <c r="F3850" s="343"/>
      <c r="G3850" s="343"/>
      <c r="H3850" s="343"/>
      <c r="I3850" s="343"/>
      <c r="J3850" s="343"/>
      <c r="K3850" s="343"/>
      <c r="L3850" s="343"/>
    </row>
    <row r="3851" spans="4:12" x14ac:dyDescent="0.2">
      <c r="D3851" s="341"/>
      <c r="F3851" s="343"/>
      <c r="G3851" s="343"/>
      <c r="H3851" s="343"/>
      <c r="I3851" s="343"/>
      <c r="J3851" s="343"/>
      <c r="K3851" s="343"/>
      <c r="L3851" s="343"/>
    </row>
    <row r="3852" spans="4:12" x14ac:dyDescent="0.2">
      <c r="D3852" s="341"/>
      <c r="F3852" s="343"/>
      <c r="G3852" s="343"/>
      <c r="H3852" s="343"/>
      <c r="I3852" s="343"/>
      <c r="J3852" s="343"/>
      <c r="K3852" s="343"/>
      <c r="L3852" s="343"/>
    </row>
    <row r="3853" spans="4:12" x14ac:dyDescent="0.2">
      <c r="D3853" s="341"/>
      <c r="F3853" s="343"/>
      <c r="G3853" s="343"/>
      <c r="H3853" s="343"/>
      <c r="I3853" s="343"/>
      <c r="J3853" s="343"/>
      <c r="K3853" s="343"/>
      <c r="L3853" s="343"/>
    </row>
    <row r="3854" spans="4:12" x14ac:dyDescent="0.2">
      <c r="D3854" s="341"/>
      <c r="F3854" s="343"/>
      <c r="G3854" s="343"/>
      <c r="H3854" s="343"/>
      <c r="I3854" s="343"/>
      <c r="J3854" s="343"/>
      <c r="K3854" s="343"/>
      <c r="L3854" s="343"/>
    </row>
    <row r="3855" spans="4:12" x14ac:dyDescent="0.2">
      <c r="D3855" s="341"/>
      <c r="F3855" s="343"/>
      <c r="G3855" s="343"/>
      <c r="H3855" s="343"/>
      <c r="I3855" s="343"/>
      <c r="J3855" s="343"/>
      <c r="K3855" s="343"/>
      <c r="L3855" s="343"/>
    </row>
    <row r="3856" spans="4:12" x14ac:dyDescent="0.2">
      <c r="D3856" s="341"/>
      <c r="F3856" s="343"/>
      <c r="G3856" s="343"/>
      <c r="H3856" s="343"/>
      <c r="I3856" s="343"/>
      <c r="J3856" s="343"/>
      <c r="K3856" s="343"/>
      <c r="L3856" s="343"/>
    </row>
    <row r="3857" spans="4:12" x14ac:dyDescent="0.2">
      <c r="D3857" s="341"/>
      <c r="F3857" s="343"/>
      <c r="G3857" s="343"/>
      <c r="H3857" s="343"/>
      <c r="I3857" s="343"/>
      <c r="J3857" s="343"/>
      <c r="K3857" s="343"/>
      <c r="L3857" s="343"/>
    </row>
    <row r="3858" spans="4:12" x14ac:dyDescent="0.2">
      <c r="D3858" s="341"/>
      <c r="F3858" s="343"/>
      <c r="G3858" s="343"/>
      <c r="H3858" s="343"/>
      <c r="I3858" s="343"/>
      <c r="J3858" s="343"/>
      <c r="K3858" s="343"/>
      <c r="L3858" s="343"/>
    </row>
    <row r="3859" spans="4:12" x14ac:dyDescent="0.2">
      <c r="D3859" s="341"/>
      <c r="F3859" s="343"/>
      <c r="G3859" s="343"/>
      <c r="H3859" s="343"/>
      <c r="I3859" s="343"/>
      <c r="J3859" s="343"/>
      <c r="K3859" s="343"/>
      <c r="L3859" s="343"/>
    </row>
    <row r="3860" spans="4:12" x14ac:dyDescent="0.2">
      <c r="D3860" s="341"/>
      <c r="F3860" s="343"/>
      <c r="G3860" s="343"/>
      <c r="H3860" s="343"/>
      <c r="I3860" s="343"/>
      <c r="J3860" s="343"/>
      <c r="K3860" s="343"/>
      <c r="L3860" s="343"/>
    </row>
    <row r="3861" spans="4:12" x14ac:dyDescent="0.2">
      <c r="D3861" s="341"/>
      <c r="F3861" s="343"/>
      <c r="G3861" s="343"/>
      <c r="H3861" s="343"/>
      <c r="I3861" s="343"/>
      <c r="J3861" s="343"/>
      <c r="K3861" s="343"/>
      <c r="L3861" s="343"/>
    </row>
    <row r="3862" spans="4:12" x14ac:dyDescent="0.2">
      <c r="D3862" s="341"/>
      <c r="F3862" s="343"/>
      <c r="G3862" s="343"/>
      <c r="H3862" s="343"/>
      <c r="I3862" s="343"/>
      <c r="J3862" s="343"/>
      <c r="K3862" s="343"/>
      <c r="L3862" s="343"/>
    </row>
    <row r="3863" spans="4:12" x14ac:dyDescent="0.2">
      <c r="D3863" s="341"/>
      <c r="F3863" s="343"/>
      <c r="G3863" s="343"/>
      <c r="H3863" s="343"/>
      <c r="I3863" s="343"/>
      <c r="J3863" s="343"/>
      <c r="K3863" s="343"/>
      <c r="L3863" s="343"/>
    </row>
    <row r="3864" spans="4:12" x14ac:dyDescent="0.2">
      <c r="D3864" s="341"/>
      <c r="F3864" s="343"/>
      <c r="G3864" s="343"/>
      <c r="H3864" s="343"/>
      <c r="I3864" s="343"/>
      <c r="J3864" s="343"/>
      <c r="K3864" s="343"/>
      <c r="L3864" s="343"/>
    </row>
    <row r="3865" spans="4:12" x14ac:dyDescent="0.2">
      <c r="D3865" s="341"/>
      <c r="F3865" s="343"/>
      <c r="G3865" s="343"/>
      <c r="H3865" s="343"/>
      <c r="I3865" s="343"/>
      <c r="J3865" s="343"/>
      <c r="K3865" s="343"/>
      <c r="L3865" s="343"/>
    </row>
    <row r="3866" spans="4:12" x14ac:dyDescent="0.2">
      <c r="D3866" s="341"/>
      <c r="F3866" s="343"/>
      <c r="G3866" s="343"/>
      <c r="H3866" s="343"/>
      <c r="I3866" s="343"/>
      <c r="J3866" s="343"/>
      <c r="K3866" s="343"/>
      <c r="L3866" s="343"/>
    </row>
    <row r="3867" spans="4:12" x14ac:dyDescent="0.2">
      <c r="D3867" s="341"/>
      <c r="F3867" s="343"/>
      <c r="G3867" s="343"/>
      <c r="H3867" s="343"/>
      <c r="I3867" s="343"/>
      <c r="J3867" s="343"/>
      <c r="K3867" s="343"/>
      <c r="L3867" s="343"/>
    </row>
    <row r="3868" spans="4:12" x14ac:dyDescent="0.2">
      <c r="D3868" s="341"/>
      <c r="F3868" s="343"/>
      <c r="G3868" s="343"/>
      <c r="H3868" s="343"/>
      <c r="I3868" s="343"/>
      <c r="J3868" s="343"/>
      <c r="K3868" s="343"/>
      <c r="L3868" s="343"/>
    </row>
    <row r="3869" spans="4:12" x14ac:dyDescent="0.2">
      <c r="D3869" s="341"/>
      <c r="F3869" s="343"/>
      <c r="G3869" s="343"/>
      <c r="H3869" s="343"/>
      <c r="I3869" s="343"/>
      <c r="J3869" s="343"/>
      <c r="K3869" s="343"/>
      <c r="L3869" s="343"/>
    </row>
    <row r="3870" spans="4:12" x14ac:dyDescent="0.2">
      <c r="D3870" s="341"/>
      <c r="F3870" s="343"/>
      <c r="G3870" s="343"/>
      <c r="H3870" s="343"/>
      <c r="I3870" s="343"/>
      <c r="J3870" s="343"/>
      <c r="K3870" s="343"/>
      <c r="L3870" s="343"/>
    </row>
    <row r="3871" spans="4:12" x14ac:dyDescent="0.2">
      <c r="D3871" s="341"/>
      <c r="F3871" s="343"/>
      <c r="G3871" s="343"/>
      <c r="H3871" s="343"/>
      <c r="I3871" s="343"/>
      <c r="J3871" s="343"/>
      <c r="K3871" s="343"/>
      <c r="L3871" s="343"/>
    </row>
    <row r="3872" spans="4:12" x14ac:dyDescent="0.2">
      <c r="D3872" s="341"/>
      <c r="F3872" s="343"/>
      <c r="G3872" s="343"/>
      <c r="H3872" s="343"/>
      <c r="I3872" s="343"/>
      <c r="J3872" s="343"/>
      <c r="K3872" s="343"/>
      <c r="L3872" s="343"/>
    </row>
    <row r="3873" spans="4:12" x14ac:dyDescent="0.2">
      <c r="D3873" s="341"/>
      <c r="F3873" s="343"/>
      <c r="G3873" s="343"/>
      <c r="H3873" s="343"/>
      <c r="I3873" s="343"/>
      <c r="J3873" s="343"/>
      <c r="K3873" s="343"/>
      <c r="L3873" s="343"/>
    </row>
    <row r="3874" spans="4:12" x14ac:dyDescent="0.2">
      <c r="D3874" s="341"/>
      <c r="F3874" s="343"/>
      <c r="G3874" s="343"/>
      <c r="H3874" s="343"/>
      <c r="I3874" s="343"/>
      <c r="J3874" s="343"/>
      <c r="K3874" s="343"/>
      <c r="L3874" s="343"/>
    </row>
    <row r="3875" spans="4:12" x14ac:dyDescent="0.2">
      <c r="D3875" s="341"/>
      <c r="F3875" s="343"/>
      <c r="G3875" s="343"/>
      <c r="H3875" s="343"/>
      <c r="I3875" s="343"/>
      <c r="J3875" s="343"/>
      <c r="K3875" s="343"/>
      <c r="L3875" s="343"/>
    </row>
    <row r="3876" spans="4:12" x14ac:dyDescent="0.2">
      <c r="D3876" s="341"/>
      <c r="F3876" s="343"/>
      <c r="G3876" s="343"/>
      <c r="H3876" s="343"/>
      <c r="I3876" s="343"/>
      <c r="J3876" s="343"/>
      <c r="K3876" s="343"/>
      <c r="L3876" s="343"/>
    </row>
    <row r="3877" spans="4:12" x14ac:dyDescent="0.2">
      <c r="D3877" s="341"/>
      <c r="F3877" s="343"/>
      <c r="G3877" s="343"/>
      <c r="H3877" s="343"/>
      <c r="I3877" s="343"/>
      <c r="J3877" s="343"/>
      <c r="K3877" s="343"/>
      <c r="L3877" s="343"/>
    </row>
    <row r="3878" spans="4:12" x14ac:dyDescent="0.2">
      <c r="D3878" s="341"/>
      <c r="F3878" s="343"/>
      <c r="G3878" s="343"/>
      <c r="H3878" s="343"/>
      <c r="I3878" s="343"/>
      <c r="J3878" s="343"/>
      <c r="K3878" s="343"/>
      <c r="L3878" s="343"/>
    </row>
    <row r="3879" spans="4:12" x14ac:dyDescent="0.2">
      <c r="D3879" s="341"/>
      <c r="F3879" s="343"/>
      <c r="G3879" s="343"/>
      <c r="H3879" s="343"/>
      <c r="I3879" s="343"/>
      <c r="J3879" s="343"/>
      <c r="K3879" s="343"/>
      <c r="L3879" s="343"/>
    </row>
    <row r="3880" spans="4:12" x14ac:dyDescent="0.2">
      <c r="D3880" s="341"/>
      <c r="F3880" s="343"/>
      <c r="G3880" s="343"/>
      <c r="H3880" s="343"/>
      <c r="I3880" s="343"/>
      <c r="J3880" s="343"/>
      <c r="K3880" s="343"/>
      <c r="L3880" s="343"/>
    </row>
    <row r="3881" spans="4:12" x14ac:dyDescent="0.2">
      <c r="D3881" s="341"/>
      <c r="F3881" s="343"/>
      <c r="G3881" s="343"/>
      <c r="H3881" s="343"/>
      <c r="I3881" s="343"/>
      <c r="J3881" s="343"/>
      <c r="K3881" s="343"/>
      <c r="L3881" s="343"/>
    </row>
    <row r="3882" spans="4:12" x14ac:dyDescent="0.2">
      <c r="D3882" s="341"/>
      <c r="F3882" s="343"/>
      <c r="G3882" s="343"/>
      <c r="H3882" s="343"/>
      <c r="I3882" s="343"/>
      <c r="J3882" s="343"/>
      <c r="K3882" s="343"/>
      <c r="L3882" s="343"/>
    </row>
    <row r="3883" spans="4:12" x14ac:dyDescent="0.2">
      <c r="D3883" s="341"/>
      <c r="F3883" s="343"/>
      <c r="G3883" s="343"/>
      <c r="H3883" s="343"/>
      <c r="I3883" s="343"/>
      <c r="J3883" s="343"/>
      <c r="K3883" s="343"/>
      <c r="L3883" s="343"/>
    </row>
    <row r="3884" spans="4:12" x14ac:dyDescent="0.2">
      <c r="D3884" s="341"/>
      <c r="F3884" s="343"/>
      <c r="G3884" s="343"/>
      <c r="H3884" s="343"/>
      <c r="I3884" s="343"/>
      <c r="J3884" s="343"/>
      <c r="K3884" s="343"/>
      <c r="L3884" s="343"/>
    </row>
    <row r="3885" spans="4:12" x14ac:dyDescent="0.2">
      <c r="D3885" s="341"/>
      <c r="F3885" s="343"/>
      <c r="G3885" s="343"/>
      <c r="H3885" s="343"/>
      <c r="I3885" s="343"/>
      <c r="J3885" s="343"/>
      <c r="K3885" s="343"/>
      <c r="L3885" s="343"/>
    </row>
    <row r="3886" spans="4:12" x14ac:dyDescent="0.2">
      <c r="D3886" s="341"/>
      <c r="F3886" s="343"/>
      <c r="G3886" s="343"/>
      <c r="H3886" s="343"/>
      <c r="I3886" s="343"/>
      <c r="J3886" s="343"/>
      <c r="K3886" s="343"/>
      <c r="L3886" s="343"/>
    </row>
    <row r="3887" spans="4:12" x14ac:dyDescent="0.2">
      <c r="D3887" s="341"/>
      <c r="F3887" s="343"/>
      <c r="G3887" s="343"/>
      <c r="H3887" s="343"/>
      <c r="I3887" s="343"/>
      <c r="J3887" s="343"/>
      <c r="K3887" s="343"/>
      <c r="L3887" s="343"/>
    </row>
    <row r="3888" spans="4:12" x14ac:dyDescent="0.2">
      <c r="D3888" s="341"/>
      <c r="F3888" s="343"/>
      <c r="G3888" s="343"/>
      <c r="H3888" s="343"/>
      <c r="I3888" s="343"/>
      <c r="J3888" s="343"/>
      <c r="K3888" s="343"/>
      <c r="L3888" s="343"/>
    </row>
    <row r="3889" spans="4:12" x14ac:dyDescent="0.2">
      <c r="D3889" s="341"/>
      <c r="F3889" s="343"/>
      <c r="G3889" s="343"/>
      <c r="H3889" s="343"/>
      <c r="I3889" s="343"/>
      <c r="J3889" s="343"/>
      <c r="K3889" s="343"/>
      <c r="L3889" s="343"/>
    </row>
    <row r="3890" spans="4:12" x14ac:dyDescent="0.2">
      <c r="D3890" s="341"/>
      <c r="F3890" s="343"/>
      <c r="G3890" s="343"/>
      <c r="H3890" s="343"/>
      <c r="I3890" s="343"/>
      <c r="J3890" s="343"/>
      <c r="K3890" s="343"/>
      <c r="L3890" s="343"/>
    </row>
    <row r="3891" spans="4:12" x14ac:dyDescent="0.2">
      <c r="D3891" s="341"/>
      <c r="F3891" s="343"/>
      <c r="G3891" s="343"/>
      <c r="H3891" s="343"/>
      <c r="I3891" s="343"/>
      <c r="J3891" s="343"/>
      <c r="K3891" s="343"/>
      <c r="L3891" s="343"/>
    </row>
    <row r="3892" spans="4:12" x14ac:dyDescent="0.2">
      <c r="D3892" s="341"/>
      <c r="F3892" s="343"/>
      <c r="G3892" s="343"/>
      <c r="H3892" s="343"/>
      <c r="I3892" s="343"/>
      <c r="J3892" s="343"/>
      <c r="K3892" s="343"/>
      <c r="L3892" s="343"/>
    </row>
    <row r="3893" spans="4:12" x14ac:dyDescent="0.2">
      <c r="D3893" s="341"/>
      <c r="F3893" s="343"/>
      <c r="G3893" s="343"/>
      <c r="H3893" s="343"/>
      <c r="I3893" s="343"/>
      <c r="J3893" s="343"/>
      <c r="K3893" s="343"/>
      <c r="L3893" s="343"/>
    </row>
    <row r="3894" spans="4:12" x14ac:dyDescent="0.2">
      <c r="D3894" s="341"/>
      <c r="F3894" s="343"/>
      <c r="G3894" s="343"/>
      <c r="H3894" s="343"/>
      <c r="I3894" s="343"/>
      <c r="J3894" s="343"/>
      <c r="K3894" s="343"/>
      <c r="L3894" s="343"/>
    </row>
    <row r="3895" spans="4:12" x14ac:dyDescent="0.2">
      <c r="D3895" s="341"/>
      <c r="F3895" s="343"/>
      <c r="G3895" s="343"/>
      <c r="H3895" s="343"/>
      <c r="I3895" s="343"/>
      <c r="J3895" s="343"/>
      <c r="K3895" s="343"/>
      <c r="L3895" s="343"/>
    </row>
    <row r="3896" spans="4:12" x14ac:dyDescent="0.2">
      <c r="D3896" s="341"/>
      <c r="F3896" s="343"/>
      <c r="G3896" s="343"/>
      <c r="H3896" s="343"/>
      <c r="I3896" s="343"/>
      <c r="J3896" s="343"/>
      <c r="K3896" s="343"/>
      <c r="L3896" s="343"/>
    </row>
    <row r="3897" spans="4:12" x14ac:dyDescent="0.2">
      <c r="D3897" s="341"/>
      <c r="F3897" s="343"/>
      <c r="G3897" s="343"/>
      <c r="H3897" s="343"/>
      <c r="I3897" s="343"/>
      <c r="J3897" s="343"/>
      <c r="K3897" s="343"/>
      <c r="L3897" s="343"/>
    </row>
    <row r="3898" spans="4:12" x14ac:dyDescent="0.2">
      <c r="D3898" s="341"/>
      <c r="F3898" s="343"/>
      <c r="G3898" s="343"/>
      <c r="H3898" s="343"/>
      <c r="I3898" s="343"/>
      <c r="J3898" s="343"/>
      <c r="K3898" s="343"/>
      <c r="L3898" s="343"/>
    </row>
    <row r="3899" spans="4:12" x14ac:dyDescent="0.2">
      <c r="D3899" s="341"/>
      <c r="F3899" s="343"/>
      <c r="G3899" s="343"/>
      <c r="H3899" s="343"/>
      <c r="I3899" s="343"/>
      <c r="J3899" s="343"/>
      <c r="K3899" s="343"/>
      <c r="L3899" s="343"/>
    </row>
    <row r="3900" spans="4:12" x14ac:dyDescent="0.2">
      <c r="D3900" s="341"/>
      <c r="F3900" s="343"/>
      <c r="G3900" s="343"/>
      <c r="H3900" s="343"/>
      <c r="I3900" s="343"/>
      <c r="J3900" s="343"/>
      <c r="K3900" s="343"/>
      <c r="L3900" s="343"/>
    </row>
    <row r="3901" spans="4:12" x14ac:dyDescent="0.2">
      <c r="D3901" s="341"/>
      <c r="F3901" s="343"/>
      <c r="G3901" s="343"/>
      <c r="H3901" s="343"/>
      <c r="I3901" s="343"/>
      <c r="J3901" s="343"/>
      <c r="K3901" s="343"/>
      <c r="L3901" s="343"/>
    </row>
    <row r="3902" spans="4:12" x14ac:dyDescent="0.2">
      <c r="D3902" s="341"/>
      <c r="F3902" s="343"/>
      <c r="G3902" s="343"/>
      <c r="H3902" s="343"/>
      <c r="I3902" s="343"/>
      <c r="J3902" s="343"/>
      <c r="K3902" s="343"/>
      <c r="L3902" s="343"/>
    </row>
    <row r="3903" spans="4:12" x14ac:dyDescent="0.2">
      <c r="D3903" s="341"/>
      <c r="F3903" s="343"/>
      <c r="G3903" s="343"/>
      <c r="H3903" s="343"/>
      <c r="I3903" s="343"/>
      <c r="J3903" s="343"/>
      <c r="K3903" s="343"/>
      <c r="L3903" s="343"/>
    </row>
    <row r="3904" spans="4:12" x14ac:dyDescent="0.2">
      <c r="D3904" s="341"/>
      <c r="F3904" s="343"/>
      <c r="G3904" s="343"/>
      <c r="H3904" s="343"/>
      <c r="I3904" s="343"/>
      <c r="J3904" s="343"/>
      <c r="K3904" s="343"/>
      <c r="L3904" s="343"/>
    </row>
    <row r="3905" spans="4:12" x14ac:dyDescent="0.2">
      <c r="D3905" s="341"/>
      <c r="F3905" s="343"/>
      <c r="G3905" s="343"/>
      <c r="H3905" s="343"/>
      <c r="I3905" s="343"/>
      <c r="J3905" s="343"/>
      <c r="K3905" s="343"/>
      <c r="L3905" s="343"/>
    </row>
    <row r="3906" spans="4:12" x14ac:dyDescent="0.2">
      <c r="D3906" s="341"/>
      <c r="F3906" s="343"/>
      <c r="G3906" s="343"/>
      <c r="H3906" s="343"/>
      <c r="I3906" s="343"/>
      <c r="J3906" s="343"/>
      <c r="K3906" s="343"/>
      <c r="L3906" s="343"/>
    </row>
    <row r="3907" spans="4:12" x14ac:dyDescent="0.2">
      <c r="D3907" s="341"/>
      <c r="F3907" s="343"/>
      <c r="G3907" s="343"/>
      <c r="H3907" s="343"/>
      <c r="I3907" s="343"/>
      <c r="J3907" s="343"/>
      <c r="K3907" s="343"/>
      <c r="L3907" s="343"/>
    </row>
    <row r="3908" spans="4:12" x14ac:dyDescent="0.2">
      <c r="D3908" s="341"/>
      <c r="F3908" s="343"/>
      <c r="G3908" s="343"/>
      <c r="H3908" s="343"/>
      <c r="I3908" s="343"/>
      <c r="J3908" s="343"/>
      <c r="K3908" s="343"/>
      <c r="L3908" s="343"/>
    </row>
    <row r="3909" spans="4:12" x14ac:dyDescent="0.2">
      <c r="D3909" s="341"/>
      <c r="F3909" s="343"/>
      <c r="G3909" s="343"/>
      <c r="H3909" s="343"/>
      <c r="I3909" s="343"/>
      <c r="J3909" s="343"/>
      <c r="K3909" s="343"/>
      <c r="L3909" s="343"/>
    </row>
    <row r="3910" spans="4:12" x14ac:dyDescent="0.2">
      <c r="D3910" s="341"/>
      <c r="F3910" s="343"/>
      <c r="G3910" s="343"/>
      <c r="H3910" s="343"/>
      <c r="I3910" s="343"/>
      <c r="J3910" s="343"/>
      <c r="K3910" s="343"/>
      <c r="L3910" s="343"/>
    </row>
    <row r="3911" spans="4:12" x14ac:dyDescent="0.2">
      <c r="D3911" s="341"/>
      <c r="F3911" s="343"/>
      <c r="G3911" s="343"/>
      <c r="H3911" s="343"/>
      <c r="I3911" s="343"/>
      <c r="J3911" s="343"/>
      <c r="K3911" s="343"/>
      <c r="L3911" s="343"/>
    </row>
    <row r="3912" spans="4:12" x14ac:dyDescent="0.2">
      <c r="D3912" s="341"/>
      <c r="F3912" s="343"/>
      <c r="G3912" s="343"/>
      <c r="H3912" s="343"/>
      <c r="I3912" s="343"/>
      <c r="J3912" s="343"/>
      <c r="K3912" s="343"/>
      <c r="L3912" s="343"/>
    </row>
    <row r="3913" spans="4:12" x14ac:dyDescent="0.2">
      <c r="D3913" s="341"/>
      <c r="F3913" s="343"/>
      <c r="G3913" s="343"/>
      <c r="H3913" s="343"/>
      <c r="I3913" s="343"/>
      <c r="J3913" s="343"/>
      <c r="K3913" s="343"/>
      <c r="L3913" s="343"/>
    </row>
    <row r="3914" spans="4:12" x14ac:dyDescent="0.2">
      <c r="D3914" s="341"/>
      <c r="F3914" s="343"/>
      <c r="G3914" s="343"/>
      <c r="H3914" s="343"/>
      <c r="I3914" s="343"/>
      <c r="J3914" s="343"/>
      <c r="K3914" s="343"/>
      <c r="L3914" s="343"/>
    </row>
    <row r="3915" spans="4:12" x14ac:dyDescent="0.2">
      <c r="D3915" s="341"/>
      <c r="F3915" s="343"/>
      <c r="G3915" s="343"/>
      <c r="H3915" s="343"/>
      <c r="I3915" s="343"/>
      <c r="J3915" s="343"/>
      <c r="K3915" s="343"/>
      <c r="L3915" s="343"/>
    </row>
    <row r="3916" spans="4:12" x14ac:dyDescent="0.2">
      <c r="D3916" s="341"/>
      <c r="F3916" s="343"/>
      <c r="G3916" s="343"/>
      <c r="H3916" s="343"/>
      <c r="I3916" s="343"/>
      <c r="J3916" s="343"/>
      <c r="K3916" s="343"/>
      <c r="L3916" s="343"/>
    </row>
    <row r="3917" spans="4:12" x14ac:dyDescent="0.2">
      <c r="D3917" s="341"/>
      <c r="F3917" s="343"/>
      <c r="G3917" s="343"/>
      <c r="H3917" s="343"/>
      <c r="I3917" s="343"/>
      <c r="J3917" s="343"/>
      <c r="K3917" s="343"/>
      <c r="L3917" s="343"/>
    </row>
    <row r="3918" spans="4:12" x14ac:dyDescent="0.2">
      <c r="D3918" s="341"/>
      <c r="F3918" s="343"/>
      <c r="G3918" s="343"/>
      <c r="H3918" s="343"/>
      <c r="I3918" s="343"/>
      <c r="J3918" s="343"/>
      <c r="K3918" s="343"/>
      <c r="L3918" s="343"/>
    </row>
    <row r="3919" spans="4:12" x14ac:dyDescent="0.2">
      <c r="D3919" s="341"/>
      <c r="F3919" s="343"/>
      <c r="G3919" s="343"/>
      <c r="H3919" s="343"/>
      <c r="I3919" s="343"/>
      <c r="J3919" s="343"/>
      <c r="K3919" s="343"/>
      <c r="L3919" s="343"/>
    </row>
    <row r="3920" spans="4:12" x14ac:dyDescent="0.2">
      <c r="D3920" s="341"/>
      <c r="F3920" s="343"/>
      <c r="G3920" s="343"/>
      <c r="H3920" s="343"/>
      <c r="I3920" s="343"/>
      <c r="J3920" s="343"/>
      <c r="K3920" s="343"/>
      <c r="L3920" s="343"/>
    </row>
    <row r="3921" spans="4:12" x14ac:dyDescent="0.2">
      <c r="D3921" s="341"/>
      <c r="F3921" s="343"/>
      <c r="G3921" s="343"/>
      <c r="H3921" s="343"/>
      <c r="I3921" s="343"/>
      <c r="J3921" s="343"/>
      <c r="K3921" s="343"/>
      <c r="L3921" s="343"/>
    </row>
    <row r="3922" spans="4:12" x14ac:dyDescent="0.2">
      <c r="D3922" s="341"/>
      <c r="F3922" s="343"/>
      <c r="G3922" s="343"/>
      <c r="H3922" s="343"/>
      <c r="I3922" s="343"/>
      <c r="J3922" s="343"/>
      <c r="K3922" s="343"/>
      <c r="L3922" s="343"/>
    </row>
    <row r="3923" spans="4:12" x14ac:dyDescent="0.2">
      <c r="D3923" s="341"/>
      <c r="F3923" s="343"/>
      <c r="G3923" s="343"/>
      <c r="H3923" s="343"/>
      <c r="I3923" s="343"/>
      <c r="J3923" s="343"/>
      <c r="K3923" s="343"/>
      <c r="L3923" s="343"/>
    </row>
    <row r="3924" spans="4:12" x14ac:dyDescent="0.2">
      <c r="D3924" s="341"/>
      <c r="F3924" s="343"/>
      <c r="G3924" s="343"/>
      <c r="H3924" s="343"/>
      <c r="I3924" s="343"/>
      <c r="J3924" s="343"/>
      <c r="K3924" s="343"/>
      <c r="L3924" s="343"/>
    </row>
    <row r="3925" spans="4:12" x14ac:dyDescent="0.2">
      <c r="D3925" s="341"/>
      <c r="F3925" s="343"/>
      <c r="G3925" s="343"/>
      <c r="H3925" s="343"/>
      <c r="I3925" s="343"/>
      <c r="J3925" s="343"/>
      <c r="K3925" s="343"/>
      <c r="L3925" s="343"/>
    </row>
    <row r="3926" spans="4:12" x14ac:dyDescent="0.2">
      <c r="D3926" s="341"/>
      <c r="F3926" s="343"/>
      <c r="G3926" s="343"/>
      <c r="H3926" s="343"/>
      <c r="I3926" s="343"/>
      <c r="J3926" s="343"/>
      <c r="K3926" s="343"/>
      <c r="L3926" s="343"/>
    </row>
    <row r="3927" spans="4:12" x14ac:dyDescent="0.2">
      <c r="D3927" s="341"/>
      <c r="F3927" s="343"/>
      <c r="G3927" s="343"/>
      <c r="H3927" s="343"/>
      <c r="I3927" s="343"/>
      <c r="J3927" s="343"/>
      <c r="K3927" s="343"/>
      <c r="L3927" s="343"/>
    </row>
    <row r="3928" spans="4:12" x14ac:dyDescent="0.2">
      <c r="D3928" s="341"/>
      <c r="F3928" s="343"/>
      <c r="G3928" s="343"/>
      <c r="H3928" s="343"/>
      <c r="I3928" s="343"/>
      <c r="J3928" s="343"/>
      <c r="K3928" s="343"/>
      <c r="L3928" s="343"/>
    </row>
    <row r="3929" spans="4:12" x14ac:dyDescent="0.2">
      <c r="D3929" s="341"/>
      <c r="F3929" s="343"/>
      <c r="G3929" s="343"/>
      <c r="H3929" s="343"/>
      <c r="I3929" s="343"/>
      <c r="J3929" s="343"/>
      <c r="K3929" s="343"/>
      <c r="L3929" s="343"/>
    </row>
    <row r="3930" spans="4:12" x14ac:dyDescent="0.2">
      <c r="D3930" s="341"/>
      <c r="F3930" s="343"/>
      <c r="G3930" s="343"/>
      <c r="H3930" s="343"/>
      <c r="I3930" s="343"/>
      <c r="J3930" s="343"/>
      <c r="K3930" s="343"/>
      <c r="L3930" s="343"/>
    </row>
    <row r="3931" spans="4:12" x14ac:dyDescent="0.2">
      <c r="D3931" s="341"/>
      <c r="F3931" s="343"/>
      <c r="G3931" s="343"/>
      <c r="H3931" s="343"/>
      <c r="I3931" s="343"/>
      <c r="J3931" s="343"/>
      <c r="K3931" s="343"/>
      <c r="L3931" s="343"/>
    </row>
    <row r="3932" spans="4:12" x14ac:dyDescent="0.2">
      <c r="D3932" s="341"/>
      <c r="F3932" s="343"/>
      <c r="G3932" s="343"/>
      <c r="H3932" s="343"/>
      <c r="I3932" s="343"/>
      <c r="J3932" s="343"/>
      <c r="K3932" s="343"/>
      <c r="L3932" s="343"/>
    </row>
    <row r="3933" spans="4:12" x14ac:dyDescent="0.2">
      <c r="D3933" s="341"/>
      <c r="F3933" s="343"/>
      <c r="G3933" s="343"/>
      <c r="H3933" s="343"/>
      <c r="I3933" s="343"/>
      <c r="J3933" s="343"/>
      <c r="K3933" s="343"/>
      <c r="L3933" s="343"/>
    </row>
    <row r="3934" spans="4:12" x14ac:dyDescent="0.2">
      <c r="D3934" s="341"/>
      <c r="F3934" s="343"/>
      <c r="G3934" s="343"/>
      <c r="H3934" s="343"/>
      <c r="I3934" s="343"/>
      <c r="J3934" s="343"/>
      <c r="K3934" s="343"/>
      <c r="L3934" s="343"/>
    </row>
    <row r="3935" spans="4:12" x14ac:dyDescent="0.2">
      <c r="D3935" s="341"/>
      <c r="F3935" s="343"/>
      <c r="G3935" s="343"/>
      <c r="H3935" s="343"/>
      <c r="I3935" s="343"/>
      <c r="J3935" s="343"/>
      <c r="K3935" s="343"/>
      <c r="L3935" s="343"/>
    </row>
    <row r="3936" spans="4:12" x14ac:dyDescent="0.2">
      <c r="D3936" s="341"/>
      <c r="F3936" s="343"/>
      <c r="G3936" s="343"/>
      <c r="H3936" s="343"/>
      <c r="I3936" s="343"/>
      <c r="J3936" s="343"/>
      <c r="K3936" s="343"/>
      <c r="L3936" s="343"/>
    </row>
    <row r="3937" spans="4:12" x14ac:dyDescent="0.2">
      <c r="D3937" s="341"/>
      <c r="F3937" s="343"/>
      <c r="G3937" s="343"/>
      <c r="H3937" s="343"/>
      <c r="I3937" s="343"/>
      <c r="J3937" s="343"/>
      <c r="K3937" s="343"/>
      <c r="L3937" s="343"/>
    </row>
    <row r="3938" spans="4:12" x14ac:dyDescent="0.2">
      <c r="D3938" s="341"/>
      <c r="F3938" s="343"/>
      <c r="G3938" s="343"/>
      <c r="H3938" s="343"/>
      <c r="I3938" s="343"/>
      <c r="J3938" s="343"/>
      <c r="K3938" s="343"/>
      <c r="L3938" s="343"/>
    </row>
    <row r="3939" spans="4:12" x14ac:dyDescent="0.2">
      <c r="D3939" s="341"/>
      <c r="F3939" s="343"/>
      <c r="G3939" s="343"/>
      <c r="H3939" s="343"/>
      <c r="I3939" s="343"/>
      <c r="J3939" s="343"/>
      <c r="K3939" s="343"/>
      <c r="L3939" s="343"/>
    </row>
    <row r="3940" spans="4:12" x14ac:dyDescent="0.2">
      <c r="D3940" s="341"/>
      <c r="F3940" s="343"/>
      <c r="G3940" s="343"/>
      <c r="H3940" s="343"/>
      <c r="I3940" s="343"/>
      <c r="J3940" s="343"/>
      <c r="K3940" s="343"/>
      <c r="L3940" s="343"/>
    </row>
    <row r="3941" spans="4:12" x14ac:dyDescent="0.2">
      <c r="D3941" s="341"/>
      <c r="F3941" s="343"/>
      <c r="G3941" s="343"/>
      <c r="H3941" s="343"/>
      <c r="I3941" s="343"/>
      <c r="J3941" s="343"/>
      <c r="K3941" s="343"/>
      <c r="L3941" s="343"/>
    </row>
    <row r="3942" spans="4:12" x14ac:dyDescent="0.2">
      <c r="D3942" s="341"/>
      <c r="F3942" s="343"/>
      <c r="G3942" s="343"/>
      <c r="H3942" s="343"/>
      <c r="I3942" s="343"/>
      <c r="J3942" s="343"/>
      <c r="K3942" s="343"/>
      <c r="L3942" s="343"/>
    </row>
    <row r="3943" spans="4:12" x14ac:dyDescent="0.2">
      <c r="D3943" s="341"/>
      <c r="F3943" s="343"/>
      <c r="G3943" s="343"/>
      <c r="H3943" s="343"/>
      <c r="I3943" s="343"/>
      <c r="J3943" s="343"/>
      <c r="K3943" s="343"/>
      <c r="L3943" s="343"/>
    </row>
    <row r="3944" spans="4:12" x14ac:dyDescent="0.2">
      <c r="D3944" s="341"/>
      <c r="F3944" s="343"/>
      <c r="G3944" s="343"/>
      <c r="H3944" s="343"/>
      <c r="I3944" s="343"/>
      <c r="J3944" s="343"/>
      <c r="K3944" s="343"/>
      <c r="L3944" s="343"/>
    </row>
    <row r="3945" spans="4:12" x14ac:dyDescent="0.2">
      <c r="D3945" s="341"/>
      <c r="F3945" s="343"/>
      <c r="G3945" s="343"/>
      <c r="H3945" s="343"/>
      <c r="I3945" s="343"/>
      <c r="J3945" s="343"/>
      <c r="K3945" s="343"/>
      <c r="L3945" s="343"/>
    </row>
    <row r="3946" spans="4:12" x14ac:dyDescent="0.2">
      <c r="D3946" s="341"/>
      <c r="F3946" s="343"/>
      <c r="G3946" s="343"/>
      <c r="H3946" s="343"/>
      <c r="I3946" s="343"/>
      <c r="J3946" s="343"/>
      <c r="K3946" s="343"/>
      <c r="L3946" s="343"/>
    </row>
    <row r="3947" spans="4:12" x14ac:dyDescent="0.2">
      <c r="D3947" s="341"/>
      <c r="F3947" s="343"/>
      <c r="G3947" s="343"/>
      <c r="H3947" s="343"/>
      <c r="I3947" s="343"/>
      <c r="J3947" s="343"/>
      <c r="K3947" s="343"/>
      <c r="L3947" s="343"/>
    </row>
    <row r="3948" spans="4:12" x14ac:dyDescent="0.2">
      <c r="D3948" s="341"/>
      <c r="F3948" s="343"/>
      <c r="G3948" s="343"/>
      <c r="H3948" s="343"/>
      <c r="I3948" s="343"/>
      <c r="J3948" s="343"/>
      <c r="K3948" s="343"/>
      <c r="L3948" s="343"/>
    </row>
    <row r="3949" spans="4:12" x14ac:dyDescent="0.2">
      <c r="D3949" s="341"/>
      <c r="F3949" s="343"/>
      <c r="G3949" s="343"/>
      <c r="H3949" s="343"/>
      <c r="I3949" s="343"/>
      <c r="J3949" s="343"/>
      <c r="K3949" s="343"/>
      <c r="L3949" s="343"/>
    </row>
    <row r="3950" spans="4:12" x14ac:dyDescent="0.2">
      <c r="D3950" s="341"/>
      <c r="F3950" s="343"/>
      <c r="G3950" s="343"/>
      <c r="H3950" s="343"/>
      <c r="I3950" s="343"/>
      <c r="J3950" s="343"/>
      <c r="K3950" s="343"/>
      <c r="L3950" s="343"/>
    </row>
    <row r="3951" spans="4:12" x14ac:dyDescent="0.2">
      <c r="D3951" s="341"/>
      <c r="F3951" s="343"/>
      <c r="G3951" s="343"/>
      <c r="H3951" s="343"/>
      <c r="I3951" s="343"/>
      <c r="J3951" s="343"/>
      <c r="K3951" s="343"/>
      <c r="L3951" s="343"/>
    </row>
    <row r="3952" spans="4:12" x14ac:dyDescent="0.2">
      <c r="D3952" s="341"/>
      <c r="F3952" s="343"/>
      <c r="G3952" s="343"/>
      <c r="H3952" s="343"/>
      <c r="I3952" s="343"/>
      <c r="J3952" s="343"/>
      <c r="K3952" s="343"/>
      <c r="L3952" s="343"/>
    </row>
    <row r="3953" spans="4:12" x14ac:dyDescent="0.2">
      <c r="D3953" s="341"/>
      <c r="F3953" s="343"/>
      <c r="G3953" s="343"/>
      <c r="H3953" s="343"/>
      <c r="I3953" s="343"/>
      <c r="J3953" s="343"/>
      <c r="K3953" s="343"/>
      <c r="L3953" s="343"/>
    </row>
    <row r="3954" spans="4:12" x14ac:dyDescent="0.2">
      <c r="D3954" s="341"/>
      <c r="F3954" s="343"/>
      <c r="G3954" s="343"/>
      <c r="H3954" s="343"/>
      <c r="I3954" s="343"/>
      <c r="J3954" s="343"/>
      <c r="K3954" s="343"/>
      <c r="L3954" s="343"/>
    </row>
    <row r="3955" spans="4:12" x14ac:dyDescent="0.2">
      <c r="D3955" s="341"/>
      <c r="F3955" s="343"/>
      <c r="G3955" s="343"/>
      <c r="H3955" s="343"/>
      <c r="I3955" s="343"/>
      <c r="J3955" s="343"/>
      <c r="K3955" s="343"/>
      <c r="L3955" s="343"/>
    </row>
    <row r="3956" spans="4:12" x14ac:dyDescent="0.2">
      <c r="D3956" s="341"/>
      <c r="F3956" s="343"/>
      <c r="G3956" s="343"/>
      <c r="H3956" s="343"/>
      <c r="I3956" s="343"/>
      <c r="J3956" s="343"/>
      <c r="K3956" s="343"/>
      <c r="L3956" s="343"/>
    </row>
    <row r="3957" spans="4:12" x14ac:dyDescent="0.2">
      <c r="D3957" s="341"/>
      <c r="F3957" s="343"/>
      <c r="G3957" s="343"/>
      <c r="H3957" s="343"/>
      <c r="I3957" s="343"/>
      <c r="J3957" s="343"/>
      <c r="K3957" s="343"/>
      <c r="L3957" s="343"/>
    </row>
    <row r="3958" spans="4:12" x14ac:dyDescent="0.2">
      <c r="D3958" s="341"/>
      <c r="F3958" s="343"/>
      <c r="G3958" s="343"/>
      <c r="H3958" s="343"/>
      <c r="I3958" s="343"/>
      <c r="J3958" s="343"/>
      <c r="K3958" s="343"/>
      <c r="L3958" s="343"/>
    </row>
    <row r="3959" spans="4:12" x14ac:dyDescent="0.2">
      <c r="D3959" s="341"/>
      <c r="F3959" s="343"/>
      <c r="G3959" s="343"/>
      <c r="H3959" s="343"/>
      <c r="I3959" s="343"/>
      <c r="J3959" s="343"/>
      <c r="K3959" s="343"/>
      <c r="L3959" s="343"/>
    </row>
    <row r="3960" spans="4:12" x14ac:dyDescent="0.2">
      <c r="D3960" s="341"/>
      <c r="F3960" s="343"/>
      <c r="G3960" s="343"/>
      <c r="H3960" s="343"/>
      <c r="I3960" s="343"/>
      <c r="J3960" s="343"/>
      <c r="K3960" s="343"/>
      <c r="L3960" s="343"/>
    </row>
    <row r="3961" spans="4:12" x14ac:dyDescent="0.2">
      <c r="D3961" s="341"/>
      <c r="F3961" s="343"/>
      <c r="G3961" s="343"/>
      <c r="H3961" s="343"/>
      <c r="I3961" s="343"/>
      <c r="J3961" s="343"/>
      <c r="K3961" s="343"/>
      <c r="L3961" s="343"/>
    </row>
    <row r="3962" spans="4:12" x14ac:dyDescent="0.2">
      <c r="D3962" s="341"/>
      <c r="F3962" s="343"/>
      <c r="G3962" s="343"/>
      <c r="H3962" s="343"/>
      <c r="I3962" s="343"/>
      <c r="J3962" s="343"/>
      <c r="K3962" s="343"/>
      <c r="L3962" s="343"/>
    </row>
    <row r="3963" spans="4:12" x14ac:dyDescent="0.2">
      <c r="D3963" s="341"/>
      <c r="F3963" s="343"/>
      <c r="G3963" s="343"/>
      <c r="H3963" s="343"/>
      <c r="I3963" s="343"/>
      <c r="J3963" s="343"/>
      <c r="K3963" s="343"/>
      <c r="L3963" s="343"/>
    </row>
    <row r="3964" spans="4:12" x14ac:dyDescent="0.2">
      <c r="D3964" s="341"/>
      <c r="F3964" s="343"/>
      <c r="G3964" s="343"/>
      <c r="H3964" s="343"/>
      <c r="I3964" s="343"/>
      <c r="J3964" s="343"/>
      <c r="K3964" s="343"/>
      <c r="L3964" s="343"/>
    </row>
    <row r="3965" spans="4:12" x14ac:dyDescent="0.2">
      <c r="D3965" s="341"/>
      <c r="F3965" s="343"/>
      <c r="G3965" s="343"/>
      <c r="H3965" s="343"/>
      <c r="I3965" s="343"/>
      <c r="J3965" s="343"/>
      <c r="K3965" s="343"/>
      <c r="L3965" s="343"/>
    </row>
    <row r="3966" spans="4:12" x14ac:dyDescent="0.2">
      <c r="D3966" s="341"/>
      <c r="F3966" s="343"/>
      <c r="G3966" s="343"/>
      <c r="H3966" s="343"/>
      <c r="I3966" s="343"/>
      <c r="J3966" s="343"/>
      <c r="K3966" s="343"/>
      <c r="L3966" s="343"/>
    </row>
    <row r="3967" spans="4:12" x14ac:dyDescent="0.2">
      <c r="D3967" s="341"/>
      <c r="F3967" s="343"/>
      <c r="G3967" s="343"/>
      <c r="H3967" s="343"/>
      <c r="I3967" s="343"/>
      <c r="J3967" s="343"/>
      <c r="K3967" s="343"/>
      <c r="L3967" s="343"/>
    </row>
    <row r="3968" spans="4:12" x14ac:dyDescent="0.2">
      <c r="D3968" s="341"/>
      <c r="F3968" s="343"/>
      <c r="G3968" s="343"/>
      <c r="H3968" s="343"/>
      <c r="I3968" s="343"/>
      <c r="J3968" s="343"/>
      <c r="K3968" s="343"/>
      <c r="L3968" s="343"/>
    </row>
    <row r="3969" spans="4:12" x14ac:dyDescent="0.2">
      <c r="D3969" s="341"/>
      <c r="F3969" s="343"/>
      <c r="G3969" s="343"/>
      <c r="H3969" s="343"/>
      <c r="I3969" s="343"/>
      <c r="J3969" s="343"/>
      <c r="K3969" s="343"/>
      <c r="L3969" s="343"/>
    </row>
    <row r="3970" spans="4:12" x14ac:dyDescent="0.2">
      <c r="D3970" s="341"/>
      <c r="F3970" s="343"/>
      <c r="G3970" s="343"/>
      <c r="H3970" s="343"/>
      <c r="I3970" s="343"/>
      <c r="J3970" s="343"/>
      <c r="K3970" s="343"/>
      <c r="L3970" s="343"/>
    </row>
    <row r="3971" spans="4:12" x14ac:dyDescent="0.2">
      <c r="D3971" s="341"/>
      <c r="F3971" s="343"/>
      <c r="G3971" s="343"/>
      <c r="H3971" s="343"/>
      <c r="I3971" s="343"/>
      <c r="J3971" s="343"/>
      <c r="K3971" s="343"/>
      <c r="L3971" s="343"/>
    </row>
    <row r="3972" spans="4:12" x14ac:dyDescent="0.2">
      <c r="D3972" s="341"/>
      <c r="F3972" s="343"/>
      <c r="G3972" s="343"/>
      <c r="H3972" s="343"/>
      <c r="I3972" s="343"/>
      <c r="J3972" s="343"/>
      <c r="K3972" s="343"/>
      <c r="L3972" s="343"/>
    </row>
    <row r="3973" spans="4:12" x14ac:dyDescent="0.2">
      <c r="D3973" s="341"/>
      <c r="F3973" s="343"/>
      <c r="G3973" s="343"/>
      <c r="H3973" s="343"/>
      <c r="I3973" s="343"/>
      <c r="J3973" s="343"/>
      <c r="K3973" s="343"/>
      <c r="L3973" s="343"/>
    </row>
    <row r="3974" spans="4:12" x14ac:dyDescent="0.2">
      <c r="D3974" s="341"/>
      <c r="F3974" s="343"/>
      <c r="G3974" s="343"/>
      <c r="H3974" s="343"/>
      <c r="I3974" s="343"/>
      <c r="J3974" s="343"/>
      <c r="K3974" s="343"/>
      <c r="L3974" s="343"/>
    </row>
    <row r="3975" spans="4:12" x14ac:dyDescent="0.2">
      <c r="D3975" s="341"/>
      <c r="F3975" s="343"/>
      <c r="G3975" s="343"/>
      <c r="H3975" s="343"/>
      <c r="I3975" s="343"/>
      <c r="J3975" s="343"/>
      <c r="K3975" s="343"/>
      <c r="L3975" s="343"/>
    </row>
    <row r="3976" spans="4:12" x14ac:dyDescent="0.2">
      <c r="D3976" s="341"/>
      <c r="F3976" s="343"/>
      <c r="G3976" s="343"/>
      <c r="H3976" s="343"/>
      <c r="I3976" s="343"/>
      <c r="J3976" s="343"/>
      <c r="K3976" s="343"/>
      <c r="L3976" s="343"/>
    </row>
    <row r="3977" spans="4:12" x14ac:dyDescent="0.2">
      <c r="D3977" s="341"/>
      <c r="F3977" s="343"/>
      <c r="G3977" s="343"/>
      <c r="H3977" s="343"/>
      <c r="I3977" s="343"/>
      <c r="J3977" s="343"/>
      <c r="K3977" s="343"/>
      <c r="L3977" s="343"/>
    </row>
    <row r="3978" spans="4:12" x14ac:dyDescent="0.2">
      <c r="D3978" s="341"/>
      <c r="F3978" s="343"/>
      <c r="G3978" s="343"/>
      <c r="H3978" s="343"/>
      <c r="I3978" s="343"/>
      <c r="J3978" s="343"/>
      <c r="K3978" s="343"/>
      <c r="L3978" s="343"/>
    </row>
    <row r="3979" spans="4:12" x14ac:dyDescent="0.2">
      <c r="D3979" s="341"/>
      <c r="F3979" s="343"/>
      <c r="G3979" s="343"/>
      <c r="H3979" s="343"/>
      <c r="I3979" s="343"/>
      <c r="J3979" s="343"/>
      <c r="K3979" s="343"/>
      <c r="L3979" s="343"/>
    </row>
    <row r="3980" spans="4:12" x14ac:dyDescent="0.2">
      <c r="D3980" s="341"/>
      <c r="F3980" s="343"/>
      <c r="G3980" s="343"/>
      <c r="H3980" s="343"/>
      <c r="I3980" s="343"/>
      <c r="J3980" s="343"/>
      <c r="K3980" s="343"/>
      <c r="L3980" s="343"/>
    </row>
    <row r="3981" spans="4:12" x14ac:dyDescent="0.2">
      <c r="D3981" s="341"/>
      <c r="F3981" s="343"/>
      <c r="G3981" s="343"/>
      <c r="H3981" s="343"/>
      <c r="I3981" s="343"/>
      <c r="J3981" s="343"/>
      <c r="K3981" s="343"/>
      <c r="L3981" s="343"/>
    </row>
    <row r="3982" spans="4:12" x14ac:dyDescent="0.2">
      <c r="D3982" s="341"/>
      <c r="F3982" s="343"/>
      <c r="G3982" s="343"/>
      <c r="H3982" s="343"/>
      <c r="I3982" s="343"/>
      <c r="J3982" s="343"/>
      <c r="K3982" s="343"/>
      <c r="L3982" s="343"/>
    </row>
    <row r="3983" spans="4:12" x14ac:dyDescent="0.2">
      <c r="D3983" s="341"/>
      <c r="F3983" s="343"/>
      <c r="G3983" s="343"/>
      <c r="H3983" s="343"/>
      <c r="I3983" s="343"/>
      <c r="J3983" s="343"/>
      <c r="K3983" s="343"/>
      <c r="L3983" s="343"/>
    </row>
    <row r="3984" spans="4:12" x14ac:dyDescent="0.2">
      <c r="D3984" s="341"/>
      <c r="F3984" s="343"/>
      <c r="G3984" s="343"/>
      <c r="H3984" s="343"/>
      <c r="I3984" s="343"/>
      <c r="J3984" s="343"/>
      <c r="K3984" s="343"/>
      <c r="L3984" s="343"/>
    </row>
    <row r="3985" spans="4:12" x14ac:dyDescent="0.2">
      <c r="D3985" s="341"/>
      <c r="F3985" s="343"/>
      <c r="G3985" s="343"/>
      <c r="H3985" s="343"/>
      <c r="I3985" s="343"/>
      <c r="J3985" s="343"/>
      <c r="K3985" s="343"/>
      <c r="L3985" s="343"/>
    </row>
    <row r="3986" spans="4:12" x14ac:dyDescent="0.2">
      <c r="D3986" s="341"/>
      <c r="F3986" s="343"/>
      <c r="G3986" s="343"/>
      <c r="H3986" s="343"/>
      <c r="I3986" s="343"/>
      <c r="J3986" s="343"/>
      <c r="K3986" s="343"/>
      <c r="L3986" s="343"/>
    </row>
    <row r="3987" spans="4:12" x14ac:dyDescent="0.2">
      <c r="D3987" s="341"/>
      <c r="F3987" s="343"/>
      <c r="G3987" s="343"/>
      <c r="H3987" s="343"/>
      <c r="I3987" s="343"/>
      <c r="J3987" s="343"/>
      <c r="K3987" s="343"/>
      <c r="L3987" s="343"/>
    </row>
    <row r="3988" spans="4:12" x14ac:dyDescent="0.2">
      <c r="D3988" s="341"/>
      <c r="F3988" s="343"/>
      <c r="G3988" s="343"/>
      <c r="H3988" s="343"/>
      <c r="I3988" s="343"/>
      <c r="J3988" s="343"/>
      <c r="K3988" s="343"/>
      <c r="L3988" s="343"/>
    </row>
    <row r="3989" spans="4:12" x14ac:dyDescent="0.2">
      <c r="D3989" s="341"/>
      <c r="F3989" s="343"/>
      <c r="G3989" s="343"/>
      <c r="H3989" s="343"/>
      <c r="I3989" s="343"/>
      <c r="J3989" s="343"/>
      <c r="K3989" s="343"/>
      <c r="L3989" s="343"/>
    </row>
    <row r="3990" spans="4:12" x14ac:dyDescent="0.2">
      <c r="D3990" s="341"/>
      <c r="F3990" s="343"/>
      <c r="G3990" s="343"/>
      <c r="H3990" s="343"/>
      <c r="I3990" s="343"/>
      <c r="J3990" s="343"/>
      <c r="K3990" s="343"/>
      <c r="L3990" s="343"/>
    </row>
    <row r="3991" spans="4:12" x14ac:dyDescent="0.2">
      <c r="D3991" s="341"/>
      <c r="F3991" s="343"/>
      <c r="G3991" s="343"/>
      <c r="H3991" s="343"/>
      <c r="I3991" s="343"/>
      <c r="J3991" s="343"/>
      <c r="K3991" s="343"/>
      <c r="L3991" s="343"/>
    </row>
    <row r="3992" spans="4:12" x14ac:dyDescent="0.2">
      <c r="D3992" s="341"/>
      <c r="F3992" s="343"/>
      <c r="G3992" s="343"/>
      <c r="H3992" s="343"/>
      <c r="I3992" s="343"/>
      <c r="J3992" s="343"/>
      <c r="K3992" s="343"/>
      <c r="L3992" s="343"/>
    </row>
    <row r="3993" spans="4:12" x14ac:dyDescent="0.2">
      <c r="D3993" s="341"/>
      <c r="F3993" s="343"/>
      <c r="G3993" s="343"/>
      <c r="H3993" s="343"/>
      <c r="I3993" s="343"/>
      <c r="J3993" s="343"/>
      <c r="K3993" s="343"/>
      <c r="L3993" s="343"/>
    </row>
    <row r="3994" spans="4:12" x14ac:dyDescent="0.2">
      <c r="D3994" s="341"/>
      <c r="F3994" s="343"/>
      <c r="G3994" s="343"/>
      <c r="H3994" s="343"/>
      <c r="I3994" s="343"/>
      <c r="J3994" s="343"/>
      <c r="K3994" s="343"/>
      <c r="L3994" s="343"/>
    </row>
    <row r="3995" spans="4:12" x14ac:dyDescent="0.2">
      <c r="D3995" s="341"/>
      <c r="F3995" s="343"/>
      <c r="G3995" s="343"/>
      <c r="H3995" s="343"/>
      <c r="I3995" s="343"/>
      <c r="J3995" s="343"/>
      <c r="K3995" s="343"/>
      <c r="L3995" s="343"/>
    </row>
    <row r="3996" spans="4:12" x14ac:dyDescent="0.2">
      <c r="D3996" s="341"/>
      <c r="F3996" s="343"/>
      <c r="G3996" s="343"/>
      <c r="H3996" s="343"/>
      <c r="I3996" s="343"/>
      <c r="J3996" s="343"/>
      <c r="K3996" s="343"/>
      <c r="L3996" s="343"/>
    </row>
    <row r="3997" spans="4:12" x14ac:dyDescent="0.2">
      <c r="D3997" s="341"/>
      <c r="F3997" s="343"/>
      <c r="G3997" s="343"/>
      <c r="H3997" s="343"/>
      <c r="I3997" s="343"/>
      <c r="J3997" s="343"/>
      <c r="K3997" s="343"/>
      <c r="L3997" s="343"/>
    </row>
    <row r="3998" spans="4:12" x14ac:dyDescent="0.2">
      <c r="D3998" s="341"/>
      <c r="F3998" s="343"/>
      <c r="G3998" s="343"/>
      <c r="H3998" s="343"/>
      <c r="I3998" s="343"/>
      <c r="J3998" s="343"/>
      <c r="K3998" s="343"/>
      <c r="L3998" s="343"/>
    </row>
    <row r="3999" spans="4:12" x14ac:dyDescent="0.2">
      <c r="D3999" s="341"/>
      <c r="F3999" s="343"/>
      <c r="G3999" s="343"/>
      <c r="H3999" s="343"/>
      <c r="I3999" s="343"/>
      <c r="J3999" s="343"/>
      <c r="K3999" s="343"/>
      <c r="L3999" s="343"/>
    </row>
    <row r="4000" spans="4:12" x14ac:dyDescent="0.2">
      <c r="D4000" s="341"/>
      <c r="F4000" s="343"/>
      <c r="G4000" s="343"/>
      <c r="H4000" s="343"/>
      <c r="I4000" s="343"/>
      <c r="J4000" s="343"/>
      <c r="K4000" s="343"/>
      <c r="L4000" s="343"/>
    </row>
    <row r="4001" spans="4:12" x14ac:dyDescent="0.2">
      <c r="D4001" s="341"/>
      <c r="F4001" s="343"/>
      <c r="G4001" s="343"/>
      <c r="H4001" s="343"/>
      <c r="I4001" s="343"/>
      <c r="J4001" s="343"/>
      <c r="K4001" s="343"/>
      <c r="L4001" s="343"/>
    </row>
    <row r="4002" spans="4:12" x14ac:dyDescent="0.2">
      <c r="D4002" s="341"/>
      <c r="F4002" s="343"/>
      <c r="G4002" s="343"/>
      <c r="H4002" s="343"/>
      <c r="I4002" s="343"/>
      <c r="J4002" s="343"/>
      <c r="K4002" s="343"/>
      <c r="L4002" s="343"/>
    </row>
    <row r="4003" spans="4:12" x14ac:dyDescent="0.2">
      <c r="D4003" s="341"/>
      <c r="F4003" s="343"/>
      <c r="G4003" s="343"/>
      <c r="H4003" s="343"/>
      <c r="I4003" s="343"/>
      <c r="J4003" s="343"/>
      <c r="K4003" s="343"/>
      <c r="L4003" s="343"/>
    </row>
    <row r="4004" spans="4:12" x14ac:dyDescent="0.2">
      <c r="D4004" s="341"/>
      <c r="F4004" s="343"/>
      <c r="G4004" s="343"/>
      <c r="H4004" s="343"/>
      <c r="I4004" s="343"/>
      <c r="J4004" s="343"/>
      <c r="K4004" s="343"/>
      <c r="L4004" s="343"/>
    </row>
    <row r="4005" spans="4:12" x14ac:dyDescent="0.2">
      <c r="D4005" s="341"/>
      <c r="F4005" s="343"/>
      <c r="G4005" s="343"/>
      <c r="H4005" s="343"/>
      <c r="I4005" s="343"/>
      <c r="J4005" s="343"/>
      <c r="K4005" s="343"/>
      <c r="L4005" s="343"/>
    </row>
    <row r="4006" spans="4:12" x14ac:dyDescent="0.2">
      <c r="D4006" s="341"/>
      <c r="F4006" s="343"/>
      <c r="G4006" s="343"/>
      <c r="H4006" s="343"/>
      <c r="I4006" s="343"/>
      <c r="J4006" s="343"/>
      <c r="K4006" s="343"/>
      <c r="L4006" s="343"/>
    </row>
    <row r="4007" spans="4:12" x14ac:dyDescent="0.2">
      <c r="D4007" s="341"/>
      <c r="F4007" s="343"/>
      <c r="G4007" s="343"/>
      <c r="H4007" s="343"/>
      <c r="I4007" s="343"/>
      <c r="J4007" s="343"/>
      <c r="K4007" s="343"/>
      <c r="L4007" s="343"/>
    </row>
    <row r="4008" spans="4:12" x14ac:dyDescent="0.2">
      <c r="D4008" s="341"/>
      <c r="F4008" s="343"/>
      <c r="G4008" s="343"/>
      <c r="H4008" s="343"/>
      <c r="I4008" s="343"/>
      <c r="J4008" s="343"/>
      <c r="K4008" s="343"/>
      <c r="L4008" s="343"/>
    </row>
    <row r="4009" spans="4:12" x14ac:dyDescent="0.2">
      <c r="D4009" s="341"/>
      <c r="F4009" s="343"/>
      <c r="G4009" s="343"/>
      <c r="H4009" s="343"/>
      <c r="I4009" s="343"/>
      <c r="J4009" s="343"/>
      <c r="K4009" s="343"/>
      <c r="L4009" s="343"/>
    </row>
    <row r="4010" spans="4:12" x14ac:dyDescent="0.2">
      <c r="D4010" s="341"/>
      <c r="F4010" s="343"/>
      <c r="G4010" s="343"/>
      <c r="H4010" s="343"/>
      <c r="I4010" s="343"/>
      <c r="J4010" s="343"/>
      <c r="K4010" s="343"/>
      <c r="L4010" s="343"/>
    </row>
    <row r="4011" spans="4:12" x14ac:dyDescent="0.2">
      <c r="D4011" s="341"/>
      <c r="F4011" s="343"/>
      <c r="G4011" s="343"/>
      <c r="H4011" s="343"/>
      <c r="I4011" s="343"/>
      <c r="J4011" s="343"/>
      <c r="K4011" s="343"/>
      <c r="L4011" s="343"/>
    </row>
    <row r="4012" spans="4:12" x14ac:dyDescent="0.2">
      <c r="D4012" s="341"/>
      <c r="F4012" s="343"/>
      <c r="G4012" s="343"/>
      <c r="H4012" s="343"/>
      <c r="I4012" s="343"/>
      <c r="J4012" s="343"/>
      <c r="K4012" s="343"/>
      <c r="L4012" s="343"/>
    </row>
    <row r="4013" spans="4:12" x14ac:dyDescent="0.2">
      <c r="D4013" s="341"/>
      <c r="F4013" s="343"/>
      <c r="G4013" s="343"/>
      <c r="H4013" s="343"/>
      <c r="I4013" s="343"/>
      <c r="J4013" s="343"/>
      <c r="K4013" s="343"/>
      <c r="L4013" s="343"/>
    </row>
    <row r="4014" spans="4:12" x14ac:dyDescent="0.2">
      <c r="D4014" s="341"/>
      <c r="F4014" s="343"/>
      <c r="G4014" s="343"/>
      <c r="H4014" s="343"/>
      <c r="I4014" s="343"/>
      <c r="J4014" s="343"/>
      <c r="K4014" s="343"/>
      <c r="L4014" s="343"/>
    </row>
    <row r="4015" spans="4:12" x14ac:dyDescent="0.2">
      <c r="D4015" s="341"/>
      <c r="F4015" s="343"/>
      <c r="G4015" s="343"/>
      <c r="H4015" s="343"/>
      <c r="I4015" s="343"/>
      <c r="J4015" s="343"/>
      <c r="K4015" s="343"/>
      <c r="L4015" s="343"/>
    </row>
    <row r="4016" spans="4:12" x14ac:dyDescent="0.2">
      <c r="D4016" s="341"/>
      <c r="F4016" s="343"/>
      <c r="G4016" s="343"/>
      <c r="H4016" s="343"/>
      <c r="I4016" s="343"/>
      <c r="J4016" s="343"/>
      <c r="K4016" s="343"/>
      <c r="L4016" s="343"/>
    </row>
    <row r="4017" spans="4:12" x14ac:dyDescent="0.2">
      <c r="D4017" s="341"/>
      <c r="F4017" s="343"/>
      <c r="G4017" s="343"/>
      <c r="H4017" s="343"/>
      <c r="I4017" s="343"/>
      <c r="J4017" s="343"/>
      <c r="K4017" s="343"/>
      <c r="L4017" s="343"/>
    </row>
    <row r="4018" spans="4:12" x14ac:dyDescent="0.2">
      <c r="D4018" s="341"/>
      <c r="F4018" s="343"/>
      <c r="G4018" s="343"/>
      <c r="H4018" s="343"/>
      <c r="I4018" s="343"/>
      <c r="J4018" s="343"/>
      <c r="K4018" s="343"/>
      <c r="L4018" s="343"/>
    </row>
    <row r="4019" spans="4:12" x14ac:dyDescent="0.2">
      <c r="D4019" s="341"/>
      <c r="F4019" s="343"/>
      <c r="G4019" s="343"/>
      <c r="H4019" s="343"/>
      <c r="I4019" s="343"/>
      <c r="J4019" s="343"/>
      <c r="K4019" s="343"/>
      <c r="L4019" s="343"/>
    </row>
    <row r="4020" spans="4:12" x14ac:dyDescent="0.2">
      <c r="D4020" s="341"/>
      <c r="F4020" s="343"/>
      <c r="G4020" s="343"/>
      <c r="H4020" s="343"/>
      <c r="I4020" s="343"/>
      <c r="J4020" s="343"/>
      <c r="K4020" s="343"/>
      <c r="L4020" s="343"/>
    </row>
    <row r="4021" spans="4:12" x14ac:dyDescent="0.2">
      <c r="D4021" s="341"/>
      <c r="F4021" s="343"/>
      <c r="G4021" s="343"/>
      <c r="H4021" s="343"/>
      <c r="I4021" s="343"/>
      <c r="J4021" s="343"/>
      <c r="K4021" s="343"/>
      <c r="L4021" s="343"/>
    </row>
    <row r="4022" spans="4:12" x14ac:dyDescent="0.2">
      <c r="D4022" s="341"/>
      <c r="F4022" s="343"/>
      <c r="G4022" s="343"/>
      <c r="H4022" s="343"/>
      <c r="I4022" s="343"/>
      <c r="J4022" s="343"/>
      <c r="K4022" s="343"/>
      <c r="L4022" s="343"/>
    </row>
    <row r="4023" spans="4:12" x14ac:dyDescent="0.2">
      <c r="D4023" s="341"/>
      <c r="F4023" s="343"/>
      <c r="G4023" s="343"/>
      <c r="H4023" s="343"/>
      <c r="I4023" s="343"/>
      <c r="J4023" s="343"/>
      <c r="K4023" s="343"/>
      <c r="L4023" s="343"/>
    </row>
    <row r="4024" spans="4:12" x14ac:dyDescent="0.2">
      <c r="D4024" s="341"/>
      <c r="F4024" s="343"/>
      <c r="G4024" s="343"/>
      <c r="H4024" s="343"/>
      <c r="I4024" s="343"/>
      <c r="J4024" s="343"/>
      <c r="K4024" s="343"/>
      <c r="L4024" s="343"/>
    </row>
    <row r="4025" spans="4:12" x14ac:dyDescent="0.2">
      <c r="D4025" s="341"/>
      <c r="F4025" s="343"/>
      <c r="G4025" s="343"/>
      <c r="H4025" s="343"/>
      <c r="I4025" s="343"/>
      <c r="J4025" s="343"/>
      <c r="K4025" s="343"/>
      <c r="L4025" s="343"/>
    </row>
    <row r="4026" spans="4:12" x14ac:dyDescent="0.2">
      <c r="D4026" s="341"/>
      <c r="F4026" s="343"/>
      <c r="G4026" s="343"/>
      <c r="H4026" s="343"/>
      <c r="I4026" s="343"/>
      <c r="J4026" s="343"/>
      <c r="K4026" s="343"/>
      <c r="L4026" s="343"/>
    </row>
    <row r="4027" spans="4:12" x14ac:dyDescent="0.2">
      <c r="D4027" s="341"/>
      <c r="F4027" s="343"/>
      <c r="G4027" s="343"/>
      <c r="H4027" s="343"/>
      <c r="I4027" s="343"/>
      <c r="J4027" s="343"/>
      <c r="K4027" s="343"/>
      <c r="L4027" s="343"/>
    </row>
    <row r="4028" spans="4:12" x14ac:dyDescent="0.2">
      <c r="D4028" s="341"/>
      <c r="F4028" s="343"/>
      <c r="G4028" s="343"/>
      <c r="H4028" s="343"/>
      <c r="I4028" s="343"/>
      <c r="J4028" s="343"/>
      <c r="K4028" s="343"/>
      <c r="L4028" s="343"/>
    </row>
    <row r="4029" spans="4:12" x14ac:dyDescent="0.2">
      <c r="D4029" s="341"/>
      <c r="F4029" s="343"/>
      <c r="G4029" s="343"/>
      <c r="H4029" s="343"/>
      <c r="I4029" s="343"/>
      <c r="J4029" s="343"/>
      <c r="K4029" s="343"/>
      <c r="L4029" s="343"/>
    </row>
    <row r="4030" spans="4:12" x14ac:dyDescent="0.2">
      <c r="D4030" s="341"/>
      <c r="F4030" s="343"/>
      <c r="G4030" s="343"/>
      <c r="H4030" s="343"/>
      <c r="I4030" s="343"/>
      <c r="J4030" s="343"/>
      <c r="K4030" s="343"/>
      <c r="L4030" s="343"/>
    </row>
    <row r="4031" spans="4:12" x14ac:dyDescent="0.2">
      <c r="D4031" s="341"/>
      <c r="F4031" s="343"/>
      <c r="G4031" s="343"/>
      <c r="H4031" s="343"/>
      <c r="I4031" s="343"/>
      <c r="J4031" s="343"/>
      <c r="K4031" s="343"/>
      <c r="L4031" s="343"/>
    </row>
    <row r="4032" spans="4:12" x14ac:dyDescent="0.2">
      <c r="D4032" s="341"/>
      <c r="F4032" s="343"/>
      <c r="G4032" s="343"/>
      <c r="H4032" s="343"/>
      <c r="I4032" s="343"/>
      <c r="J4032" s="343"/>
      <c r="K4032" s="343"/>
      <c r="L4032" s="343"/>
    </row>
    <row r="4033" spans="4:12" x14ac:dyDescent="0.2">
      <c r="D4033" s="341"/>
      <c r="F4033" s="343"/>
      <c r="G4033" s="343"/>
      <c r="H4033" s="343"/>
      <c r="I4033" s="343"/>
      <c r="J4033" s="343"/>
      <c r="K4033" s="343"/>
      <c r="L4033" s="343"/>
    </row>
    <row r="4034" spans="4:12" x14ac:dyDescent="0.2">
      <c r="D4034" s="341"/>
      <c r="F4034" s="343"/>
      <c r="G4034" s="343"/>
      <c r="H4034" s="343"/>
      <c r="I4034" s="343"/>
      <c r="J4034" s="343"/>
      <c r="K4034" s="343"/>
      <c r="L4034" s="343"/>
    </row>
    <row r="4035" spans="4:12" x14ac:dyDescent="0.2">
      <c r="D4035" s="341"/>
      <c r="F4035" s="343"/>
      <c r="G4035" s="343"/>
      <c r="H4035" s="343"/>
      <c r="I4035" s="343"/>
      <c r="J4035" s="343"/>
      <c r="K4035" s="343"/>
      <c r="L4035" s="343"/>
    </row>
    <row r="4036" spans="4:12" x14ac:dyDescent="0.2">
      <c r="D4036" s="341"/>
      <c r="F4036" s="343"/>
      <c r="G4036" s="343"/>
      <c r="H4036" s="343"/>
      <c r="I4036" s="343"/>
      <c r="J4036" s="343"/>
      <c r="K4036" s="343"/>
      <c r="L4036" s="343"/>
    </row>
    <row r="4037" spans="4:12" x14ac:dyDescent="0.2">
      <c r="D4037" s="341"/>
      <c r="F4037" s="343"/>
      <c r="G4037" s="343"/>
      <c r="H4037" s="343"/>
      <c r="I4037" s="343"/>
      <c r="J4037" s="343"/>
      <c r="K4037" s="343"/>
      <c r="L4037" s="343"/>
    </row>
    <row r="4038" spans="4:12" x14ac:dyDescent="0.2">
      <c r="D4038" s="341"/>
      <c r="F4038" s="343"/>
      <c r="G4038" s="343"/>
      <c r="H4038" s="343"/>
      <c r="I4038" s="343"/>
      <c r="J4038" s="343"/>
      <c r="K4038" s="343"/>
      <c r="L4038" s="343"/>
    </row>
    <row r="4039" spans="4:12" x14ac:dyDescent="0.2">
      <c r="D4039" s="341"/>
      <c r="F4039" s="343"/>
      <c r="G4039" s="343"/>
      <c r="H4039" s="343"/>
      <c r="I4039" s="343"/>
      <c r="J4039" s="343"/>
      <c r="K4039" s="343"/>
      <c r="L4039" s="343"/>
    </row>
    <row r="4040" spans="4:12" x14ac:dyDescent="0.2">
      <c r="D4040" s="341"/>
      <c r="F4040" s="343"/>
      <c r="G4040" s="343"/>
      <c r="H4040" s="343"/>
      <c r="I4040" s="343"/>
      <c r="J4040" s="343"/>
      <c r="K4040" s="343"/>
      <c r="L4040" s="343"/>
    </row>
    <row r="4041" spans="4:12" x14ac:dyDescent="0.2">
      <c r="D4041" s="341"/>
      <c r="F4041" s="343"/>
      <c r="G4041" s="343"/>
      <c r="H4041" s="343"/>
      <c r="I4041" s="343"/>
      <c r="J4041" s="343"/>
      <c r="K4041" s="343"/>
      <c r="L4041" s="343"/>
    </row>
    <row r="4042" spans="4:12" x14ac:dyDescent="0.2">
      <c r="D4042" s="341"/>
      <c r="F4042" s="343"/>
      <c r="G4042" s="343"/>
      <c r="H4042" s="343"/>
      <c r="I4042" s="343"/>
      <c r="J4042" s="343"/>
      <c r="K4042" s="343"/>
      <c r="L4042" s="343"/>
    </row>
    <row r="4043" spans="4:12" x14ac:dyDescent="0.2">
      <c r="D4043" s="341"/>
      <c r="F4043" s="343"/>
      <c r="G4043" s="343"/>
      <c r="H4043" s="343"/>
      <c r="I4043" s="343"/>
      <c r="J4043" s="343"/>
      <c r="K4043" s="343"/>
      <c r="L4043" s="343"/>
    </row>
    <row r="4044" spans="4:12" x14ac:dyDescent="0.2">
      <c r="D4044" s="341"/>
      <c r="F4044" s="343"/>
      <c r="G4044" s="343"/>
      <c r="H4044" s="343"/>
      <c r="I4044" s="343"/>
      <c r="J4044" s="343"/>
      <c r="K4044" s="343"/>
      <c r="L4044" s="343"/>
    </row>
    <row r="4045" spans="4:12" x14ac:dyDescent="0.2">
      <c r="D4045" s="341"/>
      <c r="F4045" s="343"/>
      <c r="G4045" s="343"/>
      <c r="H4045" s="343"/>
      <c r="I4045" s="343"/>
      <c r="J4045" s="343"/>
      <c r="K4045" s="343"/>
      <c r="L4045" s="343"/>
    </row>
    <row r="4046" spans="4:12" x14ac:dyDescent="0.2">
      <c r="D4046" s="341"/>
      <c r="F4046" s="343"/>
      <c r="G4046" s="343"/>
      <c r="H4046" s="343"/>
      <c r="I4046" s="343"/>
      <c r="J4046" s="343"/>
      <c r="K4046" s="343"/>
      <c r="L4046" s="343"/>
    </row>
    <row r="4047" spans="4:12" x14ac:dyDescent="0.2">
      <c r="D4047" s="341"/>
      <c r="F4047" s="343"/>
      <c r="G4047" s="343"/>
      <c r="H4047" s="343"/>
      <c r="I4047" s="343"/>
      <c r="J4047" s="343"/>
      <c r="K4047" s="343"/>
      <c r="L4047" s="343"/>
    </row>
    <row r="4048" spans="4:12" x14ac:dyDescent="0.2">
      <c r="D4048" s="341"/>
      <c r="F4048" s="343"/>
      <c r="G4048" s="343"/>
      <c r="H4048" s="343"/>
      <c r="I4048" s="343"/>
      <c r="J4048" s="343"/>
      <c r="K4048" s="343"/>
      <c r="L4048" s="343"/>
    </row>
    <row r="4049" spans="4:12" x14ac:dyDescent="0.2">
      <c r="D4049" s="341"/>
      <c r="F4049" s="343"/>
      <c r="G4049" s="343"/>
      <c r="H4049" s="343"/>
      <c r="I4049" s="343"/>
      <c r="J4049" s="343"/>
      <c r="K4049" s="343"/>
      <c r="L4049" s="343"/>
    </row>
    <row r="4050" spans="4:12" x14ac:dyDescent="0.2">
      <c r="D4050" s="341"/>
      <c r="F4050" s="343"/>
      <c r="G4050" s="343"/>
      <c r="H4050" s="343"/>
      <c r="I4050" s="343"/>
      <c r="J4050" s="343"/>
      <c r="K4050" s="343"/>
      <c r="L4050" s="343"/>
    </row>
    <row r="4051" spans="4:12" x14ac:dyDescent="0.2">
      <c r="D4051" s="341"/>
      <c r="F4051" s="343"/>
      <c r="G4051" s="343"/>
      <c r="H4051" s="343"/>
      <c r="I4051" s="343"/>
      <c r="J4051" s="343"/>
      <c r="K4051" s="343"/>
      <c r="L4051" s="343"/>
    </row>
    <row r="4052" spans="4:12" x14ac:dyDescent="0.2">
      <c r="D4052" s="341"/>
      <c r="F4052" s="343"/>
      <c r="G4052" s="343"/>
      <c r="H4052" s="343"/>
      <c r="I4052" s="343"/>
      <c r="J4052" s="343"/>
      <c r="K4052" s="343"/>
      <c r="L4052" s="343"/>
    </row>
    <row r="4053" spans="4:12" x14ac:dyDescent="0.2">
      <c r="D4053" s="341"/>
      <c r="F4053" s="343"/>
      <c r="G4053" s="343"/>
      <c r="H4053" s="343"/>
      <c r="I4053" s="343"/>
      <c r="J4053" s="343"/>
      <c r="K4053" s="343"/>
      <c r="L4053" s="343"/>
    </row>
    <row r="4054" spans="4:12" x14ac:dyDescent="0.2">
      <c r="D4054" s="341"/>
      <c r="F4054" s="343"/>
      <c r="G4054" s="343"/>
      <c r="H4054" s="343"/>
      <c r="I4054" s="343"/>
      <c r="J4054" s="343"/>
      <c r="K4054" s="343"/>
      <c r="L4054" s="343"/>
    </row>
    <row r="4055" spans="4:12" x14ac:dyDescent="0.2">
      <c r="D4055" s="341"/>
      <c r="F4055" s="343"/>
      <c r="G4055" s="343"/>
      <c r="H4055" s="343"/>
      <c r="I4055" s="343"/>
      <c r="J4055" s="343"/>
      <c r="K4055" s="343"/>
      <c r="L4055" s="343"/>
    </row>
    <row r="4056" spans="4:12" x14ac:dyDescent="0.2">
      <c r="D4056" s="341"/>
      <c r="F4056" s="343"/>
      <c r="G4056" s="343"/>
      <c r="H4056" s="343"/>
      <c r="I4056" s="343"/>
      <c r="J4056" s="343"/>
      <c r="K4056" s="343"/>
      <c r="L4056" s="343"/>
    </row>
    <row r="4057" spans="4:12" x14ac:dyDescent="0.2">
      <c r="D4057" s="341"/>
      <c r="F4057" s="343"/>
      <c r="G4057" s="343"/>
      <c r="H4057" s="343"/>
      <c r="I4057" s="343"/>
      <c r="J4057" s="343"/>
      <c r="K4057" s="343"/>
      <c r="L4057" s="343"/>
    </row>
    <row r="4058" spans="4:12" x14ac:dyDescent="0.2">
      <c r="D4058" s="341"/>
      <c r="F4058" s="343"/>
      <c r="G4058" s="343"/>
      <c r="H4058" s="343"/>
      <c r="I4058" s="343"/>
      <c r="J4058" s="343"/>
      <c r="K4058" s="343"/>
      <c r="L4058" s="343"/>
    </row>
    <row r="4059" spans="4:12" x14ac:dyDescent="0.2">
      <c r="D4059" s="341"/>
      <c r="F4059" s="343"/>
      <c r="G4059" s="343"/>
      <c r="H4059" s="343"/>
      <c r="I4059" s="343"/>
      <c r="J4059" s="343"/>
      <c r="K4059" s="343"/>
      <c r="L4059" s="343"/>
    </row>
    <row r="4060" spans="4:12" x14ac:dyDescent="0.2">
      <c r="D4060" s="341"/>
      <c r="F4060" s="343"/>
      <c r="G4060" s="343"/>
      <c r="H4060" s="343"/>
      <c r="I4060" s="343"/>
      <c r="J4060" s="343"/>
      <c r="K4060" s="343"/>
      <c r="L4060" s="343"/>
    </row>
    <row r="4061" spans="4:12" x14ac:dyDescent="0.2">
      <c r="D4061" s="341"/>
      <c r="F4061" s="343"/>
      <c r="G4061" s="343"/>
      <c r="H4061" s="343"/>
      <c r="I4061" s="343"/>
      <c r="J4061" s="343"/>
      <c r="K4061" s="343"/>
      <c r="L4061" s="343"/>
    </row>
    <row r="4062" spans="4:12" x14ac:dyDescent="0.2">
      <c r="D4062" s="341"/>
      <c r="F4062" s="343"/>
      <c r="G4062" s="343"/>
      <c r="H4062" s="343"/>
      <c r="I4062" s="343"/>
      <c r="J4062" s="343"/>
      <c r="K4062" s="343"/>
      <c r="L4062" s="343"/>
    </row>
    <row r="4063" spans="4:12" x14ac:dyDescent="0.2">
      <c r="D4063" s="341"/>
      <c r="F4063" s="343"/>
      <c r="G4063" s="343"/>
      <c r="H4063" s="343"/>
      <c r="I4063" s="343"/>
      <c r="J4063" s="343"/>
      <c r="K4063" s="343"/>
      <c r="L4063" s="343"/>
    </row>
    <row r="4064" spans="4:12" x14ac:dyDescent="0.2">
      <c r="D4064" s="341"/>
      <c r="F4064" s="343"/>
      <c r="G4064" s="343"/>
      <c r="H4064" s="343"/>
      <c r="I4064" s="343"/>
      <c r="J4064" s="343"/>
      <c r="K4064" s="343"/>
      <c r="L4064" s="343"/>
    </row>
    <row r="4065" spans="4:12" x14ac:dyDescent="0.2">
      <c r="D4065" s="341"/>
      <c r="F4065" s="343"/>
      <c r="G4065" s="343"/>
      <c r="H4065" s="343"/>
      <c r="I4065" s="343"/>
      <c r="J4065" s="343"/>
      <c r="K4065" s="343"/>
      <c r="L4065" s="343"/>
    </row>
    <row r="4066" spans="4:12" x14ac:dyDescent="0.2">
      <c r="D4066" s="341"/>
      <c r="F4066" s="343"/>
      <c r="G4066" s="343"/>
      <c r="H4066" s="343"/>
      <c r="I4066" s="343"/>
      <c r="J4066" s="343"/>
      <c r="K4066" s="343"/>
      <c r="L4066" s="343"/>
    </row>
    <row r="4067" spans="4:12" x14ac:dyDescent="0.2">
      <c r="D4067" s="341"/>
      <c r="F4067" s="343"/>
      <c r="G4067" s="343"/>
      <c r="H4067" s="343"/>
      <c r="I4067" s="343"/>
      <c r="J4067" s="343"/>
      <c r="K4067" s="343"/>
      <c r="L4067" s="343"/>
    </row>
    <row r="4068" spans="4:12" x14ac:dyDescent="0.2">
      <c r="D4068" s="341"/>
      <c r="F4068" s="343"/>
      <c r="G4068" s="343"/>
      <c r="H4068" s="343"/>
      <c r="I4068" s="343"/>
      <c r="J4068" s="343"/>
      <c r="K4068" s="343"/>
      <c r="L4068" s="343"/>
    </row>
    <row r="4069" spans="4:12" x14ac:dyDescent="0.2">
      <c r="D4069" s="341"/>
      <c r="F4069" s="343"/>
      <c r="G4069" s="343"/>
      <c r="H4069" s="343"/>
      <c r="I4069" s="343"/>
      <c r="J4069" s="343"/>
      <c r="K4069" s="343"/>
      <c r="L4069" s="343"/>
    </row>
    <row r="4070" spans="4:12" x14ac:dyDescent="0.2">
      <c r="D4070" s="341"/>
      <c r="F4070" s="343"/>
      <c r="G4070" s="343"/>
      <c r="H4070" s="343"/>
      <c r="I4070" s="343"/>
      <c r="J4070" s="343"/>
      <c r="K4070" s="343"/>
      <c r="L4070" s="343"/>
    </row>
    <row r="4071" spans="4:12" x14ac:dyDescent="0.2">
      <c r="D4071" s="341"/>
      <c r="F4071" s="343"/>
      <c r="G4071" s="343"/>
      <c r="H4071" s="343"/>
      <c r="I4071" s="343"/>
      <c r="J4071" s="343"/>
      <c r="K4071" s="343"/>
      <c r="L4071" s="343"/>
    </row>
    <row r="4072" spans="4:12" x14ac:dyDescent="0.2">
      <c r="D4072" s="341"/>
      <c r="F4072" s="343"/>
      <c r="G4072" s="343"/>
      <c r="H4072" s="343"/>
      <c r="I4072" s="343"/>
      <c r="J4072" s="343"/>
      <c r="K4072" s="343"/>
      <c r="L4072" s="343"/>
    </row>
    <row r="4073" spans="4:12" x14ac:dyDescent="0.2">
      <c r="D4073" s="341"/>
      <c r="F4073" s="343"/>
      <c r="G4073" s="343"/>
      <c r="H4073" s="343"/>
      <c r="I4073" s="343"/>
      <c r="J4073" s="343"/>
      <c r="K4073" s="343"/>
      <c r="L4073" s="343"/>
    </row>
    <row r="4074" spans="4:12" x14ac:dyDescent="0.2">
      <c r="D4074" s="341"/>
      <c r="F4074" s="343"/>
      <c r="G4074" s="343"/>
      <c r="H4074" s="343"/>
      <c r="I4074" s="343"/>
      <c r="J4074" s="343"/>
      <c r="K4074" s="343"/>
      <c r="L4074" s="343"/>
    </row>
    <row r="4075" spans="4:12" x14ac:dyDescent="0.2">
      <c r="D4075" s="341"/>
      <c r="F4075" s="343"/>
      <c r="G4075" s="343"/>
      <c r="H4075" s="343"/>
      <c r="I4075" s="343"/>
      <c r="J4075" s="343"/>
      <c r="K4075" s="343"/>
      <c r="L4075" s="343"/>
    </row>
    <row r="4076" spans="4:12" x14ac:dyDescent="0.2">
      <c r="D4076" s="341"/>
      <c r="F4076" s="343"/>
      <c r="G4076" s="343"/>
      <c r="H4076" s="343"/>
      <c r="I4076" s="343"/>
      <c r="J4076" s="343"/>
      <c r="K4076" s="343"/>
      <c r="L4076" s="343"/>
    </row>
    <row r="4077" spans="4:12" x14ac:dyDescent="0.2">
      <c r="D4077" s="341"/>
      <c r="F4077" s="343"/>
      <c r="G4077" s="343"/>
      <c r="H4077" s="343"/>
      <c r="I4077" s="343"/>
      <c r="J4077" s="343"/>
      <c r="K4077" s="343"/>
      <c r="L4077" s="343"/>
    </row>
    <row r="4078" spans="4:12" x14ac:dyDescent="0.2">
      <c r="D4078" s="341"/>
      <c r="F4078" s="343"/>
      <c r="G4078" s="343"/>
      <c r="H4078" s="343"/>
      <c r="I4078" s="343"/>
      <c r="J4078" s="343"/>
      <c r="K4078" s="343"/>
      <c r="L4078" s="343"/>
    </row>
    <row r="4079" spans="4:12" x14ac:dyDescent="0.2">
      <c r="D4079" s="341"/>
      <c r="F4079" s="343"/>
      <c r="G4079" s="343"/>
      <c r="H4079" s="343"/>
      <c r="I4079" s="343"/>
      <c r="J4079" s="343"/>
      <c r="K4079" s="343"/>
      <c r="L4079" s="343"/>
    </row>
    <row r="4080" spans="4:12" x14ac:dyDescent="0.2">
      <c r="D4080" s="341"/>
      <c r="F4080" s="343"/>
      <c r="G4080" s="343"/>
      <c r="H4080" s="343"/>
      <c r="I4080" s="343"/>
      <c r="J4080" s="343"/>
      <c r="K4080" s="343"/>
      <c r="L4080" s="343"/>
    </row>
    <row r="4081" spans="4:12" x14ac:dyDescent="0.2">
      <c r="D4081" s="341"/>
      <c r="F4081" s="343"/>
      <c r="G4081" s="343"/>
      <c r="H4081" s="343"/>
      <c r="I4081" s="343"/>
      <c r="J4081" s="343"/>
      <c r="K4081" s="343"/>
      <c r="L4081" s="343"/>
    </row>
    <row r="4082" spans="4:12" x14ac:dyDescent="0.2">
      <c r="D4082" s="341"/>
      <c r="F4082" s="343"/>
      <c r="G4082" s="343"/>
      <c r="H4082" s="343"/>
      <c r="I4082" s="343"/>
      <c r="J4082" s="343"/>
      <c r="K4082" s="343"/>
      <c r="L4082" s="343"/>
    </row>
    <row r="4083" spans="4:12" x14ac:dyDescent="0.2">
      <c r="D4083" s="341"/>
      <c r="F4083" s="343"/>
      <c r="G4083" s="343"/>
      <c r="H4083" s="343"/>
      <c r="I4083" s="343"/>
      <c r="J4083" s="343"/>
      <c r="K4083" s="343"/>
      <c r="L4083" s="343"/>
    </row>
    <row r="4084" spans="4:12" x14ac:dyDescent="0.2">
      <c r="D4084" s="341"/>
      <c r="F4084" s="343"/>
      <c r="G4084" s="343"/>
      <c r="H4084" s="343"/>
      <c r="I4084" s="343"/>
      <c r="J4084" s="343"/>
      <c r="K4084" s="343"/>
      <c r="L4084" s="343"/>
    </row>
    <row r="4085" spans="4:12" x14ac:dyDescent="0.2">
      <c r="D4085" s="341"/>
      <c r="F4085" s="343"/>
      <c r="G4085" s="343"/>
      <c r="H4085" s="343"/>
      <c r="I4085" s="343"/>
      <c r="J4085" s="343"/>
      <c r="K4085" s="343"/>
      <c r="L4085" s="343"/>
    </row>
    <row r="4086" spans="4:12" x14ac:dyDescent="0.2">
      <c r="D4086" s="341"/>
      <c r="F4086" s="343"/>
      <c r="G4086" s="343"/>
      <c r="H4086" s="343"/>
      <c r="I4086" s="343"/>
      <c r="J4086" s="343"/>
      <c r="K4086" s="343"/>
      <c r="L4086" s="343"/>
    </row>
    <row r="4087" spans="4:12" x14ac:dyDescent="0.2">
      <c r="D4087" s="341"/>
      <c r="F4087" s="343"/>
      <c r="G4087" s="343"/>
      <c r="H4087" s="343"/>
      <c r="I4087" s="343"/>
      <c r="J4087" s="343"/>
      <c r="K4087" s="343"/>
      <c r="L4087" s="343"/>
    </row>
    <row r="4088" spans="4:12" x14ac:dyDescent="0.2">
      <c r="D4088" s="341"/>
      <c r="F4088" s="343"/>
      <c r="G4088" s="343"/>
      <c r="H4088" s="343"/>
      <c r="I4088" s="343"/>
      <c r="J4088" s="343"/>
      <c r="K4088" s="343"/>
      <c r="L4088" s="343"/>
    </row>
    <row r="4089" spans="4:12" x14ac:dyDescent="0.2">
      <c r="D4089" s="341"/>
      <c r="F4089" s="343"/>
      <c r="G4089" s="343"/>
      <c r="H4089" s="343"/>
      <c r="I4089" s="343"/>
      <c r="J4089" s="343"/>
      <c r="K4089" s="343"/>
      <c r="L4089" s="343"/>
    </row>
    <row r="4090" spans="4:12" x14ac:dyDescent="0.2">
      <c r="D4090" s="341"/>
      <c r="F4090" s="343"/>
      <c r="G4090" s="343"/>
      <c r="H4090" s="343"/>
      <c r="I4090" s="343"/>
      <c r="J4090" s="343"/>
      <c r="K4090" s="343"/>
      <c r="L4090" s="343"/>
    </row>
    <row r="4091" spans="4:12" x14ac:dyDescent="0.2">
      <c r="D4091" s="341"/>
      <c r="F4091" s="343"/>
      <c r="G4091" s="343"/>
      <c r="H4091" s="343"/>
      <c r="I4091" s="343"/>
      <c r="J4091" s="343"/>
      <c r="K4091" s="343"/>
      <c r="L4091" s="343"/>
    </row>
    <row r="4092" spans="4:12" x14ac:dyDescent="0.2">
      <c r="D4092" s="341"/>
      <c r="F4092" s="343"/>
      <c r="G4092" s="343"/>
      <c r="H4092" s="343"/>
      <c r="I4092" s="343"/>
      <c r="J4092" s="343"/>
      <c r="K4092" s="343"/>
      <c r="L4092" s="343"/>
    </row>
    <row r="4093" spans="4:12" x14ac:dyDescent="0.2">
      <c r="D4093" s="341"/>
      <c r="F4093" s="343"/>
      <c r="G4093" s="343"/>
      <c r="H4093" s="343"/>
      <c r="I4093" s="343"/>
      <c r="J4093" s="343"/>
      <c r="K4093" s="343"/>
      <c r="L4093" s="343"/>
    </row>
    <row r="4094" spans="4:12" x14ac:dyDescent="0.2">
      <c r="D4094" s="341"/>
      <c r="F4094" s="343"/>
      <c r="G4094" s="343"/>
      <c r="H4094" s="343"/>
      <c r="I4094" s="343"/>
      <c r="J4094" s="343"/>
      <c r="K4094" s="343"/>
      <c r="L4094" s="343"/>
    </row>
    <row r="4095" spans="4:12" x14ac:dyDescent="0.2">
      <c r="D4095" s="341"/>
      <c r="F4095" s="343"/>
      <c r="G4095" s="343"/>
      <c r="H4095" s="343"/>
      <c r="I4095" s="343"/>
      <c r="J4095" s="343"/>
      <c r="K4095" s="343"/>
      <c r="L4095" s="343"/>
    </row>
    <row r="4096" spans="4:12" x14ac:dyDescent="0.2">
      <c r="D4096" s="341"/>
      <c r="F4096" s="343"/>
      <c r="G4096" s="343"/>
      <c r="H4096" s="343"/>
      <c r="I4096" s="343"/>
      <c r="J4096" s="343"/>
      <c r="K4096" s="343"/>
      <c r="L4096" s="343"/>
    </row>
    <row r="4097" spans="4:12" x14ac:dyDescent="0.2">
      <c r="D4097" s="341"/>
      <c r="F4097" s="343"/>
      <c r="G4097" s="343"/>
      <c r="H4097" s="343"/>
      <c r="I4097" s="343"/>
      <c r="J4097" s="343"/>
      <c r="K4097" s="343"/>
      <c r="L4097" s="343"/>
    </row>
    <row r="4098" spans="4:12" x14ac:dyDescent="0.2">
      <c r="D4098" s="341"/>
      <c r="F4098" s="343"/>
      <c r="G4098" s="343"/>
      <c r="H4098" s="343"/>
      <c r="I4098" s="343"/>
      <c r="J4098" s="343"/>
      <c r="K4098" s="343"/>
      <c r="L4098" s="343"/>
    </row>
    <row r="4099" spans="4:12" x14ac:dyDescent="0.2">
      <c r="D4099" s="341"/>
      <c r="F4099" s="343"/>
      <c r="G4099" s="343"/>
      <c r="H4099" s="343"/>
      <c r="I4099" s="343"/>
      <c r="J4099" s="343"/>
      <c r="K4099" s="343"/>
      <c r="L4099" s="343"/>
    </row>
    <row r="4100" spans="4:12" x14ac:dyDescent="0.2">
      <c r="D4100" s="341"/>
      <c r="F4100" s="343"/>
      <c r="G4100" s="343"/>
      <c r="H4100" s="343"/>
      <c r="I4100" s="343"/>
      <c r="J4100" s="343"/>
      <c r="K4100" s="343"/>
      <c r="L4100" s="343"/>
    </row>
    <row r="4101" spans="4:12" x14ac:dyDescent="0.2">
      <c r="D4101" s="341"/>
      <c r="F4101" s="343"/>
      <c r="G4101" s="343"/>
      <c r="H4101" s="343"/>
      <c r="I4101" s="343"/>
      <c r="J4101" s="343"/>
      <c r="K4101" s="343"/>
      <c r="L4101" s="343"/>
    </row>
    <row r="4102" spans="4:12" x14ac:dyDescent="0.2">
      <c r="D4102" s="341"/>
      <c r="F4102" s="343"/>
      <c r="G4102" s="343"/>
      <c r="H4102" s="343"/>
      <c r="I4102" s="343"/>
      <c r="J4102" s="343"/>
      <c r="K4102" s="343"/>
      <c r="L4102" s="343"/>
    </row>
    <row r="4103" spans="4:12" x14ac:dyDescent="0.2">
      <c r="D4103" s="341"/>
      <c r="F4103" s="343"/>
      <c r="G4103" s="343"/>
      <c r="H4103" s="343"/>
      <c r="I4103" s="343"/>
      <c r="J4103" s="343"/>
      <c r="K4103" s="343"/>
      <c r="L4103" s="343"/>
    </row>
    <row r="4104" spans="4:12" x14ac:dyDescent="0.2">
      <c r="D4104" s="341"/>
      <c r="F4104" s="343"/>
      <c r="G4104" s="343"/>
      <c r="H4104" s="343"/>
      <c r="I4104" s="343"/>
      <c r="J4104" s="343"/>
      <c r="K4104" s="343"/>
      <c r="L4104" s="343"/>
    </row>
    <row r="4105" spans="4:12" x14ac:dyDescent="0.2">
      <c r="D4105" s="341"/>
      <c r="F4105" s="343"/>
      <c r="G4105" s="343"/>
      <c r="H4105" s="343"/>
      <c r="I4105" s="343"/>
      <c r="J4105" s="343"/>
      <c r="K4105" s="343"/>
      <c r="L4105" s="343"/>
    </row>
    <row r="4106" spans="4:12" x14ac:dyDescent="0.2">
      <c r="D4106" s="341"/>
      <c r="F4106" s="343"/>
      <c r="G4106" s="343"/>
      <c r="H4106" s="343"/>
      <c r="I4106" s="343"/>
      <c r="J4106" s="343"/>
      <c r="K4106" s="343"/>
      <c r="L4106" s="343"/>
    </row>
    <row r="4107" spans="4:12" x14ac:dyDescent="0.2">
      <c r="D4107" s="341"/>
      <c r="F4107" s="343"/>
      <c r="G4107" s="343"/>
      <c r="H4107" s="343"/>
      <c r="I4107" s="343"/>
      <c r="J4107" s="343"/>
      <c r="K4107" s="343"/>
      <c r="L4107" s="343"/>
    </row>
    <row r="4108" spans="4:12" x14ac:dyDescent="0.2">
      <c r="D4108" s="341"/>
      <c r="F4108" s="343"/>
      <c r="G4108" s="343"/>
      <c r="H4108" s="343"/>
      <c r="I4108" s="343"/>
      <c r="J4108" s="343"/>
      <c r="K4108" s="343"/>
      <c r="L4108" s="343"/>
    </row>
    <row r="4109" spans="4:12" x14ac:dyDescent="0.2">
      <c r="D4109" s="341"/>
      <c r="F4109" s="343"/>
      <c r="G4109" s="343"/>
      <c r="H4109" s="343"/>
      <c r="I4109" s="343"/>
      <c r="J4109" s="343"/>
      <c r="K4109" s="343"/>
      <c r="L4109" s="343"/>
    </row>
    <row r="4110" spans="4:12" x14ac:dyDescent="0.2">
      <c r="D4110" s="341"/>
      <c r="F4110" s="343"/>
      <c r="G4110" s="343"/>
      <c r="H4110" s="343"/>
      <c r="I4110" s="343"/>
      <c r="J4110" s="343"/>
      <c r="K4110" s="343"/>
      <c r="L4110" s="343"/>
    </row>
    <row r="4111" spans="4:12" x14ac:dyDescent="0.2">
      <c r="D4111" s="341"/>
      <c r="F4111" s="343"/>
      <c r="G4111" s="343"/>
      <c r="H4111" s="343"/>
      <c r="I4111" s="343"/>
      <c r="J4111" s="343"/>
      <c r="K4111" s="343"/>
      <c r="L4111" s="343"/>
    </row>
    <row r="4112" spans="4:12" x14ac:dyDescent="0.2">
      <c r="D4112" s="341"/>
      <c r="F4112" s="343"/>
      <c r="G4112" s="343"/>
      <c r="H4112" s="343"/>
      <c r="I4112" s="343"/>
      <c r="J4112" s="343"/>
      <c r="K4112" s="343"/>
      <c r="L4112" s="343"/>
    </row>
    <row r="4113" spans="4:12" x14ac:dyDescent="0.2">
      <c r="D4113" s="341"/>
      <c r="F4113" s="343"/>
      <c r="G4113" s="343"/>
      <c r="H4113" s="343"/>
      <c r="I4113" s="343"/>
      <c r="J4113" s="343"/>
      <c r="K4113" s="343"/>
      <c r="L4113" s="343"/>
    </row>
    <row r="4114" spans="4:12" x14ac:dyDescent="0.2">
      <c r="D4114" s="341"/>
      <c r="F4114" s="343"/>
      <c r="G4114" s="343"/>
      <c r="H4114" s="343"/>
      <c r="I4114" s="343"/>
      <c r="J4114" s="343"/>
      <c r="K4114" s="343"/>
      <c r="L4114" s="343"/>
    </row>
    <row r="4115" spans="4:12" x14ac:dyDescent="0.2">
      <c r="D4115" s="341"/>
      <c r="F4115" s="343"/>
      <c r="G4115" s="343"/>
      <c r="H4115" s="343"/>
      <c r="I4115" s="343"/>
      <c r="J4115" s="343"/>
      <c r="K4115" s="343"/>
      <c r="L4115" s="343"/>
    </row>
    <row r="4116" spans="4:12" x14ac:dyDescent="0.2">
      <c r="D4116" s="341"/>
      <c r="F4116" s="343"/>
      <c r="G4116" s="343"/>
      <c r="H4116" s="343"/>
      <c r="I4116" s="343"/>
      <c r="J4116" s="343"/>
      <c r="K4116" s="343"/>
      <c r="L4116" s="343"/>
    </row>
    <row r="4117" spans="4:12" x14ac:dyDescent="0.2">
      <c r="D4117" s="341"/>
      <c r="F4117" s="343"/>
      <c r="G4117" s="343"/>
      <c r="H4117" s="343"/>
      <c r="I4117" s="343"/>
      <c r="J4117" s="343"/>
      <c r="K4117" s="343"/>
      <c r="L4117" s="343"/>
    </row>
    <row r="4118" spans="4:12" x14ac:dyDescent="0.2">
      <c r="D4118" s="341"/>
      <c r="F4118" s="343"/>
      <c r="G4118" s="343"/>
      <c r="H4118" s="343"/>
      <c r="I4118" s="343"/>
      <c r="J4118" s="343"/>
      <c r="K4118" s="343"/>
      <c r="L4118" s="343"/>
    </row>
    <row r="4119" spans="4:12" x14ac:dyDescent="0.2">
      <c r="D4119" s="341"/>
      <c r="F4119" s="343"/>
      <c r="G4119" s="343"/>
      <c r="H4119" s="343"/>
      <c r="I4119" s="343"/>
      <c r="J4119" s="343"/>
      <c r="K4119" s="343"/>
      <c r="L4119" s="343"/>
    </row>
    <row r="4120" spans="4:12" x14ac:dyDescent="0.2">
      <c r="D4120" s="341"/>
      <c r="F4120" s="343"/>
      <c r="G4120" s="343"/>
      <c r="H4120" s="343"/>
      <c r="I4120" s="343"/>
      <c r="J4120" s="343"/>
      <c r="K4120" s="343"/>
      <c r="L4120" s="343"/>
    </row>
    <row r="4121" spans="4:12" x14ac:dyDescent="0.2">
      <c r="D4121" s="341"/>
      <c r="F4121" s="343"/>
      <c r="G4121" s="343"/>
      <c r="H4121" s="343"/>
      <c r="I4121" s="343"/>
      <c r="J4121" s="343"/>
      <c r="K4121" s="343"/>
      <c r="L4121" s="343"/>
    </row>
    <row r="4122" spans="4:12" x14ac:dyDescent="0.2">
      <c r="D4122" s="341"/>
      <c r="F4122" s="343"/>
      <c r="G4122" s="343"/>
      <c r="H4122" s="343"/>
      <c r="I4122" s="343"/>
      <c r="J4122" s="343"/>
      <c r="K4122" s="343"/>
      <c r="L4122" s="343"/>
    </row>
    <row r="4123" spans="4:12" x14ac:dyDescent="0.2">
      <c r="D4123" s="341"/>
      <c r="F4123" s="343"/>
      <c r="G4123" s="343"/>
      <c r="H4123" s="343"/>
      <c r="I4123" s="343"/>
      <c r="J4123" s="343"/>
      <c r="K4123" s="343"/>
      <c r="L4123" s="343"/>
    </row>
    <row r="4124" spans="4:12" x14ac:dyDescent="0.2">
      <c r="D4124" s="341"/>
      <c r="F4124" s="343"/>
      <c r="G4124" s="343"/>
      <c r="H4124" s="343"/>
      <c r="I4124" s="343"/>
      <c r="J4124" s="343"/>
      <c r="K4124" s="343"/>
      <c r="L4124" s="343"/>
    </row>
    <row r="4125" spans="4:12" x14ac:dyDescent="0.2">
      <c r="D4125" s="341"/>
      <c r="F4125" s="343"/>
      <c r="G4125" s="343"/>
      <c r="H4125" s="343"/>
      <c r="I4125" s="343"/>
      <c r="J4125" s="343"/>
      <c r="K4125" s="343"/>
      <c r="L4125" s="343"/>
    </row>
    <row r="4126" spans="4:12" x14ac:dyDescent="0.2">
      <c r="D4126" s="341"/>
      <c r="F4126" s="343"/>
      <c r="G4126" s="343"/>
      <c r="H4126" s="343"/>
      <c r="I4126" s="343"/>
      <c r="J4126" s="343"/>
      <c r="K4126" s="343"/>
      <c r="L4126" s="343"/>
    </row>
    <row r="4127" spans="4:12" x14ac:dyDescent="0.2">
      <c r="D4127" s="341"/>
      <c r="F4127" s="343"/>
      <c r="G4127" s="343"/>
      <c r="H4127" s="343"/>
      <c r="I4127" s="343"/>
      <c r="J4127" s="343"/>
      <c r="K4127" s="343"/>
      <c r="L4127" s="343"/>
    </row>
    <row r="4128" spans="4:12" x14ac:dyDescent="0.2">
      <c r="D4128" s="341"/>
      <c r="F4128" s="343"/>
      <c r="G4128" s="343"/>
      <c r="H4128" s="343"/>
      <c r="I4128" s="343"/>
      <c r="J4128" s="343"/>
      <c r="K4128" s="343"/>
      <c r="L4128" s="343"/>
    </row>
    <row r="4129" spans="4:12" x14ac:dyDescent="0.2">
      <c r="D4129" s="341"/>
      <c r="F4129" s="343"/>
      <c r="G4129" s="343"/>
      <c r="H4129" s="343"/>
      <c r="I4129" s="343"/>
      <c r="J4129" s="343"/>
      <c r="K4129" s="343"/>
      <c r="L4129" s="343"/>
    </row>
    <row r="4130" spans="4:12" x14ac:dyDescent="0.2">
      <c r="D4130" s="341"/>
      <c r="F4130" s="343"/>
      <c r="G4130" s="343"/>
      <c r="H4130" s="343"/>
      <c r="I4130" s="343"/>
      <c r="J4130" s="343"/>
      <c r="K4130" s="343"/>
      <c r="L4130" s="343"/>
    </row>
    <row r="4131" spans="4:12" x14ac:dyDescent="0.2">
      <c r="D4131" s="341"/>
      <c r="F4131" s="343"/>
      <c r="G4131" s="343"/>
      <c r="H4131" s="343"/>
      <c r="I4131" s="343"/>
      <c r="J4131" s="343"/>
      <c r="K4131" s="343"/>
      <c r="L4131" s="343"/>
    </row>
    <row r="4132" spans="4:12" x14ac:dyDescent="0.2">
      <c r="D4132" s="341"/>
      <c r="F4132" s="343"/>
      <c r="G4132" s="343"/>
      <c r="H4132" s="343"/>
      <c r="I4132" s="343"/>
      <c r="J4132" s="343"/>
      <c r="K4132" s="343"/>
      <c r="L4132" s="343"/>
    </row>
    <row r="4133" spans="4:12" x14ac:dyDescent="0.2">
      <c r="D4133" s="341"/>
      <c r="F4133" s="343"/>
      <c r="G4133" s="343"/>
      <c r="H4133" s="343"/>
      <c r="I4133" s="343"/>
      <c r="J4133" s="343"/>
      <c r="K4133" s="343"/>
      <c r="L4133" s="343"/>
    </row>
    <row r="4134" spans="4:12" x14ac:dyDescent="0.2">
      <c r="D4134" s="341"/>
      <c r="F4134" s="343"/>
      <c r="G4134" s="343"/>
      <c r="H4134" s="343"/>
      <c r="I4134" s="343"/>
      <c r="J4134" s="343"/>
      <c r="K4134" s="343"/>
      <c r="L4134" s="343"/>
    </row>
    <row r="4135" spans="4:12" x14ac:dyDescent="0.2">
      <c r="D4135" s="341"/>
      <c r="F4135" s="343"/>
      <c r="G4135" s="343"/>
      <c r="H4135" s="343"/>
      <c r="I4135" s="343"/>
      <c r="J4135" s="343"/>
      <c r="K4135" s="343"/>
      <c r="L4135" s="343"/>
    </row>
    <row r="4136" spans="4:12" x14ac:dyDescent="0.2">
      <c r="D4136" s="341"/>
      <c r="F4136" s="343"/>
      <c r="G4136" s="343"/>
      <c r="H4136" s="343"/>
      <c r="I4136" s="343"/>
      <c r="J4136" s="343"/>
      <c r="K4136" s="343"/>
      <c r="L4136" s="343"/>
    </row>
    <row r="4137" spans="4:12" x14ac:dyDescent="0.2">
      <c r="D4137" s="341"/>
      <c r="F4137" s="343"/>
      <c r="G4137" s="343"/>
      <c r="H4137" s="343"/>
      <c r="I4137" s="343"/>
      <c r="J4137" s="343"/>
      <c r="K4137" s="343"/>
      <c r="L4137" s="343"/>
    </row>
    <row r="4138" spans="4:12" x14ac:dyDescent="0.2">
      <c r="D4138" s="341"/>
      <c r="F4138" s="343"/>
      <c r="G4138" s="343"/>
      <c r="H4138" s="343"/>
      <c r="I4138" s="343"/>
      <c r="J4138" s="343"/>
      <c r="K4138" s="343"/>
      <c r="L4138" s="343"/>
    </row>
    <row r="4139" spans="4:12" x14ac:dyDescent="0.2">
      <c r="D4139" s="341"/>
      <c r="F4139" s="343"/>
      <c r="G4139" s="343"/>
      <c r="H4139" s="343"/>
      <c r="I4139" s="343"/>
      <c r="J4139" s="343"/>
      <c r="K4139" s="343"/>
      <c r="L4139" s="343"/>
    </row>
    <row r="4140" spans="4:12" x14ac:dyDescent="0.2">
      <c r="D4140" s="341"/>
      <c r="F4140" s="343"/>
      <c r="G4140" s="343"/>
      <c r="H4140" s="343"/>
      <c r="I4140" s="343"/>
      <c r="J4140" s="343"/>
      <c r="K4140" s="343"/>
      <c r="L4140" s="343"/>
    </row>
    <row r="4141" spans="4:12" x14ac:dyDescent="0.2">
      <c r="D4141" s="341"/>
      <c r="F4141" s="343"/>
      <c r="G4141" s="343"/>
      <c r="H4141" s="343"/>
      <c r="I4141" s="343"/>
      <c r="J4141" s="343"/>
      <c r="K4141" s="343"/>
      <c r="L4141" s="343"/>
    </row>
    <row r="4142" spans="4:12" x14ac:dyDescent="0.2">
      <c r="D4142" s="341"/>
      <c r="F4142" s="343"/>
      <c r="G4142" s="343"/>
      <c r="H4142" s="343"/>
      <c r="I4142" s="343"/>
      <c r="J4142" s="343"/>
      <c r="K4142" s="343"/>
      <c r="L4142" s="343"/>
    </row>
    <row r="4143" spans="4:12" x14ac:dyDescent="0.2">
      <c r="D4143" s="341"/>
      <c r="F4143" s="343"/>
      <c r="G4143" s="343"/>
      <c r="H4143" s="343"/>
      <c r="I4143" s="343"/>
      <c r="J4143" s="343"/>
      <c r="K4143" s="343"/>
      <c r="L4143" s="343"/>
    </row>
    <row r="4144" spans="4:12" x14ac:dyDescent="0.2">
      <c r="D4144" s="341"/>
      <c r="F4144" s="343"/>
      <c r="G4144" s="343"/>
      <c r="H4144" s="343"/>
      <c r="I4144" s="343"/>
      <c r="J4144" s="343"/>
      <c r="K4144" s="343"/>
      <c r="L4144" s="343"/>
    </row>
    <row r="4145" spans="4:12" x14ac:dyDescent="0.2">
      <c r="D4145" s="341"/>
      <c r="F4145" s="343"/>
      <c r="G4145" s="343"/>
      <c r="H4145" s="343"/>
      <c r="I4145" s="343"/>
      <c r="J4145" s="343"/>
      <c r="K4145" s="343"/>
      <c r="L4145" s="343"/>
    </row>
    <row r="4146" spans="4:12" x14ac:dyDescent="0.2">
      <c r="D4146" s="341"/>
      <c r="F4146" s="343"/>
      <c r="G4146" s="343"/>
      <c r="H4146" s="343"/>
      <c r="I4146" s="343"/>
      <c r="J4146" s="343"/>
      <c r="K4146" s="343"/>
      <c r="L4146" s="343"/>
    </row>
    <row r="4147" spans="4:12" x14ac:dyDescent="0.2">
      <c r="D4147" s="341"/>
      <c r="F4147" s="343"/>
      <c r="G4147" s="343"/>
      <c r="H4147" s="343"/>
      <c r="I4147" s="343"/>
      <c r="J4147" s="343"/>
      <c r="K4147" s="343"/>
      <c r="L4147" s="343"/>
    </row>
    <row r="4148" spans="4:12" x14ac:dyDescent="0.2">
      <c r="D4148" s="341"/>
      <c r="F4148" s="343"/>
      <c r="G4148" s="343"/>
      <c r="H4148" s="343"/>
      <c r="I4148" s="343"/>
      <c r="J4148" s="343"/>
      <c r="K4148" s="343"/>
      <c r="L4148" s="343"/>
    </row>
    <row r="4149" spans="4:12" x14ac:dyDescent="0.2">
      <c r="D4149" s="341"/>
      <c r="F4149" s="343"/>
      <c r="G4149" s="343"/>
      <c r="H4149" s="343"/>
      <c r="I4149" s="343"/>
      <c r="J4149" s="343"/>
      <c r="K4149" s="343"/>
      <c r="L4149" s="343"/>
    </row>
    <row r="4150" spans="4:12" x14ac:dyDescent="0.2">
      <c r="D4150" s="341"/>
      <c r="F4150" s="343"/>
      <c r="G4150" s="343"/>
      <c r="H4150" s="343"/>
      <c r="I4150" s="343"/>
      <c r="J4150" s="343"/>
      <c r="K4150" s="343"/>
      <c r="L4150" s="343"/>
    </row>
    <row r="4151" spans="4:12" x14ac:dyDescent="0.2">
      <c r="D4151" s="341"/>
      <c r="F4151" s="343"/>
      <c r="G4151" s="343"/>
      <c r="H4151" s="343"/>
      <c r="I4151" s="343"/>
      <c r="J4151" s="343"/>
      <c r="K4151" s="343"/>
      <c r="L4151" s="343"/>
    </row>
    <row r="4152" spans="4:12" x14ac:dyDescent="0.2">
      <c r="D4152" s="341"/>
      <c r="F4152" s="343"/>
      <c r="G4152" s="343"/>
      <c r="H4152" s="343"/>
      <c r="I4152" s="343"/>
      <c r="J4152" s="343"/>
      <c r="K4152" s="343"/>
      <c r="L4152" s="343"/>
    </row>
    <row r="4153" spans="4:12" x14ac:dyDescent="0.2">
      <c r="D4153" s="341"/>
      <c r="F4153" s="343"/>
      <c r="G4153" s="343"/>
      <c r="H4153" s="343"/>
      <c r="I4153" s="343"/>
      <c r="J4153" s="343"/>
      <c r="K4153" s="343"/>
      <c r="L4153" s="343"/>
    </row>
    <row r="4154" spans="4:12" x14ac:dyDescent="0.2">
      <c r="D4154" s="341"/>
      <c r="F4154" s="343"/>
      <c r="G4154" s="343"/>
      <c r="H4154" s="343"/>
      <c r="I4154" s="343"/>
      <c r="J4154" s="343"/>
      <c r="K4154" s="343"/>
      <c r="L4154" s="343"/>
    </row>
    <row r="4155" spans="4:12" x14ac:dyDescent="0.2">
      <c r="D4155" s="341"/>
      <c r="F4155" s="343"/>
      <c r="G4155" s="343"/>
      <c r="H4155" s="343"/>
      <c r="I4155" s="343"/>
      <c r="J4155" s="343"/>
      <c r="K4155" s="343"/>
      <c r="L4155" s="343"/>
    </row>
    <row r="4156" spans="4:12" x14ac:dyDescent="0.2">
      <c r="D4156" s="341"/>
      <c r="F4156" s="343"/>
      <c r="G4156" s="343"/>
      <c r="H4156" s="343"/>
      <c r="I4156" s="343"/>
      <c r="J4156" s="343"/>
      <c r="K4156" s="343"/>
      <c r="L4156" s="343"/>
    </row>
    <row r="4157" spans="4:12" x14ac:dyDescent="0.2">
      <c r="D4157" s="341"/>
      <c r="F4157" s="343"/>
      <c r="G4157" s="343"/>
      <c r="H4157" s="343"/>
      <c r="I4157" s="343"/>
      <c r="J4157" s="343"/>
      <c r="K4157" s="343"/>
      <c r="L4157" s="343"/>
    </row>
    <row r="4158" spans="4:12" x14ac:dyDescent="0.2">
      <c r="D4158" s="341"/>
      <c r="F4158" s="343"/>
      <c r="G4158" s="343"/>
      <c r="H4158" s="343"/>
      <c r="I4158" s="343"/>
      <c r="J4158" s="343"/>
      <c r="K4158" s="343"/>
      <c r="L4158" s="343"/>
    </row>
    <row r="4159" spans="4:12" x14ac:dyDescent="0.2">
      <c r="D4159" s="341"/>
      <c r="F4159" s="343"/>
      <c r="G4159" s="343"/>
      <c r="H4159" s="343"/>
      <c r="I4159" s="343"/>
      <c r="J4159" s="343"/>
      <c r="K4159" s="343"/>
      <c r="L4159" s="343"/>
    </row>
    <row r="4160" spans="4:12" x14ac:dyDescent="0.2">
      <c r="D4160" s="341"/>
      <c r="F4160" s="343"/>
      <c r="G4160" s="343"/>
      <c r="H4160" s="343"/>
      <c r="I4160" s="343"/>
      <c r="J4160" s="343"/>
      <c r="K4160" s="343"/>
      <c r="L4160" s="343"/>
    </row>
    <row r="4161" spans="4:12" x14ac:dyDescent="0.2">
      <c r="D4161" s="341"/>
      <c r="F4161" s="343"/>
      <c r="G4161" s="343"/>
      <c r="H4161" s="343"/>
      <c r="I4161" s="343"/>
      <c r="J4161" s="343"/>
      <c r="K4161" s="343"/>
      <c r="L4161" s="343"/>
    </row>
    <row r="4162" spans="4:12" x14ac:dyDescent="0.2">
      <c r="D4162" s="341"/>
      <c r="F4162" s="343"/>
      <c r="G4162" s="343"/>
      <c r="H4162" s="343"/>
      <c r="I4162" s="343"/>
      <c r="J4162" s="343"/>
      <c r="K4162" s="343"/>
      <c r="L4162" s="343"/>
    </row>
    <row r="4163" spans="4:12" x14ac:dyDescent="0.2">
      <c r="D4163" s="341"/>
      <c r="F4163" s="343"/>
      <c r="G4163" s="343"/>
      <c r="H4163" s="343"/>
      <c r="I4163" s="343"/>
      <c r="J4163" s="343"/>
      <c r="K4163" s="343"/>
      <c r="L4163" s="343"/>
    </row>
    <row r="4164" spans="4:12" x14ac:dyDescent="0.2">
      <c r="D4164" s="341"/>
      <c r="F4164" s="343"/>
      <c r="G4164" s="343"/>
      <c r="H4164" s="343"/>
      <c r="I4164" s="343"/>
      <c r="J4164" s="343"/>
      <c r="K4164" s="343"/>
      <c r="L4164" s="343"/>
    </row>
    <row r="4165" spans="4:12" x14ac:dyDescent="0.2">
      <c r="D4165" s="341"/>
      <c r="F4165" s="343"/>
      <c r="G4165" s="343"/>
      <c r="H4165" s="343"/>
      <c r="I4165" s="343"/>
      <c r="J4165" s="343"/>
      <c r="K4165" s="343"/>
      <c r="L4165" s="343"/>
    </row>
    <row r="4166" spans="4:12" x14ac:dyDescent="0.2">
      <c r="D4166" s="341"/>
      <c r="F4166" s="343"/>
      <c r="G4166" s="343"/>
      <c r="H4166" s="343"/>
      <c r="I4166" s="343"/>
      <c r="J4166" s="343"/>
      <c r="K4166" s="343"/>
      <c r="L4166" s="343"/>
    </row>
    <row r="4167" spans="4:12" x14ac:dyDescent="0.2">
      <c r="D4167" s="341"/>
      <c r="F4167" s="343"/>
      <c r="G4167" s="343"/>
      <c r="H4167" s="343"/>
      <c r="I4167" s="343"/>
      <c r="J4167" s="343"/>
      <c r="K4167" s="343"/>
      <c r="L4167" s="343"/>
    </row>
    <row r="4168" spans="4:12" x14ac:dyDescent="0.2">
      <c r="D4168" s="341"/>
      <c r="F4168" s="343"/>
      <c r="G4168" s="343"/>
      <c r="H4168" s="343"/>
      <c r="I4168" s="343"/>
      <c r="J4168" s="343"/>
      <c r="K4168" s="343"/>
      <c r="L4168" s="343"/>
    </row>
    <row r="4169" spans="4:12" x14ac:dyDescent="0.2">
      <c r="D4169" s="341"/>
      <c r="F4169" s="343"/>
      <c r="G4169" s="343"/>
      <c r="H4169" s="343"/>
      <c r="I4169" s="343"/>
      <c r="J4169" s="343"/>
      <c r="K4169" s="343"/>
      <c r="L4169" s="343"/>
    </row>
    <row r="4170" spans="4:12" x14ac:dyDescent="0.2">
      <c r="D4170" s="341"/>
      <c r="F4170" s="343"/>
      <c r="G4170" s="343"/>
      <c r="H4170" s="343"/>
      <c r="I4170" s="343"/>
      <c r="J4170" s="343"/>
      <c r="K4170" s="343"/>
      <c r="L4170" s="343"/>
    </row>
    <row r="4171" spans="4:12" x14ac:dyDescent="0.2">
      <c r="D4171" s="341"/>
      <c r="F4171" s="343"/>
      <c r="G4171" s="343"/>
      <c r="H4171" s="343"/>
      <c r="I4171" s="343"/>
      <c r="J4171" s="343"/>
      <c r="K4171" s="343"/>
      <c r="L4171" s="343"/>
    </row>
    <row r="4172" spans="4:12" x14ac:dyDescent="0.2">
      <c r="D4172" s="341"/>
      <c r="F4172" s="343"/>
      <c r="G4172" s="343"/>
      <c r="H4172" s="343"/>
      <c r="I4172" s="343"/>
      <c r="J4172" s="343"/>
      <c r="K4172" s="343"/>
      <c r="L4172" s="343"/>
    </row>
    <row r="4173" spans="4:12" x14ac:dyDescent="0.2">
      <c r="D4173" s="341"/>
      <c r="F4173" s="343"/>
      <c r="G4173" s="343"/>
      <c r="H4173" s="343"/>
      <c r="I4173" s="343"/>
      <c r="J4173" s="343"/>
      <c r="K4173" s="343"/>
      <c r="L4173" s="343"/>
    </row>
    <row r="4174" spans="4:12" x14ac:dyDescent="0.2">
      <c r="D4174" s="341"/>
      <c r="F4174" s="343"/>
      <c r="G4174" s="343"/>
      <c r="H4174" s="343"/>
      <c r="I4174" s="343"/>
      <c r="J4174" s="343"/>
      <c r="K4174" s="343"/>
      <c r="L4174" s="343"/>
    </row>
    <row r="4175" spans="4:12" x14ac:dyDescent="0.2">
      <c r="D4175" s="341"/>
      <c r="F4175" s="343"/>
      <c r="G4175" s="343"/>
      <c r="H4175" s="343"/>
      <c r="I4175" s="343"/>
      <c r="J4175" s="343"/>
      <c r="K4175" s="343"/>
      <c r="L4175" s="343"/>
    </row>
    <row r="4176" spans="4:12" x14ac:dyDescent="0.2">
      <c r="D4176" s="341"/>
      <c r="F4176" s="343"/>
      <c r="G4176" s="343"/>
      <c r="H4176" s="343"/>
      <c r="I4176" s="343"/>
      <c r="J4176" s="343"/>
      <c r="K4176" s="343"/>
      <c r="L4176" s="343"/>
    </row>
    <row r="4177" spans="4:12" x14ac:dyDescent="0.2">
      <c r="D4177" s="341"/>
      <c r="F4177" s="343"/>
      <c r="G4177" s="343"/>
      <c r="H4177" s="343"/>
      <c r="I4177" s="343"/>
      <c r="J4177" s="343"/>
      <c r="K4177" s="343"/>
      <c r="L4177" s="343"/>
    </row>
    <row r="4178" spans="4:12" x14ac:dyDescent="0.2">
      <c r="D4178" s="341"/>
      <c r="F4178" s="343"/>
      <c r="G4178" s="343"/>
      <c r="H4178" s="343"/>
      <c r="I4178" s="343"/>
      <c r="J4178" s="343"/>
      <c r="K4178" s="343"/>
      <c r="L4178" s="343"/>
    </row>
    <row r="4179" spans="4:12" x14ac:dyDescent="0.2">
      <c r="D4179" s="341"/>
      <c r="F4179" s="343"/>
      <c r="G4179" s="343"/>
      <c r="H4179" s="343"/>
      <c r="I4179" s="343"/>
      <c r="J4179" s="343"/>
      <c r="K4179" s="343"/>
      <c r="L4179" s="343"/>
    </row>
    <row r="4180" spans="4:12" x14ac:dyDescent="0.2">
      <c r="D4180" s="341"/>
      <c r="F4180" s="343"/>
      <c r="G4180" s="343"/>
      <c r="H4180" s="343"/>
      <c r="I4180" s="343"/>
      <c r="J4180" s="343"/>
      <c r="K4180" s="343"/>
      <c r="L4180" s="343"/>
    </row>
    <row r="4181" spans="4:12" x14ac:dyDescent="0.2">
      <c r="D4181" s="341"/>
      <c r="F4181" s="343"/>
      <c r="G4181" s="343"/>
      <c r="H4181" s="343"/>
      <c r="I4181" s="343"/>
      <c r="J4181" s="343"/>
      <c r="K4181" s="343"/>
      <c r="L4181" s="343"/>
    </row>
    <row r="4182" spans="4:12" x14ac:dyDescent="0.2">
      <c r="D4182" s="341"/>
      <c r="F4182" s="343"/>
      <c r="G4182" s="343"/>
      <c r="H4182" s="343"/>
      <c r="I4182" s="343"/>
      <c r="J4182" s="343"/>
      <c r="K4182" s="343"/>
      <c r="L4182" s="343"/>
    </row>
    <row r="4183" spans="4:12" x14ac:dyDescent="0.2">
      <c r="D4183" s="341"/>
      <c r="F4183" s="343"/>
      <c r="G4183" s="343"/>
      <c r="H4183" s="343"/>
      <c r="I4183" s="343"/>
      <c r="J4183" s="343"/>
      <c r="K4183" s="343"/>
      <c r="L4183" s="343"/>
    </row>
    <row r="4184" spans="4:12" x14ac:dyDescent="0.2">
      <c r="D4184" s="341"/>
      <c r="F4184" s="343"/>
      <c r="G4184" s="343"/>
      <c r="H4184" s="343"/>
      <c r="I4184" s="343"/>
      <c r="J4184" s="343"/>
      <c r="K4184" s="343"/>
      <c r="L4184" s="343"/>
    </row>
    <row r="4185" spans="4:12" x14ac:dyDescent="0.2">
      <c r="D4185" s="341"/>
      <c r="F4185" s="343"/>
      <c r="G4185" s="343"/>
      <c r="H4185" s="343"/>
      <c r="I4185" s="343"/>
      <c r="J4185" s="343"/>
      <c r="K4185" s="343"/>
      <c r="L4185" s="343"/>
    </row>
    <row r="4186" spans="4:12" x14ac:dyDescent="0.2">
      <c r="D4186" s="341"/>
      <c r="F4186" s="343"/>
      <c r="G4186" s="343"/>
      <c r="H4186" s="343"/>
      <c r="I4186" s="343"/>
      <c r="J4186" s="343"/>
      <c r="K4186" s="343"/>
      <c r="L4186" s="343"/>
    </row>
    <row r="4187" spans="4:12" x14ac:dyDescent="0.2">
      <c r="D4187" s="341"/>
      <c r="F4187" s="343"/>
      <c r="G4187" s="343"/>
      <c r="H4187" s="343"/>
      <c r="I4187" s="343"/>
      <c r="J4187" s="343"/>
      <c r="K4187" s="343"/>
      <c r="L4187" s="343"/>
    </row>
    <row r="4188" spans="4:12" x14ac:dyDescent="0.2">
      <c r="D4188" s="341"/>
      <c r="F4188" s="343"/>
      <c r="G4188" s="343"/>
      <c r="H4188" s="343"/>
      <c r="I4188" s="343"/>
      <c r="J4188" s="343"/>
      <c r="K4188" s="343"/>
      <c r="L4188" s="343"/>
    </row>
    <row r="4189" spans="4:12" x14ac:dyDescent="0.2">
      <c r="D4189" s="341"/>
      <c r="F4189" s="343"/>
      <c r="G4189" s="343"/>
      <c r="H4189" s="343"/>
      <c r="I4189" s="343"/>
      <c r="J4189" s="343"/>
      <c r="K4189" s="343"/>
      <c r="L4189" s="343"/>
    </row>
    <row r="4190" spans="4:12" x14ac:dyDescent="0.2">
      <c r="D4190" s="341"/>
      <c r="F4190" s="343"/>
      <c r="G4190" s="343"/>
      <c r="H4190" s="343"/>
      <c r="I4190" s="343"/>
      <c r="J4190" s="343"/>
      <c r="K4190" s="343"/>
      <c r="L4190" s="343"/>
    </row>
    <row r="4191" spans="4:12" x14ac:dyDescent="0.2">
      <c r="D4191" s="341"/>
      <c r="F4191" s="343"/>
      <c r="G4191" s="343"/>
      <c r="H4191" s="343"/>
      <c r="I4191" s="343"/>
      <c r="J4191" s="343"/>
      <c r="K4191" s="343"/>
      <c r="L4191" s="343"/>
    </row>
    <row r="4192" spans="4:12" x14ac:dyDescent="0.2">
      <c r="D4192" s="341"/>
      <c r="F4192" s="343"/>
      <c r="G4192" s="343"/>
      <c r="H4192" s="343"/>
      <c r="I4192" s="343"/>
      <c r="J4192" s="343"/>
      <c r="K4192" s="343"/>
      <c r="L4192" s="343"/>
    </row>
    <row r="4193" spans="4:12" x14ac:dyDescent="0.2">
      <c r="D4193" s="341"/>
      <c r="F4193" s="343"/>
      <c r="G4193" s="343"/>
      <c r="H4193" s="343"/>
      <c r="I4193" s="343"/>
      <c r="J4193" s="343"/>
      <c r="K4193" s="343"/>
      <c r="L4193" s="343"/>
    </row>
    <row r="4194" spans="4:12" x14ac:dyDescent="0.2">
      <c r="D4194" s="341"/>
      <c r="F4194" s="343"/>
      <c r="G4194" s="343"/>
      <c r="H4194" s="343"/>
      <c r="I4194" s="343"/>
      <c r="J4194" s="343"/>
      <c r="K4194" s="343"/>
      <c r="L4194" s="343"/>
    </row>
    <row r="4195" spans="4:12" x14ac:dyDescent="0.2">
      <c r="D4195" s="341"/>
      <c r="F4195" s="343"/>
      <c r="G4195" s="343"/>
      <c r="H4195" s="343"/>
      <c r="I4195" s="343"/>
      <c r="J4195" s="343"/>
      <c r="K4195" s="343"/>
      <c r="L4195" s="343"/>
    </row>
    <row r="4196" spans="4:12" x14ac:dyDescent="0.2">
      <c r="D4196" s="341"/>
      <c r="F4196" s="343"/>
      <c r="G4196" s="343"/>
      <c r="H4196" s="343"/>
      <c r="I4196" s="343"/>
      <c r="J4196" s="343"/>
      <c r="K4196" s="343"/>
      <c r="L4196" s="343"/>
    </row>
    <row r="4197" spans="4:12" x14ac:dyDescent="0.2">
      <c r="D4197" s="341"/>
      <c r="F4197" s="343"/>
      <c r="G4197" s="343"/>
      <c r="H4197" s="343"/>
      <c r="I4197" s="343"/>
      <c r="J4197" s="343"/>
      <c r="K4197" s="343"/>
      <c r="L4197" s="343"/>
    </row>
    <row r="4198" spans="4:12" x14ac:dyDescent="0.2">
      <c r="D4198" s="341"/>
      <c r="F4198" s="343"/>
      <c r="G4198" s="343"/>
      <c r="H4198" s="343"/>
      <c r="I4198" s="343"/>
      <c r="J4198" s="343"/>
      <c r="K4198" s="343"/>
      <c r="L4198" s="343"/>
    </row>
    <row r="4199" spans="4:12" x14ac:dyDescent="0.2">
      <c r="D4199" s="341"/>
      <c r="F4199" s="343"/>
      <c r="G4199" s="343"/>
      <c r="H4199" s="343"/>
      <c r="I4199" s="343"/>
      <c r="J4199" s="343"/>
      <c r="K4199" s="343"/>
      <c r="L4199" s="343"/>
    </row>
    <row r="4200" spans="4:12" x14ac:dyDescent="0.2">
      <c r="D4200" s="341"/>
      <c r="F4200" s="343"/>
      <c r="G4200" s="343"/>
      <c r="H4200" s="343"/>
      <c r="I4200" s="343"/>
      <c r="J4200" s="343"/>
      <c r="K4200" s="343"/>
      <c r="L4200" s="343"/>
    </row>
    <row r="4201" spans="4:12" x14ac:dyDescent="0.2">
      <c r="D4201" s="341"/>
      <c r="F4201" s="343"/>
      <c r="G4201" s="343"/>
      <c r="H4201" s="343"/>
      <c r="I4201" s="343"/>
      <c r="J4201" s="343"/>
      <c r="K4201" s="343"/>
      <c r="L4201" s="343"/>
    </row>
    <row r="4202" spans="4:12" x14ac:dyDescent="0.2">
      <c r="D4202" s="341"/>
      <c r="F4202" s="343"/>
      <c r="G4202" s="343"/>
      <c r="H4202" s="343"/>
      <c r="I4202" s="343"/>
      <c r="J4202" s="343"/>
      <c r="K4202" s="343"/>
      <c r="L4202" s="343"/>
    </row>
    <row r="4203" spans="4:12" x14ac:dyDescent="0.2">
      <c r="D4203" s="341"/>
      <c r="F4203" s="343"/>
      <c r="G4203" s="343"/>
      <c r="H4203" s="343"/>
      <c r="I4203" s="343"/>
      <c r="J4203" s="343"/>
      <c r="K4203" s="343"/>
      <c r="L4203" s="343"/>
    </row>
    <row r="4204" spans="4:12" x14ac:dyDescent="0.2">
      <c r="D4204" s="341"/>
      <c r="F4204" s="343"/>
      <c r="G4204" s="343"/>
      <c r="H4204" s="343"/>
      <c r="I4204" s="343"/>
      <c r="J4204" s="343"/>
      <c r="K4204" s="343"/>
      <c r="L4204" s="343"/>
    </row>
    <row r="4205" spans="4:12" x14ac:dyDescent="0.2">
      <c r="D4205" s="341"/>
      <c r="F4205" s="343"/>
      <c r="G4205" s="343"/>
      <c r="H4205" s="343"/>
      <c r="I4205" s="343"/>
      <c r="J4205" s="343"/>
      <c r="K4205" s="343"/>
      <c r="L4205" s="343"/>
    </row>
    <row r="4206" spans="4:12" x14ac:dyDescent="0.2">
      <c r="D4206" s="341"/>
      <c r="F4206" s="343"/>
      <c r="G4206" s="343"/>
      <c r="H4206" s="343"/>
      <c r="I4206" s="343"/>
      <c r="J4206" s="343"/>
      <c r="K4206" s="343"/>
      <c r="L4206" s="343"/>
    </row>
    <row r="4207" spans="4:12" x14ac:dyDescent="0.2">
      <c r="D4207" s="341"/>
      <c r="F4207" s="343"/>
      <c r="G4207" s="343"/>
      <c r="H4207" s="343"/>
      <c r="I4207" s="343"/>
      <c r="J4207" s="343"/>
      <c r="K4207" s="343"/>
      <c r="L4207" s="343"/>
    </row>
    <row r="4208" spans="4:12" x14ac:dyDescent="0.2">
      <c r="D4208" s="341"/>
      <c r="F4208" s="343"/>
      <c r="G4208" s="343"/>
      <c r="H4208" s="343"/>
      <c r="I4208" s="343"/>
      <c r="J4208" s="343"/>
      <c r="K4208" s="343"/>
      <c r="L4208" s="343"/>
    </row>
    <row r="4209" spans="4:12" x14ac:dyDescent="0.2">
      <c r="D4209" s="341"/>
      <c r="F4209" s="343"/>
      <c r="G4209" s="343"/>
      <c r="H4209" s="343"/>
      <c r="I4209" s="343"/>
      <c r="J4209" s="343"/>
      <c r="K4209" s="343"/>
      <c r="L4209" s="343"/>
    </row>
    <row r="4210" spans="4:12" x14ac:dyDescent="0.2">
      <c r="D4210" s="341"/>
      <c r="F4210" s="343"/>
      <c r="G4210" s="343"/>
      <c r="H4210" s="343"/>
      <c r="I4210" s="343"/>
      <c r="J4210" s="343"/>
      <c r="K4210" s="343"/>
      <c r="L4210" s="343"/>
    </row>
    <row r="4211" spans="4:12" x14ac:dyDescent="0.2">
      <c r="D4211" s="341"/>
      <c r="F4211" s="343"/>
      <c r="G4211" s="343"/>
      <c r="H4211" s="343"/>
      <c r="I4211" s="343"/>
      <c r="J4211" s="343"/>
      <c r="K4211" s="343"/>
      <c r="L4211" s="343"/>
    </row>
    <row r="4212" spans="4:12" x14ac:dyDescent="0.2">
      <c r="D4212" s="341"/>
      <c r="F4212" s="343"/>
      <c r="G4212" s="343"/>
      <c r="H4212" s="343"/>
      <c r="I4212" s="343"/>
      <c r="J4212" s="343"/>
      <c r="K4212" s="343"/>
      <c r="L4212" s="343"/>
    </row>
    <row r="4213" spans="4:12" x14ac:dyDescent="0.2">
      <c r="D4213" s="341"/>
      <c r="F4213" s="343"/>
      <c r="G4213" s="343"/>
      <c r="H4213" s="343"/>
      <c r="I4213" s="343"/>
      <c r="J4213" s="343"/>
      <c r="K4213" s="343"/>
      <c r="L4213" s="343"/>
    </row>
    <row r="4214" spans="4:12" x14ac:dyDescent="0.2">
      <c r="D4214" s="341"/>
      <c r="F4214" s="343"/>
      <c r="G4214" s="343"/>
      <c r="H4214" s="343"/>
      <c r="I4214" s="343"/>
      <c r="J4214" s="343"/>
      <c r="K4214" s="343"/>
      <c r="L4214" s="343"/>
    </row>
    <row r="4215" spans="4:12" x14ac:dyDescent="0.2">
      <c r="D4215" s="341"/>
      <c r="F4215" s="343"/>
      <c r="G4215" s="343"/>
      <c r="H4215" s="343"/>
      <c r="I4215" s="343"/>
      <c r="J4215" s="343"/>
      <c r="K4215" s="343"/>
      <c r="L4215" s="343"/>
    </row>
    <row r="4216" spans="4:12" x14ac:dyDescent="0.2">
      <c r="D4216" s="341"/>
      <c r="F4216" s="343"/>
      <c r="G4216" s="343"/>
      <c r="H4216" s="343"/>
      <c r="I4216" s="343"/>
      <c r="J4216" s="343"/>
      <c r="K4216" s="343"/>
      <c r="L4216" s="343"/>
    </row>
    <row r="4217" spans="4:12" x14ac:dyDescent="0.2">
      <c r="D4217" s="341"/>
      <c r="F4217" s="343"/>
      <c r="G4217" s="343"/>
      <c r="H4217" s="343"/>
      <c r="I4217" s="343"/>
      <c r="J4217" s="343"/>
      <c r="K4217" s="343"/>
      <c r="L4217" s="343"/>
    </row>
    <row r="4218" spans="4:12" x14ac:dyDescent="0.2">
      <c r="D4218" s="341"/>
      <c r="F4218" s="343"/>
      <c r="G4218" s="343"/>
      <c r="H4218" s="343"/>
      <c r="I4218" s="343"/>
      <c r="J4218" s="343"/>
      <c r="K4218" s="343"/>
      <c r="L4218" s="343"/>
    </row>
    <row r="4219" spans="4:12" x14ac:dyDescent="0.2">
      <c r="D4219" s="341"/>
      <c r="F4219" s="343"/>
      <c r="G4219" s="343"/>
      <c r="H4219" s="343"/>
      <c r="I4219" s="343"/>
      <c r="J4219" s="343"/>
      <c r="K4219" s="343"/>
      <c r="L4219" s="343"/>
    </row>
    <row r="4220" spans="4:12" x14ac:dyDescent="0.2">
      <c r="D4220" s="341"/>
      <c r="F4220" s="343"/>
      <c r="G4220" s="343"/>
      <c r="H4220" s="343"/>
      <c r="I4220" s="343"/>
      <c r="J4220" s="343"/>
      <c r="K4220" s="343"/>
      <c r="L4220" s="343"/>
    </row>
    <row r="4221" spans="4:12" x14ac:dyDescent="0.2">
      <c r="D4221" s="341"/>
      <c r="F4221" s="343"/>
      <c r="G4221" s="343"/>
      <c r="H4221" s="343"/>
      <c r="I4221" s="343"/>
      <c r="J4221" s="343"/>
      <c r="K4221" s="343"/>
      <c r="L4221" s="343"/>
    </row>
    <row r="4222" spans="4:12" x14ac:dyDescent="0.2">
      <c r="D4222" s="341"/>
      <c r="F4222" s="343"/>
      <c r="G4222" s="343"/>
      <c r="H4222" s="343"/>
      <c r="I4222" s="343"/>
      <c r="J4222" s="343"/>
      <c r="K4222" s="343"/>
      <c r="L4222" s="343"/>
    </row>
    <row r="4223" spans="4:12" x14ac:dyDescent="0.2">
      <c r="D4223" s="341"/>
      <c r="F4223" s="343"/>
      <c r="G4223" s="343"/>
      <c r="H4223" s="343"/>
      <c r="I4223" s="343"/>
      <c r="J4223" s="343"/>
      <c r="K4223" s="343"/>
      <c r="L4223" s="343"/>
    </row>
    <row r="4224" spans="4:12" x14ac:dyDescent="0.2">
      <c r="D4224" s="341"/>
      <c r="F4224" s="343"/>
      <c r="G4224" s="343"/>
      <c r="H4224" s="343"/>
      <c r="I4224" s="343"/>
      <c r="J4224" s="343"/>
      <c r="K4224" s="343"/>
      <c r="L4224" s="343"/>
    </row>
    <row r="4225" spans="4:12" x14ac:dyDescent="0.2">
      <c r="D4225" s="341"/>
      <c r="F4225" s="343"/>
      <c r="G4225" s="343"/>
      <c r="H4225" s="343"/>
      <c r="I4225" s="343"/>
      <c r="J4225" s="343"/>
      <c r="K4225" s="343"/>
      <c r="L4225" s="343"/>
    </row>
    <row r="4226" spans="4:12" x14ac:dyDescent="0.2">
      <c r="D4226" s="341"/>
      <c r="F4226" s="343"/>
      <c r="G4226" s="343"/>
      <c r="H4226" s="343"/>
      <c r="I4226" s="343"/>
      <c r="J4226" s="343"/>
      <c r="K4226" s="343"/>
      <c r="L4226" s="343"/>
    </row>
    <row r="4227" spans="4:12" x14ac:dyDescent="0.2">
      <c r="D4227" s="341"/>
      <c r="F4227" s="343"/>
      <c r="G4227" s="343"/>
      <c r="H4227" s="343"/>
      <c r="I4227" s="343"/>
      <c r="J4227" s="343"/>
      <c r="K4227" s="343"/>
      <c r="L4227" s="343"/>
    </row>
    <row r="4228" spans="4:12" x14ac:dyDescent="0.2">
      <c r="D4228" s="341"/>
      <c r="F4228" s="343"/>
      <c r="G4228" s="343"/>
      <c r="H4228" s="343"/>
      <c r="I4228" s="343"/>
      <c r="J4228" s="343"/>
      <c r="K4228" s="343"/>
      <c r="L4228" s="343"/>
    </row>
    <row r="4229" spans="4:12" x14ac:dyDescent="0.2">
      <c r="D4229" s="341"/>
      <c r="F4229" s="343"/>
      <c r="G4229" s="343"/>
      <c r="H4229" s="343"/>
      <c r="I4229" s="343"/>
      <c r="J4229" s="343"/>
      <c r="K4229" s="343"/>
      <c r="L4229" s="343"/>
    </row>
    <row r="4230" spans="4:12" x14ac:dyDescent="0.2">
      <c r="D4230" s="341"/>
      <c r="F4230" s="343"/>
      <c r="G4230" s="343"/>
      <c r="H4230" s="343"/>
      <c r="I4230" s="343"/>
      <c r="J4230" s="343"/>
      <c r="K4230" s="343"/>
      <c r="L4230" s="343"/>
    </row>
    <row r="4231" spans="4:12" x14ac:dyDescent="0.2">
      <c r="D4231" s="341"/>
      <c r="F4231" s="343"/>
      <c r="G4231" s="343"/>
      <c r="H4231" s="343"/>
      <c r="I4231" s="343"/>
      <c r="J4231" s="343"/>
      <c r="K4231" s="343"/>
      <c r="L4231" s="343"/>
    </row>
    <row r="4232" spans="4:12" x14ac:dyDescent="0.2">
      <c r="D4232" s="341"/>
      <c r="F4232" s="343"/>
      <c r="G4232" s="343"/>
      <c r="H4232" s="343"/>
      <c r="I4232" s="343"/>
      <c r="J4232" s="343"/>
      <c r="K4232" s="343"/>
      <c r="L4232" s="343"/>
    </row>
    <row r="4233" spans="4:12" x14ac:dyDescent="0.2">
      <c r="D4233" s="341"/>
      <c r="F4233" s="343"/>
      <c r="G4233" s="343"/>
      <c r="H4233" s="343"/>
      <c r="I4233" s="343"/>
      <c r="J4233" s="343"/>
      <c r="K4233" s="343"/>
      <c r="L4233" s="343"/>
    </row>
    <row r="4234" spans="4:12" x14ac:dyDescent="0.2">
      <c r="D4234" s="341"/>
      <c r="F4234" s="343"/>
      <c r="G4234" s="343"/>
      <c r="H4234" s="343"/>
      <c r="I4234" s="343"/>
      <c r="J4234" s="343"/>
      <c r="K4234" s="343"/>
      <c r="L4234" s="343"/>
    </row>
    <row r="4235" spans="4:12" x14ac:dyDescent="0.2">
      <c r="D4235" s="341"/>
      <c r="F4235" s="343"/>
      <c r="G4235" s="343"/>
      <c r="H4235" s="343"/>
      <c r="I4235" s="343"/>
      <c r="J4235" s="343"/>
      <c r="K4235" s="343"/>
      <c r="L4235" s="343"/>
    </row>
    <row r="4236" spans="4:12" x14ac:dyDescent="0.2">
      <c r="D4236" s="341"/>
      <c r="F4236" s="343"/>
      <c r="G4236" s="343"/>
      <c r="H4236" s="343"/>
      <c r="I4236" s="343"/>
      <c r="J4236" s="343"/>
      <c r="K4236" s="343"/>
      <c r="L4236" s="343"/>
    </row>
    <row r="4237" spans="4:12" x14ac:dyDescent="0.2">
      <c r="D4237" s="341"/>
      <c r="F4237" s="343"/>
      <c r="G4237" s="343"/>
      <c r="H4237" s="343"/>
      <c r="I4237" s="343"/>
      <c r="J4237" s="343"/>
      <c r="K4237" s="343"/>
      <c r="L4237" s="343"/>
    </row>
    <row r="4238" spans="4:12" x14ac:dyDescent="0.2">
      <c r="D4238" s="341"/>
      <c r="F4238" s="343"/>
      <c r="G4238" s="343"/>
      <c r="H4238" s="343"/>
      <c r="I4238" s="343"/>
      <c r="J4238" s="343"/>
      <c r="K4238" s="343"/>
      <c r="L4238" s="343"/>
    </row>
    <row r="4239" spans="4:12" x14ac:dyDescent="0.2">
      <c r="D4239" s="341"/>
      <c r="F4239" s="343"/>
      <c r="G4239" s="343"/>
      <c r="H4239" s="343"/>
      <c r="I4239" s="343"/>
      <c r="J4239" s="343"/>
      <c r="K4239" s="343"/>
      <c r="L4239" s="343"/>
    </row>
    <row r="4240" spans="4:12" x14ac:dyDescent="0.2">
      <c r="D4240" s="341"/>
      <c r="F4240" s="343"/>
      <c r="G4240" s="343"/>
      <c r="H4240" s="343"/>
      <c r="I4240" s="343"/>
      <c r="J4240" s="343"/>
      <c r="K4240" s="343"/>
      <c r="L4240" s="343"/>
    </row>
    <row r="4241" spans="4:12" x14ac:dyDescent="0.2">
      <c r="D4241" s="341"/>
      <c r="F4241" s="343"/>
      <c r="G4241" s="343"/>
      <c r="H4241" s="343"/>
      <c r="I4241" s="343"/>
      <c r="J4241" s="343"/>
      <c r="K4241" s="343"/>
      <c r="L4241" s="343"/>
    </row>
    <row r="4242" spans="4:12" x14ac:dyDescent="0.2">
      <c r="D4242" s="341"/>
      <c r="F4242" s="343"/>
      <c r="G4242" s="343"/>
      <c r="H4242" s="343"/>
      <c r="I4242" s="343"/>
      <c r="J4242" s="343"/>
      <c r="K4242" s="343"/>
      <c r="L4242" s="343"/>
    </row>
    <row r="4243" spans="4:12" x14ac:dyDescent="0.2">
      <c r="D4243" s="341"/>
      <c r="F4243" s="343"/>
      <c r="G4243" s="343"/>
      <c r="H4243" s="343"/>
      <c r="I4243" s="343"/>
      <c r="J4243" s="343"/>
      <c r="K4243" s="343"/>
      <c r="L4243" s="343"/>
    </row>
    <row r="4244" spans="4:12" x14ac:dyDescent="0.2">
      <c r="D4244" s="341"/>
      <c r="F4244" s="343"/>
      <c r="G4244" s="343"/>
      <c r="H4244" s="343"/>
      <c r="I4244" s="343"/>
      <c r="J4244" s="343"/>
      <c r="K4244" s="343"/>
      <c r="L4244" s="343"/>
    </row>
    <row r="4245" spans="4:12" x14ac:dyDescent="0.2">
      <c r="D4245" s="341"/>
      <c r="F4245" s="343"/>
      <c r="G4245" s="343"/>
      <c r="H4245" s="343"/>
      <c r="I4245" s="343"/>
      <c r="J4245" s="343"/>
      <c r="K4245" s="343"/>
      <c r="L4245" s="343"/>
    </row>
    <row r="4246" spans="4:12" x14ac:dyDescent="0.2">
      <c r="D4246" s="341"/>
      <c r="F4246" s="343"/>
      <c r="G4246" s="343"/>
      <c r="H4246" s="343"/>
      <c r="I4246" s="343"/>
      <c r="J4246" s="343"/>
      <c r="K4246" s="343"/>
      <c r="L4246" s="343"/>
    </row>
    <row r="4247" spans="4:12" x14ac:dyDescent="0.2">
      <c r="D4247" s="341"/>
      <c r="F4247" s="343"/>
      <c r="G4247" s="343"/>
      <c r="H4247" s="343"/>
      <c r="I4247" s="343"/>
      <c r="J4247" s="343"/>
      <c r="K4247" s="343"/>
      <c r="L4247" s="343"/>
    </row>
    <row r="4248" spans="4:12" x14ac:dyDescent="0.2">
      <c r="D4248" s="341"/>
      <c r="F4248" s="343"/>
      <c r="G4248" s="343"/>
      <c r="H4248" s="343"/>
      <c r="I4248" s="343"/>
      <c r="J4248" s="343"/>
      <c r="K4248" s="343"/>
      <c r="L4248" s="343"/>
    </row>
    <row r="4249" spans="4:12" x14ac:dyDescent="0.2">
      <c r="D4249" s="341"/>
      <c r="F4249" s="343"/>
      <c r="G4249" s="343"/>
      <c r="H4249" s="343"/>
      <c r="I4249" s="343"/>
      <c r="J4249" s="343"/>
      <c r="K4249" s="343"/>
      <c r="L4249" s="343"/>
    </row>
    <row r="4250" spans="4:12" x14ac:dyDescent="0.2">
      <c r="D4250" s="341"/>
      <c r="F4250" s="343"/>
      <c r="G4250" s="343"/>
      <c r="H4250" s="343"/>
      <c r="I4250" s="343"/>
      <c r="J4250" s="343"/>
      <c r="K4250" s="343"/>
      <c r="L4250" s="343"/>
    </row>
    <row r="4251" spans="4:12" x14ac:dyDescent="0.2">
      <c r="D4251" s="341"/>
      <c r="F4251" s="343"/>
      <c r="G4251" s="343"/>
      <c r="H4251" s="343"/>
      <c r="I4251" s="343"/>
      <c r="J4251" s="343"/>
      <c r="K4251" s="343"/>
      <c r="L4251" s="343"/>
    </row>
    <row r="4252" spans="4:12" x14ac:dyDescent="0.2">
      <c r="D4252" s="341"/>
      <c r="F4252" s="343"/>
      <c r="G4252" s="343"/>
      <c r="H4252" s="343"/>
      <c r="I4252" s="343"/>
      <c r="J4252" s="343"/>
      <c r="K4252" s="343"/>
      <c r="L4252" s="343"/>
    </row>
    <row r="4253" spans="4:12" x14ac:dyDescent="0.2">
      <c r="D4253" s="341"/>
      <c r="F4253" s="343"/>
      <c r="G4253" s="343"/>
      <c r="H4253" s="343"/>
      <c r="I4253" s="343"/>
      <c r="J4253" s="343"/>
      <c r="K4253" s="343"/>
      <c r="L4253" s="343"/>
    </row>
    <row r="4254" spans="4:12" x14ac:dyDescent="0.2">
      <c r="D4254" s="341"/>
      <c r="F4254" s="343"/>
      <c r="G4254" s="343"/>
      <c r="H4254" s="343"/>
      <c r="I4254" s="343"/>
      <c r="J4254" s="343"/>
      <c r="K4254" s="343"/>
      <c r="L4254" s="343"/>
    </row>
    <row r="4255" spans="4:12" x14ac:dyDescent="0.2">
      <c r="D4255" s="341"/>
      <c r="F4255" s="343"/>
      <c r="G4255" s="343"/>
      <c r="H4255" s="343"/>
      <c r="I4255" s="343"/>
      <c r="J4255" s="343"/>
      <c r="K4255" s="343"/>
      <c r="L4255" s="343"/>
    </row>
    <row r="4256" spans="4:12" x14ac:dyDescent="0.2">
      <c r="D4256" s="341"/>
      <c r="F4256" s="343"/>
      <c r="G4256" s="343"/>
      <c r="H4256" s="343"/>
      <c r="I4256" s="343"/>
      <c r="J4256" s="343"/>
      <c r="K4256" s="343"/>
      <c r="L4256" s="343"/>
    </row>
    <row r="4257" spans="4:12" x14ac:dyDescent="0.2">
      <c r="D4257" s="341"/>
      <c r="F4257" s="343"/>
      <c r="G4257" s="343"/>
      <c r="H4257" s="343"/>
      <c r="I4257" s="343"/>
      <c r="J4257" s="343"/>
      <c r="K4257" s="343"/>
      <c r="L4257" s="343"/>
    </row>
    <row r="4258" spans="4:12" x14ac:dyDescent="0.2">
      <c r="D4258" s="341"/>
      <c r="F4258" s="343"/>
      <c r="G4258" s="343"/>
      <c r="H4258" s="343"/>
      <c r="I4258" s="343"/>
      <c r="J4258" s="343"/>
      <c r="K4258" s="343"/>
      <c r="L4258" s="343"/>
    </row>
    <row r="4259" spans="4:12" x14ac:dyDescent="0.2">
      <c r="D4259" s="341"/>
      <c r="F4259" s="343"/>
      <c r="G4259" s="343"/>
      <c r="H4259" s="343"/>
      <c r="I4259" s="343"/>
      <c r="J4259" s="343"/>
      <c r="K4259" s="343"/>
      <c r="L4259" s="343"/>
    </row>
    <row r="4260" spans="4:12" x14ac:dyDescent="0.2">
      <c r="D4260" s="341"/>
      <c r="F4260" s="343"/>
      <c r="G4260" s="343"/>
      <c r="H4260" s="343"/>
      <c r="I4260" s="343"/>
      <c r="J4260" s="343"/>
      <c r="K4260" s="343"/>
      <c r="L4260" s="343"/>
    </row>
    <row r="4261" spans="4:12" x14ac:dyDescent="0.2">
      <c r="D4261" s="341"/>
      <c r="F4261" s="343"/>
      <c r="G4261" s="343"/>
      <c r="H4261" s="343"/>
      <c r="I4261" s="343"/>
      <c r="J4261" s="343"/>
      <c r="K4261" s="343"/>
      <c r="L4261" s="343"/>
    </row>
    <row r="4262" spans="4:12" x14ac:dyDescent="0.2">
      <c r="D4262" s="341"/>
      <c r="F4262" s="343"/>
      <c r="G4262" s="343"/>
      <c r="H4262" s="343"/>
      <c r="I4262" s="343"/>
      <c r="J4262" s="343"/>
      <c r="K4262" s="343"/>
      <c r="L4262" s="343"/>
    </row>
    <row r="4263" spans="4:12" x14ac:dyDescent="0.2">
      <c r="D4263" s="341"/>
      <c r="F4263" s="343"/>
      <c r="G4263" s="343"/>
      <c r="H4263" s="343"/>
      <c r="I4263" s="343"/>
      <c r="J4263" s="343"/>
      <c r="K4263" s="343"/>
      <c r="L4263" s="343"/>
    </row>
    <row r="4264" spans="4:12" x14ac:dyDescent="0.2">
      <c r="D4264" s="341"/>
      <c r="F4264" s="343"/>
      <c r="G4264" s="343"/>
      <c r="H4264" s="343"/>
      <c r="I4264" s="343"/>
      <c r="J4264" s="343"/>
      <c r="K4264" s="343"/>
      <c r="L4264" s="343"/>
    </row>
    <row r="4265" spans="4:12" x14ac:dyDescent="0.2">
      <c r="D4265" s="341"/>
      <c r="F4265" s="343"/>
      <c r="G4265" s="343"/>
      <c r="H4265" s="343"/>
      <c r="I4265" s="343"/>
      <c r="J4265" s="343"/>
      <c r="K4265" s="343"/>
      <c r="L4265" s="343"/>
    </row>
    <row r="4266" spans="4:12" x14ac:dyDescent="0.2">
      <c r="D4266" s="341"/>
      <c r="F4266" s="343"/>
      <c r="G4266" s="343"/>
      <c r="H4266" s="343"/>
      <c r="I4266" s="343"/>
      <c r="J4266" s="343"/>
      <c r="K4266" s="343"/>
      <c r="L4266" s="343"/>
    </row>
    <row r="4267" spans="4:12" x14ac:dyDescent="0.2">
      <c r="D4267" s="341"/>
      <c r="F4267" s="343"/>
      <c r="G4267" s="343"/>
      <c r="H4267" s="343"/>
      <c r="I4267" s="343"/>
      <c r="J4267" s="343"/>
      <c r="K4267" s="343"/>
      <c r="L4267" s="343"/>
    </row>
    <row r="4268" spans="4:12" x14ac:dyDescent="0.2">
      <c r="D4268" s="341"/>
      <c r="F4268" s="343"/>
      <c r="G4268" s="343"/>
      <c r="H4268" s="343"/>
      <c r="I4268" s="343"/>
      <c r="J4268" s="343"/>
      <c r="K4268" s="343"/>
      <c r="L4268" s="343"/>
    </row>
    <row r="4269" spans="4:12" x14ac:dyDescent="0.2">
      <c r="D4269" s="341"/>
      <c r="F4269" s="343"/>
      <c r="G4269" s="343"/>
      <c r="H4269" s="343"/>
      <c r="I4269" s="343"/>
      <c r="J4269" s="343"/>
      <c r="K4269" s="343"/>
      <c r="L4269" s="343"/>
    </row>
    <row r="4270" spans="4:12" x14ac:dyDescent="0.2">
      <c r="D4270" s="341"/>
      <c r="F4270" s="343"/>
      <c r="G4270" s="343"/>
      <c r="H4270" s="343"/>
      <c r="I4270" s="343"/>
      <c r="J4270" s="343"/>
      <c r="K4270" s="343"/>
      <c r="L4270" s="343"/>
    </row>
    <row r="4271" spans="4:12" x14ac:dyDescent="0.2">
      <c r="D4271" s="341"/>
      <c r="F4271" s="343"/>
      <c r="G4271" s="343"/>
      <c r="H4271" s="343"/>
      <c r="I4271" s="343"/>
      <c r="J4271" s="343"/>
      <c r="K4271" s="343"/>
      <c r="L4271" s="343"/>
    </row>
    <row r="4272" spans="4:12" x14ac:dyDescent="0.2">
      <c r="D4272" s="341"/>
      <c r="F4272" s="343"/>
      <c r="G4272" s="343"/>
      <c r="H4272" s="343"/>
      <c r="I4272" s="343"/>
      <c r="J4272" s="343"/>
      <c r="K4272" s="343"/>
      <c r="L4272" s="343"/>
    </row>
    <row r="4273" spans="4:12" x14ac:dyDescent="0.2">
      <c r="D4273" s="341"/>
      <c r="F4273" s="343"/>
      <c r="G4273" s="343"/>
      <c r="H4273" s="343"/>
      <c r="I4273" s="343"/>
      <c r="J4273" s="343"/>
      <c r="K4273" s="343"/>
      <c r="L4273" s="343"/>
    </row>
    <row r="4274" spans="4:12" x14ac:dyDescent="0.2">
      <c r="D4274" s="341"/>
      <c r="F4274" s="343"/>
      <c r="G4274" s="343"/>
      <c r="H4274" s="343"/>
      <c r="I4274" s="343"/>
      <c r="J4274" s="343"/>
      <c r="K4274" s="343"/>
      <c r="L4274" s="343"/>
    </row>
    <row r="4275" spans="4:12" x14ac:dyDescent="0.2">
      <c r="D4275" s="341"/>
      <c r="F4275" s="343"/>
      <c r="G4275" s="343"/>
      <c r="H4275" s="343"/>
      <c r="I4275" s="343"/>
      <c r="J4275" s="343"/>
      <c r="K4275" s="343"/>
      <c r="L4275" s="343"/>
    </row>
    <row r="4276" spans="4:12" x14ac:dyDescent="0.2">
      <c r="D4276" s="341"/>
      <c r="F4276" s="343"/>
      <c r="G4276" s="343"/>
      <c r="H4276" s="343"/>
      <c r="I4276" s="343"/>
      <c r="J4276" s="343"/>
      <c r="K4276" s="343"/>
      <c r="L4276" s="343"/>
    </row>
    <row r="4277" spans="4:12" x14ac:dyDescent="0.2">
      <c r="D4277" s="341"/>
      <c r="F4277" s="343"/>
      <c r="G4277" s="343"/>
      <c r="H4277" s="343"/>
      <c r="I4277" s="343"/>
      <c r="J4277" s="343"/>
      <c r="K4277" s="343"/>
      <c r="L4277" s="343"/>
    </row>
    <row r="4278" spans="4:12" x14ac:dyDescent="0.2">
      <c r="D4278" s="341"/>
      <c r="F4278" s="343"/>
      <c r="G4278" s="343"/>
      <c r="H4278" s="343"/>
      <c r="I4278" s="343"/>
      <c r="J4278" s="343"/>
      <c r="K4278" s="343"/>
      <c r="L4278" s="343"/>
    </row>
    <row r="4279" spans="4:12" x14ac:dyDescent="0.2">
      <c r="D4279" s="341"/>
      <c r="F4279" s="343"/>
      <c r="G4279" s="343"/>
      <c r="H4279" s="343"/>
      <c r="I4279" s="343"/>
      <c r="J4279" s="343"/>
      <c r="K4279" s="343"/>
      <c r="L4279" s="343"/>
    </row>
    <row r="4280" spans="4:12" x14ac:dyDescent="0.2">
      <c r="D4280" s="341"/>
      <c r="F4280" s="343"/>
      <c r="G4280" s="343"/>
      <c r="H4280" s="343"/>
      <c r="I4280" s="343"/>
      <c r="J4280" s="343"/>
      <c r="K4280" s="343"/>
      <c r="L4280" s="343"/>
    </row>
    <row r="4281" spans="4:12" x14ac:dyDescent="0.2">
      <c r="D4281" s="341"/>
      <c r="F4281" s="343"/>
      <c r="G4281" s="343"/>
      <c r="H4281" s="343"/>
      <c r="I4281" s="343"/>
      <c r="J4281" s="343"/>
      <c r="K4281" s="343"/>
      <c r="L4281" s="343"/>
    </row>
    <row r="4282" spans="4:12" x14ac:dyDescent="0.2">
      <c r="D4282" s="341"/>
      <c r="F4282" s="343"/>
      <c r="G4282" s="343"/>
      <c r="H4282" s="343"/>
      <c r="I4282" s="343"/>
      <c r="J4282" s="343"/>
      <c r="K4282" s="343"/>
      <c r="L4282" s="343"/>
    </row>
    <row r="4283" spans="4:12" x14ac:dyDescent="0.2">
      <c r="D4283" s="341"/>
      <c r="F4283" s="343"/>
      <c r="G4283" s="343"/>
      <c r="H4283" s="343"/>
      <c r="I4283" s="343"/>
      <c r="J4283" s="343"/>
      <c r="K4283" s="343"/>
      <c r="L4283" s="343"/>
    </row>
    <row r="4284" spans="4:12" x14ac:dyDescent="0.2">
      <c r="D4284" s="341"/>
      <c r="F4284" s="343"/>
      <c r="G4284" s="343"/>
      <c r="H4284" s="343"/>
      <c r="I4284" s="343"/>
      <c r="J4284" s="343"/>
      <c r="K4284" s="343"/>
      <c r="L4284" s="343"/>
    </row>
    <row r="4285" spans="4:12" x14ac:dyDescent="0.2">
      <c r="D4285" s="341"/>
      <c r="F4285" s="343"/>
      <c r="G4285" s="343"/>
      <c r="H4285" s="343"/>
      <c r="I4285" s="343"/>
      <c r="J4285" s="343"/>
      <c r="K4285" s="343"/>
      <c r="L4285" s="343"/>
    </row>
    <row r="4286" spans="4:12" x14ac:dyDescent="0.2">
      <c r="D4286" s="341"/>
      <c r="F4286" s="343"/>
      <c r="G4286" s="343"/>
      <c r="H4286" s="343"/>
      <c r="I4286" s="343"/>
      <c r="J4286" s="343"/>
      <c r="K4286" s="343"/>
      <c r="L4286" s="343"/>
    </row>
    <row r="4287" spans="4:12" x14ac:dyDescent="0.2">
      <c r="D4287" s="341"/>
      <c r="F4287" s="343"/>
      <c r="G4287" s="343"/>
      <c r="H4287" s="343"/>
      <c r="I4287" s="343"/>
      <c r="J4287" s="343"/>
      <c r="K4287" s="343"/>
      <c r="L4287" s="343"/>
    </row>
    <row r="4288" spans="4:12" x14ac:dyDescent="0.2">
      <c r="D4288" s="341"/>
      <c r="F4288" s="343"/>
      <c r="G4288" s="343"/>
      <c r="H4288" s="343"/>
      <c r="I4288" s="343"/>
      <c r="J4288" s="343"/>
      <c r="K4288" s="343"/>
      <c r="L4288" s="343"/>
    </row>
    <row r="4289" spans="4:12" x14ac:dyDescent="0.2">
      <c r="D4289" s="341"/>
      <c r="F4289" s="343"/>
      <c r="G4289" s="343"/>
      <c r="H4289" s="343"/>
      <c r="I4289" s="343"/>
      <c r="J4289" s="343"/>
      <c r="K4289" s="343"/>
      <c r="L4289" s="343"/>
    </row>
    <row r="4290" spans="4:12" x14ac:dyDescent="0.2">
      <c r="D4290" s="341"/>
      <c r="F4290" s="343"/>
      <c r="G4290" s="343"/>
      <c r="H4290" s="343"/>
      <c r="I4290" s="343"/>
      <c r="J4290" s="343"/>
      <c r="K4290" s="343"/>
      <c r="L4290" s="343"/>
    </row>
    <row r="4291" spans="4:12" x14ac:dyDescent="0.2">
      <c r="D4291" s="341"/>
      <c r="F4291" s="343"/>
      <c r="G4291" s="343"/>
      <c r="H4291" s="343"/>
      <c r="I4291" s="343"/>
      <c r="J4291" s="343"/>
      <c r="K4291" s="343"/>
      <c r="L4291" s="343"/>
    </row>
    <row r="4292" spans="4:12" x14ac:dyDescent="0.2">
      <c r="D4292" s="341"/>
      <c r="F4292" s="343"/>
      <c r="G4292" s="343"/>
      <c r="H4292" s="343"/>
      <c r="I4292" s="343"/>
      <c r="J4292" s="343"/>
      <c r="K4292" s="343"/>
      <c r="L4292" s="343"/>
    </row>
    <row r="4293" spans="4:12" x14ac:dyDescent="0.2">
      <c r="D4293" s="341"/>
      <c r="F4293" s="343"/>
      <c r="G4293" s="343"/>
      <c r="H4293" s="343"/>
      <c r="I4293" s="343"/>
      <c r="J4293" s="343"/>
      <c r="K4293" s="343"/>
      <c r="L4293" s="343"/>
    </row>
    <row r="4294" spans="4:12" x14ac:dyDescent="0.2">
      <c r="D4294" s="341"/>
      <c r="F4294" s="343"/>
      <c r="G4294" s="343"/>
      <c r="H4294" s="343"/>
      <c r="I4294" s="343"/>
      <c r="J4294" s="343"/>
      <c r="K4294" s="343"/>
      <c r="L4294" s="343"/>
    </row>
    <row r="4295" spans="4:12" x14ac:dyDescent="0.2">
      <c r="D4295" s="341"/>
      <c r="F4295" s="343"/>
      <c r="G4295" s="343"/>
      <c r="H4295" s="343"/>
      <c r="I4295" s="343"/>
      <c r="J4295" s="343"/>
      <c r="K4295" s="343"/>
      <c r="L4295" s="343"/>
    </row>
    <row r="4296" spans="4:12" x14ac:dyDescent="0.2">
      <c r="D4296" s="341"/>
      <c r="F4296" s="343"/>
      <c r="G4296" s="343"/>
      <c r="H4296" s="343"/>
      <c r="I4296" s="343"/>
      <c r="J4296" s="343"/>
      <c r="K4296" s="343"/>
      <c r="L4296" s="343"/>
    </row>
    <row r="4297" spans="4:12" x14ac:dyDescent="0.2">
      <c r="D4297" s="341"/>
      <c r="F4297" s="343"/>
      <c r="G4297" s="343"/>
      <c r="H4297" s="343"/>
      <c r="I4297" s="343"/>
      <c r="J4297" s="343"/>
      <c r="K4297" s="343"/>
      <c r="L4297" s="343"/>
    </row>
    <row r="4298" spans="4:12" x14ac:dyDescent="0.2">
      <c r="D4298" s="341"/>
      <c r="F4298" s="343"/>
      <c r="G4298" s="343"/>
      <c r="H4298" s="343"/>
      <c r="I4298" s="343"/>
      <c r="J4298" s="343"/>
      <c r="K4298" s="343"/>
      <c r="L4298" s="343"/>
    </row>
    <row r="4299" spans="4:12" x14ac:dyDescent="0.2">
      <c r="D4299" s="341"/>
      <c r="F4299" s="343"/>
      <c r="G4299" s="343"/>
      <c r="H4299" s="343"/>
      <c r="I4299" s="343"/>
      <c r="J4299" s="343"/>
      <c r="K4299" s="343"/>
      <c r="L4299" s="343"/>
    </row>
    <row r="4300" spans="4:12" x14ac:dyDescent="0.2">
      <c r="D4300" s="341"/>
      <c r="F4300" s="343"/>
      <c r="G4300" s="343"/>
      <c r="H4300" s="343"/>
      <c r="I4300" s="343"/>
      <c r="J4300" s="343"/>
      <c r="K4300" s="343"/>
      <c r="L4300" s="343"/>
    </row>
    <row r="4301" spans="4:12" x14ac:dyDescent="0.2">
      <c r="D4301" s="341"/>
      <c r="F4301" s="343"/>
      <c r="G4301" s="343"/>
      <c r="H4301" s="343"/>
      <c r="I4301" s="343"/>
      <c r="J4301" s="343"/>
      <c r="K4301" s="343"/>
      <c r="L4301" s="343"/>
    </row>
    <row r="4302" spans="4:12" x14ac:dyDescent="0.2">
      <c r="D4302" s="341"/>
      <c r="F4302" s="343"/>
      <c r="G4302" s="343"/>
      <c r="H4302" s="343"/>
      <c r="I4302" s="343"/>
      <c r="J4302" s="343"/>
      <c r="K4302" s="343"/>
      <c r="L4302" s="343"/>
    </row>
    <row r="4303" spans="4:12" x14ac:dyDescent="0.2">
      <c r="D4303" s="341"/>
      <c r="F4303" s="343"/>
      <c r="G4303" s="343"/>
      <c r="H4303" s="343"/>
      <c r="I4303" s="343"/>
      <c r="J4303" s="343"/>
      <c r="K4303" s="343"/>
      <c r="L4303" s="343"/>
    </row>
    <row r="4304" spans="4:12" x14ac:dyDescent="0.2">
      <c r="D4304" s="341"/>
      <c r="F4304" s="343"/>
      <c r="G4304" s="343"/>
      <c r="H4304" s="343"/>
      <c r="I4304" s="343"/>
      <c r="J4304" s="343"/>
      <c r="K4304" s="343"/>
      <c r="L4304" s="343"/>
    </row>
    <row r="4305" spans="4:12" x14ac:dyDescent="0.2">
      <c r="D4305" s="341"/>
      <c r="F4305" s="343"/>
      <c r="G4305" s="343"/>
      <c r="H4305" s="343"/>
      <c r="I4305" s="343"/>
      <c r="J4305" s="343"/>
      <c r="K4305" s="343"/>
      <c r="L4305" s="343"/>
    </row>
    <row r="4306" spans="4:12" x14ac:dyDescent="0.2">
      <c r="D4306" s="341"/>
      <c r="F4306" s="343"/>
      <c r="G4306" s="343"/>
      <c r="H4306" s="343"/>
      <c r="I4306" s="343"/>
      <c r="J4306" s="343"/>
      <c r="K4306" s="343"/>
      <c r="L4306" s="343"/>
    </row>
    <row r="4307" spans="4:12" x14ac:dyDescent="0.2">
      <c r="D4307" s="341"/>
      <c r="F4307" s="343"/>
      <c r="G4307" s="343"/>
      <c r="H4307" s="343"/>
      <c r="I4307" s="343"/>
      <c r="J4307" s="343"/>
      <c r="K4307" s="343"/>
      <c r="L4307" s="343"/>
    </row>
    <row r="4308" spans="4:12" x14ac:dyDescent="0.2">
      <c r="D4308" s="341"/>
      <c r="F4308" s="343"/>
      <c r="G4308" s="343"/>
      <c r="H4308" s="343"/>
      <c r="I4308" s="343"/>
      <c r="J4308" s="343"/>
      <c r="K4308" s="343"/>
      <c r="L4308" s="343"/>
    </row>
    <row r="4309" spans="4:12" x14ac:dyDescent="0.2">
      <c r="D4309" s="341"/>
      <c r="F4309" s="343"/>
      <c r="G4309" s="343"/>
      <c r="H4309" s="343"/>
      <c r="I4309" s="343"/>
      <c r="J4309" s="343"/>
      <c r="K4309" s="343"/>
      <c r="L4309" s="343"/>
    </row>
    <row r="4310" spans="4:12" x14ac:dyDescent="0.2">
      <c r="D4310" s="341"/>
      <c r="F4310" s="343"/>
      <c r="G4310" s="343"/>
      <c r="H4310" s="343"/>
      <c r="I4310" s="343"/>
      <c r="J4310" s="343"/>
      <c r="K4310" s="343"/>
      <c r="L4310" s="343"/>
    </row>
    <row r="4311" spans="4:12" x14ac:dyDescent="0.2">
      <c r="D4311" s="341"/>
      <c r="F4311" s="343"/>
      <c r="G4311" s="343"/>
      <c r="H4311" s="343"/>
      <c r="I4311" s="343"/>
      <c r="J4311" s="343"/>
      <c r="K4311" s="343"/>
      <c r="L4311" s="343"/>
    </row>
    <row r="4312" spans="4:12" x14ac:dyDescent="0.2">
      <c r="D4312" s="341"/>
      <c r="F4312" s="343"/>
      <c r="G4312" s="343"/>
      <c r="H4312" s="343"/>
      <c r="I4312" s="343"/>
      <c r="J4312" s="343"/>
      <c r="K4312" s="343"/>
      <c r="L4312" s="343"/>
    </row>
    <row r="4313" spans="4:12" x14ac:dyDescent="0.2">
      <c r="D4313" s="341"/>
      <c r="F4313" s="343"/>
      <c r="G4313" s="343"/>
      <c r="H4313" s="343"/>
      <c r="I4313" s="343"/>
      <c r="J4313" s="343"/>
      <c r="K4313" s="343"/>
      <c r="L4313" s="343"/>
    </row>
    <row r="4314" spans="4:12" x14ac:dyDescent="0.2">
      <c r="D4314" s="341"/>
      <c r="F4314" s="343"/>
      <c r="G4314" s="343"/>
      <c r="H4314" s="343"/>
      <c r="I4314" s="343"/>
      <c r="J4314" s="343"/>
      <c r="K4314" s="343"/>
      <c r="L4314" s="343"/>
    </row>
    <row r="4315" spans="4:12" x14ac:dyDescent="0.2">
      <c r="D4315" s="341"/>
      <c r="F4315" s="343"/>
      <c r="G4315" s="343"/>
      <c r="H4315" s="343"/>
      <c r="I4315" s="343"/>
      <c r="J4315" s="343"/>
      <c r="K4315" s="343"/>
      <c r="L4315" s="343"/>
    </row>
    <row r="4316" spans="4:12" x14ac:dyDescent="0.2">
      <c r="D4316" s="341"/>
      <c r="F4316" s="343"/>
      <c r="G4316" s="343"/>
      <c r="H4316" s="343"/>
      <c r="I4316" s="343"/>
      <c r="J4316" s="343"/>
      <c r="K4316" s="343"/>
      <c r="L4316" s="343"/>
    </row>
    <row r="4317" spans="4:12" x14ac:dyDescent="0.2">
      <c r="D4317" s="341"/>
      <c r="F4317" s="343"/>
      <c r="G4317" s="343"/>
      <c r="H4317" s="343"/>
      <c r="I4317" s="343"/>
      <c r="J4317" s="343"/>
      <c r="K4317" s="343"/>
      <c r="L4317" s="343"/>
    </row>
    <row r="4318" spans="4:12" x14ac:dyDescent="0.2">
      <c r="D4318" s="341"/>
      <c r="F4318" s="343"/>
      <c r="G4318" s="343"/>
      <c r="H4318" s="343"/>
      <c r="I4318" s="343"/>
      <c r="J4318" s="343"/>
      <c r="K4318" s="343"/>
      <c r="L4318" s="343"/>
    </row>
    <row r="4319" spans="4:12" x14ac:dyDescent="0.2">
      <c r="D4319" s="341"/>
      <c r="F4319" s="343"/>
      <c r="G4319" s="343"/>
      <c r="H4319" s="343"/>
      <c r="I4319" s="343"/>
      <c r="J4319" s="343"/>
      <c r="K4319" s="343"/>
      <c r="L4319" s="343"/>
    </row>
    <row r="4320" spans="4:12" x14ac:dyDescent="0.2">
      <c r="D4320" s="341"/>
      <c r="F4320" s="343"/>
      <c r="G4320" s="343"/>
      <c r="H4320" s="343"/>
      <c r="I4320" s="343"/>
      <c r="J4320" s="343"/>
      <c r="K4320" s="343"/>
      <c r="L4320" s="343"/>
    </row>
    <row r="4321" spans="4:12" x14ac:dyDescent="0.2">
      <c r="D4321" s="341"/>
      <c r="F4321" s="343"/>
      <c r="G4321" s="343"/>
      <c r="H4321" s="343"/>
      <c r="I4321" s="343"/>
      <c r="J4321" s="343"/>
      <c r="K4321" s="343"/>
      <c r="L4321" s="343"/>
    </row>
    <row r="4322" spans="4:12" x14ac:dyDescent="0.2">
      <c r="D4322" s="341"/>
      <c r="F4322" s="343"/>
      <c r="G4322" s="343"/>
      <c r="H4322" s="343"/>
      <c r="I4322" s="343"/>
      <c r="J4322" s="343"/>
      <c r="K4322" s="343"/>
      <c r="L4322" s="343"/>
    </row>
    <row r="4323" spans="4:12" x14ac:dyDescent="0.2">
      <c r="D4323" s="341"/>
      <c r="F4323" s="343"/>
      <c r="G4323" s="343"/>
      <c r="H4323" s="343"/>
      <c r="I4323" s="343"/>
      <c r="J4323" s="343"/>
      <c r="K4323" s="343"/>
      <c r="L4323" s="343"/>
    </row>
    <row r="4324" spans="4:12" x14ac:dyDescent="0.2">
      <c r="D4324" s="341"/>
      <c r="F4324" s="343"/>
      <c r="G4324" s="343"/>
      <c r="H4324" s="343"/>
      <c r="I4324" s="343"/>
      <c r="J4324" s="343"/>
      <c r="K4324" s="343"/>
      <c r="L4324" s="343"/>
    </row>
    <row r="4325" spans="4:12" x14ac:dyDescent="0.2">
      <c r="D4325" s="341"/>
      <c r="F4325" s="343"/>
      <c r="G4325" s="343"/>
      <c r="H4325" s="343"/>
      <c r="I4325" s="343"/>
      <c r="J4325" s="343"/>
      <c r="K4325" s="343"/>
      <c r="L4325" s="343"/>
    </row>
    <row r="4326" spans="4:12" x14ac:dyDescent="0.2">
      <c r="D4326" s="341"/>
      <c r="F4326" s="343"/>
      <c r="G4326" s="343"/>
      <c r="H4326" s="343"/>
      <c r="I4326" s="343"/>
      <c r="J4326" s="343"/>
      <c r="K4326" s="343"/>
      <c r="L4326" s="343"/>
    </row>
    <row r="4327" spans="4:12" x14ac:dyDescent="0.2">
      <c r="D4327" s="341"/>
      <c r="F4327" s="343"/>
      <c r="G4327" s="343"/>
      <c r="H4327" s="343"/>
      <c r="I4327" s="343"/>
      <c r="J4327" s="343"/>
      <c r="K4327" s="343"/>
      <c r="L4327" s="343"/>
    </row>
    <row r="4328" spans="4:12" x14ac:dyDescent="0.2">
      <c r="D4328" s="341"/>
      <c r="F4328" s="343"/>
      <c r="G4328" s="343"/>
      <c r="H4328" s="343"/>
      <c r="I4328" s="343"/>
      <c r="J4328" s="343"/>
      <c r="K4328" s="343"/>
      <c r="L4328" s="343"/>
    </row>
    <row r="4329" spans="4:12" x14ac:dyDescent="0.2">
      <c r="D4329" s="341"/>
      <c r="F4329" s="343"/>
      <c r="G4329" s="343"/>
      <c r="H4329" s="343"/>
      <c r="I4329" s="343"/>
      <c r="J4329" s="343"/>
      <c r="K4329" s="343"/>
      <c r="L4329" s="343"/>
    </row>
    <row r="4330" spans="4:12" x14ac:dyDescent="0.2">
      <c r="D4330" s="341"/>
      <c r="F4330" s="343"/>
      <c r="G4330" s="343"/>
      <c r="H4330" s="343"/>
      <c r="I4330" s="343"/>
      <c r="J4330" s="343"/>
      <c r="K4330" s="343"/>
      <c r="L4330" s="343"/>
    </row>
    <row r="4331" spans="4:12" x14ac:dyDescent="0.2">
      <c r="D4331" s="341"/>
      <c r="F4331" s="343"/>
      <c r="G4331" s="343"/>
      <c r="H4331" s="343"/>
      <c r="I4331" s="343"/>
      <c r="J4331" s="343"/>
      <c r="K4331" s="343"/>
      <c r="L4331" s="343"/>
    </row>
    <row r="4332" spans="4:12" x14ac:dyDescent="0.2">
      <c r="D4332" s="341"/>
      <c r="F4332" s="343"/>
      <c r="G4332" s="343"/>
      <c r="H4332" s="343"/>
      <c r="I4332" s="343"/>
      <c r="J4332" s="343"/>
      <c r="K4332" s="343"/>
      <c r="L4332" s="343"/>
    </row>
    <row r="4333" spans="4:12" x14ac:dyDescent="0.2">
      <c r="D4333" s="341"/>
      <c r="F4333" s="343"/>
      <c r="G4333" s="343"/>
      <c r="H4333" s="343"/>
      <c r="I4333" s="343"/>
      <c r="J4333" s="343"/>
      <c r="K4333" s="343"/>
      <c r="L4333" s="343"/>
    </row>
    <row r="4334" spans="4:12" x14ac:dyDescent="0.2">
      <c r="D4334" s="341"/>
      <c r="F4334" s="343"/>
      <c r="G4334" s="343"/>
      <c r="H4334" s="343"/>
      <c r="I4334" s="343"/>
      <c r="J4334" s="343"/>
      <c r="K4334" s="343"/>
      <c r="L4334" s="343"/>
    </row>
    <row r="4335" spans="4:12" x14ac:dyDescent="0.2">
      <c r="D4335" s="341"/>
      <c r="F4335" s="343"/>
      <c r="G4335" s="343"/>
      <c r="H4335" s="343"/>
      <c r="I4335" s="343"/>
      <c r="J4335" s="343"/>
      <c r="K4335" s="343"/>
      <c r="L4335" s="343"/>
    </row>
    <row r="4336" spans="4:12" x14ac:dyDescent="0.2">
      <c r="D4336" s="341"/>
      <c r="F4336" s="343"/>
      <c r="G4336" s="343"/>
      <c r="H4336" s="343"/>
      <c r="I4336" s="343"/>
      <c r="J4336" s="343"/>
      <c r="K4336" s="343"/>
      <c r="L4336" s="343"/>
    </row>
    <row r="4337" spans="4:12" x14ac:dyDescent="0.2">
      <c r="D4337" s="341"/>
      <c r="F4337" s="343"/>
      <c r="G4337" s="343"/>
      <c r="H4337" s="343"/>
      <c r="I4337" s="343"/>
      <c r="J4337" s="343"/>
      <c r="K4337" s="343"/>
      <c r="L4337" s="343"/>
    </row>
    <row r="4338" spans="4:12" x14ac:dyDescent="0.2">
      <c r="D4338" s="341"/>
      <c r="F4338" s="343"/>
      <c r="G4338" s="343"/>
      <c r="H4338" s="343"/>
      <c r="I4338" s="343"/>
      <c r="J4338" s="343"/>
      <c r="K4338" s="343"/>
      <c r="L4338" s="343"/>
    </row>
    <row r="4339" spans="4:12" x14ac:dyDescent="0.2">
      <c r="D4339" s="341"/>
      <c r="F4339" s="343"/>
      <c r="G4339" s="343"/>
      <c r="H4339" s="343"/>
      <c r="I4339" s="343"/>
      <c r="J4339" s="343"/>
      <c r="K4339" s="343"/>
      <c r="L4339" s="343"/>
    </row>
    <row r="4340" spans="4:12" x14ac:dyDescent="0.2">
      <c r="D4340" s="341"/>
      <c r="F4340" s="343"/>
      <c r="G4340" s="343"/>
      <c r="H4340" s="343"/>
      <c r="I4340" s="343"/>
      <c r="J4340" s="343"/>
      <c r="K4340" s="343"/>
      <c r="L4340" s="343"/>
    </row>
    <row r="4341" spans="4:12" x14ac:dyDescent="0.2">
      <c r="D4341" s="341"/>
      <c r="F4341" s="343"/>
      <c r="G4341" s="343"/>
      <c r="H4341" s="343"/>
      <c r="I4341" s="343"/>
      <c r="J4341" s="343"/>
      <c r="K4341" s="343"/>
      <c r="L4341" s="343"/>
    </row>
    <row r="4342" spans="4:12" x14ac:dyDescent="0.2">
      <c r="D4342" s="341"/>
      <c r="F4342" s="343"/>
      <c r="G4342" s="343"/>
      <c r="H4342" s="343"/>
      <c r="I4342" s="343"/>
      <c r="J4342" s="343"/>
      <c r="K4342" s="343"/>
      <c r="L4342" s="343"/>
    </row>
    <row r="4343" spans="4:12" x14ac:dyDescent="0.2">
      <c r="D4343" s="341"/>
      <c r="F4343" s="343"/>
      <c r="G4343" s="343"/>
      <c r="H4343" s="343"/>
      <c r="I4343" s="343"/>
      <c r="J4343" s="343"/>
      <c r="K4343" s="343"/>
      <c r="L4343" s="343"/>
    </row>
    <row r="4344" spans="4:12" x14ac:dyDescent="0.2">
      <c r="D4344" s="341"/>
      <c r="F4344" s="343"/>
      <c r="G4344" s="343"/>
      <c r="H4344" s="343"/>
      <c r="I4344" s="343"/>
      <c r="J4344" s="343"/>
      <c r="K4344" s="343"/>
      <c r="L4344" s="343"/>
    </row>
    <row r="4345" spans="4:12" x14ac:dyDescent="0.2">
      <c r="D4345" s="341"/>
      <c r="F4345" s="343"/>
      <c r="G4345" s="343"/>
      <c r="H4345" s="343"/>
      <c r="I4345" s="343"/>
      <c r="J4345" s="343"/>
      <c r="K4345" s="343"/>
      <c r="L4345" s="343"/>
    </row>
    <row r="4346" spans="4:12" x14ac:dyDescent="0.2">
      <c r="D4346" s="341"/>
      <c r="F4346" s="343"/>
      <c r="G4346" s="343"/>
      <c r="H4346" s="343"/>
      <c r="I4346" s="343"/>
      <c r="J4346" s="343"/>
      <c r="K4346" s="343"/>
      <c r="L4346" s="343"/>
    </row>
    <row r="4347" spans="4:12" x14ac:dyDescent="0.2">
      <c r="D4347" s="341"/>
      <c r="F4347" s="343"/>
      <c r="G4347" s="343"/>
      <c r="H4347" s="343"/>
      <c r="I4347" s="343"/>
      <c r="J4347" s="343"/>
      <c r="K4347" s="343"/>
      <c r="L4347" s="343"/>
    </row>
    <row r="4348" spans="4:12" x14ac:dyDescent="0.2">
      <c r="D4348" s="341"/>
      <c r="F4348" s="343"/>
      <c r="G4348" s="343"/>
      <c r="H4348" s="343"/>
      <c r="I4348" s="343"/>
      <c r="J4348" s="343"/>
      <c r="K4348" s="343"/>
      <c r="L4348" s="343"/>
    </row>
    <row r="4349" spans="4:12" x14ac:dyDescent="0.2">
      <c r="D4349" s="341"/>
      <c r="F4349" s="343"/>
      <c r="G4349" s="343"/>
      <c r="H4349" s="343"/>
      <c r="I4349" s="343"/>
      <c r="J4349" s="343"/>
      <c r="K4349" s="343"/>
      <c r="L4349" s="343"/>
    </row>
    <row r="4350" spans="4:12" x14ac:dyDescent="0.2">
      <c r="D4350" s="341"/>
      <c r="F4350" s="343"/>
      <c r="G4350" s="343"/>
      <c r="H4350" s="343"/>
      <c r="I4350" s="343"/>
      <c r="J4350" s="343"/>
      <c r="K4350" s="343"/>
      <c r="L4350" s="343"/>
    </row>
    <row r="4351" spans="4:12" x14ac:dyDescent="0.2">
      <c r="D4351" s="341"/>
      <c r="F4351" s="343"/>
      <c r="G4351" s="343"/>
      <c r="H4351" s="343"/>
      <c r="I4351" s="343"/>
      <c r="J4351" s="343"/>
      <c r="K4351" s="343"/>
      <c r="L4351" s="343"/>
    </row>
    <row r="4352" spans="4:12" x14ac:dyDescent="0.2">
      <c r="D4352" s="341"/>
      <c r="F4352" s="343"/>
      <c r="G4352" s="343"/>
      <c r="H4352" s="343"/>
      <c r="I4352" s="343"/>
      <c r="J4352" s="343"/>
      <c r="K4352" s="343"/>
      <c r="L4352" s="343"/>
    </row>
    <row r="4353" spans="4:12" x14ac:dyDescent="0.2">
      <c r="D4353" s="341"/>
      <c r="F4353" s="343"/>
      <c r="G4353" s="343"/>
      <c r="H4353" s="343"/>
      <c r="I4353" s="343"/>
      <c r="J4353" s="343"/>
      <c r="K4353" s="343"/>
      <c r="L4353" s="343"/>
    </row>
    <row r="4354" spans="4:12" x14ac:dyDescent="0.2">
      <c r="D4354" s="341"/>
      <c r="F4354" s="343"/>
      <c r="G4354" s="343"/>
      <c r="H4354" s="343"/>
      <c r="I4354" s="343"/>
      <c r="J4354" s="343"/>
      <c r="K4354" s="343"/>
      <c r="L4354" s="343"/>
    </row>
    <row r="4355" spans="4:12" x14ac:dyDescent="0.2">
      <c r="D4355" s="341"/>
      <c r="F4355" s="343"/>
      <c r="G4355" s="343"/>
      <c r="H4355" s="343"/>
      <c r="I4355" s="343"/>
      <c r="J4355" s="343"/>
      <c r="K4355" s="343"/>
      <c r="L4355" s="343"/>
    </row>
    <row r="4356" spans="4:12" x14ac:dyDescent="0.2">
      <c r="D4356" s="341"/>
      <c r="F4356" s="343"/>
      <c r="G4356" s="343"/>
      <c r="H4356" s="343"/>
      <c r="I4356" s="343"/>
      <c r="J4356" s="343"/>
      <c r="K4356" s="343"/>
      <c r="L4356" s="343"/>
    </row>
    <row r="4357" spans="4:12" x14ac:dyDescent="0.2">
      <c r="D4357" s="341"/>
      <c r="F4357" s="343"/>
      <c r="G4357" s="343"/>
      <c r="H4357" s="343"/>
      <c r="I4357" s="343"/>
      <c r="J4357" s="343"/>
      <c r="K4357" s="343"/>
      <c r="L4357" s="343"/>
    </row>
    <row r="4358" spans="4:12" x14ac:dyDescent="0.2">
      <c r="D4358" s="341"/>
      <c r="F4358" s="343"/>
      <c r="G4358" s="343"/>
      <c r="H4358" s="343"/>
      <c r="I4358" s="343"/>
      <c r="J4358" s="343"/>
      <c r="K4358" s="343"/>
      <c r="L4358" s="343"/>
    </row>
    <row r="4359" spans="4:12" x14ac:dyDescent="0.2">
      <c r="D4359" s="341"/>
      <c r="F4359" s="343"/>
      <c r="G4359" s="343"/>
      <c r="H4359" s="343"/>
      <c r="I4359" s="343"/>
      <c r="J4359" s="343"/>
      <c r="K4359" s="343"/>
      <c r="L4359" s="343"/>
    </row>
    <row r="4360" spans="4:12" x14ac:dyDescent="0.2">
      <c r="D4360" s="341"/>
      <c r="F4360" s="343"/>
      <c r="G4360" s="343"/>
      <c r="H4360" s="343"/>
      <c r="I4360" s="343"/>
      <c r="J4360" s="343"/>
      <c r="K4360" s="343"/>
      <c r="L4360" s="343"/>
    </row>
    <row r="4361" spans="4:12" x14ac:dyDescent="0.2">
      <c r="D4361" s="341"/>
      <c r="F4361" s="343"/>
      <c r="G4361" s="343"/>
      <c r="H4361" s="343"/>
      <c r="I4361" s="343"/>
      <c r="J4361" s="343"/>
      <c r="K4361" s="343"/>
      <c r="L4361" s="343"/>
    </row>
    <row r="4362" spans="4:12" x14ac:dyDescent="0.2">
      <c r="D4362" s="341"/>
      <c r="F4362" s="343"/>
      <c r="G4362" s="343"/>
      <c r="H4362" s="343"/>
      <c r="I4362" s="343"/>
      <c r="J4362" s="343"/>
      <c r="K4362" s="343"/>
      <c r="L4362" s="343"/>
    </row>
    <row r="4363" spans="4:12" x14ac:dyDescent="0.2">
      <c r="D4363" s="341"/>
      <c r="F4363" s="343"/>
      <c r="G4363" s="343"/>
      <c r="H4363" s="343"/>
      <c r="I4363" s="343"/>
      <c r="J4363" s="343"/>
      <c r="K4363" s="343"/>
      <c r="L4363" s="343"/>
    </row>
    <row r="4364" spans="4:12" x14ac:dyDescent="0.2">
      <c r="D4364" s="341"/>
      <c r="F4364" s="343"/>
      <c r="G4364" s="343"/>
      <c r="H4364" s="343"/>
      <c r="I4364" s="343"/>
      <c r="J4364" s="343"/>
      <c r="K4364" s="343"/>
      <c r="L4364" s="343"/>
    </row>
    <row r="4365" spans="4:12" x14ac:dyDescent="0.2">
      <c r="D4365" s="341"/>
      <c r="F4365" s="343"/>
      <c r="G4365" s="343"/>
      <c r="H4365" s="343"/>
      <c r="I4365" s="343"/>
      <c r="J4365" s="343"/>
      <c r="K4365" s="343"/>
      <c r="L4365" s="343"/>
    </row>
    <row r="4366" spans="4:12" x14ac:dyDescent="0.2">
      <c r="D4366" s="341"/>
      <c r="F4366" s="343"/>
      <c r="G4366" s="343"/>
      <c r="H4366" s="343"/>
      <c r="I4366" s="343"/>
      <c r="J4366" s="343"/>
      <c r="K4366" s="343"/>
      <c r="L4366" s="343"/>
    </row>
    <row r="4367" spans="4:12" x14ac:dyDescent="0.2">
      <c r="D4367" s="341"/>
      <c r="F4367" s="343"/>
      <c r="G4367" s="343"/>
      <c r="H4367" s="343"/>
      <c r="I4367" s="343"/>
      <c r="J4367" s="343"/>
      <c r="K4367" s="343"/>
      <c r="L4367" s="343"/>
    </row>
    <row r="4368" spans="4:12" x14ac:dyDescent="0.2">
      <c r="D4368" s="341"/>
      <c r="F4368" s="343"/>
      <c r="G4368" s="343"/>
      <c r="H4368" s="343"/>
      <c r="I4368" s="343"/>
      <c r="J4368" s="343"/>
      <c r="K4368" s="343"/>
      <c r="L4368" s="343"/>
    </row>
    <row r="4369" spans="4:12" x14ac:dyDescent="0.2">
      <c r="D4369" s="341"/>
      <c r="F4369" s="343"/>
      <c r="G4369" s="343"/>
      <c r="H4369" s="343"/>
      <c r="I4369" s="343"/>
      <c r="J4369" s="343"/>
      <c r="K4369" s="343"/>
      <c r="L4369" s="343"/>
    </row>
    <row r="4370" spans="4:12" x14ac:dyDescent="0.2">
      <c r="D4370" s="341"/>
      <c r="F4370" s="343"/>
      <c r="G4370" s="343"/>
      <c r="H4370" s="343"/>
      <c r="I4370" s="343"/>
      <c r="J4370" s="343"/>
      <c r="K4370" s="343"/>
      <c r="L4370" s="343"/>
    </row>
    <row r="4371" spans="4:12" x14ac:dyDescent="0.2">
      <c r="D4371" s="341"/>
      <c r="F4371" s="343"/>
      <c r="G4371" s="343"/>
      <c r="H4371" s="343"/>
      <c r="I4371" s="343"/>
      <c r="J4371" s="343"/>
      <c r="K4371" s="343"/>
      <c r="L4371" s="343"/>
    </row>
    <row r="4372" spans="4:12" x14ac:dyDescent="0.2">
      <c r="D4372" s="341"/>
      <c r="F4372" s="343"/>
      <c r="G4372" s="343"/>
      <c r="H4372" s="343"/>
      <c r="I4372" s="343"/>
      <c r="J4372" s="343"/>
      <c r="K4372" s="343"/>
      <c r="L4372" s="343"/>
    </row>
    <row r="4373" spans="4:12" x14ac:dyDescent="0.2">
      <c r="D4373" s="341"/>
      <c r="F4373" s="343"/>
      <c r="G4373" s="343"/>
      <c r="H4373" s="343"/>
      <c r="I4373" s="343"/>
      <c r="J4373" s="343"/>
      <c r="K4373" s="343"/>
      <c r="L4373" s="343"/>
    </row>
    <row r="4374" spans="4:12" x14ac:dyDescent="0.2">
      <c r="D4374" s="341"/>
      <c r="F4374" s="343"/>
      <c r="G4374" s="343"/>
      <c r="H4374" s="343"/>
      <c r="I4374" s="343"/>
      <c r="J4374" s="343"/>
      <c r="K4374" s="343"/>
      <c r="L4374" s="343"/>
    </row>
    <row r="4375" spans="4:12" x14ac:dyDescent="0.2">
      <c r="D4375" s="341"/>
      <c r="F4375" s="343"/>
      <c r="G4375" s="343"/>
      <c r="H4375" s="343"/>
      <c r="I4375" s="343"/>
      <c r="J4375" s="343"/>
      <c r="K4375" s="343"/>
      <c r="L4375" s="343"/>
    </row>
    <row r="4376" spans="4:12" x14ac:dyDescent="0.2">
      <c r="D4376" s="341"/>
      <c r="F4376" s="343"/>
      <c r="G4376" s="343"/>
      <c r="H4376" s="343"/>
      <c r="I4376" s="343"/>
      <c r="J4376" s="343"/>
      <c r="K4376" s="343"/>
      <c r="L4376" s="343"/>
    </row>
    <row r="4377" spans="4:12" x14ac:dyDescent="0.2">
      <c r="D4377" s="341"/>
      <c r="F4377" s="343"/>
      <c r="G4377" s="343"/>
      <c r="H4377" s="343"/>
      <c r="I4377" s="343"/>
      <c r="J4377" s="343"/>
      <c r="K4377" s="343"/>
      <c r="L4377" s="343"/>
    </row>
    <row r="4378" spans="4:12" x14ac:dyDescent="0.2">
      <c r="D4378" s="341"/>
      <c r="F4378" s="343"/>
      <c r="G4378" s="343"/>
      <c r="H4378" s="343"/>
      <c r="I4378" s="343"/>
      <c r="J4378" s="343"/>
      <c r="K4378" s="343"/>
      <c r="L4378" s="343"/>
    </row>
    <row r="4379" spans="4:12" x14ac:dyDescent="0.2">
      <c r="D4379" s="341"/>
      <c r="F4379" s="343"/>
      <c r="G4379" s="343"/>
      <c r="H4379" s="343"/>
      <c r="I4379" s="343"/>
      <c r="J4379" s="343"/>
      <c r="K4379" s="343"/>
      <c r="L4379" s="343"/>
    </row>
    <row r="4380" spans="4:12" x14ac:dyDescent="0.2">
      <c r="D4380" s="341"/>
      <c r="F4380" s="343"/>
      <c r="G4380" s="343"/>
      <c r="H4380" s="343"/>
      <c r="I4380" s="343"/>
      <c r="J4380" s="343"/>
      <c r="K4380" s="343"/>
      <c r="L4380" s="343"/>
    </row>
    <row r="4381" spans="4:12" x14ac:dyDescent="0.2">
      <c r="D4381" s="341"/>
      <c r="F4381" s="343"/>
      <c r="G4381" s="343"/>
      <c r="H4381" s="343"/>
      <c r="I4381" s="343"/>
      <c r="J4381" s="343"/>
      <c r="K4381" s="343"/>
      <c r="L4381" s="343"/>
    </row>
    <row r="4382" spans="4:12" x14ac:dyDescent="0.2">
      <c r="D4382" s="341"/>
      <c r="F4382" s="343"/>
      <c r="G4382" s="343"/>
      <c r="H4382" s="343"/>
      <c r="I4382" s="343"/>
      <c r="J4382" s="343"/>
      <c r="K4382" s="343"/>
      <c r="L4382" s="343"/>
    </row>
    <row r="4383" spans="4:12" x14ac:dyDescent="0.2">
      <c r="D4383" s="341"/>
      <c r="F4383" s="343"/>
      <c r="G4383" s="343"/>
      <c r="H4383" s="343"/>
      <c r="I4383" s="343"/>
      <c r="J4383" s="343"/>
      <c r="K4383" s="343"/>
      <c r="L4383" s="343"/>
    </row>
    <row r="4384" spans="4:12" x14ac:dyDescent="0.2">
      <c r="D4384" s="341"/>
      <c r="F4384" s="343"/>
      <c r="G4384" s="343"/>
      <c r="H4384" s="343"/>
      <c r="I4384" s="343"/>
      <c r="J4384" s="343"/>
      <c r="K4384" s="343"/>
      <c r="L4384" s="343"/>
    </row>
    <row r="4385" spans="4:12" x14ac:dyDescent="0.2">
      <c r="D4385" s="341"/>
      <c r="F4385" s="343"/>
      <c r="G4385" s="343"/>
      <c r="H4385" s="343"/>
      <c r="I4385" s="343"/>
      <c r="J4385" s="343"/>
      <c r="K4385" s="343"/>
      <c r="L4385" s="343"/>
    </row>
    <row r="4386" spans="4:12" x14ac:dyDescent="0.2">
      <c r="D4386" s="341"/>
      <c r="F4386" s="343"/>
      <c r="G4386" s="343"/>
      <c r="H4386" s="343"/>
      <c r="I4386" s="343"/>
      <c r="J4386" s="343"/>
      <c r="K4386" s="343"/>
      <c r="L4386" s="343"/>
    </row>
    <row r="4387" spans="4:12" x14ac:dyDescent="0.2">
      <c r="D4387" s="341"/>
      <c r="F4387" s="343"/>
      <c r="G4387" s="343"/>
      <c r="H4387" s="343"/>
      <c r="I4387" s="343"/>
      <c r="J4387" s="343"/>
      <c r="K4387" s="343"/>
      <c r="L4387" s="343"/>
    </row>
    <row r="4388" spans="4:12" x14ac:dyDescent="0.2">
      <c r="D4388" s="341"/>
      <c r="F4388" s="343"/>
      <c r="G4388" s="343"/>
      <c r="H4388" s="343"/>
      <c r="I4388" s="343"/>
      <c r="J4388" s="343"/>
      <c r="K4388" s="343"/>
      <c r="L4388" s="343"/>
    </row>
    <row r="4389" spans="4:12" x14ac:dyDescent="0.2">
      <c r="D4389" s="341"/>
      <c r="F4389" s="343"/>
      <c r="G4389" s="343"/>
      <c r="H4389" s="343"/>
      <c r="I4389" s="343"/>
      <c r="J4389" s="343"/>
      <c r="K4389" s="343"/>
      <c r="L4389" s="343"/>
    </row>
    <row r="4390" spans="4:12" x14ac:dyDescent="0.2">
      <c r="D4390" s="341"/>
      <c r="F4390" s="343"/>
      <c r="G4390" s="343"/>
      <c r="H4390" s="343"/>
      <c r="I4390" s="343"/>
      <c r="J4390" s="343"/>
      <c r="K4390" s="343"/>
      <c r="L4390" s="343"/>
    </row>
    <row r="4391" spans="4:12" x14ac:dyDescent="0.2">
      <c r="D4391" s="341"/>
      <c r="F4391" s="343"/>
      <c r="G4391" s="343"/>
      <c r="H4391" s="343"/>
      <c r="I4391" s="343"/>
      <c r="J4391" s="343"/>
      <c r="K4391" s="343"/>
      <c r="L4391" s="343"/>
    </row>
    <row r="4392" spans="4:12" x14ac:dyDescent="0.2">
      <c r="D4392" s="341"/>
      <c r="F4392" s="343"/>
      <c r="G4392" s="343"/>
      <c r="H4392" s="343"/>
      <c r="I4392" s="343"/>
      <c r="J4392" s="343"/>
      <c r="K4392" s="343"/>
      <c r="L4392" s="343"/>
    </row>
    <row r="4393" spans="4:12" x14ac:dyDescent="0.2">
      <c r="D4393" s="341"/>
      <c r="F4393" s="343"/>
      <c r="G4393" s="343"/>
      <c r="H4393" s="343"/>
      <c r="I4393" s="343"/>
      <c r="J4393" s="343"/>
      <c r="K4393" s="343"/>
      <c r="L4393" s="343"/>
    </row>
    <row r="4394" spans="4:12" x14ac:dyDescent="0.2">
      <c r="D4394" s="341"/>
      <c r="F4394" s="343"/>
      <c r="G4394" s="343"/>
      <c r="H4394" s="343"/>
      <c r="I4394" s="343"/>
      <c r="J4394" s="343"/>
      <c r="K4394" s="343"/>
      <c r="L4394" s="343"/>
    </row>
    <row r="4395" spans="4:12" x14ac:dyDescent="0.2">
      <c r="D4395" s="341"/>
      <c r="F4395" s="343"/>
      <c r="G4395" s="343"/>
      <c r="H4395" s="343"/>
      <c r="I4395" s="343"/>
      <c r="J4395" s="343"/>
      <c r="K4395" s="343"/>
      <c r="L4395" s="343"/>
    </row>
    <row r="4396" spans="4:12" x14ac:dyDescent="0.2">
      <c r="D4396" s="341"/>
      <c r="F4396" s="343"/>
      <c r="G4396" s="343"/>
      <c r="H4396" s="343"/>
      <c r="I4396" s="343"/>
      <c r="J4396" s="343"/>
      <c r="K4396" s="343"/>
      <c r="L4396" s="343"/>
    </row>
    <row r="4397" spans="4:12" x14ac:dyDescent="0.2">
      <c r="D4397" s="341"/>
      <c r="F4397" s="343"/>
      <c r="G4397" s="343"/>
      <c r="H4397" s="343"/>
      <c r="I4397" s="343"/>
      <c r="J4397" s="343"/>
      <c r="K4397" s="343"/>
      <c r="L4397" s="343"/>
    </row>
    <row r="4398" spans="4:12" x14ac:dyDescent="0.2">
      <c r="D4398" s="341"/>
      <c r="F4398" s="343"/>
      <c r="G4398" s="343"/>
      <c r="H4398" s="343"/>
      <c r="I4398" s="343"/>
      <c r="J4398" s="343"/>
      <c r="K4398" s="343"/>
      <c r="L4398" s="343"/>
    </row>
    <row r="4399" spans="4:12" x14ac:dyDescent="0.2">
      <c r="D4399" s="341"/>
      <c r="F4399" s="343"/>
      <c r="G4399" s="343"/>
      <c r="H4399" s="343"/>
      <c r="I4399" s="343"/>
      <c r="J4399" s="343"/>
      <c r="K4399" s="343"/>
      <c r="L4399" s="343"/>
    </row>
    <row r="4400" spans="4:12" x14ac:dyDescent="0.2">
      <c r="D4400" s="341"/>
      <c r="F4400" s="343"/>
      <c r="G4400" s="343"/>
      <c r="H4400" s="343"/>
      <c r="I4400" s="343"/>
      <c r="J4400" s="343"/>
      <c r="K4400" s="343"/>
      <c r="L4400" s="343"/>
    </row>
    <row r="4401" spans="4:12" x14ac:dyDescent="0.2">
      <c r="D4401" s="341"/>
      <c r="F4401" s="343"/>
      <c r="G4401" s="343"/>
      <c r="H4401" s="343"/>
      <c r="I4401" s="343"/>
      <c r="J4401" s="343"/>
      <c r="K4401" s="343"/>
      <c r="L4401" s="343"/>
    </row>
    <row r="4402" spans="4:12" x14ac:dyDescent="0.2">
      <c r="D4402" s="341"/>
      <c r="F4402" s="343"/>
      <c r="G4402" s="343"/>
      <c r="H4402" s="343"/>
      <c r="I4402" s="343"/>
      <c r="J4402" s="343"/>
      <c r="K4402" s="343"/>
      <c r="L4402" s="343"/>
    </row>
    <row r="4403" spans="4:12" x14ac:dyDescent="0.2">
      <c r="D4403" s="341"/>
      <c r="F4403" s="343"/>
      <c r="G4403" s="343"/>
      <c r="H4403" s="343"/>
      <c r="I4403" s="343"/>
      <c r="J4403" s="343"/>
      <c r="K4403" s="343"/>
      <c r="L4403" s="343"/>
    </row>
    <row r="4404" spans="4:12" x14ac:dyDescent="0.2">
      <c r="D4404" s="341"/>
      <c r="F4404" s="343"/>
      <c r="G4404" s="343"/>
      <c r="H4404" s="343"/>
      <c r="I4404" s="343"/>
      <c r="J4404" s="343"/>
      <c r="K4404" s="343"/>
      <c r="L4404" s="343"/>
    </row>
    <row r="4405" spans="4:12" x14ac:dyDescent="0.2">
      <c r="D4405" s="341"/>
      <c r="F4405" s="343"/>
      <c r="G4405" s="343"/>
      <c r="H4405" s="343"/>
      <c r="I4405" s="343"/>
      <c r="J4405" s="343"/>
      <c r="K4405" s="343"/>
      <c r="L4405" s="343"/>
    </row>
    <row r="4406" spans="4:12" x14ac:dyDescent="0.2">
      <c r="D4406" s="341"/>
      <c r="F4406" s="343"/>
      <c r="G4406" s="343"/>
      <c r="H4406" s="343"/>
      <c r="I4406" s="343"/>
      <c r="J4406" s="343"/>
      <c r="K4406" s="343"/>
      <c r="L4406" s="343"/>
    </row>
    <row r="4407" spans="4:12" x14ac:dyDescent="0.2">
      <c r="D4407" s="341"/>
      <c r="F4407" s="343"/>
      <c r="G4407" s="343"/>
      <c r="H4407" s="343"/>
      <c r="I4407" s="343"/>
      <c r="J4407" s="343"/>
      <c r="K4407" s="343"/>
      <c r="L4407" s="343"/>
    </row>
    <row r="4408" spans="4:12" x14ac:dyDescent="0.2">
      <c r="D4408" s="341"/>
      <c r="F4408" s="343"/>
      <c r="G4408" s="343"/>
      <c r="H4408" s="343"/>
      <c r="I4408" s="343"/>
      <c r="J4408" s="343"/>
      <c r="K4408" s="343"/>
      <c r="L4408" s="343"/>
    </row>
    <row r="4409" spans="4:12" x14ac:dyDescent="0.2">
      <c r="D4409" s="341"/>
      <c r="F4409" s="343"/>
      <c r="G4409" s="343"/>
      <c r="H4409" s="343"/>
      <c r="I4409" s="343"/>
      <c r="J4409" s="343"/>
      <c r="K4409" s="343"/>
      <c r="L4409" s="343"/>
    </row>
    <row r="4410" spans="4:12" x14ac:dyDescent="0.2">
      <c r="D4410" s="341"/>
      <c r="F4410" s="343"/>
      <c r="G4410" s="343"/>
      <c r="H4410" s="343"/>
      <c r="I4410" s="343"/>
      <c r="J4410" s="343"/>
      <c r="K4410" s="343"/>
      <c r="L4410" s="343"/>
    </row>
    <row r="4411" spans="4:12" x14ac:dyDescent="0.2">
      <c r="D4411" s="341"/>
      <c r="F4411" s="343"/>
      <c r="G4411" s="343"/>
      <c r="H4411" s="343"/>
      <c r="I4411" s="343"/>
      <c r="J4411" s="343"/>
      <c r="K4411" s="343"/>
      <c r="L4411" s="343"/>
    </row>
    <row r="4412" spans="4:12" x14ac:dyDescent="0.2">
      <c r="D4412" s="341"/>
      <c r="F4412" s="343"/>
      <c r="G4412" s="343"/>
      <c r="H4412" s="343"/>
      <c r="I4412" s="343"/>
      <c r="J4412" s="343"/>
      <c r="K4412" s="343"/>
      <c r="L4412" s="343"/>
    </row>
    <row r="4413" spans="4:12" x14ac:dyDescent="0.2">
      <c r="D4413" s="341"/>
      <c r="F4413" s="343"/>
      <c r="G4413" s="343"/>
      <c r="H4413" s="343"/>
      <c r="I4413" s="343"/>
      <c r="J4413" s="343"/>
      <c r="K4413" s="343"/>
      <c r="L4413" s="343"/>
    </row>
    <row r="4414" spans="4:12" x14ac:dyDescent="0.2">
      <c r="D4414" s="341"/>
      <c r="F4414" s="343"/>
      <c r="G4414" s="343"/>
      <c r="H4414" s="343"/>
      <c r="I4414" s="343"/>
      <c r="J4414" s="343"/>
      <c r="K4414" s="343"/>
      <c r="L4414" s="343"/>
    </row>
    <row r="4415" spans="4:12" x14ac:dyDescent="0.2">
      <c r="D4415" s="341"/>
      <c r="F4415" s="343"/>
      <c r="G4415" s="343"/>
      <c r="H4415" s="343"/>
      <c r="I4415" s="343"/>
      <c r="J4415" s="343"/>
      <c r="K4415" s="343"/>
      <c r="L4415" s="343"/>
    </row>
    <row r="4416" spans="4:12" x14ac:dyDescent="0.2">
      <c r="D4416" s="341"/>
      <c r="F4416" s="343"/>
      <c r="G4416" s="343"/>
      <c r="H4416" s="343"/>
      <c r="I4416" s="343"/>
      <c r="J4416" s="343"/>
      <c r="K4416" s="343"/>
      <c r="L4416" s="343"/>
    </row>
    <row r="4417" spans="4:12" x14ac:dyDescent="0.2">
      <c r="D4417" s="341"/>
      <c r="F4417" s="343"/>
      <c r="G4417" s="343"/>
      <c r="H4417" s="343"/>
      <c r="I4417" s="343"/>
      <c r="J4417" s="343"/>
      <c r="K4417" s="343"/>
      <c r="L4417" s="343"/>
    </row>
    <row r="4418" spans="4:12" x14ac:dyDescent="0.2">
      <c r="D4418" s="341"/>
      <c r="F4418" s="343"/>
      <c r="G4418" s="343"/>
      <c r="H4418" s="343"/>
      <c r="I4418" s="343"/>
      <c r="J4418" s="343"/>
      <c r="K4418" s="343"/>
      <c r="L4418" s="343"/>
    </row>
    <row r="4419" spans="4:12" x14ac:dyDescent="0.2">
      <c r="D4419" s="341"/>
      <c r="F4419" s="343"/>
      <c r="G4419" s="343"/>
      <c r="H4419" s="343"/>
      <c r="I4419" s="343"/>
      <c r="J4419" s="343"/>
      <c r="K4419" s="343"/>
      <c r="L4419" s="343"/>
    </row>
    <row r="4420" spans="4:12" x14ac:dyDescent="0.2">
      <c r="D4420" s="341"/>
      <c r="F4420" s="343"/>
      <c r="G4420" s="343"/>
      <c r="H4420" s="343"/>
      <c r="I4420" s="343"/>
      <c r="J4420" s="343"/>
      <c r="K4420" s="343"/>
      <c r="L4420" s="343"/>
    </row>
    <row r="4421" spans="4:12" x14ac:dyDescent="0.2">
      <c r="D4421" s="341"/>
      <c r="F4421" s="343"/>
      <c r="G4421" s="343"/>
      <c r="H4421" s="343"/>
      <c r="I4421" s="343"/>
      <c r="J4421" s="343"/>
      <c r="K4421" s="343"/>
      <c r="L4421" s="343"/>
    </row>
    <row r="4422" spans="4:12" x14ac:dyDescent="0.2">
      <c r="D4422" s="341"/>
      <c r="F4422" s="343"/>
      <c r="G4422" s="343"/>
      <c r="H4422" s="343"/>
      <c r="I4422" s="343"/>
      <c r="J4422" s="343"/>
      <c r="K4422" s="343"/>
      <c r="L4422" s="343"/>
    </row>
    <row r="4423" spans="4:12" x14ac:dyDescent="0.2">
      <c r="D4423" s="341"/>
      <c r="F4423" s="343"/>
      <c r="G4423" s="343"/>
      <c r="H4423" s="343"/>
      <c r="I4423" s="343"/>
      <c r="J4423" s="343"/>
      <c r="K4423" s="343"/>
      <c r="L4423" s="343"/>
    </row>
    <row r="4424" spans="4:12" x14ac:dyDescent="0.2">
      <c r="D4424" s="341"/>
      <c r="F4424" s="343"/>
      <c r="G4424" s="343"/>
      <c r="H4424" s="343"/>
      <c r="I4424" s="343"/>
      <c r="J4424" s="343"/>
      <c r="K4424" s="343"/>
      <c r="L4424" s="343"/>
    </row>
    <row r="4425" spans="4:12" x14ac:dyDescent="0.2">
      <c r="D4425" s="341"/>
      <c r="F4425" s="343"/>
      <c r="G4425" s="343"/>
      <c r="H4425" s="343"/>
      <c r="I4425" s="343"/>
      <c r="J4425" s="343"/>
      <c r="K4425" s="343"/>
      <c r="L4425" s="343"/>
    </row>
    <row r="4426" spans="4:12" x14ac:dyDescent="0.2">
      <c r="D4426" s="341"/>
      <c r="F4426" s="343"/>
      <c r="G4426" s="343"/>
      <c r="H4426" s="343"/>
      <c r="I4426" s="343"/>
      <c r="J4426" s="343"/>
      <c r="K4426" s="343"/>
      <c r="L4426" s="343"/>
    </row>
    <row r="4427" spans="4:12" x14ac:dyDescent="0.2">
      <c r="D4427" s="341"/>
      <c r="F4427" s="343"/>
      <c r="G4427" s="343"/>
      <c r="H4427" s="343"/>
      <c r="I4427" s="343"/>
      <c r="J4427" s="343"/>
      <c r="K4427" s="343"/>
      <c r="L4427" s="343"/>
    </row>
    <row r="4428" spans="4:12" x14ac:dyDescent="0.2">
      <c r="D4428" s="341"/>
      <c r="F4428" s="343"/>
      <c r="G4428" s="343"/>
      <c r="H4428" s="343"/>
      <c r="I4428" s="343"/>
      <c r="J4428" s="343"/>
      <c r="K4428" s="343"/>
      <c r="L4428" s="343"/>
    </row>
    <row r="4429" spans="4:12" x14ac:dyDescent="0.2">
      <c r="D4429" s="341"/>
      <c r="F4429" s="343"/>
      <c r="G4429" s="343"/>
      <c r="H4429" s="343"/>
      <c r="I4429" s="343"/>
      <c r="J4429" s="343"/>
      <c r="K4429" s="343"/>
      <c r="L4429" s="343"/>
    </row>
    <row r="4430" spans="4:12" x14ac:dyDescent="0.2">
      <c r="D4430" s="341"/>
      <c r="F4430" s="343"/>
      <c r="G4430" s="343"/>
      <c r="H4430" s="343"/>
      <c r="I4430" s="343"/>
      <c r="J4430" s="343"/>
      <c r="K4430" s="343"/>
      <c r="L4430" s="343"/>
    </row>
    <row r="4431" spans="4:12" x14ac:dyDescent="0.2">
      <c r="D4431" s="341"/>
      <c r="F4431" s="343"/>
      <c r="G4431" s="343"/>
      <c r="H4431" s="343"/>
      <c r="I4431" s="343"/>
      <c r="J4431" s="343"/>
      <c r="K4431" s="343"/>
      <c r="L4431" s="343"/>
    </row>
    <row r="4432" spans="4:12" x14ac:dyDescent="0.2">
      <c r="D4432" s="341"/>
      <c r="F4432" s="343"/>
      <c r="G4432" s="343"/>
      <c r="H4432" s="343"/>
      <c r="I4432" s="343"/>
      <c r="J4432" s="343"/>
      <c r="K4432" s="343"/>
      <c r="L4432" s="343"/>
    </row>
    <row r="4433" spans="4:12" x14ac:dyDescent="0.2">
      <c r="D4433" s="341"/>
      <c r="F4433" s="343"/>
      <c r="G4433" s="343"/>
      <c r="H4433" s="343"/>
      <c r="I4433" s="343"/>
      <c r="J4433" s="343"/>
      <c r="K4433" s="343"/>
      <c r="L4433" s="343"/>
    </row>
    <row r="4434" spans="4:12" x14ac:dyDescent="0.2">
      <c r="D4434" s="341"/>
      <c r="F4434" s="343"/>
      <c r="G4434" s="343"/>
      <c r="H4434" s="343"/>
      <c r="I4434" s="343"/>
      <c r="J4434" s="343"/>
      <c r="K4434" s="343"/>
      <c r="L4434" s="343"/>
    </row>
    <row r="4435" spans="4:12" x14ac:dyDescent="0.2">
      <c r="D4435" s="341"/>
      <c r="F4435" s="343"/>
      <c r="G4435" s="343"/>
      <c r="H4435" s="343"/>
      <c r="I4435" s="343"/>
      <c r="J4435" s="343"/>
      <c r="K4435" s="343"/>
      <c r="L4435" s="343"/>
    </row>
    <row r="4436" spans="4:12" x14ac:dyDescent="0.2">
      <c r="D4436" s="341"/>
      <c r="F4436" s="343"/>
      <c r="G4436" s="343"/>
      <c r="H4436" s="343"/>
      <c r="I4436" s="343"/>
      <c r="J4436" s="343"/>
      <c r="K4436" s="343"/>
      <c r="L4436" s="343"/>
    </row>
    <row r="4437" spans="4:12" x14ac:dyDescent="0.2">
      <c r="D4437" s="341"/>
      <c r="F4437" s="343"/>
      <c r="G4437" s="343"/>
      <c r="H4437" s="343"/>
      <c r="I4437" s="343"/>
      <c r="J4437" s="343"/>
      <c r="K4437" s="343"/>
      <c r="L4437" s="343"/>
    </row>
    <row r="4438" spans="4:12" x14ac:dyDescent="0.2">
      <c r="D4438" s="341"/>
      <c r="F4438" s="343"/>
      <c r="G4438" s="343"/>
      <c r="H4438" s="343"/>
      <c r="I4438" s="343"/>
      <c r="J4438" s="343"/>
      <c r="K4438" s="343"/>
      <c r="L4438" s="343"/>
    </row>
    <row r="4439" spans="4:12" x14ac:dyDescent="0.2">
      <c r="D4439" s="341"/>
      <c r="F4439" s="343"/>
      <c r="G4439" s="343"/>
      <c r="H4439" s="343"/>
      <c r="I4439" s="343"/>
      <c r="J4439" s="343"/>
      <c r="K4439" s="343"/>
      <c r="L4439" s="343"/>
    </row>
    <row r="4440" spans="4:12" x14ac:dyDescent="0.2">
      <c r="D4440" s="341"/>
      <c r="F4440" s="343"/>
      <c r="G4440" s="343"/>
      <c r="H4440" s="343"/>
      <c r="I4440" s="343"/>
      <c r="J4440" s="343"/>
      <c r="K4440" s="343"/>
      <c r="L4440" s="343"/>
    </row>
    <row r="4441" spans="4:12" x14ac:dyDescent="0.2">
      <c r="D4441" s="341"/>
      <c r="F4441" s="343"/>
      <c r="G4441" s="343"/>
      <c r="H4441" s="343"/>
      <c r="I4441" s="343"/>
      <c r="J4441" s="343"/>
      <c r="K4441" s="343"/>
      <c r="L4441" s="343"/>
    </row>
    <row r="4442" spans="4:12" x14ac:dyDescent="0.2">
      <c r="D4442" s="341"/>
      <c r="F4442" s="343"/>
      <c r="G4442" s="343"/>
      <c r="H4442" s="343"/>
      <c r="I4442" s="343"/>
      <c r="J4442" s="343"/>
      <c r="K4442" s="343"/>
      <c r="L4442" s="343"/>
    </row>
    <row r="4443" spans="4:12" x14ac:dyDescent="0.2">
      <c r="D4443" s="341"/>
      <c r="F4443" s="343"/>
      <c r="G4443" s="343"/>
      <c r="H4443" s="343"/>
      <c r="I4443" s="343"/>
      <c r="J4443" s="343"/>
      <c r="K4443" s="343"/>
      <c r="L4443" s="343"/>
    </row>
    <row r="4444" spans="4:12" x14ac:dyDescent="0.2">
      <c r="D4444" s="341"/>
      <c r="F4444" s="343"/>
      <c r="G4444" s="343"/>
      <c r="H4444" s="343"/>
      <c r="I4444" s="343"/>
      <c r="J4444" s="343"/>
      <c r="K4444" s="343"/>
      <c r="L4444" s="343"/>
    </row>
    <row r="4445" spans="4:12" x14ac:dyDescent="0.2">
      <c r="D4445" s="341"/>
      <c r="F4445" s="343"/>
      <c r="G4445" s="343"/>
      <c r="H4445" s="343"/>
      <c r="I4445" s="343"/>
      <c r="J4445" s="343"/>
      <c r="K4445" s="343"/>
      <c r="L4445" s="343"/>
    </row>
    <row r="4446" spans="4:12" x14ac:dyDescent="0.2">
      <c r="D4446" s="341"/>
      <c r="F4446" s="343"/>
      <c r="G4446" s="343"/>
      <c r="H4446" s="343"/>
      <c r="I4446" s="343"/>
      <c r="J4446" s="343"/>
      <c r="K4446" s="343"/>
      <c r="L4446" s="343"/>
    </row>
    <row r="4447" spans="4:12" x14ac:dyDescent="0.2">
      <c r="D4447" s="341"/>
      <c r="F4447" s="343"/>
      <c r="G4447" s="343"/>
      <c r="H4447" s="343"/>
      <c r="I4447" s="343"/>
      <c r="J4447" s="343"/>
      <c r="K4447" s="343"/>
      <c r="L4447" s="343"/>
    </row>
    <row r="4448" spans="4:12" x14ac:dyDescent="0.2">
      <c r="D4448" s="341"/>
      <c r="F4448" s="343"/>
      <c r="G4448" s="343"/>
      <c r="H4448" s="343"/>
      <c r="I4448" s="343"/>
      <c r="J4448" s="343"/>
      <c r="K4448" s="343"/>
      <c r="L4448" s="343"/>
    </row>
    <row r="4449" spans="4:12" x14ac:dyDescent="0.2">
      <c r="D4449" s="341"/>
      <c r="F4449" s="343"/>
      <c r="G4449" s="343"/>
      <c r="H4449" s="343"/>
      <c r="I4449" s="343"/>
      <c r="J4449" s="343"/>
      <c r="K4449" s="343"/>
      <c r="L4449" s="343"/>
    </row>
    <row r="4450" spans="4:12" x14ac:dyDescent="0.2">
      <c r="D4450" s="341"/>
      <c r="F4450" s="343"/>
      <c r="G4450" s="343"/>
      <c r="H4450" s="343"/>
      <c r="I4450" s="343"/>
      <c r="J4450" s="343"/>
      <c r="K4450" s="343"/>
      <c r="L4450" s="343"/>
    </row>
    <row r="4451" spans="4:12" x14ac:dyDescent="0.2">
      <c r="D4451" s="341"/>
      <c r="F4451" s="343"/>
      <c r="G4451" s="343"/>
      <c r="H4451" s="343"/>
      <c r="I4451" s="343"/>
      <c r="J4451" s="343"/>
      <c r="K4451" s="343"/>
      <c r="L4451" s="343"/>
    </row>
    <row r="4452" spans="4:12" x14ac:dyDescent="0.2">
      <c r="D4452" s="341"/>
      <c r="F4452" s="343"/>
      <c r="G4452" s="343"/>
      <c r="H4452" s="343"/>
      <c r="I4452" s="343"/>
      <c r="J4452" s="343"/>
      <c r="K4452" s="343"/>
      <c r="L4452" s="343"/>
    </row>
    <row r="4453" spans="4:12" x14ac:dyDescent="0.2">
      <c r="D4453" s="341"/>
      <c r="F4453" s="343"/>
      <c r="G4453" s="343"/>
      <c r="H4453" s="343"/>
      <c r="I4453" s="343"/>
      <c r="J4453" s="343"/>
      <c r="K4453" s="343"/>
      <c r="L4453" s="343"/>
    </row>
    <row r="4454" spans="4:12" x14ac:dyDescent="0.2">
      <c r="D4454" s="341"/>
      <c r="F4454" s="343"/>
      <c r="G4454" s="343"/>
      <c r="H4454" s="343"/>
      <c r="I4454" s="343"/>
      <c r="J4454" s="343"/>
      <c r="K4454" s="343"/>
      <c r="L4454" s="343"/>
    </row>
    <row r="4455" spans="4:12" x14ac:dyDescent="0.2">
      <c r="D4455" s="341"/>
      <c r="F4455" s="343"/>
      <c r="G4455" s="343"/>
      <c r="H4455" s="343"/>
      <c r="I4455" s="343"/>
      <c r="J4455" s="343"/>
      <c r="K4455" s="343"/>
      <c r="L4455" s="343"/>
    </row>
    <row r="4456" spans="4:12" x14ac:dyDescent="0.2">
      <c r="D4456" s="341"/>
      <c r="F4456" s="343"/>
      <c r="G4456" s="343"/>
      <c r="H4456" s="343"/>
      <c r="I4456" s="343"/>
      <c r="J4456" s="343"/>
      <c r="K4456" s="343"/>
      <c r="L4456" s="343"/>
    </row>
    <row r="4457" spans="4:12" x14ac:dyDescent="0.2">
      <c r="D4457" s="341"/>
      <c r="F4457" s="343"/>
      <c r="G4457" s="343"/>
      <c r="H4457" s="343"/>
      <c r="I4457" s="343"/>
      <c r="J4457" s="343"/>
      <c r="K4457" s="343"/>
      <c r="L4457" s="343"/>
    </row>
    <row r="4458" spans="4:12" x14ac:dyDescent="0.2">
      <c r="D4458" s="341"/>
      <c r="F4458" s="343"/>
      <c r="G4458" s="343"/>
      <c r="H4458" s="343"/>
      <c r="I4458" s="343"/>
      <c r="J4458" s="343"/>
      <c r="K4458" s="343"/>
      <c r="L4458" s="343"/>
    </row>
    <row r="4459" spans="4:12" x14ac:dyDescent="0.2">
      <c r="D4459" s="341"/>
      <c r="F4459" s="343"/>
      <c r="G4459" s="343"/>
      <c r="H4459" s="343"/>
      <c r="I4459" s="343"/>
      <c r="J4459" s="343"/>
      <c r="K4459" s="343"/>
      <c r="L4459" s="343"/>
    </row>
    <row r="4460" spans="4:12" x14ac:dyDescent="0.2">
      <c r="D4460" s="341"/>
      <c r="F4460" s="343"/>
      <c r="G4460" s="343"/>
      <c r="H4460" s="343"/>
      <c r="I4460" s="343"/>
      <c r="J4460" s="343"/>
      <c r="K4460" s="343"/>
      <c r="L4460" s="343"/>
    </row>
    <row r="4461" spans="4:12" x14ac:dyDescent="0.2">
      <c r="D4461" s="341"/>
      <c r="F4461" s="343"/>
      <c r="G4461" s="343"/>
      <c r="H4461" s="343"/>
      <c r="I4461" s="343"/>
      <c r="J4461" s="343"/>
      <c r="K4461" s="343"/>
      <c r="L4461" s="343"/>
    </row>
    <row r="4462" spans="4:12" x14ac:dyDescent="0.2">
      <c r="D4462" s="341"/>
      <c r="F4462" s="343"/>
      <c r="G4462" s="343"/>
      <c r="H4462" s="343"/>
      <c r="I4462" s="343"/>
      <c r="J4462" s="343"/>
      <c r="K4462" s="343"/>
      <c r="L4462" s="343"/>
    </row>
    <row r="4463" spans="4:12" x14ac:dyDescent="0.2">
      <c r="D4463" s="341"/>
      <c r="F4463" s="343"/>
      <c r="G4463" s="343"/>
      <c r="H4463" s="343"/>
      <c r="I4463" s="343"/>
      <c r="J4463" s="343"/>
      <c r="K4463" s="343"/>
      <c r="L4463" s="343"/>
    </row>
    <row r="4464" spans="4:12" x14ac:dyDescent="0.2">
      <c r="D4464" s="341"/>
      <c r="F4464" s="343"/>
      <c r="G4464" s="343"/>
      <c r="H4464" s="343"/>
      <c r="I4464" s="343"/>
      <c r="J4464" s="343"/>
      <c r="K4464" s="343"/>
      <c r="L4464" s="343"/>
    </row>
    <row r="4465" spans="4:12" x14ac:dyDescent="0.2">
      <c r="D4465" s="341"/>
      <c r="F4465" s="343"/>
      <c r="G4465" s="343"/>
      <c r="H4465" s="343"/>
      <c r="I4465" s="343"/>
      <c r="J4465" s="343"/>
      <c r="K4465" s="343"/>
      <c r="L4465" s="343"/>
    </row>
    <row r="4466" spans="4:12" x14ac:dyDescent="0.2">
      <c r="D4466" s="341"/>
      <c r="F4466" s="343"/>
      <c r="G4466" s="343"/>
      <c r="H4466" s="343"/>
      <c r="I4466" s="343"/>
      <c r="J4466" s="343"/>
      <c r="K4466" s="343"/>
      <c r="L4466" s="343"/>
    </row>
    <row r="4467" spans="4:12" x14ac:dyDescent="0.2">
      <c r="D4467" s="341"/>
      <c r="F4467" s="343"/>
      <c r="G4467" s="343"/>
      <c r="H4467" s="343"/>
      <c r="I4467" s="343"/>
      <c r="J4467" s="343"/>
      <c r="K4467" s="343"/>
      <c r="L4467" s="343"/>
    </row>
    <row r="4468" spans="4:12" x14ac:dyDescent="0.2">
      <c r="D4468" s="341"/>
      <c r="F4468" s="343"/>
      <c r="G4468" s="343"/>
      <c r="H4468" s="343"/>
      <c r="I4468" s="343"/>
      <c r="J4468" s="343"/>
      <c r="K4468" s="343"/>
      <c r="L4468" s="343"/>
    </row>
    <row r="4469" spans="4:12" x14ac:dyDescent="0.2">
      <c r="D4469" s="341"/>
      <c r="F4469" s="343"/>
      <c r="G4469" s="343"/>
      <c r="H4469" s="343"/>
      <c r="I4469" s="343"/>
      <c r="J4469" s="343"/>
      <c r="K4469" s="343"/>
      <c r="L4469" s="343"/>
    </row>
    <row r="4470" spans="4:12" x14ac:dyDescent="0.2">
      <c r="D4470" s="341"/>
      <c r="F4470" s="343"/>
      <c r="G4470" s="343"/>
      <c r="H4470" s="343"/>
      <c r="I4470" s="343"/>
      <c r="J4470" s="343"/>
      <c r="K4470" s="343"/>
      <c r="L4470" s="343"/>
    </row>
    <row r="4471" spans="4:12" x14ac:dyDescent="0.2">
      <c r="D4471" s="341"/>
      <c r="F4471" s="343"/>
      <c r="G4471" s="343"/>
      <c r="H4471" s="343"/>
      <c r="I4471" s="343"/>
      <c r="J4471" s="343"/>
      <c r="K4471" s="343"/>
      <c r="L4471" s="343"/>
    </row>
    <row r="4472" spans="4:12" x14ac:dyDescent="0.2">
      <c r="D4472" s="341"/>
      <c r="F4472" s="343"/>
      <c r="G4472" s="343"/>
      <c r="H4472" s="343"/>
      <c r="I4472" s="343"/>
      <c r="J4472" s="343"/>
      <c r="K4472" s="343"/>
      <c r="L4472" s="343"/>
    </row>
    <row r="4473" spans="4:12" x14ac:dyDescent="0.2">
      <c r="D4473" s="341"/>
      <c r="F4473" s="343"/>
      <c r="G4473" s="343"/>
      <c r="H4473" s="343"/>
      <c r="I4473" s="343"/>
      <c r="J4473" s="343"/>
      <c r="K4473" s="343"/>
      <c r="L4473" s="343"/>
    </row>
    <row r="4474" spans="4:12" x14ac:dyDescent="0.2">
      <c r="D4474" s="341"/>
      <c r="F4474" s="343"/>
      <c r="G4474" s="343"/>
      <c r="H4474" s="343"/>
      <c r="I4474" s="343"/>
      <c r="J4474" s="343"/>
      <c r="K4474" s="343"/>
      <c r="L4474" s="343"/>
    </row>
    <row r="4475" spans="4:12" x14ac:dyDescent="0.2">
      <c r="D4475" s="341"/>
      <c r="F4475" s="343"/>
      <c r="G4475" s="343"/>
      <c r="H4475" s="343"/>
      <c r="I4475" s="343"/>
      <c r="J4475" s="343"/>
      <c r="K4475" s="343"/>
      <c r="L4475" s="343"/>
    </row>
    <row r="4476" spans="4:12" x14ac:dyDescent="0.2">
      <c r="D4476" s="341"/>
      <c r="F4476" s="343"/>
      <c r="G4476" s="343"/>
      <c r="H4476" s="343"/>
      <c r="I4476" s="343"/>
      <c r="J4476" s="343"/>
      <c r="K4476" s="343"/>
      <c r="L4476" s="343"/>
    </row>
    <row r="4477" spans="4:12" x14ac:dyDescent="0.2">
      <c r="D4477" s="341"/>
      <c r="F4477" s="343"/>
      <c r="G4477" s="343"/>
      <c r="H4477" s="343"/>
      <c r="I4477" s="343"/>
      <c r="J4477" s="343"/>
      <c r="K4477" s="343"/>
      <c r="L4477" s="343"/>
    </row>
    <row r="4478" spans="4:12" x14ac:dyDescent="0.2">
      <c r="D4478" s="341"/>
      <c r="F4478" s="343"/>
      <c r="G4478" s="343"/>
      <c r="H4478" s="343"/>
      <c r="I4478" s="343"/>
      <c r="J4478" s="343"/>
      <c r="K4478" s="343"/>
      <c r="L4478" s="343"/>
    </row>
    <row r="4479" spans="4:12" x14ac:dyDescent="0.2">
      <c r="D4479" s="341"/>
      <c r="F4479" s="343"/>
      <c r="G4479" s="343"/>
      <c r="H4479" s="343"/>
      <c r="I4479" s="343"/>
      <c r="J4479" s="343"/>
      <c r="K4479" s="343"/>
      <c r="L4479" s="343"/>
    </row>
    <row r="4480" spans="4:12" x14ac:dyDescent="0.2">
      <c r="D4480" s="341"/>
      <c r="F4480" s="343"/>
      <c r="G4480" s="343"/>
      <c r="H4480" s="343"/>
      <c r="I4480" s="343"/>
      <c r="J4480" s="343"/>
      <c r="K4480" s="343"/>
      <c r="L4480" s="343"/>
    </row>
    <row r="4481" spans="4:12" x14ac:dyDescent="0.2">
      <c r="D4481" s="341"/>
      <c r="F4481" s="343"/>
      <c r="G4481" s="343"/>
      <c r="H4481" s="343"/>
      <c r="I4481" s="343"/>
      <c r="J4481" s="343"/>
      <c r="K4481" s="343"/>
      <c r="L4481" s="343"/>
    </row>
    <row r="4482" spans="4:12" x14ac:dyDescent="0.2">
      <c r="D4482" s="341"/>
      <c r="F4482" s="343"/>
      <c r="G4482" s="343"/>
      <c r="H4482" s="343"/>
      <c r="I4482" s="343"/>
      <c r="J4482" s="343"/>
      <c r="K4482" s="343"/>
      <c r="L4482" s="343"/>
    </row>
    <row r="4483" spans="4:12" x14ac:dyDescent="0.2">
      <c r="D4483" s="341"/>
      <c r="F4483" s="343"/>
      <c r="G4483" s="343"/>
      <c r="H4483" s="343"/>
      <c r="I4483" s="343"/>
      <c r="J4483" s="343"/>
      <c r="K4483" s="343"/>
      <c r="L4483" s="343"/>
    </row>
    <row r="4484" spans="4:12" x14ac:dyDescent="0.2">
      <c r="D4484" s="341"/>
      <c r="F4484" s="343"/>
      <c r="G4484" s="343"/>
      <c r="H4484" s="343"/>
      <c r="I4484" s="343"/>
      <c r="J4484" s="343"/>
      <c r="K4484" s="343"/>
      <c r="L4484" s="343"/>
    </row>
    <row r="4485" spans="4:12" x14ac:dyDescent="0.2">
      <c r="D4485" s="341"/>
      <c r="F4485" s="343"/>
      <c r="G4485" s="343"/>
      <c r="H4485" s="343"/>
      <c r="I4485" s="343"/>
      <c r="J4485" s="343"/>
      <c r="K4485" s="343"/>
      <c r="L4485" s="343"/>
    </row>
    <row r="4486" spans="4:12" x14ac:dyDescent="0.2">
      <c r="D4486" s="341"/>
      <c r="F4486" s="343"/>
      <c r="G4486" s="343"/>
      <c r="H4486" s="343"/>
      <c r="I4486" s="343"/>
      <c r="J4486" s="343"/>
      <c r="K4486" s="343"/>
      <c r="L4486" s="343"/>
    </row>
    <row r="4487" spans="4:12" x14ac:dyDescent="0.2">
      <c r="D4487" s="341"/>
      <c r="F4487" s="343"/>
      <c r="G4487" s="343"/>
      <c r="H4487" s="343"/>
      <c r="I4487" s="343"/>
      <c r="J4487" s="343"/>
      <c r="K4487" s="343"/>
      <c r="L4487" s="343"/>
    </row>
    <row r="4488" spans="4:12" x14ac:dyDescent="0.2">
      <c r="D4488" s="341"/>
      <c r="F4488" s="343"/>
      <c r="G4488" s="343"/>
      <c r="H4488" s="343"/>
      <c r="I4488" s="343"/>
      <c r="J4488" s="343"/>
      <c r="K4488" s="343"/>
      <c r="L4488" s="343"/>
    </row>
    <row r="4489" spans="4:12" x14ac:dyDescent="0.2">
      <c r="D4489" s="341"/>
      <c r="F4489" s="343"/>
      <c r="G4489" s="343"/>
      <c r="H4489" s="343"/>
      <c r="I4489" s="343"/>
      <c r="J4489" s="343"/>
      <c r="K4489" s="343"/>
      <c r="L4489" s="343"/>
    </row>
    <row r="4490" spans="4:12" x14ac:dyDescent="0.2">
      <c r="D4490" s="341"/>
      <c r="F4490" s="343"/>
      <c r="G4490" s="343"/>
      <c r="H4490" s="343"/>
      <c r="I4490" s="343"/>
      <c r="J4490" s="343"/>
      <c r="K4490" s="343"/>
      <c r="L4490" s="343"/>
    </row>
    <row r="4491" spans="4:12" x14ac:dyDescent="0.2">
      <c r="D4491" s="341"/>
      <c r="F4491" s="343"/>
      <c r="G4491" s="343"/>
      <c r="H4491" s="343"/>
      <c r="I4491" s="343"/>
      <c r="J4491" s="343"/>
      <c r="K4491" s="343"/>
      <c r="L4491" s="343"/>
    </row>
    <row r="4492" spans="4:12" x14ac:dyDescent="0.2">
      <c r="D4492" s="341"/>
      <c r="F4492" s="343"/>
      <c r="G4492" s="343"/>
      <c r="H4492" s="343"/>
      <c r="I4492" s="343"/>
      <c r="J4492" s="343"/>
      <c r="K4492" s="343"/>
      <c r="L4492" s="343"/>
    </row>
    <row r="4493" spans="4:12" x14ac:dyDescent="0.2">
      <c r="D4493" s="341"/>
      <c r="F4493" s="343"/>
      <c r="G4493" s="343"/>
      <c r="H4493" s="343"/>
      <c r="I4493" s="343"/>
      <c r="J4493" s="343"/>
      <c r="K4493" s="343"/>
      <c r="L4493" s="343"/>
    </row>
    <row r="4494" spans="4:12" x14ac:dyDescent="0.2">
      <c r="D4494" s="341"/>
      <c r="F4494" s="343"/>
      <c r="G4494" s="343"/>
      <c r="H4494" s="343"/>
      <c r="I4494" s="343"/>
      <c r="J4494" s="343"/>
      <c r="K4494" s="343"/>
      <c r="L4494" s="343"/>
    </row>
    <row r="4495" spans="4:12" x14ac:dyDescent="0.2">
      <c r="D4495" s="341"/>
      <c r="F4495" s="343"/>
      <c r="G4495" s="343"/>
      <c r="H4495" s="343"/>
      <c r="I4495" s="343"/>
      <c r="J4495" s="343"/>
      <c r="K4495" s="343"/>
      <c r="L4495" s="343"/>
    </row>
    <row r="4496" spans="4:12" x14ac:dyDescent="0.2">
      <c r="D4496" s="341"/>
      <c r="F4496" s="343"/>
      <c r="G4496" s="343"/>
      <c r="H4496" s="343"/>
      <c r="I4496" s="343"/>
      <c r="J4496" s="343"/>
      <c r="K4496" s="343"/>
      <c r="L4496" s="343"/>
    </row>
    <row r="4497" spans="4:12" x14ac:dyDescent="0.2">
      <c r="D4497" s="341"/>
      <c r="F4497" s="343"/>
      <c r="G4497" s="343"/>
      <c r="H4497" s="343"/>
      <c r="I4497" s="343"/>
      <c r="J4497" s="343"/>
      <c r="K4497" s="343"/>
      <c r="L4497" s="343"/>
    </row>
    <row r="4498" spans="4:12" x14ac:dyDescent="0.2">
      <c r="D4498" s="341"/>
      <c r="F4498" s="343"/>
      <c r="G4498" s="343"/>
      <c r="H4498" s="343"/>
      <c r="I4498" s="343"/>
      <c r="J4498" s="343"/>
      <c r="K4498" s="343"/>
      <c r="L4498" s="343"/>
    </row>
    <row r="4499" spans="4:12" x14ac:dyDescent="0.2">
      <c r="D4499" s="341"/>
      <c r="F4499" s="343"/>
      <c r="G4499" s="343"/>
      <c r="H4499" s="343"/>
      <c r="I4499" s="343"/>
      <c r="J4499" s="343"/>
      <c r="K4499" s="343"/>
      <c r="L4499" s="343"/>
    </row>
    <row r="4500" spans="4:12" x14ac:dyDescent="0.2">
      <c r="D4500" s="341"/>
      <c r="F4500" s="343"/>
      <c r="G4500" s="343"/>
      <c r="H4500" s="343"/>
      <c r="I4500" s="343"/>
      <c r="J4500" s="343"/>
      <c r="K4500" s="343"/>
      <c r="L4500" s="343"/>
    </row>
    <row r="4501" spans="4:12" x14ac:dyDescent="0.2">
      <c r="D4501" s="341"/>
      <c r="F4501" s="343"/>
      <c r="G4501" s="343"/>
      <c r="H4501" s="343"/>
      <c r="I4501" s="343"/>
      <c r="J4501" s="343"/>
      <c r="K4501" s="343"/>
      <c r="L4501" s="343"/>
    </row>
    <row r="4502" spans="4:12" x14ac:dyDescent="0.2">
      <c r="D4502" s="341"/>
      <c r="F4502" s="343"/>
      <c r="G4502" s="343"/>
      <c r="H4502" s="343"/>
      <c r="I4502" s="343"/>
      <c r="J4502" s="343"/>
      <c r="K4502" s="343"/>
      <c r="L4502" s="343"/>
    </row>
    <row r="4503" spans="4:12" x14ac:dyDescent="0.2">
      <c r="D4503" s="341"/>
      <c r="F4503" s="343"/>
      <c r="G4503" s="343"/>
      <c r="H4503" s="343"/>
      <c r="I4503" s="343"/>
      <c r="J4503" s="343"/>
      <c r="K4503" s="343"/>
      <c r="L4503" s="343"/>
    </row>
    <row r="4504" spans="4:12" x14ac:dyDescent="0.2">
      <c r="D4504" s="341"/>
      <c r="F4504" s="343"/>
      <c r="G4504" s="343"/>
      <c r="H4504" s="343"/>
      <c r="I4504" s="343"/>
      <c r="J4504" s="343"/>
      <c r="K4504" s="343"/>
      <c r="L4504" s="343"/>
    </row>
    <row r="4505" spans="4:12" x14ac:dyDescent="0.2">
      <c r="D4505" s="341"/>
      <c r="F4505" s="343"/>
      <c r="G4505" s="343"/>
      <c r="H4505" s="343"/>
      <c r="I4505" s="343"/>
      <c r="J4505" s="343"/>
      <c r="K4505" s="343"/>
      <c r="L4505" s="343"/>
    </row>
    <row r="4506" spans="4:12" x14ac:dyDescent="0.2">
      <c r="D4506" s="341"/>
      <c r="F4506" s="343"/>
      <c r="G4506" s="343"/>
      <c r="H4506" s="343"/>
      <c r="I4506" s="343"/>
      <c r="J4506" s="343"/>
      <c r="K4506" s="343"/>
      <c r="L4506" s="343"/>
    </row>
    <row r="4507" spans="4:12" x14ac:dyDescent="0.2">
      <c r="D4507" s="341"/>
      <c r="F4507" s="343"/>
      <c r="G4507" s="343"/>
      <c r="H4507" s="343"/>
      <c r="I4507" s="343"/>
      <c r="J4507" s="343"/>
      <c r="K4507" s="343"/>
      <c r="L4507" s="343"/>
    </row>
    <row r="4508" spans="4:12" x14ac:dyDescent="0.2">
      <c r="D4508" s="341"/>
      <c r="F4508" s="343"/>
      <c r="G4508" s="343"/>
      <c r="H4508" s="343"/>
      <c r="I4508" s="343"/>
      <c r="J4508" s="343"/>
      <c r="K4508" s="343"/>
      <c r="L4508" s="343"/>
    </row>
    <row r="4509" spans="4:12" x14ac:dyDescent="0.2">
      <c r="D4509" s="341"/>
      <c r="F4509" s="343"/>
      <c r="G4509" s="343"/>
      <c r="H4509" s="343"/>
      <c r="I4509" s="343"/>
      <c r="J4509" s="343"/>
      <c r="K4509" s="343"/>
      <c r="L4509" s="343"/>
    </row>
    <row r="4510" spans="4:12" x14ac:dyDescent="0.2">
      <c r="D4510" s="341"/>
      <c r="F4510" s="343"/>
      <c r="G4510" s="343"/>
      <c r="H4510" s="343"/>
      <c r="I4510" s="343"/>
      <c r="J4510" s="343"/>
      <c r="K4510" s="343"/>
      <c r="L4510" s="343"/>
    </row>
    <row r="4511" spans="4:12" x14ac:dyDescent="0.2">
      <c r="D4511" s="341"/>
      <c r="F4511" s="343"/>
      <c r="G4511" s="343"/>
      <c r="H4511" s="343"/>
      <c r="I4511" s="343"/>
      <c r="J4511" s="343"/>
      <c r="K4511" s="343"/>
      <c r="L4511" s="343"/>
    </row>
    <row r="4512" spans="4:12" x14ac:dyDescent="0.2">
      <c r="D4512" s="341"/>
      <c r="F4512" s="343"/>
      <c r="G4512" s="343"/>
      <c r="H4512" s="343"/>
      <c r="I4512" s="343"/>
      <c r="J4512" s="343"/>
      <c r="K4512" s="343"/>
      <c r="L4512" s="343"/>
    </row>
    <row r="4513" spans="4:12" x14ac:dyDescent="0.2">
      <c r="D4513" s="341"/>
      <c r="F4513" s="343"/>
      <c r="G4513" s="343"/>
      <c r="H4513" s="343"/>
      <c r="I4513" s="343"/>
      <c r="J4513" s="343"/>
      <c r="K4513" s="343"/>
      <c r="L4513" s="343"/>
    </row>
    <row r="4514" spans="4:12" x14ac:dyDescent="0.2">
      <c r="D4514" s="341"/>
      <c r="F4514" s="343"/>
      <c r="G4514" s="343"/>
      <c r="H4514" s="343"/>
      <c r="I4514" s="343"/>
      <c r="J4514" s="343"/>
      <c r="K4514" s="343"/>
      <c r="L4514" s="343"/>
    </row>
    <row r="4515" spans="4:12" x14ac:dyDescent="0.2">
      <c r="D4515" s="341"/>
      <c r="F4515" s="343"/>
      <c r="G4515" s="343"/>
      <c r="H4515" s="343"/>
      <c r="I4515" s="343"/>
      <c r="J4515" s="343"/>
      <c r="K4515" s="343"/>
      <c r="L4515" s="343"/>
    </row>
    <row r="4516" spans="4:12" x14ac:dyDescent="0.2">
      <c r="D4516" s="341"/>
      <c r="F4516" s="343"/>
      <c r="G4516" s="343"/>
      <c r="H4516" s="343"/>
      <c r="I4516" s="343"/>
      <c r="J4516" s="343"/>
      <c r="K4516" s="343"/>
      <c r="L4516" s="343"/>
    </row>
    <row r="4517" spans="4:12" x14ac:dyDescent="0.2">
      <c r="D4517" s="341"/>
      <c r="F4517" s="343"/>
      <c r="G4517" s="343"/>
      <c r="H4517" s="343"/>
      <c r="I4517" s="343"/>
      <c r="J4517" s="343"/>
      <c r="K4517" s="343"/>
      <c r="L4517" s="343"/>
    </row>
    <row r="4518" spans="4:12" x14ac:dyDescent="0.2">
      <c r="D4518" s="341"/>
      <c r="F4518" s="343"/>
      <c r="G4518" s="343"/>
      <c r="H4518" s="343"/>
      <c r="I4518" s="343"/>
      <c r="J4518" s="343"/>
      <c r="K4518" s="343"/>
      <c r="L4518" s="343"/>
    </row>
    <row r="4519" spans="4:12" x14ac:dyDescent="0.2">
      <c r="D4519" s="341"/>
      <c r="F4519" s="343"/>
      <c r="G4519" s="343"/>
      <c r="H4519" s="343"/>
      <c r="I4519" s="343"/>
      <c r="J4519" s="343"/>
      <c r="K4519" s="343"/>
      <c r="L4519" s="343"/>
    </row>
    <row r="4520" spans="4:12" x14ac:dyDescent="0.2">
      <c r="D4520" s="341"/>
      <c r="F4520" s="343"/>
      <c r="G4520" s="343"/>
      <c r="H4520" s="343"/>
      <c r="I4520" s="343"/>
      <c r="J4520" s="343"/>
      <c r="K4520" s="343"/>
      <c r="L4520" s="343"/>
    </row>
    <row r="4521" spans="4:12" x14ac:dyDescent="0.2">
      <c r="D4521" s="341"/>
      <c r="F4521" s="343"/>
      <c r="G4521" s="343"/>
      <c r="H4521" s="343"/>
      <c r="I4521" s="343"/>
      <c r="J4521" s="343"/>
      <c r="K4521" s="343"/>
      <c r="L4521" s="343"/>
    </row>
    <row r="4522" spans="4:12" x14ac:dyDescent="0.2">
      <c r="D4522" s="341"/>
      <c r="F4522" s="343"/>
      <c r="G4522" s="343"/>
      <c r="H4522" s="343"/>
      <c r="I4522" s="343"/>
      <c r="J4522" s="343"/>
      <c r="K4522" s="343"/>
      <c r="L4522" s="343"/>
    </row>
    <row r="4523" spans="4:12" x14ac:dyDescent="0.2">
      <c r="D4523" s="341"/>
      <c r="F4523" s="343"/>
      <c r="G4523" s="343"/>
      <c r="H4523" s="343"/>
      <c r="I4523" s="343"/>
      <c r="J4523" s="343"/>
      <c r="K4523" s="343"/>
      <c r="L4523" s="343"/>
    </row>
    <row r="4524" spans="4:12" x14ac:dyDescent="0.2">
      <c r="D4524" s="341"/>
      <c r="F4524" s="343"/>
      <c r="G4524" s="343"/>
      <c r="H4524" s="343"/>
      <c r="I4524" s="343"/>
      <c r="J4524" s="343"/>
      <c r="K4524" s="343"/>
      <c r="L4524" s="343"/>
    </row>
    <row r="4525" spans="4:12" x14ac:dyDescent="0.2">
      <c r="D4525" s="341"/>
      <c r="F4525" s="343"/>
      <c r="G4525" s="343"/>
      <c r="H4525" s="343"/>
      <c r="I4525" s="343"/>
      <c r="J4525" s="343"/>
      <c r="K4525" s="343"/>
      <c r="L4525" s="343"/>
    </row>
    <row r="4526" spans="4:12" x14ac:dyDescent="0.2">
      <c r="D4526" s="341"/>
      <c r="F4526" s="343"/>
      <c r="G4526" s="343"/>
      <c r="H4526" s="343"/>
      <c r="I4526" s="343"/>
      <c r="J4526" s="343"/>
      <c r="K4526" s="343"/>
      <c r="L4526" s="343"/>
    </row>
    <row r="4527" spans="4:12" x14ac:dyDescent="0.2">
      <c r="D4527" s="341"/>
      <c r="F4527" s="343"/>
      <c r="G4527" s="343"/>
      <c r="H4527" s="343"/>
      <c r="I4527" s="343"/>
      <c r="J4527" s="343"/>
      <c r="K4527" s="343"/>
      <c r="L4527" s="343"/>
    </row>
    <row r="4528" spans="4:12" x14ac:dyDescent="0.2">
      <c r="D4528" s="341"/>
      <c r="F4528" s="343"/>
      <c r="G4528" s="343"/>
      <c r="H4528" s="343"/>
      <c r="I4528" s="343"/>
      <c r="J4528" s="343"/>
      <c r="K4528" s="343"/>
      <c r="L4528" s="343"/>
    </row>
    <row r="4529" spans="4:12" x14ac:dyDescent="0.2">
      <c r="D4529" s="341"/>
      <c r="F4529" s="343"/>
      <c r="G4529" s="343"/>
      <c r="H4529" s="343"/>
      <c r="I4529" s="343"/>
      <c r="J4529" s="343"/>
      <c r="K4529" s="343"/>
      <c r="L4529" s="343"/>
    </row>
    <row r="4530" spans="4:12" x14ac:dyDescent="0.2">
      <c r="D4530" s="341"/>
      <c r="F4530" s="343"/>
      <c r="G4530" s="343"/>
      <c r="H4530" s="343"/>
      <c r="I4530" s="343"/>
      <c r="J4530" s="343"/>
      <c r="K4530" s="343"/>
      <c r="L4530" s="343"/>
    </row>
    <row r="4531" spans="4:12" x14ac:dyDescent="0.2">
      <c r="D4531" s="341"/>
      <c r="F4531" s="343"/>
      <c r="G4531" s="343"/>
      <c r="H4531" s="343"/>
      <c r="I4531" s="343"/>
      <c r="J4531" s="343"/>
      <c r="K4531" s="343"/>
      <c r="L4531" s="343"/>
    </row>
    <row r="4532" spans="4:12" x14ac:dyDescent="0.2">
      <c r="D4532" s="341"/>
      <c r="F4532" s="343"/>
      <c r="G4532" s="343"/>
      <c r="H4532" s="343"/>
      <c r="I4532" s="343"/>
      <c r="J4532" s="343"/>
      <c r="K4532" s="343"/>
      <c r="L4532" s="343"/>
    </row>
    <row r="4533" spans="4:12" x14ac:dyDescent="0.2">
      <c r="D4533" s="341"/>
      <c r="F4533" s="343"/>
      <c r="G4533" s="343"/>
      <c r="H4533" s="343"/>
      <c r="I4533" s="343"/>
      <c r="J4533" s="343"/>
      <c r="K4533" s="343"/>
      <c r="L4533" s="343"/>
    </row>
    <row r="4534" spans="4:12" x14ac:dyDescent="0.2">
      <c r="D4534" s="341"/>
      <c r="F4534" s="343"/>
      <c r="G4534" s="343"/>
      <c r="H4534" s="343"/>
      <c r="I4534" s="343"/>
      <c r="J4534" s="343"/>
      <c r="K4534" s="343"/>
      <c r="L4534" s="343"/>
    </row>
    <row r="4535" spans="4:12" x14ac:dyDescent="0.2">
      <c r="D4535" s="341"/>
      <c r="F4535" s="343"/>
      <c r="G4535" s="343"/>
      <c r="H4535" s="343"/>
      <c r="I4535" s="343"/>
      <c r="J4535" s="343"/>
      <c r="K4535" s="343"/>
      <c r="L4535" s="343"/>
    </row>
    <row r="4536" spans="4:12" x14ac:dyDescent="0.2">
      <c r="D4536" s="341"/>
      <c r="F4536" s="343"/>
      <c r="G4536" s="343"/>
      <c r="H4536" s="343"/>
      <c r="I4536" s="343"/>
      <c r="J4536" s="343"/>
      <c r="K4536" s="343"/>
      <c r="L4536" s="343"/>
    </row>
    <row r="4537" spans="4:12" x14ac:dyDescent="0.2">
      <c r="D4537" s="341"/>
      <c r="F4537" s="343"/>
      <c r="G4537" s="343"/>
      <c r="H4537" s="343"/>
      <c r="I4537" s="343"/>
      <c r="J4537" s="343"/>
      <c r="K4537" s="343"/>
      <c r="L4537" s="343"/>
    </row>
    <row r="4538" spans="4:12" x14ac:dyDescent="0.2">
      <c r="D4538" s="341"/>
      <c r="F4538" s="343"/>
      <c r="G4538" s="343"/>
      <c r="H4538" s="343"/>
      <c r="I4538" s="343"/>
      <c r="J4538" s="343"/>
      <c r="K4538" s="343"/>
      <c r="L4538" s="343"/>
    </row>
    <row r="4539" spans="4:12" x14ac:dyDescent="0.2">
      <c r="D4539" s="341"/>
      <c r="F4539" s="343"/>
      <c r="G4539" s="343"/>
      <c r="H4539" s="343"/>
      <c r="I4539" s="343"/>
      <c r="J4539" s="343"/>
      <c r="K4539" s="343"/>
      <c r="L4539" s="343"/>
    </row>
    <row r="4540" spans="4:12" x14ac:dyDescent="0.2">
      <c r="D4540" s="341"/>
      <c r="F4540" s="343"/>
      <c r="G4540" s="343"/>
      <c r="H4540" s="343"/>
      <c r="I4540" s="343"/>
      <c r="J4540" s="343"/>
      <c r="K4540" s="343"/>
      <c r="L4540" s="343"/>
    </row>
    <row r="4541" spans="4:12" x14ac:dyDescent="0.2">
      <c r="D4541" s="341"/>
      <c r="F4541" s="343"/>
      <c r="G4541" s="343"/>
      <c r="H4541" s="343"/>
      <c r="I4541" s="343"/>
      <c r="J4541" s="343"/>
      <c r="K4541" s="343"/>
      <c r="L4541" s="343"/>
    </row>
    <row r="4542" spans="4:12" x14ac:dyDescent="0.2">
      <c r="D4542" s="341"/>
      <c r="F4542" s="343"/>
      <c r="G4542" s="343"/>
      <c r="H4542" s="343"/>
      <c r="I4542" s="343"/>
      <c r="J4542" s="343"/>
      <c r="K4542" s="343"/>
      <c r="L4542" s="343"/>
    </row>
    <row r="4543" spans="4:12" x14ac:dyDescent="0.2">
      <c r="D4543" s="341"/>
      <c r="F4543" s="343"/>
      <c r="G4543" s="343"/>
      <c r="H4543" s="343"/>
      <c r="I4543" s="343"/>
      <c r="J4543" s="343"/>
      <c r="K4543" s="343"/>
      <c r="L4543" s="343"/>
    </row>
    <row r="4544" spans="4:12" x14ac:dyDescent="0.2">
      <c r="D4544" s="341"/>
      <c r="F4544" s="343"/>
      <c r="G4544" s="343"/>
      <c r="H4544" s="343"/>
      <c r="I4544" s="343"/>
      <c r="J4544" s="343"/>
      <c r="K4544" s="343"/>
      <c r="L4544" s="343"/>
    </row>
    <row r="4545" spans="4:12" x14ac:dyDescent="0.2">
      <c r="D4545" s="341"/>
      <c r="F4545" s="343"/>
      <c r="G4545" s="343"/>
      <c r="H4545" s="343"/>
      <c r="I4545" s="343"/>
      <c r="J4545" s="343"/>
      <c r="K4545" s="343"/>
      <c r="L4545" s="343"/>
    </row>
    <row r="4546" spans="4:12" x14ac:dyDescent="0.2">
      <c r="D4546" s="341"/>
      <c r="F4546" s="343"/>
      <c r="G4546" s="343"/>
      <c r="H4546" s="343"/>
      <c r="I4546" s="343"/>
      <c r="J4546" s="343"/>
      <c r="K4546" s="343"/>
      <c r="L4546" s="343"/>
    </row>
    <row r="4547" spans="4:12" x14ac:dyDescent="0.2">
      <c r="D4547" s="341"/>
      <c r="F4547" s="343"/>
      <c r="G4547" s="343"/>
      <c r="H4547" s="343"/>
      <c r="I4547" s="343"/>
      <c r="J4547" s="343"/>
      <c r="K4547" s="343"/>
      <c r="L4547" s="343"/>
    </row>
    <row r="4548" spans="4:12" x14ac:dyDescent="0.2">
      <c r="D4548" s="341"/>
      <c r="F4548" s="343"/>
      <c r="G4548" s="343"/>
      <c r="H4548" s="343"/>
      <c r="I4548" s="343"/>
      <c r="J4548" s="343"/>
      <c r="K4548" s="343"/>
      <c r="L4548" s="343"/>
    </row>
    <row r="4549" spans="4:12" x14ac:dyDescent="0.2">
      <c r="D4549" s="341"/>
      <c r="F4549" s="343"/>
      <c r="G4549" s="343"/>
      <c r="H4549" s="343"/>
      <c r="I4549" s="343"/>
      <c r="J4549" s="343"/>
      <c r="K4549" s="343"/>
      <c r="L4549" s="343"/>
    </row>
    <row r="4550" spans="4:12" x14ac:dyDescent="0.2">
      <c r="D4550" s="341"/>
      <c r="F4550" s="343"/>
      <c r="G4550" s="343"/>
      <c r="H4550" s="343"/>
      <c r="I4550" s="343"/>
      <c r="J4550" s="343"/>
      <c r="K4550" s="343"/>
      <c r="L4550" s="343"/>
    </row>
    <row r="4551" spans="4:12" x14ac:dyDescent="0.2">
      <c r="D4551" s="341"/>
      <c r="F4551" s="343"/>
      <c r="G4551" s="343"/>
      <c r="H4551" s="343"/>
      <c r="I4551" s="343"/>
      <c r="J4551" s="343"/>
      <c r="K4551" s="343"/>
      <c r="L4551" s="343"/>
    </row>
    <row r="4552" spans="4:12" x14ac:dyDescent="0.2">
      <c r="D4552" s="341"/>
      <c r="F4552" s="343"/>
      <c r="G4552" s="343"/>
      <c r="H4552" s="343"/>
      <c r="I4552" s="343"/>
      <c r="J4552" s="343"/>
      <c r="K4552" s="343"/>
      <c r="L4552" s="343"/>
    </row>
    <row r="4553" spans="4:12" x14ac:dyDescent="0.2">
      <c r="D4553" s="341"/>
      <c r="F4553" s="343"/>
      <c r="G4553" s="343"/>
      <c r="H4553" s="343"/>
      <c r="I4553" s="343"/>
      <c r="J4553" s="343"/>
      <c r="K4553" s="343"/>
      <c r="L4553" s="343"/>
    </row>
    <row r="4554" spans="4:12" x14ac:dyDescent="0.2">
      <c r="D4554" s="341"/>
      <c r="F4554" s="343"/>
      <c r="G4554" s="343"/>
      <c r="H4554" s="343"/>
      <c r="I4554" s="343"/>
      <c r="J4554" s="343"/>
      <c r="K4554" s="343"/>
      <c r="L4554" s="343"/>
    </row>
    <row r="4555" spans="4:12" x14ac:dyDescent="0.2">
      <c r="D4555" s="341"/>
      <c r="F4555" s="343"/>
      <c r="G4555" s="343"/>
      <c r="H4555" s="343"/>
      <c r="I4555" s="343"/>
      <c r="J4555" s="343"/>
      <c r="K4555" s="343"/>
      <c r="L4555" s="343"/>
    </row>
    <row r="4556" spans="4:12" x14ac:dyDescent="0.2">
      <c r="D4556" s="341"/>
      <c r="F4556" s="343"/>
      <c r="G4556" s="343"/>
      <c r="H4556" s="343"/>
      <c r="I4556" s="343"/>
      <c r="J4556" s="343"/>
      <c r="K4556" s="343"/>
      <c r="L4556" s="343"/>
    </row>
    <row r="4557" spans="4:12" x14ac:dyDescent="0.2">
      <c r="D4557" s="341"/>
      <c r="F4557" s="343"/>
      <c r="G4557" s="343"/>
      <c r="H4557" s="343"/>
      <c r="I4557" s="343"/>
      <c r="J4557" s="343"/>
      <c r="K4557" s="343"/>
      <c r="L4557" s="343"/>
    </row>
    <row r="4558" spans="4:12" x14ac:dyDescent="0.2">
      <c r="D4558" s="341"/>
      <c r="F4558" s="343"/>
      <c r="G4558" s="343"/>
      <c r="H4558" s="343"/>
      <c r="I4558" s="343"/>
      <c r="J4558" s="343"/>
      <c r="K4558" s="343"/>
      <c r="L4558" s="343"/>
    </row>
    <row r="4559" spans="4:12" x14ac:dyDescent="0.2">
      <c r="D4559" s="341"/>
      <c r="F4559" s="343"/>
      <c r="G4559" s="343"/>
      <c r="H4559" s="343"/>
      <c r="I4559" s="343"/>
      <c r="J4559" s="343"/>
      <c r="K4559" s="343"/>
      <c r="L4559" s="343"/>
    </row>
    <row r="4560" spans="4:12" x14ac:dyDescent="0.2">
      <c r="D4560" s="341"/>
      <c r="F4560" s="343"/>
      <c r="G4560" s="343"/>
      <c r="H4560" s="343"/>
      <c r="I4560" s="343"/>
      <c r="J4560" s="343"/>
      <c r="K4560" s="343"/>
      <c r="L4560" s="343"/>
    </row>
    <row r="4561" spans="4:12" x14ac:dyDescent="0.2">
      <c r="D4561" s="341"/>
      <c r="F4561" s="343"/>
      <c r="G4561" s="343"/>
      <c r="H4561" s="343"/>
      <c r="I4561" s="343"/>
      <c r="J4561" s="343"/>
      <c r="K4561" s="343"/>
      <c r="L4561" s="343"/>
    </row>
    <row r="4562" spans="4:12" x14ac:dyDescent="0.2">
      <c r="D4562" s="341"/>
      <c r="F4562" s="343"/>
      <c r="G4562" s="343"/>
      <c r="H4562" s="343"/>
      <c r="I4562" s="343"/>
      <c r="J4562" s="343"/>
      <c r="K4562" s="343"/>
      <c r="L4562" s="343"/>
    </row>
    <row r="4563" spans="4:12" x14ac:dyDescent="0.2">
      <c r="D4563" s="341"/>
      <c r="F4563" s="343"/>
      <c r="G4563" s="343"/>
      <c r="H4563" s="343"/>
      <c r="I4563" s="343"/>
      <c r="J4563" s="343"/>
      <c r="K4563" s="343"/>
      <c r="L4563" s="343"/>
    </row>
    <row r="4564" spans="4:12" x14ac:dyDescent="0.2">
      <c r="D4564" s="341"/>
      <c r="F4564" s="343"/>
      <c r="G4564" s="343"/>
      <c r="H4564" s="343"/>
      <c r="I4564" s="343"/>
      <c r="J4564" s="343"/>
      <c r="K4564" s="343"/>
      <c r="L4564" s="343"/>
    </row>
    <row r="4565" spans="4:12" x14ac:dyDescent="0.2">
      <c r="D4565" s="341"/>
      <c r="F4565" s="343"/>
      <c r="G4565" s="343"/>
      <c r="H4565" s="343"/>
      <c r="I4565" s="343"/>
      <c r="J4565" s="343"/>
      <c r="K4565" s="343"/>
      <c r="L4565" s="343"/>
    </row>
    <row r="4566" spans="4:12" x14ac:dyDescent="0.2">
      <c r="D4566" s="341"/>
      <c r="F4566" s="343"/>
      <c r="G4566" s="343"/>
      <c r="H4566" s="343"/>
      <c r="I4566" s="343"/>
      <c r="J4566" s="343"/>
      <c r="K4566" s="343"/>
      <c r="L4566" s="343"/>
    </row>
    <row r="4567" spans="4:12" x14ac:dyDescent="0.2">
      <c r="D4567" s="341"/>
      <c r="F4567" s="343"/>
      <c r="G4567" s="343"/>
      <c r="H4567" s="343"/>
      <c r="I4567" s="343"/>
      <c r="J4567" s="343"/>
      <c r="K4567" s="343"/>
      <c r="L4567" s="343"/>
    </row>
    <row r="4568" spans="4:12" x14ac:dyDescent="0.2">
      <c r="D4568" s="341"/>
      <c r="F4568" s="343"/>
      <c r="G4568" s="343"/>
      <c r="H4568" s="343"/>
      <c r="I4568" s="343"/>
      <c r="J4568" s="343"/>
      <c r="K4568" s="343"/>
      <c r="L4568" s="343"/>
    </row>
    <row r="4569" spans="4:12" x14ac:dyDescent="0.2">
      <c r="D4569" s="341"/>
      <c r="F4569" s="343"/>
      <c r="G4569" s="343"/>
      <c r="H4569" s="343"/>
      <c r="I4569" s="343"/>
      <c r="J4569" s="343"/>
      <c r="K4569" s="343"/>
      <c r="L4569" s="343"/>
    </row>
    <row r="4570" spans="4:12" x14ac:dyDescent="0.2">
      <c r="D4570" s="341"/>
      <c r="F4570" s="343"/>
      <c r="G4570" s="343"/>
      <c r="H4570" s="343"/>
      <c r="I4570" s="343"/>
      <c r="J4570" s="343"/>
      <c r="K4570" s="343"/>
      <c r="L4570" s="343"/>
    </row>
    <row r="4571" spans="4:12" x14ac:dyDescent="0.2">
      <c r="D4571" s="341"/>
      <c r="F4571" s="343"/>
      <c r="G4571" s="343"/>
      <c r="H4571" s="343"/>
      <c r="I4571" s="343"/>
      <c r="J4571" s="343"/>
      <c r="K4571" s="343"/>
      <c r="L4571" s="343"/>
    </row>
    <row r="4572" spans="4:12" x14ac:dyDescent="0.2">
      <c r="D4572" s="341"/>
      <c r="F4572" s="343"/>
      <c r="G4572" s="343"/>
      <c r="H4572" s="343"/>
      <c r="I4572" s="343"/>
      <c r="J4572" s="343"/>
      <c r="K4572" s="343"/>
      <c r="L4572" s="343"/>
    </row>
    <row r="4573" spans="4:12" x14ac:dyDescent="0.2">
      <c r="D4573" s="341"/>
      <c r="F4573" s="343"/>
      <c r="G4573" s="343"/>
      <c r="H4573" s="343"/>
      <c r="I4573" s="343"/>
      <c r="J4573" s="343"/>
      <c r="K4573" s="343"/>
      <c r="L4573" s="343"/>
    </row>
    <row r="4574" spans="4:12" x14ac:dyDescent="0.2">
      <c r="D4574" s="341"/>
      <c r="F4574" s="343"/>
      <c r="G4574" s="343"/>
      <c r="H4574" s="343"/>
      <c r="I4574" s="343"/>
      <c r="J4574" s="343"/>
      <c r="K4574" s="343"/>
      <c r="L4574" s="343"/>
    </row>
    <row r="4575" spans="4:12" x14ac:dyDescent="0.2">
      <c r="D4575" s="341"/>
      <c r="F4575" s="343"/>
      <c r="G4575" s="343"/>
      <c r="H4575" s="343"/>
      <c r="I4575" s="343"/>
      <c r="J4575" s="343"/>
      <c r="K4575" s="343"/>
      <c r="L4575" s="343"/>
    </row>
    <row r="4576" spans="4:12" x14ac:dyDescent="0.2">
      <c r="D4576" s="341"/>
      <c r="F4576" s="343"/>
      <c r="G4576" s="343"/>
      <c r="H4576" s="343"/>
      <c r="I4576" s="343"/>
      <c r="J4576" s="343"/>
      <c r="K4576" s="343"/>
      <c r="L4576" s="343"/>
    </row>
    <row r="4577" spans="4:12" x14ac:dyDescent="0.2">
      <c r="D4577" s="341"/>
      <c r="F4577" s="343"/>
      <c r="G4577" s="343"/>
      <c r="H4577" s="343"/>
      <c r="I4577" s="343"/>
      <c r="J4577" s="343"/>
      <c r="K4577" s="343"/>
      <c r="L4577" s="343"/>
    </row>
    <row r="4578" spans="4:12" x14ac:dyDescent="0.2">
      <c r="D4578" s="341"/>
      <c r="F4578" s="343"/>
      <c r="G4578" s="343"/>
      <c r="H4578" s="343"/>
      <c r="I4578" s="343"/>
      <c r="J4578" s="343"/>
      <c r="K4578" s="343"/>
      <c r="L4578" s="343"/>
    </row>
    <row r="4579" spans="4:12" x14ac:dyDescent="0.2">
      <c r="D4579" s="341"/>
      <c r="F4579" s="343"/>
      <c r="G4579" s="343"/>
      <c r="H4579" s="343"/>
      <c r="I4579" s="343"/>
      <c r="J4579" s="343"/>
      <c r="K4579" s="343"/>
      <c r="L4579" s="343"/>
    </row>
    <row r="4580" spans="4:12" x14ac:dyDescent="0.2">
      <c r="D4580" s="341"/>
      <c r="F4580" s="343"/>
      <c r="G4580" s="343"/>
      <c r="H4580" s="343"/>
      <c r="I4580" s="343"/>
      <c r="J4580" s="343"/>
      <c r="K4580" s="343"/>
      <c r="L4580" s="343"/>
    </row>
    <row r="4581" spans="4:12" x14ac:dyDescent="0.2">
      <c r="D4581" s="341"/>
      <c r="F4581" s="343"/>
      <c r="G4581" s="343"/>
      <c r="H4581" s="343"/>
      <c r="I4581" s="343"/>
      <c r="J4581" s="343"/>
      <c r="K4581" s="343"/>
      <c r="L4581" s="343"/>
    </row>
    <row r="4582" spans="4:12" x14ac:dyDescent="0.2">
      <c r="D4582" s="341"/>
      <c r="F4582" s="343"/>
      <c r="G4582" s="343"/>
      <c r="H4582" s="343"/>
      <c r="I4582" s="343"/>
      <c r="J4582" s="343"/>
      <c r="K4582" s="343"/>
      <c r="L4582" s="343"/>
    </row>
    <row r="4583" spans="4:12" x14ac:dyDescent="0.2">
      <c r="D4583" s="341"/>
      <c r="F4583" s="343"/>
      <c r="G4583" s="343"/>
      <c r="H4583" s="343"/>
      <c r="I4583" s="343"/>
      <c r="J4583" s="343"/>
      <c r="K4583" s="343"/>
      <c r="L4583" s="343"/>
    </row>
    <row r="4584" spans="4:12" x14ac:dyDescent="0.2">
      <c r="D4584" s="341"/>
      <c r="F4584" s="343"/>
      <c r="G4584" s="343"/>
      <c r="H4584" s="343"/>
      <c r="I4584" s="343"/>
      <c r="J4584" s="343"/>
      <c r="K4584" s="343"/>
      <c r="L4584" s="343"/>
    </row>
    <row r="4585" spans="4:12" x14ac:dyDescent="0.2">
      <c r="D4585" s="341"/>
      <c r="F4585" s="343"/>
      <c r="G4585" s="343"/>
      <c r="H4585" s="343"/>
      <c r="I4585" s="343"/>
      <c r="J4585" s="343"/>
      <c r="K4585" s="343"/>
      <c r="L4585" s="343"/>
    </row>
    <row r="4586" spans="4:12" x14ac:dyDescent="0.2">
      <c r="D4586" s="341"/>
      <c r="F4586" s="343"/>
      <c r="G4586" s="343"/>
      <c r="H4586" s="343"/>
      <c r="I4586" s="343"/>
      <c r="J4586" s="343"/>
      <c r="K4586" s="343"/>
      <c r="L4586" s="343"/>
    </row>
    <row r="4587" spans="4:12" x14ac:dyDescent="0.2">
      <c r="D4587" s="341"/>
      <c r="F4587" s="343"/>
      <c r="G4587" s="343"/>
      <c r="H4587" s="343"/>
      <c r="I4587" s="343"/>
      <c r="J4587" s="343"/>
      <c r="K4587" s="343"/>
      <c r="L4587" s="343"/>
    </row>
    <row r="4588" spans="4:12" x14ac:dyDescent="0.2">
      <c r="D4588" s="341"/>
      <c r="F4588" s="343"/>
      <c r="G4588" s="343"/>
      <c r="H4588" s="343"/>
      <c r="I4588" s="343"/>
      <c r="J4588" s="343"/>
      <c r="K4588" s="343"/>
      <c r="L4588" s="343"/>
    </row>
    <row r="4589" spans="4:12" x14ac:dyDescent="0.2">
      <c r="D4589" s="341"/>
      <c r="F4589" s="343"/>
      <c r="G4589" s="343"/>
      <c r="H4589" s="343"/>
      <c r="I4589" s="343"/>
      <c r="J4589" s="343"/>
      <c r="K4589" s="343"/>
      <c r="L4589" s="343"/>
    </row>
    <row r="4590" spans="4:12" x14ac:dyDescent="0.2">
      <c r="D4590" s="341"/>
      <c r="F4590" s="343"/>
      <c r="G4590" s="343"/>
      <c r="H4590" s="343"/>
      <c r="I4590" s="343"/>
      <c r="J4590" s="343"/>
      <c r="K4590" s="343"/>
      <c r="L4590" s="343"/>
    </row>
    <row r="4591" spans="4:12" x14ac:dyDescent="0.2">
      <c r="D4591" s="341"/>
      <c r="F4591" s="343"/>
      <c r="G4591" s="343"/>
      <c r="H4591" s="343"/>
      <c r="I4591" s="343"/>
      <c r="J4591" s="343"/>
      <c r="K4591" s="343"/>
      <c r="L4591" s="343"/>
    </row>
    <row r="4592" spans="4:12" x14ac:dyDescent="0.2">
      <c r="D4592" s="341"/>
      <c r="F4592" s="343"/>
      <c r="G4592" s="343"/>
      <c r="H4592" s="343"/>
      <c r="I4592" s="343"/>
      <c r="J4592" s="343"/>
      <c r="K4592" s="343"/>
      <c r="L4592" s="343"/>
    </row>
    <row r="4593" spans="4:12" x14ac:dyDescent="0.2">
      <c r="D4593" s="341"/>
      <c r="F4593" s="343"/>
      <c r="G4593" s="343"/>
      <c r="H4593" s="343"/>
      <c r="I4593" s="343"/>
      <c r="J4593" s="343"/>
      <c r="K4593" s="343"/>
      <c r="L4593" s="343"/>
    </row>
    <row r="4594" spans="4:12" x14ac:dyDescent="0.2">
      <c r="D4594" s="341"/>
      <c r="F4594" s="343"/>
      <c r="G4594" s="343"/>
      <c r="H4594" s="343"/>
      <c r="I4594" s="343"/>
      <c r="J4594" s="343"/>
      <c r="K4594" s="343"/>
      <c r="L4594" s="343"/>
    </row>
    <row r="4595" spans="4:12" x14ac:dyDescent="0.2">
      <c r="D4595" s="341"/>
      <c r="F4595" s="343"/>
      <c r="G4595" s="343"/>
      <c r="H4595" s="343"/>
      <c r="I4595" s="343"/>
      <c r="J4595" s="343"/>
      <c r="K4595" s="343"/>
      <c r="L4595" s="343"/>
    </row>
    <row r="4596" spans="4:12" x14ac:dyDescent="0.2">
      <c r="D4596" s="341"/>
      <c r="F4596" s="343"/>
      <c r="G4596" s="343"/>
      <c r="H4596" s="343"/>
      <c r="I4596" s="343"/>
      <c r="J4596" s="343"/>
      <c r="K4596" s="343"/>
      <c r="L4596" s="343"/>
    </row>
    <row r="4597" spans="4:12" x14ac:dyDescent="0.2">
      <c r="D4597" s="341"/>
      <c r="F4597" s="343"/>
      <c r="G4597" s="343"/>
      <c r="H4597" s="343"/>
      <c r="I4597" s="343"/>
      <c r="J4597" s="343"/>
      <c r="K4597" s="343"/>
      <c r="L4597" s="343"/>
    </row>
    <row r="4598" spans="4:12" x14ac:dyDescent="0.2">
      <c r="D4598" s="341"/>
      <c r="F4598" s="343"/>
      <c r="G4598" s="343"/>
      <c r="H4598" s="343"/>
      <c r="I4598" s="343"/>
      <c r="J4598" s="343"/>
      <c r="K4598" s="343"/>
      <c r="L4598" s="343"/>
    </row>
    <row r="4599" spans="4:12" x14ac:dyDescent="0.2">
      <c r="D4599" s="341"/>
      <c r="F4599" s="343"/>
      <c r="G4599" s="343"/>
      <c r="H4599" s="343"/>
      <c r="I4599" s="343"/>
      <c r="J4599" s="343"/>
      <c r="K4599" s="343"/>
      <c r="L4599" s="343"/>
    </row>
    <row r="4600" spans="4:12" x14ac:dyDescent="0.2">
      <c r="D4600" s="341"/>
      <c r="F4600" s="343"/>
      <c r="G4600" s="343"/>
      <c r="H4600" s="343"/>
      <c r="I4600" s="343"/>
      <c r="J4600" s="343"/>
      <c r="K4600" s="343"/>
      <c r="L4600" s="343"/>
    </row>
    <row r="4601" spans="4:12" x14ac:dyDescent="0.2">
      <c r="D4601" s="341"/>
      <c r="F4601" s="343"/>
      <c r="G4601" s="343"/>
      <c r="H4601" s="343"/>
      <c r="I4601" s="343"/>
      <c r="J4601" s="343"/>
      <c r="K4601" s="343"/>
      <c r="L4601" s="343"/>
    </row>
    <row r="4602" spans="4:12" x14ac:dyDescent="0.2">
      <c r="D4602" s="341"/>
      <c r="F4602" s="343"/>
      <c r="G4602" s="343"/>
      <c r="H4602" s="343"/>
      <c r="I4602" s="343"/>
      <c r="J4602" s="343"/>
      <c r="K4602" s="343"/>
      <c r="L4602" s="343"/>
    </row>
    <row r="4603" spans="4:12" x14ac:dyDescent="0.2">
      <c r="D4603" s="341"/>
      <c r="F4603" s="343"/>
      <c r="G4603" s="343"/>
      <c r="H4603" s="343"/>
      <c r="I4603" s="343"/>
      <c r="J4603" s="343"/>
      <c r="K4603" s="343"/>
      <c r="L4603" s="343"/>
    </row>
    <row r="4604" spans="4:12" x14ac:dyDescent="0.2">
      <c r="D4604" s="341"/>
      <c r="F4604" s="343"/>
      <c r="G4604" s="343"/>
      <c r="H4604" s="343"/>
      <c r="I4604" s="343"/>
      <c r="J4604" s="343"/>
      <c r="K4604" s="343"/>
      <c r="L4604" s="343"/>
    </row>
    <row r="4605" spans="4:12" x14ac:dyDescent="0.2">
      <c r="D4605" s="341"/>
      <c r="F4605" s="343"/>
      <c r="G4605" s="343"/>
      <c r="H4605" s="343"/>
      <c r="I4605" s="343"/>
      <c r="J4605" s="343"/>
      <c r="K4605" s="343"/>
      <c r="L4605" s="343"/>
    </row>
    <row r="4606" spans="4:12" x14ac:dyDescent="0.2">
      <c r="D4606" s="341"/>
      <c r="F4606" s="343"/>
      <c r="G4606" s="343"/>
      <c r="H4606" s="343"/>
      <c r="I4606" s="343"/>
      <c r="J4606" s="343"/>
      <c r="K4606" s="343"/>
      <c r="L4606" s="343"/>
    </row>
    <row r="4607" spans="4:12" x14ac:dyDescent="0.2">
      <c r="D4607" s="341"/>
      <c r="F4607" s="343"/>
      <c r="G4607" s="343"/>
      <c r="H4607" s="343"/>
      <c r="I4607" s="343"/>
      <c r="J4607" s="343"/>
      <c r="K4607" s="343"/>
      <c r="L4607" s="343"/>
    </row>
    <row r="4608" spans="4:12" x14ac:dyDescent="0.2">
      <c r="D4608" s="341"/>
      <c r="F4608" s="343"/>
      <c r="G4608" s="343"/>
      <c r="H4608" s="343"/>
      <c r="I4608" s="343"/>
      <c r="J4608" s="343"/>
      <c r="K4608" s="343"/>
      <c r="L4608" s="343"/>
    </row>
    <row r="4609" spans="4:12" x14ac:dyDescent="0.2">
      <c r="D4609" s="341"/>
      <c r="F4609" s="343"/>
      <c r="G4609" s="343"/>
      <c r="H4609" s="343"/>
      <c r="I4609" s="343"/>
      <c r="J4609" s="343"/>
      <c r="K4609" s="343"/>
      <c r="L4609" s="343"/>
    </row>
    <row r="4610" spans="4:12" x14ac:dyDescent="0.2">
      <c r="D4610" s="341"/>
      <c r="F4610" s="343"/>
      <c r="G4610" s="343"/>
      <c r="H4610" s="343"/>
      <c r="I4610" s="343"/>
      <c r="J4610" s="343"/>
      <c r="K4610" s="343"/>
      <c r="L4610" s="343"/>
    </row>
    <row r="4611" spans="4:12" x14ac:dyDescent="0.2">
      <c r="D4611" s="341"/>
      <c r="F4611" s="343"/>
      <c r="G4611" s="343"/>
      <c r="H4611" s="343"/>
      <c r="I4611" s="343"/>
      <c r="J4611" s="343"/>
      <c r="K4611" s="343"/>
      <c r="L4611" s="343"/>
    </row>
    <row r="4612" spans="4:12" x14ac:dyDescent="0.2">
      <c r="D4612" s="341"/>
      <c r="F4612" s="343"/>
      <c r="G4612" s="343"/>
      <c r="H4612" s="343"/>
      <c r="I4612" s="343"/>
      <c r="J4612" s="343"/>
      <c r="K4612" s="343"/>
      <c r="L4612" s="343"/>
    </row>
    <row r="4613" spans="4:12" x14ac:dyDescent="0.2">
      <c r="D4613" s="341"/>
      <c r="F4613" s="343"/>
      <c r="G4613" s="343"/>
      <c r="H4613" s="343"/>
      <c r="I4613" s="343"/>
      <c r="J4613" s="343"/>
      <c r="K4613" s="343"/>
      <c r="L4613" s="343"/>
    </row>
    <row r="4614" spans="4:12" x14ac:dyDescent="0.2">
      <c r="D4614" s="341"/>
      <c r="F4614" s="343"/>
      <c r="G4614" s="343"/>
      <c r="H4614" s="343"/>
      <c r="I4614" s="343"/>
      <c r="J4614" s="343"/>
      <c r="K4614" s="343"/>
      <c r="L4614" s="343"/>
    </row>
    <row r="4615" spans="4:12" x14ac:dyDescent="0.2">
      <c r="D4615" s="341"/>
      <c r="F4615" s="343"/>
      <c r="G4615" s="343"/>
      <c r="H4615" s="343"/>
      <c r="I4615" s="343"/>
      <c r="J4615" s="343"/>
      <c r="K4615" s="343"/>
      <c r="L4615" s="343"/>
    </row>
    <row r="4616" spans="4:12" x14ac:dyDescent="0.2">
      <c r="D4616" s="341"/>
      <c r="F4616" s="343"/>
      <c r="G4616" s="343"/>
      <c r="H4616" s="343"/>
      <c r="I4616" s="343"/>
      <c r="J4616" s="343"/>
      <c r="K4616" s="343"/>
      <c r="L4616" s="343"/>
    </row>
    <row r="4617" spans="4:12" x14ac:dyDescent="0.2">
      <c r="D4617" s="341"/>
      <c r="F4617" s="343"/>
      <c r="G4617" s="343"/>
      <c r="H4617" s="343"/>
      <c r="I4617" s="343"/>
      <c r="J4617" s="343"/>
      <c r="K4617" s="343"/>
      <c r="L4617" s="343"/>
    </row>
    <row r="4618" spans="4:12" x14ac:dyDescent="0.2">
      <c r="D4618" s="341"/>
      <c r="F4618" s="343"/>
      <c r="G4618" s="343"/>
      <c r="H4618" s="343"/>
      <c r="I4618" s="343"/>
      <c r="J4618" s="343"/>
      <c r="K4618" s="343"/>
      <c r="L4618" s="343"/>
    </row>
    <row r="4619" spans="4:12" x14ac:dyDescent="0.2">
      <c r="D4619" s="341"/>
      <c r="F4619" s="343"/>
      <c r="G4619" s="343"/>
      <c r="H4619" s="343"/>
      <c r="I4619" s="343"/>
      <c r="J4619" s="343"/>
      <c r="K4619" s="343"/>
      <c r="L4619" s="343"/>
    </row>
    <row r="4620" spans="4:12" x14ac:dyDescent="0.2">
      <c r="D4620" s="341"/>
      <c r="F4620" s="343"/>
      <c r="G4620" s="343"/>
      <c r="H4620" s="343"/>
      <c r="I4620" s="343"/>
      <c r="J4620" s="343"/>
      <c r="K4620" s="343"/>
      <c r="L4620" s="343"/>
    </row>
    <row r="4621" spans="4:12" x14ac:dyDescent="0.2">
      <c r="D4621" s="341"/>
      <c r="F4621" s="343"/>
      <c r="G4621" s="343"/>
      <c r="H4621" s="343"/>
      <c r="I4621" s="343"/>
      <c r="J4621" s="343"/>
      <c r="K4621" s="343"/>
      <c r="L4621" s="343"/>
    </row>
    <row r="4622" spans="4:12" x14ac:dyDescent="0.2">
      <c r="D4622" s="341"/>
      <c r="F4622" s="343"/>
      <c r="G4622" s="343"/>
      <c r="H4622" s="343"/>
      <c r="I4622" s="343"/>
      <c r="J4622" s="343"/>
      <c r="K4622" s="343"/>
      <c r="L4622" s="343"/>
    </row>
    <row r="4623" spans="4:12" x14ac:dyDescent="0.2">
      <c r="D4623" s="341"/>
      <c r="F4623" s="343"/>
      <c r="G4623" s="343"/>
      <c r="H4623" s="343"/>
      <c r="I4623" s="343"/>
      <c r="J4623" s="343"/>
      <c r="K4623" s="343"/>
      <c r="L4623" s="343"/>
    </row>
    <row r="4624" spans="4:12" x14ac:dyDescent="0.2">
      <c r="D4624" s="341"/>
      <c r="F4624" s="343"/>
      <c r="G4624" s="343"/>
      <c r="H4624" s="343"/>
      <c r="I4624" s="343"/>
      <c r="J4624" s="343"/>
      <c r="K4624" s="343"/>
      <c r="L4624" s="343"/>
    </row>
    <row r="4625" spans="4:12" x14ac:dyDescent="0.2">
      <c r="D4625" s="341"/>
      <c r="F4625" s="343"/>
      <c r="G4625" s="343"/>
      <c r="H4625" s="343"/>
      <c r="I4625" s="343"/>
      <c r="J4625" s="343"/>
      <c r="K4625" s="343"/>
      <c r="L4625" s="343"/>
    </row>
    <row r="4626" spans="4:12" x14ac:dyDescent="0.2">
      <c r="D4626" s="341"/>
      <c r="F4626" s="343"/>
      <c r="G4626" s="343"/>
      <c r="H4626" s="343"/>
      <c r="I4626" s="343"/>
      <c r="J4626" s="343"/>
      <c r="K4626" s="343"/>
      <c r="L4626" s="343"/>
    </row>
    <row r="4627" spans="4:12" x14ac:dyDescent="0.2">
      <c r="D4627" s="341"/>
      <c r="F4627" s="343"/>
      <c r="G4627" s="343"/>
      <c r="H4627" s="343"/>
      <c r="I4627" s="343"/>
      <c r="J4627" s="343"/>
      <c r="K4627" s="343"/>
      <c r="L4627" s="343"/>
    </row>
    <row r="4628" spans="4:12" x14ac:dyDescent="0.2">
      <c r="D4628" s="341"/>
      <c r="F4628" s="343"/>
      <c r="G4628" s="343"/>
      <c r="H4628" s="343"/>
      <c r="I4628" s="343"/>
      <c r="J4628" s="343"/>
      <c r="K4628" s="343"/>
      <c r="L4628" s="343"/>
    </row>
    <row r="4629" spans="4:12" x14ac:dyDescent="0.2">
      <c r="D4629" s="341"/>
      <c r="F4629" s="343"/>
      <c r="G4629" s="343"/>
      <c r="H4629" s="343"/>
      <c r="I4629" s="343"/>
      <c r="J4629" s="343"/>
      <c r="K4629" s="343"/>
      <c r="L4629" s="343"/>
    </row>
    <row r="4630" spans="4:12" x14ac:dyDescent="0.2">
      <c r="D4630" s="341"/>
      <c r="F4630" s="343"/>
      <c r="G4630" s="343"/>
      <c r="H4630" s="343"/>
      <c r="I4630" s="343"/>
      <c r="J4630" s="343"/>
      <c r="K4630" s="343"/>
      <c r="L4630" s="343"/>
    </row>
    <row r="4631" spans="4:12" x14ac:dyDescent="0.2">
      <c r="D4631" s="341"/>
      <c r="F4631" s="343"/>
      <c r="G4631" s="343"/>
      <c r="H4631" s="343"/>
      <c r="I4631" s="343"/>
      <c r="J4631" s="343"/>
      <c r="K4631" s="343"/>
      <c r="L4631" s="343"/>
    </row>
    <row r="4632" spans="4:12" x14ac:dyDescent="0.2">
      <c r="D4632" s="341"/>
      <c r="F4632" s="343"/>
      <c r="G4632" s="343"/>
      <c r="H4632" s="343"/>
      <c r="I4632" s="343"/>
      <c r="J4632" s="343"/>
      <c r="K4632" s="343"/>
      <c r="L4632" s="343"/>
    </row>
    <row r="4633" spans="4:12" x14ac:dyDescent="0.2">
      <c r="D4633" s="341"/>
      <c r="F4633" s="343"/>
      <c r="G4633" s="343"/>
      <c r="H4633" s="343"/>
      <c r="I4633" s="343"/>
      <c r="J4633" s="343"/>
      <c r="K4633" s="343"/>
      <c r="L4633" s="343"/>
    </row>
    <row r="4634" spans="4:12" x14ac:dyDescent="0.2">
      <c r="D4634" s="341"/>
      <c r="F4634" s="343"/>
      <c r="G4634" s="343"/>
      <c r="H4634" s="343"/>
      <c r="I4634" s="343"/>
      <c r="J4634" s="343"/>
      <c r="K4634" s="343"/>
      <c r="L4634" s="343"/>
    </row>
    <row r="4635" spans="4:12" x14ac:dyDescent="0.2">
      <c r="D4635" s="341"/>
      <c r="F4635" s="343"/>
      <c r="G4635" s="343"/>
      <c r="H4635" s="343"/>
      <c r="I4635" s="343"/>
      <c r="J4635" s="343"/>
      <c r="K4635" s="343"/>
      <c r="L4635" s="343"/>
    </row>
    <row r="4636" spans="4:12" x14ac:dyDescent="0.2">
      <c r="D4636" s="341"/>
      <c r="F4636" s="343"/>
      <c r="G4636" s="343"/>
      <c r="H4636" s="343"/>
      <c r="I4636" s="343"/>
      <c r="J4636" s="343"/>
      <c r="K4636" s="343"/>
      <c r="L4636" s="343"/>
    </row>
    <row r="4637" spans="4:12" x14ac:dyDescent="0.2">
      <c r="D4637" s="341"/>
      <c r="F4637" s="343"/>
      <c r="G4637" s="343"/>
      <c r="H4637" s="343"/>
      <c r="I4637" s="343"/>
      <c r="J4637" s="343"/>
      <c r="K4637" s="343"/>
      <c r="L4637" s="343"/>
    </row>
    <row r="4638" spans="4:12" x14ac:dyDescent="0.2">
      <c r="D4638" s="341"/>
      <c r="F4638" s="343"/>
      <c r="G4638" s="343"/>
      <c r="H4638" s="343"/>
      <c r="I4638" s="343"/>
      <c r="J4638" s="343"/>
      <c r="K4638" s="343"/>
      <c r="L4638" s="343"/>
    </row>
    <row r="4639" spans="4:12" x14ac:dyDescent="0.2">
      <c r="D4639" s="341"/>
      <c r="F4639" s="343"/>
      <c r="G4639" s="343"/>
      <c r="H4639" s="343"/>
      <c r="I4639" s="343"/>
      <c r="J4639" s="343"/>
      <c r="K4639" s="343"/>
      <c r="L4639" s="343"/>
    </row>
    <row r="4640" spans="4:12" x14ac:dyDescent="0.2">
      <c r="D4640" s="341"/>
      <c r="F4640" s="343"/>
      <c r="G4640" s="343"/>
      <c r="H4640" s="343"/>
      <c r="I4640" s="343"/>
      <c r="J4640" s="343"/>
      <c r="K4640" s="343"/>
      <c r="L4640" s="343"/>
    </row>
    <row r="4641" spans="4:12" x14ac:dyDescent="0.2">
      <c r="D4641" s="341"/>
      <c r="F4641" s="343"/>
      <c r="G4641" s="343"/>
      <c r="H4641" s="343"/>
      <c r="I4641" s="343"/>
      <c r="J4641" s="343"/>
      <c r="K4641" s="343"/>
      <c r="L4641" s="343"/>
    </row>
    <row r="4642" spans="4:12" x14ac:dyDescent="0.2">
      <c r="D4642" s="341"/>
      <c r="F4642" s="343"/>
      <c r="G4642" s="343"/>
      <c r="H4642" s="343"/>
      <c r="I4642" s="343"/>
      <c r="J4642" s="343"/>
      <c r="K4642" s="343"/>
      <c r="L4642" s="343"/>
    </row>
    <row r="4643" spans="4:12" x14ac:dyDescent="0.2">
      <c r="D4643" s="341"/>
      <c r="F4643" s="343"/>
      <c r="G4643" s="343"/>
      <c r="H4643" s="343"/>
      <c r="I4643" s="343"/>
      <c r="J4643" s="343"/>
      <c r="K4643" s="343"/>
      <c r="L4643" s="343"/>
    </row>
    <row r="4644" spans="4:12" x14ac:dyDescent="0.2">
      <c r="D4644" s="341"/>
      <c r="F4644" s="343"/>
      <c r="G4644" s="343"/>
      <c r="H4644" s="343"/>
      <c r="I4644" s="343"/>
      <c r="J4644" s="343"/>
      <c r="K4644" s="343"/>
      <c r="L4644" s="343"/>
    </row>
    <row r="4645" spans="4:12" x14ac:dyDescent="0.2">
      <c r="D4645" s="341"/>
      <c r="F4645" s="343"/>
      <c r="G4645" s="343"/>
      <c r="H4645" s="343"/>
      <c r="I4645" s="343"/>
      <c r="J4645" s="343"/>
      <c r="K4645" s="343"/>
      <c r="L4645" s="343"/>
    </row>
    <row r="4646" spans="4:12" x14ac:dyDescent="0.2">
      <c r="D4646" s="341"/>
      <c r="F4646" s="343"/>
      <c r="G4646" s="343"/>
      <c r="H4646" s="343"/>
      <c r="I4646" s="343"/>
      <c r="J4646" s="343"/>
      <c r="K4646" s="343"/>
      <c r="L4646" s="343"/>
    </row>
    <row r="4647" spans="4:12" x14ac:dyDescent="0.2">
      <c r="D4647" s="341"/>
      <c r="F4647" s="343"/>
      <c r="G4647" s="343"/>
      <c r="H4647" s="343"/>
      <c r="I4647" s="343"/>
      <c r="J4647" s="343"/>
      <c r="K4647" s="343"/>
      <c r="L4647" s="343"/>
    </row>
    <row r="4648" spans="4:12" x14ac:dyDescent="0.2">
      <c r="D4648" s="341"/>
      <c r="F4648" s="343"/>
      <c r="G4648" s="343"/>
      <c r="H4648" s="343"/>
      <c r="I4648" s="343"/>
      <c r="J4648" s="343"/>
      <c r="K4648" s="343"/>
      <c r="L4648" s="343"/>
    </row>
    <row r="4649" spans="4:12" x14ac:dyDescent="0.2">
      <c r="D4649" s="341"/>
      <c r="F4649" s="343"/>
      <c r="G4649" s="343"/>
      <c r="H4649" s="343"/>
      <c r="I4649" s="343"/>
      <c r="J4649" s="343"/>
      <c r="K4649" s="343"/>
      <c r="L4649" s="343"/>
    </row>
    <row r="4650" spans="4:12" x14ac:dyDescent="0.2">
      <c r="D4650" s="341"/>
      <c r="F4650" s="343"/>
      <c r="G4650" s="343"/>
      <c r="H4650" s="343"/>
      <c r="I4650" s="343"/>
      <c r="J4650" s="343"/>
      <c r="K4650" s="343"/>
      <c r="L4650" s="343"/>
    </row>
    <row r="4651" spans="4:12" x14ac:dyDescent="0.2">
      <c r="D4651" s="341"/>
      <c r="F4651" s="343"/>
      <c r="G4651" s="343"/>
      <c r="H4651" s="343"/>
      <c r="I4651" s="343"/>
      <c r="J4651" s="343"/>
      <c r="K4651" s="343"/>
      <c r="L4651" s="343"/>
    </row>
    <row r="4652" spans="4:12" x14ac:dyDescent="0.2">
      <c r="D4652" s="341"/>
      <c r="F4652" s="343"/>
      <c r="G4652" s="343"/>
      <c r="H4652" s="343"/>
      <c r="I4652" s="343"/>
      <c r="J4652" s="343"/>
      <c r="K4652" s="343"/>
      <c r="L4652" s="343"/>
    </row>
    <row r="4653" spans="4:12" x14ac:dyDescent="0.2">
      <c r="D4653" s="341"/>
      <c r="F4653" s="343"/>
      <c r="G4653" s="343"/>
      <c r="H4653" s="343"/>
      <c r="I4653" s="343"/>
      <c r="J4653" s="343"/>
      <c r="K4653" s="343"/>
      <c r="L4653" s="343"/>
    </row>
    <row r="4654" spans="4:12" x14ac:dyDescent="0.2">
      <c r="D4654" s="341"/>
      <c r="F4654" s="343"/>
      <c r="G4654" s="343"/>
      <c r="H4654" s="343"/>
      <c r="I4654" s="343"/>
      <c r="J4654" s="343"/>
      <c r="K4654" s="343"/>
      <c r="L4654" s="343"/>
    </row>
    <row r="4655" spans="4:12" x14ac:dyDescent="0.2">
      <c r="D4655" s="341"/>
      <c r="F4655" s="343"/>
      <c r="G4655" s="343"/>
      <c r="H4655" s="343"/>
      <c r="I4655" s="343"/>
      <c r="J4655" s="343"/>
      <c r="K4655" s="343"/>
      <c r="L4655" s="343"/>
    </row>
    <row r="4656" spans="4:12" x14ac:dyDescent="0.2">
      <c r="D4656" s="341"/>
      <c r="F4656" s="343"/>
      <c r="G4656" s="343"/>
      <c r="H4656" s="343"/>
      <c r="I4656" s="343"/>
      <c r="J4656" s="343"/>
      <c r="K4656" s="343"/>
      <c r="L4656" s="343"/>
    </row>
    <row r="4657" spans="4:12" x14ac:dyDescent="0.2">
      <c r="D4657" s="341"/>
      <c r="F4657" s="343"/>
      <c r="G4657" s="343"/>
      <c r="H4657" s="343"/>
      <c r="I4657" s="343"/>
      <c r="J4657" s="343"/>
      <c r="K4657" s="343"/>
      <c r="L4657" s="343"/>
    </row>
    <row r="4658" spans="4:12" x14ac:dyDescent="0.2">
      <c r="D4658" s="341"/>
      <c r="F4658" s="343"/>
      <c r="G4658" s="343"/>
      <c r="H4658" s="343"/>
      <c r="I4658" s="343"/>
      <c r="J4658" s="343"/>
      <c r="K4658" s="343"/>
      <c r="L4658" s="343"/>
    </row>
    <row r="4659" spans="4:12" x14ac:dyDescent="0.2">
      <c r="D4659" s="341"/>
      <c r="F4659" s="343"/>
      <c r="G4659" s="343"/>
      <c r="H4659" s="343"/>
      <c r="I4659" s="343"/>
      <c r="J4659" s="343"/>
      <c r="K4659" s="343"/>
      <c r="L4659" s="343"/>
    </row>
    <row r="4660" spans="4:12" x14ac:dyDescent="0.2">
      <c r="D4660" s="341"/>
      <c r="F4660" s="343"/>
      <c r="G4660" s="343"/>
      <c r="H4660" s="343"/>
      <c r="I4660" s="343"/>
      <c r="J4660" s="343"/>
      <c r="K4660" s="343"/>
      <c r="L4660" s="343"/>
    </row>
    <row r="4661" spans="4:12" x14ac:dyDescent="0.2">
      <c r="D4661" s="341"/>
      <c r="F4661" s="343"/>
      <c r="G4661" s="343"/>
      <c r="H4661" s="343"/>
      <c r="I4661" s="343"/>
      <c r="J4661" s="343"/>
      <c r="K4661" s="343"/>
      <c r="L4661" s="343"/>
    </row>
    <row r="4662" spans="4:12" x14ac:dyDescent="0.2">
      <c r="D4662" s="341"/>
      <c r="F4662" s="343"/>
      <c r="G4662" s="343"/>
      <c r="H4662" s="343"/>
      <c r="I4662" s="343"/>
      <c r="J4662" s="343"/>
      <c r="K4662" s="343"/>
      <c r="L4662" s="343"/>
    </row>
    <row r="4663" spans="4:12" x14ac:dyDescent="0.2">
      <c r="D4663" s="341"/>
      <c r="F4663" s="343"/>
      <c r="G4663" s="343"/>
      <c r="H4663" s="343"/>
      <c r="I4663" s="343"/>
      <c r="J4663" s="343"/>
      <c r="K4663" s="343"/>
      <c r="L4663" s="343"/>
    </row>
    <row r="4664" spans="4:12" x14ac:dyDescent="0.2">
      <c r="D4664" s="341"/>
      <c r="F4664" s="343"/>
      <c r="G4664" s="343"/>
      <c r="H4664" s="343"/>
      <c r="I4664" s="343"/>
      <c r="J4664" s="343"/>
      <c r="K4664" s="343"/>
      <c r="L4664" s="343"/>
    </row>
    <row r="4665" spans="4:12" x14ac:dyDescent="0.2">
      <c r="D4665" s="341"/>
      <c r="F4665" s="343"/>
      <c r="G4665" s="343"/>
      <c r="H4665" s="343"/>
      <c r="I4665" s="343"/>
      <c r="J4665" s="343"/>
      <c r="K4665" s="343"/>
      <c r="L4665" s="343"/>
    </row>
    <row r="4666" spans="4:12" x14ac:dyDescent="0.2">
      <c r="D4666" s="341"/>
      <c r="F4666" s="343"/>
      <c r="G4666" s="343"/>
      <c r="H4666" s="343"/>
      <c r="I4666" s="343"/>
      <c r="J4666" s="343"/>
      <c r="K4666" s="343"/>
      <c r="L4666" s="343"/>
    </row>
    <row r="4667" spans="4:12" x14ac:dyDescent="0.2">
      <c r="D4667" s="341"/>
      <c r="F4667" s="343"/>
      <c r="G4667" s="343"/>
      <c r="H4667" s="343"/>
      <c r="I4667" s="343"/>
      <c r="J4667" s="343"/>
      <c r="K4667" s="343"/>
      <c r="L4667" s="343"/>
    </row>
    <row r="4668" spans="4:12" x14ac:dyDescent="0.2">
      <c r="D4668" s="341"/>
      <c r="F4668" s="343"/>
      <c r="G4668" s="343"/>
      <c r="H4668" s="343"/>
      <c r="I4668" s="343"/>
      <c r="J4668" s="343"/>
      <c r="K4668" s="343"/>
      <c r="L4668" s="343"/>
    </row>
    <row r="4669" spans="4:12" x14ac:dyDescent="0.2">
      <c r="D4669" s="341"/>
      <c r="F4669" s="343"/>
      <c r="G4669" s="343"/>
      <c r="H4669" s="343"/>
      <c r="I4669" s="343"/>
      <c r="J4669" s="343"/>
      <c r="K4669" s="343"/>
      <c r="L4669" s="343"/>
    </row>
    <row r="4670" spans="4:12" x14ac:dyDescent="0.2">
      <c r="D4670" s="341"/>
      <c r="F4670" s="343"/>
      <c r="G4670" s="343"/>
      <c r="H4670" s="343"/>
      <c r="I4670" s="343"/>
      <c r="J4670" s="343"/>
      <c r="K4670" s="343"/>
      <c r="L4670" s="343"/>
    </row>
    <row r="4671" spans="4:12" x14ac:dyDescent="0.2">
      <c r="D4671" s="341"/>
      <c r="F4671" s="343"/>
      <c r="G4671" s="343"/>
      <c r="H4671" s="343"/>
      <c r="I4671" s="343"/>
      <c r="J4671" s="343"/>
      <c r="K4671" s="343"/>
      <c r="L4671" s="343"/>
    </row>
    <row r="4672" spans="4:12" x14ac:dyDescent="0.2">
      <c r="D4672" s="341"/>
      <c r="F4672" s="343"/>
      <c r="G4672" s="343"/>
      <c r="H4672" s="343"/>
      <c r="I4672" s="343"/>
      <c r="J4672" s="343"/>
      <c r="K4672" s="343"/>
      <c r="L4672" s="343"/>
    </row>
    <row r="4673" spans="4:12" x14ac:dyDescent="0.2">
      <c r="D4673" s="341"/>
      <c r="F4673" s="343"/>
      <c r="G4673" s="343"/>
      <c r="H4673" s="343"/>
      <c r="I4673" s="343"/>
      <c r="J4673" s="343"/>
      <c r="K4673" s="343"/>
      <c r="L4673" s="343"/>
    </row>
    <row r="4674" spans="4:12" x14ac:dyDescent="0.2">
      <c r="D4674" s="341"/>
      <c r="F4674" s="343"/>
      <c r="G4674" s="343"/>
      <c r="H4674" s="343"/>
      <c r="I4674" s="343"/>
      <c r="J4674" s="343"/>
      <c r="K4674" s="343"/>
      <c r="L4674" s="343"/>
    </row>
    <row r="4675" spans="4:12" x14ac:dyDescent="0.2">
      <c r="D4675" s="341"/>
      <c r="F4675" s="343"/>
      <c r="G4675" s="343"/>
      <c r="H4675" s="343"/>
      <c r="I4675" s="343"/>
      <c r="J4675" s="343"/>
      <c r="K4675" s="343"/>
      <c r="L4675" s="343"/>
    </row>
    <row r="4676" spans="4:12" x14ac:dyDescent="0.2">
      <c r="D4676" s="341"/>
      <c r="F4676" s="343"/>
      <c r="G4676" s="343"/>
      <c r="H4676" s="343"/>
      <c r="I4676" s="343"/>
      <c r="J4676" s="343"/>
      <c r="K4676" s="343"/>
      <c r="L4676" s="343"/>
    </row>
    <row r="4677" spans="4:12" x14ac:dyDescent="0.2">
      <c r="D4677" s="341"/>
      <c r="F4677" s="343"/>
      <c r="G4677" s="343"/>
      <c r="H4677" s="343"/>
      <c r="I4677" s="343"/>
      <c r="J4677" s="343"/>
      <c r="K4677" s="343"/>
      <c r="L4677" s="343"/>
    </row>
    <row r="4678" spans="4:12" x14ac:dyDescent="0.2">
      <c r="D4678" s="341"/>
      <c r="F4678" s="343"/>
      <c r="G4678" s="343"/>
      <c r="H4678" s="343"/>
      <c r="I4678" s="343"/>
      <c r="J4678" s="343"/>
      <c r="K4678" s="343"/>
      <c r="L4678" s="343"/>
    </row>
    <row r="4679" spans="4:12" x14ac:dyDescent="0.2">
      <c r="D4679" s="341"/>
      <c r="F4679" s="343"/>
      <c r="G4679" s="343"/>
      <c r="H4679" s="343"/>
      <c r="I4679" s="343"/>
      <c r="J4679" s="343"/>
      <c r="K4679" s="343"/>
      <c r="L4679" s="343"/>
    </row>
    <row r="4680" spans="4:12" x14ac:dyDescent="0.2">
      <c r="D4680" s="341"/>
      <c r="F4680" s="343"/>
      <c r="G4680" s="343"/>
      <c r="H4680" s="343"/>
      <c r="I4680" s="343"/>
      <c r="J4680" s="343"/>
      <c r="K4680" s="343"/>
      <c r="L4680" s="343"/>
    </row>
    <row r="4681" spans="4:12" x14ac:dyDescent="0.2">
      <c r="D4681" s="341"/>
      <c r="F4681" s="343"/>
      <c r="G4681" s="343"/>
      <c r="H4681" s="343"/>
      <c r="I4681" s="343"/>
      <c r="J4681" s="343"/>
      <c r="K4681" s="343"/>
      <c r="L4681" s="343"/>
    </row>
    <row r="4682" spans="4:12" x14ac:dyDescent="0.2">
      <c r="D4682" s="341"/>
      <c r="F4682" s="343"/>
      <c r="G4682" s="343"/>
      <c r="H4682" s="343"/>
      <c r="I4682" s="343"/>
      <c r="J4682" s="343"/>
      <c r="K4682" s="343"/>
      <c r="L4682" s="343"/>
    </row>
    <row r="4683" spans="4:12" x14ac:dyDescent="0.2">
      <c r="D4683" s="341"/>
      <c r="F4683" s="343"/>
      <c r="G4683" s="343"/>
      <c r="H4683" s="343"/>
      <c r="I4683" s="343"/>
      <c r="J4683" s="343"/>
      <c r="K4683" s="343"/>
      <c r="L4683" s="343"/>
    </row>
    <row r="4684" spans="4:12" x14ac:dyDescent="0.2">
      <c r="D4684" s="341"/>
      <c r="F4684" s="343"/>
      <c r="G4684" s="343"/>
      <c r="H4684" s="343"/>
      <c r="I4684" s="343"/>
      <c r="J4684" s="343"/>
      <c r="K4684" s="343"/>
      <c r="L4684" s="343"/>
    </row>
    <row r="4685" spans="4:12" x14ac:dyDescent="0.2">
      <c r="D4685" s="341"/>
      <c r="F4685" s="343"/>
      <c r="G4685" s="343"/>
      <c r="H4685" s="343"/>
      <c r="I4685" s="343"/>
      <c r="J4685" s="343"/>
      <c r="K4685" s="343"/>
      <c r="L4685" s="343"/>
    </row>
    <row r="4686" spans="4:12" x14ac:dyDescent="0.2">
      <c r="D4686" s="341"/>
      <c r="F4686" s="343"/>
      <c r="G4686" s="343"/>
      <c r="H4686" s="343"/>
      <c r="I4686" s="343"/>
      <c r="J4686" s="343"/>
      <c r="K4686" s="343"/>
      <c r="L4686" s="343"/>
    </row>
    <row r="4687" spans="4:12" x14ac:dyDescent="0.2">
      <c r="D4687" s="341"/>
      <c r="F4687" s="343"/>
      <c r="G4687" s="343"/>
      <c r="H4687" s="343"/>
      <c r="I4687" s="343"/>
      <c r="J4687" s="343"/>
      <c r="K4687" s="343"/>
      <c r="L4687" s="343"/>
    </row>
    <row r="4688" spans="4:12" x14ac:dyDescent="0.2">
      <c r="D4688" s="341"/>
      <c r="F4688" s="343"/>
      <c r="G4688" s="343"/>
      <c r="H4688" s="343"/>
      <c r="I4688" s="343"/>
      <c r="J4688" s="343"/>
      <c r="K4688" s="343"/>
      <c r="L4688" s="343"/>
    </row>
    <row r="4689" spans="4:12" x14ac:dyDescent="0.2">
      <c r="D4689" s="341"/>
      <c r="F4689" s="343"/>
      <c r="G4689" s="343"/>
      <c r="H4689" s="343"/>
      <c r="I4689" s="343"/>
      <c r="J4689" s="343"/>
      <c r="K4689" s="343"/>
      <c r="L4689" s="343"/>
    </row>
    <row r="4690" spans="4:12" x14ac:dyDescent="0.2">
      <c r="D4690" s="341"/>
      <c r="F4690" s="343"/>
      <c r="G4690" s="343"/>
      <c r="H4690" s="343"/>
      <c r="I4690" s="343"/>
      <c r="J4690" s="343"/>
      <c r="K4690" s="343"/>
      <c r="L4690" s="343"/>
    </row>
    <row r="4691" spans="4:12" x14ac:dyDescent="0.2">
      <c r="D4691" s="341"/>
      <c r="F4691" s="343"/>
      <c r="G4691" s="343"/>
      <c r="H4691" s="343"/>
      <c r="I4691" s="343"/>
      <c r="J4691" s="343"/>
      <c r="K4691" s="343"/>
      <c r="L4691" s="343"/>
    </row>
    <row r="4692" spans="4:12" x14ac:dyDescent="0.2">
      <c r="D4692" s="341"/>
      <c r="F4692" s="343"/>
      <c r="G4692" s="343"/>
      <c r="H4692" s="343"/>
      <c r="I4692" s="343"/>
      <c r="J4692" s="343"/>
      <c r="K4692" s="343"/>
      <c r="L4692" s="343"/>
    </row>
    <row r="4693" spans="4:12" x14ac:dyDescent="0.2">
      <c r="D4693" s="341"/>
      <c r="F4693" s="343"/>
      <c r="G4693" s="343"/>
      <c r="H4693" s="343"/>
      <c r="I4693" s="343"/>
      <c r="J4693" s="343"/>
      <c r="K4693" s="343"/>
      <c r="L4693" s="343"/>
    </row>
    <row r="4694" spans="4:12" x14ac:dyDescent="0.2">
      <c r="D4694" s="341"/>
      <c r="F4694" s="343"/>
      <c r="G4694" s="343"/>
      <c r="H4694" s="343"/>
      <c r="I4694" s="343"/>
      <c r="J4694" s="343"/>
      <c r="K4694" s="343"/>
      <c r="L4694" s="343"/>
    </row>
    <row r="4695" spans="4:12" x14ac:dyDescent="0.2">
      <c r="D4695" s="341"/>
      <c r="F4695" s="343"/>
      <c r="G4695" s="343"/>
      <c r="H4695" s="343"/>
      <c r="I4695" s="343"/>
      <c r="J4695" s="343"/>
      <c r="K4695" s="343"/>
      <c r="L4695" s="343"/>
    </row>
    <row r="4696" spans="4:12" x14ac:dyDescent="0.2">
      <c r="D4696" s="341"/>
      <c r="F4696" s="343"/>
      <c r="G4696" s="343"/>
      <c r="H4696" s="343"/>
      <c r="I4696" s="343"/>
      <c r="J4696" s="343"/>
      <c r="K4696" s="343"/>
      <c r="L4696" s="343"/>
    </row>
    <row r="4697" spans="4:12" x14ac:dyDescent="0.2">
      <c r="D4697" s="341"/>
      <c r="F4697" s="343"/>
      <c r="G4697" s="343"/>
      <c r="H4697" s="343"/>
      <c r="I4697" s="343"/>
      <c r="J4697" s="343"/>
      <c r="K4697" s="343"/>
      <c r="L4697" s="343"/>
    </row>
    <row r="4698" spans="4:12" x14ac:dyDescent="0.2">
      <c r="D4698" s="341"/>
      <c r="F4698" s="343"/>
      <c r="G4698" s="343"/>
      <c r="H4698" s="343"/>
      <c r="I4698" s="343"/>
      <c r="J4698" s="343"/>
      <c r="K4698" s="343"/>
      <c r="L4698" s="343"/>
    </row>
    <row r="4699" spans="4:12" x14ac:dyDescent="0.2">
      <c r="D4699" s="341"/>
      <c r="F4699" s="343"/>
      <c r="G4699" s="343"/>
      <c r="H4699" s="343"/>
      <c r="I4699" s="343"/>
      <c r="J4699" s="343"/>
      <c r="K4699" s="343"/>
      <c r="L4699" s="343"/>
    </row>
    <row r="4700" spans="4:12" x14ac:dyDescent="0.2">
      <c r="D4700" s="341"/>
      <c r="F4700" s="343"/>
      <c r="G4700" s="343"/>
      <c r="H4700" s="343"/>
      <c r="I4700" s="343"/>
      <c r="J4700" s="343"/>
      <c r="K4700" s="343"/>
      <c r="L4700" s="343"/>
    </row>
    <row r="4701" spans="4:12" x14ac:dyDescent="0.2">
      <c r="D4701" s="341"/>
      <c r="F4701" s="343"/>
      <c r="G4701" s="343"/>
      <c r="H4701" s="343"/>
      <c r="I4701" s="343"/>
      <c r="J4701" s="343"/>
      <c r="K4701" s="343"/>
      <c r="L4701" s="343"/>
    </row>
    <row r="4702" spans="4:12" x14ac:dyDescent="0.2">
      <c r="D4702" s="341"/>
      <c r="F4702" s="343"/>
      <c r="G4702" s="343"/>
      <c r="H4702" s="343"/>
      <c r="I4702" s="343"/>
      <c r="J4702" s="343"/>
      <c r="K4702" s="343"/>
      <c r="L4702" s="343"/>
    </row>
    <row r="4703" spans="4:12" x14ac:dyDescent="0.2">
      <c r="D4703" s="341"/>
      <c r="F4703" s="343"/>
      <c r="G4703" s="343"/>
      <c r="H4703" s="343"/>
      <c r="I4703" s="343"/>
      <c r="J4703" s="343"/>
      <c r="K4703" s="343"/>
      <c r="L4703" s="343"/>
    </row>
    <row r="4704" spans="4:12" x14ac:dyDescent="0.2">
      <c r="D4704" s="341"/>
      <c r="F4704" s="343"/>
      <c r="G4704" s="343"/>
      <c r="H4704" s="343"/>
      <c r="I4704" s="343"/>
      <c r="J4704" s="343"/>
      <c r="K4704" s="343"/>
      <c r="L4704" s="343"/>
    </row>
    <row r="4705" spans="4:12" x14ac:dyDescent="0.2">
      <c r="D4705" s="341"/>
      <c r="F4705" s="343"/>
      <c r="G4705" s="343"/>
      <c r="H4705" s="343"/>
      <c r="I4705" s="343"/>
      <c r="J4705" s="343"/>
      <c r="K4705" s="343"/>
      <c r="L4705" s="343"/>
    </row>
    <row r="4706" spans="4:12" x14ac:dyDescent="0.2">
      <c r="D4706" s="341"/>
      <c r="F4706" s="343"/>
      <c r="G4706" s="343"/>
      <c r="H4706" s="343"/>
      <c r="I4706" s="343"/>
      <c r="J4706" s="343"/>
      <c r="K4706" s="343"/>
      <c r="L4706" s="343"/>
    </row>
    <row r="4707" spans="4:12" x14ac:dyDescent="0.2">
      <c r="D4707" s="341"/>
      <c r="F4707" s="343"/>
      <c r="G4707" s="343"/>
      <c r="H4707" s="343"/>
      <c r="I4707" s="343"/>
      <c r="J4707" s="343"/>
      <c r="K4707" s="343"/>
      <c r="L4707" s="343"/>
    </row>
    <row r="4708" spans="4:12" x14ac:dyDescent="0.2">
      <c r="D4708" s="341"/>
      <c r="F4708" s="343"/>
      <c r="G4708" s="343"/>
      <c r="H4708" s="343"/>
      <c r="I4708" s="343"/>
      <c r="J4708" s="343"/>
      <c r="K4708" s="343"/>
      <c r="L4708" s="343"/>
    </row>
    <row r="4709" spans="4:12" x14ac:dyDescent="0.2">
      <c r="D4709" s="341"/>
      <c r="F4709" s="343"/>
      <c r="G4709" s="343"/>
      <c r="H4709" s="343"/>
      <c r="I4709" s="343"/>
      <c r="J4709" s="343"/>
      <c r="K4709" s="343"/>
      <c r="L4709" s="343"/>
    </row>
    <row r="4710" spans="4:12" x14ac:dyDescent="0.2">
      <c r="D4710" s="341"/>
      <c r="F4710" s="343"/>
      <c r="G4710" s="343"/>
      <c r="H4710" s="343"/>
      <c r="I4710" s="343"/>
      <c r="J4710" s="343"/>
      <c r="K4710" s="343"/>
      <c r="L4710" s="343"/>
    </row>
    <row r="4711" spans="4:12" x14ac:dyDescent="0.2">
      <c r="D4711" s="341"/>
      <c r="F4711" s="343"/>
      <c r="G4711" s="343"/>
      <c r="H4711" s="343"/>
      <c r="I4711" s="343"/>
      <c r="J4711" s="343"/>
      <c r="K4711" s="343"/>
      <c r="L4711" s="343"/>
    </row>
    <row r="4712" spans="4:12" x14ac:dyDescent="0.2">
      <c r="D4712" s="341"/>
      <c r="F4712" s="343"/>
      <c r="G4712" s="343"/>
      <c r="H4712" s="343"/>
      <c r="I4712" s="343"/>
      <c r="J4712" s="343"/>
      <c r="K4712" s="343"/>
      <c r="L4712" s="343"/>
    </row>
    <row r="4713" spans="4:12" x14ac:dyDescent="0.2">
      <c r="D4713" s="341"/>
      <c r="F4713" s="343"/>
      <c r="G4713" s="343"/>
      <c r="H4713" s="343"/>
      <c r="I4713" s="343"/>
      <c r="J4713" s="343"/>
      <c r="K4713" s="343"/>
      <c r="L4713" s="343"/>
    </row>
    <row r="4714" spans="4:12" x14ac:dyDescent="0.2">
      <c r="D4714" s="341"/>
      <c r="F4714" s="343"/>
      <c r="G4714" s="343"/>
      <c r="H4714" s="343"/>
      <c r="I4714" s="343"/>
      <c r="J4714" s="343"/>
      <c r="K4714" s="343"/>
      <c r="L4714" s="343"/>
    </row>
    <row r="4715" spans="4:12" x14ac:dyDescent="0.2">
      <c r="D4715" s="341"/>
      <c r="F4715" s="343"/>
      <c r="G4715" s="343"/>
      <c r="H4715" s="343"/>
      <c r="I4715" s="343"/>
      <c r="J4715" s="343"/>
      <c r="K4715" s="343"/>
      <c r="L4715" s="343"/>
    </row>
    <row r="4716" spans="4:12" x14ac:dyDescent="0.2">
      <c r="D4716" s="341"/>
      <c r="F4716" s="343"/>
      <c r="G4716" s="343"/>
      <c r="H4716" s="343"/>
      <c r="I4716" s="343"/>
      <c r="J4716" s="343"/>
      <c r="K4716" s="343"/>
      <c r="L4716" s="343"/>
    </row>
    <row r="4717" spans="4:12" x14ac:dyDescent="0.2">
      <c r="D4717" s="341"/>
      <c r="F4717" s="343"/>
      <c r="G4717" s="343"/>
      <c r="H4717" s="343"/>
      <c r="I4717" s="343"/>
      <c r="J4717" s="343"/>
      <c r="K4717" s="343"/>
      <c r="L4717" s="343"/>
    </row>
    <row r="4718" spans="4:12" x14ac:dyDescent="0.2">
      <c r="D4718" s="341"/>
      <c r="F4718" s="343"/>
      <c r="G4718" s="343"/>
      <c r="H4718" s="343"/>
      <c r="I4718" s="343"/>
      <c r="J4718" s="343"/>
      <c r="K4718" s="343"/>
      <c r="L4718" s="343"/>
    </row>
    <row r="4719" spans="4:12" x14ac:dyDescent="0.2">
      <c r="D4719" s="341"/>
      <c r="F4719" s="343"/>
      <c r="G4719" s="343"/>
      <c r="H4719" s="343"/>
      <c r="I4719" s="343"/>
      <c r="J4719" s="343"/>
      <c r="K4719" s="343"/>
      <c r="L4719" s="343"/>
    </row>
    <row r="4720" spans="4:12" x14ac:dyDescent="0.2">
      <c r="D4720" s="341"/>
      <c r="F4720" s="343"/>
      <c r="G4720" s="343"/>
      <c r="H4720" s="343"/>
      <c r="I4720" s="343"/>
      <c r="J4720" s="343"/>
      <c r="K4720" s="343"/>
      <c r="L4720" s="343"/>
    </row>
    <row r="4721" spans="4:12" x14ac:dyDescent="0.2">
      <c r="D4721" s="341"/>
      <c r="F4721" s="343"/>
      <c r="G4721" s="343"/>
      <c r="H4721" s="343"/>
      <c r="I4721" s="343"/>
      <c r="J4721" s="343"/>
      <c r="K4721" s="343"/>
      <c r="L4721" s="343"/>
    </row>
    <row r="4722" spans="4:12" x14ac:dyDescent="0.2">
      <c r="D4722" s="341"/>
      <c r="F4722" s="343"/>
      <c r="G4722" s="343"/>
      <c r="H4722" s="343"/>
      <c r="I4722" s="343"/>
      <c r="J4722" s="343"/>
      <c r="K4722" s="343"/>
      <c r="L4722" s="343"/>
    </row>
    <row r="4723" spans="4:12" x14ac:dyDescent="0.2">
      <c r="D4723" s="341"/>
      <c r="F4723" s="343"/>
      <c r="G4723" s="343"/>
      <c r="H4723" s="343"/>
      <c r="I4723" s="343"/>
      <c r="J4723" s="343"/>
      <c r="K4723" s="343"/>
      <c r="L4723" s="343"/>
    </row>
    <row r="4724" spans="4:12" x14ac:dyDescent="0.2">
      <c r="D4724" s="341"/>
      <c r="F4724" s="343"/>
      <c r="G4724" s="343"/>
      <c r="H4724" s="343"/>
      <c r="I4724" s="343"/>
      <c r="J4724" s="343"/>
      <c r="K4724" s="343"/>
      <c r="L4724" s="343"/>
    </row>
    <row r="4725" spans="4:12" x14ac:dyDescent="0.2">
      <c r="D4725" s="341"/>
      <c r="F4725" s="343"/>
      <c r="G4725" s="343"/>
      <c r="H4725" s="343"/>
      <c r="I4725" s="343"/>
      <c r="J4725" s="343"/>
      <c r="K4725" s="343"/>
      <c r="L4725" s="343"/>
    </row>
    <row r="4726" spans="4:12" x14ac:dyDescent="0.2">
      <c r="D4726" s="341"/>
      <c r="F4726" s="343"/>
      <c r="G4726" s="343"/>
      <c r="H4726" s="343"/>
      <c r="I4726" s="343"/>
      <c r="J4726" s="343"/>
      <c r="K4726" s="343"/>
      <c r="L4726" s="343"/>
    </row>
    <row r="4727" spans="4:12" x14ac:dyDescent="0.2">
      <c r="D4727" s="341"/>
      <c r="F4727" s="343"/>
      <c r="G4727" s="343"/>
      <c r="H4727" s="343"/>
      <c r="I4727" s="343"/>
      <c r="J4727" s="343"/>
      <c r="K4727" s="343"/>
      <c r="L4727" s="343"/>
    </row>
    <row r="4728" spans="4:12" x14ac:dyDescent="0.2">
      <c r="D4728" s="341"/>
      <c r="F4728" s="343"/>
      <c r="G4728" s="343"/>
      <c r="H4728" s="343"/>
      <c r="I4728" s="343"/>
      <c r="J4728" s="343"/>
      <c r="K4728" s="343"/>
      <c r="L4728" s="343"/>
    </row>
    <row r="4729" spans="4:12" x14ac:dyDescent="0.2">
      <c r="D4729" s="341"/>
      <c r="F4729" s="343"/>
      <c r="G4729" s="343"/>
      <c r="H4729" s="343"/>
      <c r="I4729" s="343"/>
      <c r="J4729" s="343"/>
      <c r="K4729" s="343"/>
      <c r="L4729" s="343"/>
    </row>
    <row r="4730" spans="4:12" x14ac:dyDescent="0.2">
      <c r="D4730" s="341"/>
      <c r="F4730" s="343"/>
      <c r="G4730" s="343"/>
      <c r="H4730" s="343"/>
      <c r="I4730" s="343"/>
      <c r="J4730" s="343"/>
      <c r="K4730" s="343"/>
      <c r="L4730" s="343"/>
    </row>
    <row r="4731" spans="4:12" x14ac:dyDescent="0.2">
      <c r="D4731" s="341"/>
      <c r="F4731" s="343"/>
      <c r="G4731" s="343"/>
      <c r="H4731" s="343"/>
      <c r="I4731" s="343"/>
      <c r="J4731" s="343"/>
      <c r="K4731" s="343"/>
      <c r="L4731" s="343"/>
    </row>
    <row r="4732" spans="4:12" x14ac:dyDescent="0.2">
      <c r="D4732" s="341"/>
      <c r="F4732" s="343"/>
      <c r="G4732" s="343"/>
      <c r="H4732" s="343"/>
      <c r="I4732" s="343"/>
      <c r="J4732" s="343"/>
      <c r="K4732" s="343"/>
      <c r="L4732" s="343"/>
    </row>
    <row r="4733" spans="4:12" x14ac:dyDescent="0.2">
      <c r="D4733" s="341"/>
      <c r="F4733" s="343"/>
      <c r="G4733" s="343"/>
      <c r="H4733" s="343"/>
      <c r="I4733" s="343"/>
      <c r="J4733" s="343"/>
      <c r="K4733" s="343"/>
      <c r="L4733" s="343"/>
    </row>
    <row r="4734" spans="4:12" x14ac:dyDescent="0.2">
      <c r="D4734" s="341"/>
      <c r="F4734" s="343"/>
      <c r="G4734" s="343"/>
      <c r="H4734" s="343"/>
      <c r="I4734" s="343"/>
      <c r="J4734" s="343"/>
      <c r="K4734" s="343"/>
      <c r="L4734" s="343"/>
    </row>
    <row r="4735" spans="4:12" x14ac:dyDescent="0.2">
      <c r="D4735" s="341"/>
      <c r="F4735" s="343"/>
      <c r="G4735" s="343"/>
      <c r="H4735" s="343"/>
      <c r="I4735" s="343"/>
      <c r="J4735" s="343"/>
      <c r="K4735" s="343"/>
      <c r="L4735" s="343"/>
    </row>
    <row r="4736" spans="4:12" x14ac:dyDescent="0.2">
      <c r="D4736" s="341"/>
      <c r="F4736" s="343"/>
      <c r="G4736" s="343"/>
      <c r="H4736" s="343"/>
      <c r="I4736" s="343"/>
      <c r="J4736" s="343"/>
      <c r="K4736" s="343"/>
      <c r="L4736" s="343"/>
    </row>
    <row r="4737" spans="4:12" x14ac:dyDescent="0.2">
      <c r="D4737" s="341"/>
      <c r="F4737" s="343"/>
      <c r="G4737" s="343"/>
      <c r="H4737" s="343"/>
      <c r="I4737" s="343"/>
      <c r="J4737" s="343"/>
      <c r="K4737" s="343"/>
      <c r="L4737" s="343"/>
    </row>
    <row r="4738" spans="4:12" x14ac:dyDescent="0.2">
      <c r="D4738" s="341"/>
      <c r="F4738" s="343"/>
      <c r="G4738" s="343"/>
      <c r="H4738" s="343"/>
      <c r="I4738" s="343"/>
      <c r="J4738" s="343"/>
      <c r="K4738" s="343"/>
      <c r="L4738" s="343"/>
    </row>
    <row r="4739" spans="4:12" x14ac:dyDescent="0.2">
      <c r="D4739" s="341"/>
      <c r="F4739" s="343"/>
      <c r="G4739" s="343"/>
      <c r="H4739" s="343"/>
      <c r="I4739" s="343"/>
      <c r="J4739" s="343"/>
      <c r="K4739" s="343"/>
      <c r="L4739" s="343"/>
    </row>
    <row r="4740" spans="4:12" x14ac:dyDescent="0.2">
      <c r="D4740" s="341"/>
      <c r="F4740" s="343"/>
      <c r="G4740" s="343"/>
      <c r="H4740" s="343"/>
      <c r="I4740" s="343"/>
      <c r="J4740" s="343"/>
      <c r="K4740" s="343"/>
      <c r="L4740" s="343"/>
    </row>
    <row r="4741" spans="4:12" x14ac:dyDescent="0.2">
      <c r="D4741" s="341"/>
      <c r="F4741" s="343"/>
      <c r="G4741" s="343"/>
      <c r="H4741" s="343"/>
      <c r="I4741" s="343"/>
      <c r="J4741" s="343"/>
      <c r="K4741" s="343"/>
      <c r="L4741" s="343"/>
    </row>
    <row r="4742" spans="4:12" x14ac:dyDescent="0.2">
      <c r="D4742" s="341"/>
      <c r="F4742" s="343"/>
      <c r="G4742" s="343"/>
      <c r="H4742" s="343"/>
      <c r="I4742" s="343"/>
      <c r="J4742" s="343"/>
      <c r="K4742" s="343"/>
      <c r="L4742" s="343"/>
    </row>
    <row r="4743" spans="4:12" x14ac:dyDescent="0.2">
      <c r="D4743" s="341"/>
      <c r="F4743" s="343"/>
      <c r="G4743" s="343"/>
      <c r="H4743" s="343"/>
      <c r="I4743" s="343"/>
      <c r="J4743" s="343"/>
      <c r="K4743" s="343"/>
      <c r="L4743" s="343"/>
    </row>
    <row r="4744" spans="4:12" x14ac:dyDescent="0.2">
      <c r="D4744" s="341"/>
      <c r="F4744" s="343"/>
      <c r="G4744" s="343"/>
      <c r="H4744" s="343"/>
      <c r="I4744" s="343"/>
      <c r="J4744" s="343"/>
      <c r="K4744" s="343"/>
      <c r="L4744" s="343"/>
    </row>
    <row r="4745" spans="4:12" x14ac:dyDescent="0.2">
      <c r="D4745" s="341"/>
      <c r="F4745" s="343"/>
      <c r="G4745" s="343"/>
      <c r="H4745" s="343"/>
      <c r="I4745" s="343"/>
      <c r="J4745" s="343"/>
      <c r="K4745" s="343"/>
      <c r="L4745" s="343"/>
    </row>
    <row r="4746" spans="4:12" x14ac:dyDescent="0.2">
      <c r="D4746" s="341"/>
      <c r="F4746" s="343"/>
      <c r="G4746" s="343"/>
      <c r="H4746" s="343"/>
      <c r="I4746" s="343"/>
      <c r="J4746" s="343"/>
      <c r="K4746" s="343"/>
      <c r="L4746" s="343"/>
    </row>
    <row r="4747" spans="4:12" x14ac:dyDescent="0.2">
      <c r="D4747" s="341"/>
      <c r="F4747" s="343"/>
      <c r="G4747" s="343"/>
      <c r="H4747" s="343"/>
      <c r="I4747" s="343"/>
      <c r="J4747" s="343"/>
      <c r="K4747" s="343"/>
      <c r="L4747" s="343"/>
    </row>
    <row r="4748" spans="4:12" x14ac:dyDescent="0.2">
      <c r="D4748" s="341"/>
      <c r="F4748" s="343"/>
      <c r="G4748" s="343"/>
      <c r="H4748" s="343"/>
      <c r="I4748" s="343"/>
      <c r="J4748" s="343"/>
      <c r="K4748" s="343"/>
      <c r="L4748" s="343"/>
    </row>
    <row r="4749" spans="4:12" x14ac:dyDescent="0.2">
      <c r="D4749" s="341"/>
      <c r="F4749" s="343"/>
      <c r="G4749" s="343"/>
      <c r="H4749" s="343"/>
      <c r="I4749" s="343"/>
      <c r="J4749" s="343"/>
      <c r="K4749" s="343"/>
      <c r="L4749" s="343"/>
    </row>
    <row r="4750" spans="4:12" x14ac:dyDescent="0.2">
      <c r="D4750" s="341"/>
      <c r="F4750" s="343"/>
      <c r="G4750" s="343"/>
      <c r="H4750" s="343"/>
      <c r="I4750" s="343"/>
      <c r="J4750" s="343"/>
      <c r="K4750" s="343"/>
      <c r="L4750" s="343"/>
    </row>
    <row r="4751" spans="4:12" x14ac:dyDescent="0.2">
      <c r="D4751" s="341"/>
      <c r="F4751" s="343"/>
      <c r="G4751" s="343"/>
      <c r="H4751" s="343"/>
      <c r="I4751" s="343"/>
      <c r="J4751" s="343"/>
      <c r="K4751" s="343"/>
      <c r="L4751" s="343"/>
    </row>
    <row r="4752" spans="4:12" x14ac:dyDescent="0.2">
      <c r="D4752" s="341"/>
      <c r="F4752" s="343"/>
      <c r="G4752" s="343"/>
      <c r="H4752" s="343"/>
      <c r="I4752" s="343"/>
      <c r="J4752" s="343"/>
      <c r="K4752" s="343"/>
      <c r="L4752" s="343"/>
    </row>
    <row r="4753" spans="4:12" x14ac:dyDescent="0.2">
      <c r="D4753" s="341"/>
      <c r="F4753" s="343"/>
      <c r="G4753" s="343"/>
      <c r="H4753" s="343"/>
      <c r="I4753" s="343"/>
      <c r="J4753" s="343"/>
      <c r="K4753" s="343"/>
      <c r="L4753" s="343"/>
    </row>
    <row r="4754" spans="4:12" x14ac:dyDescent="0.2">
      <c r="D4754" s="341"/>
      <c r="F4754" s="343"/>
      <c r="G4754" s="343"/>
      <c r="H4754" s="343"/>
      <c r="I4754" s="343"/>
      <c r="J4754" s="343"/>
      <c r="K4754" s="343"/>
      <c r="L4754" s="343"/>
    </row>
    <row r="4755" spans="4:12" x14ac:dyDescent="0.2">
      <c r="D4755" s="341"/>
      <c r="F4755" s="343"/>
      <c r="G4755" s="343"/>
      <c r="H4755" s="343"/>
      <c r="I4755" s="343"/>
      <c r="J4755" s="343"/>
      <c r="K4755" s="343"/>
      <c r="L4755" s="343"/>
    </row>
    <row r="4756" spans="4:12" x14ac:dyDescent="0.2">
      <c r="D4756" s="341"/>
      <c r="F4756" s="343"/>
      <c r="G4756" s="343"/>
      <c r="H4756" s="343"/>
      <c r="I4756" s="343"/>
      <c r="J4756" s="343"/>
      <c r="K4756" s="343"/>
      <c r="L4756" s="343"/>
    </row>
    <row r="4757" spans="4:12" x14ac:dyDescent="0.2">
      <c r="D4757" s="341"/>
      <c r="F4757" s="343"/>
      <c r="G4757" s="343"/>
      <c r="H4757" s="343"/>
      <c r="I4757" s="343"/>
      <c r="J4757" s="343"/>
      <c r="K4757" s="343"/>
      <c r="L4757" s="343"/>
    </row>
    <row r="4758" spans="4:12" x14ac:dyDescent="0.2">
      <c r="D4758" s="341"/>
      <c r="F4758" s="343"/>
      <c r="G4758" s="343"/>
      <c r="H4758" s="343"/>
      <c r="I4758" s="343"/>
      <c r="J4758" s="343"/>
      <c r="K4758" s="343"/>
      <c r="L4758" s="343"/>
    </row>
    <row r="4759" spans="4:12" x14ac:dyDescent="0.2">
      <c r="D4759" s="341"/>
      <c r="F4759" s="343"/>
      <c r="G4759" s="343"/>
      <c r="H4759" s="343"/>
      <c r="I4759" s="343"/>
      <c r="J4759" s="343"/>
      <c r="K4759" s="343"/>
      <c r="L4759" s="343"/>
    </row>
    <row r="4760" spans="4:12" x14ac:dyDescent="0.2">
      <c r="D4760" s="341"/>
      <c r="F4760" s="343"/>
      <c r="G4760" s="343"/>
      <c r="H4760" s="343"/>
      <c r="I4760" s="343"/>
      <c r="J4760" s="343"/>
      <c r="K4760" s="343"/>
      <c r="L4760" s="343"/>
    </row>
    <row r="4761" spans="4:12" x14ac:dyDescent="0.2">
      <c r="D4761" s="341"/>
      <c r="F4761" s="343"/>
      <c r="G4761" s="343"/>
      <c r="H4761" s="343"/>
      <c r="I4761" s="343"/>
      <c r="J4761" s="343"/>
      <c r="K4761" s="343"/>
      <c r="L4761" s="343"/>
    </row>
    <row r="4762" spans="4:12" x14ac:dyDescent="0.2">
      <c r="D4762" s="341"/>
      <c r="F4762" s="343"/>
      <c r="G4762" s="343"/>
      <c r="H4762" s="343"/>
      <c r="I4762" s="343"/>
      <c r="J4762" s="343"/>
      <c r="K4762" s="343"/>
      <c r="L4762" s="343"/>
    </row>
    <row r="4763" spans="4:12" x14ac:dyDescent="0.2">
      <c r="D4763" s="341"/>
      <c r="F4763" s="343"/>
      <c r="G4763" s="343"/>
      <c r="H4763" s="343"/>
      <c r="I4763" s="343"/>
      <c r="J4763" s="343"/>
      <c r="K4763" s="343"/>
      <c r="L4763" s="343"/>
    </row>
    <row r="4764" spans="4:12" x14ac:dyDescent="0.2">
      <c r="D4764" s="341"/>
      <c r="F4764" s="343"/>
      <c r="G4764" s="343"/>
      <c r="H4764" s="343"/>
      <c r="I4764" s="343"/>
      <c r="J4764" s="343"/>
      <c r="K4764" s="343"/>
      <c r="L4764" s="343"/>
    </row>
    <row r="4765" spans="4:12" x14ac:dyDescent="0.2">
      <c r="D4765" s="341"/>
      <c r="F4765" s="343"/>
      <c r="G4765" s="343"/>
      <c r="H4765" s="343"/>
      <c r="I4765" s="343"/>
      <c r="J4765" s="343"/>
      <c r="K4765" s="343"/>
      <c r="L4765" s="343"/>
    </row>
    <row r="4766" spans="4:12" x14ac:dyDescent="0.2">
      <c r="D4766" s="341"/>
      <c r="F4766" s="343"/>
      <c r="G4766" s="343"/>
      <c r="H4766" s="343"/>
      <c r="I4766" s="343"/>
      <c r="J4766" s="343"/>
      <c r="K4766" s="343"/>
      <c r="L4766" s="343"/>
    </row>
    <row r="4767" spans="4:12" x14ac:dyDescent="0.2">
      <c r="D4767" s="341"/>
      <c r="F4767" s="343"/>
      <c r="G4767" s="343"/>
      <c r="H4767" s="343"/>
      <c r="I4767" s="343"/>
      <c r="J4767" s="343"/>
      <c r="K4767" s="343"/>
      <c r="L4767" s="343"/>
    </row>
    <row r="4768" spans="4:12" x14ac:dyDescent="0.2">
      <c r="D4768" s="341"/>
      <c r="F4768" s="343"/>
      <c r="G4768" s="343"/>
      <c r="H4768" s="343"/>
      <c r="I4768" s="343"/>
      <c r="J4768" s="343"/>
      <c r="K4768" s="343"/>
      <c r="L4768" s="343"/>
    </row>
    <row r="4769" spans="4:12" x14ac:dyDescent="0.2">
      <c r="D4769" s="341"/>
      <c r="F4769" s="343"/>
      <c r="G4769" s="343"/>
      <c r="H4769" s="343"/>
      <c r="I4769" s="343"/>
      <c r="J4769" s="343"/>
      <c r="K4769" s="343"/>
      <c r="L4769" s="343"/>
    </row>
    <row r="4770" spans="4:12" x14ac:dyDescent="0.2">
      <c r="D4770" s="341"/>
      <c r="F4770" s="343"/>
      <c r="G4770" s="343"/>
      <c r="H4770" s="343"/>
      <c r="I4770" s="343"/>
      <c r="J4770" s="343"/>
      <c r="K4770" s="343"/>
      <c r="L4770" s="343"/>
    </row>
    <row r="4771" spans="4:12" x14ac:dyDescent="0.2">
      <c r="D4771" s="341"/>
      <c r="F4771" s="343"/>
      <c r="G4771" s="343"/>
      <c r="H4771" s="343"/>
      <c r="I4771" s="343"/>
      <c r="J4771" s="343"/>
      <c r="K4771" s="343"/>
      <c r="L4771" s="343"/>
    </row>
    <row r="4772" spans="4:12" x14ac:dyDescent="0.2">
      <c r="D4772" s="341"/>
      <c r="F4772" s="343"/>
      <c r="G4772" s="343"/>
      <c r="H4772" s="343"/>
      <c r="I4772" s="343"/>
      <c r="J4772" s="343"/>
      <c r="K4772" s="343"/>
      <c r="L4772" s="343"/>
    </row>
    <row r="4773" spans="4:12" x14ac:dyDescent="0.2">
      <c r="D4773" s="341"/>
      <c r="F4773" s="343"/>
      <c r="G4773" s="343"/>
      <c r="H4773" s="343"/>
      <c r="I4773" s="343"/>
      <c r="J4773" s="343"/>
      <c r="K4773" s="343"/>
      <c r="L4773" s="343"/>
    </row>
    <row r="4774" spans="4:12" x14ac:dyDescent="0.2">
      <c r="D4774" s="341"/>
      <c r="F4774" s="343"/>
      <c r="G4774" s="343"/>
      <c r="H4774" s="343"/>
      <c r="I4774" s="343"/>
      <c r="J4774" s="343"/>
      <c r="K4774" s="343"/>
      <c r="L4774" s="343"/>
    </row>
    <row r="4775" spans="4:12" x14ac:dyDescent="0.2">
      <c r="D4775" s="341"/>
      <c r="F4775" s="343"/>
      <c r="G4775" s="343"/>
      <c r="H4775" s="343"/>
      <c r="I4775" s="343"/>
      <c r="J4775" s="343"/>
      <c r="K4775" s="343"/>
      <c r="L4775" s="343"/>
    </row>
    <row r="4776" spans="4:12" x14ac:dyDescent="0.2">
      <c r="D4776" s="341"/>
      <c r="F4776" s="343"/>
      <c r="G4776" s="343"/>
      <c r="H4776" s="343"/>
      <c r="I4776" s="343"/>
      <c r="J4776" s="343"/>
      <c r="K4776" s="343"/>
      <c r="L4776" s="343"/>
    </row>
    <row r="4777" spans="4:12" x14ac:dyDescent="0.2">
      <c r="D4777" s="341"/>
      <c r="F4777" s="343"/>
      <c r="G4777" s="343"/>
      <c r="H4777" s="343"/>
      <c r="I4777" s="343"/>
      <c r="J4777" s="343"/>
      <c r="K4777" s="343"/>
      <c r="L4777" s="343"/>
    </row>
    <row r="4778" spans="4:12" x14ac:dyDescent="0.2">
      <c r="D4778" s="341"/>
      <c r="F4778" s="343"/>
      <c r="G4778" s="343"/>
      <c r="H4778" s="343"/>
      <c r="I4778" s="343"/>
      <c r="J4778" s="343"/>
      <c r="K4778" s="343"/>
      <c r="L4778" s="343"/>
    </row>
    <row r="4779" spans="4:12" x14ac:dyDescent="0.2">
      <c r="D4779" s="341"/>
      <c r="F4779" s="343"/>
      <c r="G4779" s="343"/>
      <c r="H4779" s="343"/>
      <c r="I4779" s="343"/>
      <c r="J4779" s="343"/>
      <c r="K4779" s="343"/>
      <c r="L4779" s="343"/>
    </row>
    <row r="4780" spans="4:12" x14ac:dyDescent="0.2">
      <c r="D4780" s="341"/>
      <c r="F4780" s="343"/>
      <c r="G4780" s="343"/>
      <c r="H4780" s="343"/>
      <c r="I4780" s="343"/>
      <c r="J4780" s="343"/>
      <c r="K4780" s="343"/>
      <c r="L4780" s="343"/>
    </row>
    <row r="4781" spans="4:12" x14ac:dyDescent="0.2">
      <c r="D4781" s="341"/>
      <c r="F4781" s="343"/>
      <c r="G4781" s="343"/>
      <c r="H4781" s="343"/>
      <c r="I4781" s="343"/>
      <c r="J4781" s="343"/>
      <c r="K4781" s="343"/>
      <c r="L4781" s="343"/>
    </row>
    <row r="4782" spans="4:12" x14ac:dyDescent="0.2">
      <c r="D4782" s="341"/>
      <c r="F4782" s="343"/>
      <c r="G4782" s="343"/>
      <c r="H4782" s="343"/>
      <c r="I4782" s="343"/>
      <c r="J4782" s="343"/>
      <c r="K4782" s="343"/>
      <c r="L4782" s="343"/>
    </row>
    <row r="4783" spans="4:12" x14ac:dyDescent="0.2">
      <c r="D4783" s="341"/>
      <c r="F4783" s="343"/>
      <c r="G4783" s="343"/>
      <c r="H4783" s="343"/>
      <c r="I4783" s="343"/>
      <c r="J4783" s="343"/>
      <c r="K4783" s="343"/>
      <c r="L4783" s="343"/>
    </row>
    <row r="4784" spans="4:12" x14ac:dyDescent="0.2">
      <c r="D4784" s="341"/>
      <c r="F4784" s="343"/>
      <c r="G4784" s="343"/>
      <c r="H4784" s="343"/>
      <c r="I4784" s="343"/>
      <c r="J4784" s="343"/>
      <c r="K4784" s="343"/>
      <c r="L4784" s="343"/>
    </row>
    <row r="4785" spans="4:12" x14ac:dyDescent="0.2">
      <c r="D4785" s="341"/>
      <c r="F4785" s="343"/>
      <c r="G4785" s="343"/>
      <c r="H4785" s="343"/>
      <c r="I4785" s="343"/>
      <c r="J4785" s="343"/>
      <c r="K4785" s="343"/>
      <c r="L4785" s="343"/>
    </row>
    <row r="4786" spans="4:12" x14ac:dyDescent="0.2">
      <c r="D4786" s="341"/>
      <c r="F4786" s="343"/>
      <c r="G4786" s="343"/>
      <c r="H4786" s="343"/>
      <c r="I4786" s="343"/>
      <c r="J4786" s="343"/>
      <c r="K4786" s="343"/>
      <c r="L4786" s="343"/>
    </row>
    <row r="4787" spans="4:12" x14ac:dyDescent="0.2">
      <c r="D4787" s="341"/>
      <c r="F4787" s="343"/>
      <c r="G4787" s="343"/>
      <c r="H4787" s="343"/>
      <c r="I4787" s="343"/>
      <c r="J4787" s="343"/>
      <c r="K4787" s="343"/>
      <c r="L4787" s="343"/>
    </row>
    <row r="4788" spans="4:12" x14ac:dyDescent="0.2">
      <c r="D4788" s="341"/>
      <c r="F4788" s="343"/>
      <c r="G4788" s="343"/>
      <c r="H4788" s="343"/>
      <c r="I4788" s="343"/>
      <c r="J4788" s="343"/>
      <c r="K4788" s="343"/>
      <c r="L4788" s="343"/>
    </row>
    <row r="4789" spans="4:12" x14ac:dyDescent="0.2">
      <c r="D4789" s="341"/>
      <c r="F4789" s="343"/>
      <c r="G4789" s="343"/>
      <c r="H4789" s="343"/>
      <c r="I4789" s="343"/>
      <c r="J4789" s="343"/>
      <c r="K4789" s="343"/>
      <c r="L4789" s="343"/>
    </row>
    <row r="4790" spans="4:12" x14ac:dyDescent="0.2">
      <c r="D4790" s="341"/>
      <c r="F4790" s="343"/>
      <c r="G4790" s="343"/>
      <c r="H4790" s="343"/>
      <c r="I4790" s="343"/>
      <c r="J4790" s="343"/>
      <c r="K4790" s="343"/>
      <c r="L4790" s="343"/>
    </row>
    <row r="4791" spans="4:12" x14ac:dyDescent="0.2">
      <c r="D4791" s="341"/>
      <c r="F4791" s="343"/>
      <c r="G4791" s="343"/>
      <c r="H4791" s="343"/>
      <c r="I4791" s="343"/>
      <c r="J4791" s="343"/>
      <c r="K4791" s="343"/>
      <c r="L4791" s="343"/>
    </row>
    <row r="4792" spans="4:12" x14ac:dyDescent="0.2">
      <c r="D4792" s="341"/>
      <c r="F4792" s="343"/>
      <c r="G4792" s="343"/>
      <c r="H4792" s="343"/>
      <c r="I4792" s="343"/>
      <c r="J4792" s="343"/>
      <c r="K4792" s="343"/>
      <c r="L4792" s="343"/>
    </row>
    <row r="4793" spans="4:12" x14ac:dyDescent="0.2">
      <c r="D4793" s="341"/>
      <c r="F4793" s="343"/>
      <c r="G4793" s="343"/>
      <c r="H4793" s="343"/>
      <c r="I4793" s="343"/>
      <c r="J4793" s="343"/>
      <c r="K4793" s="343"/>
      <c r="L4793" s="343"/>
    </row>
    <row r="4794" spans="4:12" x14ac:dyDescent="0.2">
      <c r="D4794" s="341"/>
      <c r="F4794" s="343"/>
      <c r="G4794" s="343"/>
      <c r="H4794" s="343"/>
      <c r="I4794" s="343"/>
      <c r="J4794" s="343"/>
      <c r="K4794" s="343"/>
      <c r="L4794" s="343"/>
    </row>
    <row r="4795" spans="4:12" x14ac:dyDescent="0.2">
      <c r="D4795" s="341"/>
      <c r="F4795" s="343"/>
      <c r="G4795" s="343"/>
      <c r="H4795" s="343"/>
      <c r="I4795" s="343"/>
      <c r="J4795" s="343"/>
      <c r="K4795" s="343"/>
      <c r="L4795" s="343"/>
    </row>
    <row r="4796" spans="4:12" x14ac:dyDescent="0.2">
      <c r="D4796" s="341"/>
      <c r="F4796" s="343"/>
      <c r="G4796" s="343"/>
      <c r="H4796" s="343"/>
      <c r="I4796" s="343"/>
      <c r="J4796" s="343"/>
      <c r="K4796" s="343"/>
      <c r="L4796" s="343"/>
    </row>
    <row r="4797" spans="4:12" x14ac:dyDescent="0.2">
      <c r="D4797" s="341"/>
      <c r="F4797" s="343"/>
      <c r="G4797" s="343"/>
      <c r="H4797" s="343"/>
      <c r="I4797" s="343"/>
      <c r="J4797" s="343"/>
      <c r="K4797" s="343"/>
      <c r="L4797" s="343"/>
    </row>
    <row r="4798" spans="4:12" x14ac:dyDescent="0.2">
      <c r="D4798" s="341"/>
      <c r="F4798" s="343"/>
      <c r="G4798" s="343"/>
      <c r="H4798" s="343"/>
      <c r="I4798" s="343"/>
      <c r="J4798" s="343"/>
      <c r="K4798" s="343"/>
      <c r="L4798" s="343"/>
    </row>
    <row r="4799" spans="4:12" x14ac:dyDescent="0.2">
      <c r="D4799" s="341"/>
      <c r="F4799" s="343"/>
      <c r="G4799" s="343"/>
      <c r="H4799" s="343"/>
      <c r="I4799" s="343"/>
      <c r="J4799" s="343"/>
      <c r="K4799" s="343"/>
      <c r="L4799" s="343"/>
    </row>
    <row r="4800" spans="4:12" x14ac:dyDescent="0.2">
      <c r="D4800" s="341"/>
      <c r="F4800" s="343"/>
      <c r="G4800" s="343"/>
      <c r="H4800" s="343"/>
      <c r="I4800" s="343"/>
      <c r="J4800" s="343"/>
      <c r="K4800" s="343"/>
      <c r="L4800" s="343"/>
    </row>
    <row r="4801" spans="4:12" x14ac:dyDescent="0.2">
      <c r="D4801" s="341"/>
      <c r="F4801" s="343"/>
      <c r="G4801" s="343"/>
      <c r="H4801" s="343"/>
      <c r="I4801" s="343"/>
      <c r="J4801" s="343"/>
      <c r="K4801" s="343"/>
      <c r="L4801" s="343"/>
    </row>
    <row r="4802" spans="4:12" x14ac:dyDescent="0.2">
      <c r="D4802" s="341"/>
      <c r="F4802" s="343"/>
      <c r="G4802" s="343"/>
      <c r="H4802" s="343"/>
      <c r="I4802" s="343"/>
      <c r="J4802" s="343"/>
      <c r="K4802" s="343"/>
      <c r="L4802" s="343"/>
    </row>
    <row r="4803" spans="4:12" x14ac:dyDescent="0.2">
      <c r="D4803" s="341"/>
      <c r="F4803" s="343"/>
      <c r="G4803" s="343"/>
      <c r="H4803" s="343"/>
      <c r="I4803" s="343"/>
      <c r="J4803" s="343"/>
      <c r="K4803" s="343"/>
      <c r="L4803" s="343"/>
    </row>
    <row r="4804" spans="4:12" x14ac:dyDescent="0.2">
      <c r="D4804" s="341"/>
      <c r="F4804" s="343"/>
      <c r="G4804" s="343"/>
      <c r="H4804" s="343"/>
      <c r="I4804" s="343"/>
      <c r="J4804" s="343"/>
      <c r="K4804" s="343"/>
      <c r="L4804" s="343"/>
    </row>
    <row r="4805" spans="4:12" x14ac:dyDescent="0.2">
      <c r="D4805" s="341"/>
      <c r="F4805" s="343"/>
      <c r="G4805" s="343"/>
      <c r="H4805" s="343"/>
      <c r="I4805" s="343"/>
      <c r="J4805" s="343"/>
      <c r="K4805" s="343"/>
      <c r="L4805" s="343"/>
    </row>
    <row r="4806" spans="4:12" x14ac:dyDescent="0.2">
      <c r="D4806" s="341"/>
      <c r="F4806" s="343"/>
      <c r="G4806" s="343"/>
      <c r="H4806" s="343"/>
      <c r="I4806" s="343"/>
      <c r="J4806" s="343"/>
      <c r="K4806" s="343"/>
      <c r="L4806" s="343"/>
    </row>
    <row r="4807" spans="4:12" x14ac:dyDescent="0.2">
      <c r="D4807" s="341"/>
      <c r="F4807" s="343"/>
      <c r="G4807" s="343"/>
      <c r="H4807" s="343"/>
      <c r="I4807" s="343"/>
      <c r="J4807" s="343"/>
      <c r="K4807" s="343"/>
      <c r="L4807" s="343"/>
    </row>
    <row r="4808" spans="4:12" x14ac:dyDescent="0.2">
      <c r="D4808" s="341"/>
      <c r="F4808" s="343"/>
      <c r="G4808" s="343"/>
      <c r="H4808" s="343"/>
      <c r="I4808" s="343"/>
      <c r="J4808" s="343"/>
      <c r="K4808" s="343"/>
      <c r="L4808" s="343"/>
    </row>
    <row r="4809" spans="4:12" x14ac:dyDescent="0.2">
      <c r="D4809" s="341"/>
      <c r="F4809" s="343"/>
      <c r="G4809" s="343"/>
      <c r="H4809" s="343"/>
      <c r="I4809" s="343"/>
      <c r="J4809" s="343"/>
      <c r="K4809" s="343"/>
      <c r="L4809" s="343"/>
    </row>
    <row r="4810" spans="4:12" x14ac:dyDescent="0.2">
      <c r="D4810" s="341"/>
      <c r="F4810" s="343"/>
      <c r="G4810" s="343"/>
      <c r="H4810" s="343"/>
      <c r="I4810" s="343"/>
      <c r="J4810" s="343"/>
      <c r="K4810" s="343"/>
      <c r="L4810" s="343"/>
    </row>
    <row r="4811" spans="4:12" x14ac:dyDescent="0.2">
      <c r="D4811" s="341"/>
      <c r="F4811" s="343"/>
      <c r="G4811" s="343"/>
      <c r="H4811" s="343"/>
      <c r="I4811" s="343"/>
      <c r="J4811" s="343"/>
      <c r="K4811" s="343"/>
      <c r="L4811" s="343"/>
    </row>
    <row r="4812" spans="4:12" x14ac:dyDescent="0.2">
      <c r="D4812" s="341"/>
      <c r="F4812" s="343"/>
      <c r="G4812" s="343"/>
      <c r="H4812" s="343"/>
      <c r="I4812" s="343"/>
      <c r="J4812" s="343"/>
      <c r="K4812" s="343"/>
      <c r="L4812" s="343"/>
    </row>
    <row r="4813" spans="4:12" x14ac:dyDescent="0.2">
      <c r="D4813" s="341"/>
      <c r="F4813" s="343"/>
      <c r="G4813" s="343"/>
      <c r="H4813" s="343"/>
      <c r="I4813" s="343"/>
      <c r="J4813" s="343"/>
      <c r="K4813" s="343"/>
      <c r="L4813" s="343"/>
    </row>
    <row r="4814" spans="4:12" x14ac:dyDescent="0.2">
      <c r="D4814" s="341"/>
      <c r="F4814" s="343"/>
      <c r="G4814" s="343"/>
      <c r="H4814" s="343"/>
      <c r="I4814" s="343"/>
      <c r="J4814" s="343"/>
      <c r="K4814" s="343"/>
      <c r="L4814" s="343"/>
    </row>
    <row r="4815" spans="4:12" x14ac:dyDescent="0.2">
      <c r="D4815" s="341"/>
      <c r="F4815" s="343"/>
      <c r="G4815" s="343"/>
      <c r="H4815" s="343"/>
      <c r="I4815" s="343"/>
      <c r="J4815" s="343"/>
      <c r="K4815" s="343"/>
      <c r="L4815" s="343"/>
    </row>
    <row r="4816" spans="4:12" x14ac:dyDescent="0.2">
      <c r="D4816" s="341"/>
      <c r="F4816" s="343"/>
      <c r="G4816" s="343"/>
      <c r="H4816" s="343"/>
      <c r="I4816" s="343"/>
      <c r="J4816" s="343"/>
      <c r="K4816" s="343"/>
      <c r="L4816" s="343"/>
    </row>
    <row r="4817" spans="4:12" x14ac:dyDescent="0.2">
      <c r="D4817" s="341"/>
      <c r="F4817" s="343"/>
      <c r="G4817" s="343"/>
      <c r="H4817" s="343"/>
      <c r="I4817" s="343"/>
      <c r="J4817" s="343"/>
      <c r="K4817" s="343"/>
      <c r="L4817" s="343"/>
    </row>
    <row r="4818" spans="4:12" x14ac:dyDescent="0.2">
      <c r="D4818" s="341"/>
      <c r="F4818" s="343"/>
      <c r="G4818" s="343"/>
      <c r="H4818" s="343"/>
      <c r="I4818" s="343"/>
      <c r="J4818" s="343"/>
      <c r="K4818" s="343"/>
      <c r="L4818" s="343"/>
    </row>
    <row r="4819" spans="4:12" x14ac:dyDescent="0.2">
      <c r="D4819" s="341"/>
      <c r="F4819" s="343"/>
      <c r="G4819" s="343"/>
      <c r="H4819" s="343"/>
      <c r="I4819" s="343"/>
      <c r="J4819" s="343"/>
      <c r="K4819" s="343"/>
      <c r="L4819" s="343"/>
    </row>
    <row r="4820" spans="4:12" x14ac:dyDescent="0.2">
      <c r="D4820" s="341"/>
      <c r="F4820" s="343"/>
      <c r="G4820" s="343"/>
      <c r="H4820" s="343"/>
      <c r="I4820" s="343"/>
      <c r="J4820" s="343"/>
      <c r="K4820" s="343"/>
      <c r="L4820" s="343"/>
    </row>
    <row r="4821" spans="4:12" x14ac:dyDescent="0.2">
      <c r="D4821" s="341"/>
      <c r="F4821" s="343"/>
      <c r="G4821" s="343"/>
      <c r="H4821" s="343"/>
      <c r="I4821" s="343"/>
      <c r="J4821" s="343"/>
      <c r="K4821" s="343"/>
      <c r="L4821" s="343"/>
    </row>
    <row r="4822" spans="4:12" x14ac:dyDescent="0.2">
      <c r="D4822" s="341"/>
      <c r="F4822" s="343"/>
      <c r="G4822" s="343"/>
      <c r="H4822" s="343"/>
      <c r="I4822" s="343"/>
      <c r="J4822" s="343"/>
      <c r="K4822" s="343"/>
      <c r="L4822" s="343"/>
    </row>
    <row r="4823" spans="4:12" x14ac:dyDescent="0.2">
      <c r="D4823" s="341"/>
      <c r="F4823" s="343"/>
      <c r="G4823" s="343"/>
      <c r="H4823" s="343"/>
      <c r="I4823" s="343"/>
      <c r="J4823" s="343"/>
      <c r="K4823" s="343"/>
      <c r="L4823" s="343"/>
    </row>
    <row r="4824" spans="4:12" x14ac:dyDescent="0.2">
      <c r="D4824" s="341"/>
      <c r="F4824" s="343"/>
      <c r="G4824" s="343"/>
      <c r="H4824" s="343"/>
      <c r="I4824" s="343"/>
      <c r="J4824" s="343"/>
      <c r="K4824" s="343"/>
      <c r="L4824" s="343"/>
    </row>
    <row r="4825" spans="4:12" x14ac:dyDescent="0.2">
      <c r="D4825" s="341"/>
      <c r="F4825" s="343"/>
      <c r="G4825" s="343"/>
      <c r="H4825" s="343"/>
      <c r="I4825" s="343"/>
      <c r="J4825" s="343"/>
      <c r="K4825" s="343"/>
      <c r="L4825" s="343"/>
    </row>
    <row r="4826" spans="4:12" x14ac:dyDescent="0.2">
      <c r="D4826" s="341"/>
      <c r="F4826" s="343"/>
      <c r="G4826" s="343"/>
      <c r="H4826" s="343"/>
      <c r="I4826" s="343"/>
      <c r="J4826" s="343"/>
      <c r="K4826" s="343"/>
      <c r="L4826" s="343"/>
    </row>
    <row r="4827" spans="4:12" x14ac:dyDescent="0.2">
      <c r="D4827" s="341"/>
      <c r="F4827" s="343"/>
      <c r="G4827" s="343"/>
      <c r="H4827" s="343"/>
      <c r="I4827" s="343"/>
      <c r="J4827" s="343"/>
      <c r="K4827" s="343"/>
      <c r="L4827" s="343"/>
    </row>
    <row r="4828" spans="4:12" x14ac:dyDescent="0.2">
      <c r="D4828" s="341"/>
      <c r="F4828" s="343"/>
      <c r="G4828" s="343"/>
      <c r="H4828" s="343"/>
      <c r="I4828" s="343"/>
      <c r="J4828" s="343"/>
      <c r="K4828" s="343"/>
      <c r="L4828" s="343"/>
    </row>
    <row r="4829" spans="4:12" x14ac:dyDescent="0.2">
      <c r="D4829" s="341"/>
      <c r="F4829" s="343"/>
      <c r="G4829" s="343"/>
      <c r="H4829" s="343"/>
      <c r="I4829" s="343"/>
      <c r="J4829" s="343"/>
      <c r="K4829" s="343"/>
      <c r="L4829" s="343"/>
    </row>
    <row r="4830" spans="4:12" x14ac:dyDescent="0.2">
      <c r="D4830" s="341"/>
      <c r="F4830" s="343"/>
      <c r="G4830" s="343"/>
      <c r="H4830" s="343"/>
      <c r="I4830" s="343"/>
      <c r="J4830" s="343"/>
      <c r="K4830" s="343"/>
      <c r="L4830" s="343"/>
    </row>
    <row r="4831" spans="4:12" x14ac:dyDescent="0.2">
      <c r="D4831" s="341"/>
      <c r="F4831" s="343"/>
      <c r="G4831" s="343"/>
      <c r="H4831" s="343"/>
      <c r="I4831" s="343"/>
      <c r="J4831" s="343"/>
      <c r="K4831" s="343"/>
      <c r="L4831" s="343"/>
    </row>
    <row r="4832" spans="4:12" x14ac:dyDescent="0.2">
      <c r="D4832" s="341"/>
      <c r="F4832" s="343"/>
      <c r="G4832" s="343"/>
      <c r="H4832" s="343"/>
      <c r="I4832" s="343"/>
      <c r="J4832" s="343"/>
      <c r="K4832" s="343"/>
      <c r="L4832" s="343"/>
    </row>
    <row r="4833" spans="4:12" x14ac:dyDescent="0.2">
      <c r="D4833" s="341"/>
      <c r="F4833" s="343"/>
      <c r="G4833" s="343"/>
      <c r="H4833" s="343"/>
      <c r="I4833" s="343"/>
      <c r="J4833" s="343"/>
      <c r="K4833" s="343"/>
      <c r="L4833" s="343"/>
    </row>
    <row r="4834" spans="4:12" x14ac:dyDescent="0.2">
      <c r="D4834" s="341"/>
      <c r="F4834" s="343"/>
      <c r="G4834" s="343"/>
      <c r="H4834" s="343"/>
      <c r="I4834" s="343"/>
      <c r="J4834" s="343"/>
      <c r="K4834" s="343"/>
      <c r="L4834" s="343"/>
    </row>
    <row r="4835" spans="4:12" x14ac:dyDescent="0.2">
      <c r="D4835" s="341"/>
      <c r="F4835" s="343"/>
      <c r="G4835" s="343"/>
      <c r="H4835" s="343"/>
      <c r="I4835" s="343"/>
      <c r="J4835" s="343"/>
      <c r="K4835" s="343"/>
      <c r="L4835" s="343"/>
    </row>
    <row r="4836" spans="4:12" x14ac:dyDescent="0.2">
      <c r="D4836" s="341"/>
      <c r="F4836" s="343"/>
      <c r="G4836" s="343"/>
      <c r="H4836" s="343"/>
      <c r="I4836" s="343"/>
      <c r="J4836" s="343"/>
      <c r="K4836" s="343"/>
      <c r="L4836" s="343"/>
    </row>
    <row r="4837" spans="4:12" x14ac:dyDescent="0.2">
      <c r="D4837" s="341"/>
      <c r="F4837" s="343"/>
      <c r="G4837" s="343"/>
      <c r="H4837" s="343"/>
      <c r="I4837" s="343"/>
      <c r="J4837" s="343"/>
      <c r="K4837" s="343"/>
      <c r="L4837" s="343"/>
    </row>
    <row r="4838" spans="4:12" x14ac:dyDescent="0.2">
      <c r="D4838" s="341"/>
      <c r="F4838" s="343"/>
      <c r="G4838" s="343"/>
      <c r="H4838" s="343"/>
      <c r="I4838" s="343"/>
      <c r="J4838" s="343"/>
      <c r="K4838" s="343"/>
      <c r="L4838" s="343"/>
    </row>
    <row r="4839" spans="4:12" x14ac:dyDescent="0.2">
      <c r="D4839" s="341"/>
      <c r="F4839" s="343"/>
      <c r="G4839" s="343"/>
      <c r="H4839" s="343"/>
      <c r="I4839" s="343"/>
      <c r="J4839" s="343"/>
      <c r="K4839" s="343"/>
      <c r="L4839" s="343"/>
    </row>
    <row r="4840" spans="4:12" x14ac:dyDescent="0.2">
      <c r="D4840" s="341"/>
      <c r="F4840" s="343"/>
      <c r="G4840" s="343"/>
      <c r="H4840" s="343"/>
      <c r="I4840" s="343"/>
      <c r="J4840" s="343"/>
      <c r="K4840" s="343"/>
      <c r="L4840" s="343"/>
    </row>
    <row r="4841" spans="4:12" x14ac:dyDescent="0.2">
      <c r="D4841" s="341"/>
      <c r="F4841" s="343"/>
      <c r="G4841" s="343"/>
      <c r="H4841" s="343"/>
      <c r="I4841" s="343"/>
      <c r="J4841" s="343"/>
      <c r="K4841" s="343"/>
      <c r="L4841" s="343"/>
    </row>
    <row r="4842" spans="4:12" x14ac:dyDescent="0.2">
      <c r="D4842" s="341"/>
      <c r="F4842" s="343"/>
      <c r="G4842" s="343"/>
      <c r="H4842" s="343"/>
      <c r="I4842" s="343"/>
      <c r="J4842" s="343"/>
      <c r="K4842" s="343"/>
      <c r="L4842" s="343"/>
    </row>
    <row r="4843" spans="4:12" x14ac:dyDescent="0.2">
      <c r="D4843" s="341"/>
      <c r="F4843" s="343"/>
      <c r="G4843" s="343"/>
      <c r="H4843" s="343"/>
      <c r="I4843" s="343"/>
      <c r="J4843" s="343"/>
      <c r="K4843" s="343"/>
      <c r="L4843" s="343"/>
    </row>
    <row r="4844" spans="4:12" x14ac:dyDescent="0.2">
      <c r="D4844" s="341"/>
      <c r="F4844" s="343"/>
      <c r="G4844" s="343"/>
      <c r="H4844" s="343"/>
      <c r="I4844" s="343"/>
      <c r="J4844" s="343"/>
      <c r="K4844" s="343"/>
      <c r="L4844" s="343"/>
    </row>
    <row r="4845" spans="4:12" x14ac:dyDescent="0.2">
      <c r="D4845" s="341"/>
      <c r="F4845" s="343"/>
      <c r="G4845" s="343"/>
      <c r="H4845" s="343"/>
      <c r="I4845" s="343"/>
      <c r="J4845" s="343"/>
      <c r="K4845" s="343"/>
      <c r="L4845" s="343"/>
    </row>
    <row r="4846" spans="4:12" x14ac:dyDescent="0.2">
      <c r="D4846" s="341"/>
      <c r="F4846" s="343"/>
      <c r="G4846" s="343"/>
      <c r="H4846" s="343"/>
      <c r="I4846" s="343"/>
      <c r="J4846" s="343"/>
      <c r="K4846" s="343"/>
      <c r="L4846" s="343"/>
    </row>
    <row r="4847" spans="4:12" x14ac:dyDescent="0.2">
      <c r="D4847" s="341"/>
      <c r="F4847" s="343"/>
      <c r="G4847" s="343"/>
      <c r="H4847" s="343"/>
      <c r="I4847" s="343"/>
      <c r="J4847" s="343"/>
      <c r="K4847" s="343"/>
      <c r="L4847" s="343"/>
    </row>
    <row r="4848" spans="4:12" x14ac:dyDescent="0.2">
      <c r="D4848" s="341"/>
      <c r="F4848" s="343"/>
      <c r="G4848" s="343"/>
      <c r="H4848" s="343"/>
      <c r="I4848" s="343"/>
      <c r="J4848" s="343"/>
      <c r="K4848" s="343"/>
      <c r="L4848" s="343"/>
    </row>
    <row r="4849" spans="4:12" x14ac:dyDescent="0.2">
      <c r="D4849" s="341"/>
      <c r="F4849" s="343"/>
      <c r="G4849" s="343"/>
      <c r="H4849" s="343"/>
      <c r="I4849" s="343"/>
      <c r="J4849" s="343"/>
      <c r="K4849" s="343"/>
      <c r="L4849" s="343"/>
    </row>
    <row r="4850" spans="4:12" x14ac:dyDescent="0.2">
      <c r="D4850" s="341"/>
      <c r="F4850" s="343"/>
      <c r="G4850" s="343"/>
      <c r="H4850" s="343"/>
      <c r="I4850" s="343"/>
      <c r="J4850" s="343"/>
      <c r="K4850" s="343"/>
      <c r="L4850" s="343"/>
    </row>
    <row r="4851" spans="4:12" x14ac:dyDescent="0.2">
      <c r="D4851" s="341"/>
      <c r="F4851" s="343"/>
      <c r="G4851" s="343"/>
      <c r="H4851" s="343"/>
      <c r="I4851" s="343"/>
      <c r="J4851" s="343"/>
      <c r="K4851" s="343"/>
      <c r="L4851" s="343"/>
    </row>
    <row r="4852" spans="4:12" x14ac:dyDescent="0.2">
      <c r="D4852" s="341"/>
      <c r="F4852" s="343"/>
      <c r="G4852" s="343"/>
      <c r="H4852" s="343"/>
      <c r="I4852" s="343"/>
      <c r="J4852" s="343"/>
      <c r="K4852" s="343"/>
      <c r="L4852" s="343"/>
    </row>
    <row r="4853" spans="4:12" x14ac:dyDescent="0.2">
      <c r="D4853" s="341"/>
      <c r="F4853" s="343"/>
      <c r="G4853" s="343"/>
      <c r="H4853" s="343"/>
      <c r="I4853" s="343"/>
      <c r="J4853" s="343"/>
      <c r="K4853" s="343"/>
      <c r="L4853" s="343"/>
    </row>
    <row r="4854" spans="4:12" x14ac:dyDescent="0.2">
      <c r="D4854" s="341"/>
      <c r="F4854" s="343"/>
      <c r="G4854" s="343"/>
      <c r="H4854" s="343"/>
      <c r="I4854" s="343"/>
      <c r="J4854" s="343"/>
      <c r="K4854" s="343"/>
      <c r="L4854" s="343"/>
    </row>
    <row r="4855" spans="4:12" x14ac:dyDescent="0.2">
      <c r="D4855" s="341"/>
      <c r="F4855" s="343"/>
      <c r="G4855" s="343"/>
      <c r="H4855" s="343"/>
      <c r="I4855" s="343"/>
      <c r="J4855" s="343"/>
      <c r="K4855" s="343"/>
      <c r="L4855" s="343"/>
    </row>
    <row r="4856" spans="4:12" x14ac:dyDescent="0.2">
      <c r="D4856" s="341"/>
      <c r="F4856" s="343"/>
      <c r="G4856" s="343"/>
      <c r="H4856" s="343"/>
      <c r="I4856" s="343"/>
      <c r="J4856" s="343"/>
      <c r="K4856" s="343"/>
      <c r="L4856" s="343"/>
    </row>
    <row r="4857" spans="4:12" x14ac:dyDescent="0.2">
      <c r="D4857" s="341"/>
      <c r="F4857" s="343"/>
      <c r="G4857" s="343"/>
      <c r="H4857" s="343"/>
      <c r="I4857" s="343"/>
      <c r="J4857" s="343"/>
      <c r="K4857" s="343"/>
      <c r="L4857" s="343"/>
    </row>
    <row r="4858" spans="4:12" x14ac:dyDescent="0.2">
      <c r="D4858" s="341"/>
      <c r="F4858" s="343"/>
      <c r="G4858" s="343"/>
      <c r="H4858" s="343"/>
      <c r="I4858" s="343"/>
      <c r="J4858" s="343"/>
      <c r="K4858" s="343"/>
      <c r="L4858" s="343"/>
    </row>
    <row r="4859" spans="4:12" x14ac:dyDescent="0.2">
      <c r="D4859" s="341"/>
      <c r="F4859" s="343"/>
      <c r="G4859" s="343"/>
      <c r="H4859" s="343"/>
      <c r="I4859" s="343"/>
      <c r="J4859" s="343"/>
      <c r="K4859" s="343"/>
      <c r="L4859" s="343"/>
    </row>
    <row r="4860" spans="4:12" x14ac:dyDescent="0.2">
      <c r="D4860" s="341"/>
      <c r="F4860" s="343"/>
      <c r="G4860" s="343"/>
      <c r="H4860" s="343"/>
      <c r="I4860" s="343"/>
      <c r="J4860" s="343"/>
      <c r="K4860" s="343"/>
      <c r="L4860" s="343"/>
    </row>
    <row r="4861" spans="4:12" x14ac:dyDescent="0.2">
      <c r="D4861" s="341"/>
      <c r="F4861" s="343"/>
      <c r="G4861" s="343"/>
      <c r="H4861" s="343"/>
      <c r="I4861" s="343"/>
      <c r="J4861" s="343"/>
      <c r="K4861" s="343"/>
      <c r="L4861" s="343"/>
    </row>
    <row r="4862" spans="4:12" x14ac:dyDescent="0.2">
      <c r="D4862" s="341"/>
      <c r="F4862" s="343"/>
      <c r="G4862" s="343"/>
      <c r="H4862" s="343"/>
      <c r="I4862" s="343"/>
      <c r="J4862" s="343"/>
      <c r="K4862" s="343"/>
      <c r="L4862" s="343"/>
    </row>
    <row r="4863" spans="4:12" x14ac:dyDescent="0.2">
      <c r="D4863" s="341"/>
      <c r="F4863" s="343"/>
      <c r="G4863" s="343"/>
      <c r="H4863" s="343"/>
      <c r="I4863" s="343"/>
      <c r="J4863" s="343"/>
      <c r="K4863" s="343"/>
      <c r="L4863" s="343"/>
    </row>
    <row r="4864" spans="4:12" x14ac:dyDescent="0.2">
      <c r="D4864" s="341"/>
      <c r="F4864" s="343"/>
      <c r="G4864" s="343"/>
      <c r="H4864" s="343"/>
      <c r="I4864" s="343"/>
      <c r="J4864" s="343"/>
      <c r="K4864" s="343"/>
      <c r="L4864" s="343"/>
    </row>
    <row r="4865" spans="4:12" x14ac:dyDescent="0.2">
      <c r="D4865" s="341"/>
      <c r="F4865" s="343"/>
      <c r="G4865" s="343"/>
      <c r="H4865" s="343"/>
      <c r="I4865" s="343"/>
      <c r="J4865" s="343"/>
      <c r="K4865" s="343"/>
      <c r="L4865" s="343"/>
    </row>
    <row r="4866" spans="4:12" x14ac:dyDescent="0.2">
      <c r="D4866" s="341"/>
      <c r="F4866" s="343"/>
      <c r="G4866" s="343"/>
      <c r="H4866" s="343"/>
      <c r="I4866" s="343"/>
      <c r="J4866" s="343"/>
      <c r="K4866" s="343"/>
      <c r="L4866" s="343"/>
    </row>
    <row r="4867" spans="4:12" x14ac:dyDescent="0.2">
      <c r="D4867" s="341"/>
      <c r="F4867" s="343"/>
      <c r="G4867" s="343"/>
      <c r="H4867" s="343"/>
      <c r="I4867" s="343"/>
      <c r="J4867" s="343"/>
      <c r="K4867" s="343"/>
      <c r="L4867" s="343"/>
    </row>
    <row r="4868" spans="4:12" x14ac:dyDescent="0.2">
      <c r="D4868" s="341"/>
      <c r="F4868" s="343"/>
      <c r="G4868" s="343"/>
      <c r="H4868" s="343"/>
      <c r="I4868" s="343"/>
      <c r="J4868" s="343"/>
      <c r="K4868" s="343"/>
      <c r="L4868" s="343"/>
    </row>
    <row r="4869" spans="4:12" x14ac:dyDescent="0.2">
      <c r="D4869" s="341"/>
      <c r="F4869" s="343"/>
      <c r="G4869" s="343"/>
      <c r="H4869" s="343"/>
      <c r="I4869" s="343"/>
      <c r="J4869" s="343"/>
      <c r="K4869" s="343"/>
      <c r="L4869" s="343"/>
    </row>
    <row r="4870" spans="4:12" x14ac:dyDescent="0.2">
      <c r="D4870" s="341"/>
      <c r="F4870" s="343"/>
      <c r="G4870" s="343"/>
      <c r="H4870" s="343"/>
      <c r="I4870" s="343"/>
      <c r="J4870" s="343"/>
      <c r="K4870" s="343"/>
      <c r="L4870" s="343"/>
    </row>
    <row r="4871" spans="4:12" x14ac:dyDescent="0.2">
      <c r="D4871" s="341"/>
      <c r="F4871" s="343"/>
      <c r="G4871" s="343"/>
      <c r="H4871" s="343"/>
      <c r="I4871" s="343"/>
      <c r="J4871" s="343"/>
      <c r="K4871" s="343"/>
      <c r="L4871" s="343"/>
    </row>
    <row r="4872" spans="4:12" x14ac:dyDescent="0.2">
      <c r="D4872" s="341"/>
      <c r="F4872" s="343"/>
      <c r="G4872" s="343"/>
      <c r="H4872" s="343"/>
      <c r="I4872" s="343"/>
      <c r="J4872" s="343"/>
      <c r="K4872" s="343"/>
      <c r="L4872" s="343"/>
    </row>
    <row r="4873" spans="4:12" x14ac:dyDescent="0.2">
      <c r="D4873" s="341"/>
      <c r="F4873" s="343"/>
      <c r="G4873" s="343"/>
      <c r="H4873" s="343"/>
      <c r="I4873" s="343"/>
      <c r="J4873" s="343"/>
      <c r="K4873" s="343"/>
      <c r="L4873" s="343"/>
    </row>
    <row r="4874" spans="4:12" x14ac:dyDescent="0.2">
      <c r="D4874" s="341"/>
      <c r="F4874" s="343"/>
      <c r="G4874" s="343"/>
      <c r="H4874" s="343"/>
      <c r="I4874" s="343"/>
      <c r="J4874" s="343"/>
      <c r="K4874" s="343"/>
      <c r="L4874" s="343"/>
    </row>
    <row r="4875" spans="4:12" x14ac:dyDescent="0.2">
      <c r="D4875" s="341"/>
      <c r="F4875" s="343"/>
      <c r="G4875" s="343"/>
      <c r="H4875" s="343"/>
      <c r="I4875" s="343"/>
      <c r="J4875" s="343"/>
      <c r="K4875" s="343"/>
      <c r="L4875" s="343"/>
    </row>
    <row r="4876" spans="4:12" x14ac:dyDescent="0.2">
      <c r="D4876" s="341"/>
      <c r="F4876" s="343"/>
      <c r="G4876" s="343"/>
      <c r="H4876" s="343"/>
      <c r="I4876" s="343"/>
      <c r="J4876" s="343"/>
      <c r="K4876" s="343"/>
      <c r="L4876" s="343"/>
    </row>
    <row r="4877" spans="4:12" x14ac:dyDescent="0.2">
      <c r="D4877" s="341"/>
      <c r="F4877" s="343"/>
      <c r="G4877" s="343"/>
      <c r="H4877" s="343"/>
      <c r="I4877" s="343"/>
      <c r="J4877" s="343"/>
      <c r="K4877" s="343"/>
      <c r="L4877" s="343"/>
    </row>
    <row r="4878" spans="4:12" x14ac:dyDescent="0.2">
      <c r="D4878" s="341"/>
      <c r="F4878" s="343"/>
      <c r="G4878" s="343"/>
      <c r="H4878" s="343"/>
      <c r="I4878" s="343"/>
      <c r="J4878" s="343"/>
      <c r="K4878" s="343"/>
      <c r="L4878" s="343"/>
    </row>
    <row r="4879" spans="4:12" x14ac:dyDescent="0.2">
      <c r="D4879" s="341"/>
      <c r="F4879" s="343"/>
      <c r="G4879" s="343"/>
      <c r="H4879" s="343"/>
      <c r="I4879" s="343"/>
      <c r="J4879" s="343"/>
      <c r="K4879" s="343"/>
      <c r="L4879" s="343"/>
    </row>
    <row r="4880" spans="4:12" x14ac:dyDescent="0.2">
      <c r="D4880" s="341"/>
      <c r="F4880" s="343"/>
      <c r="G4880" s="343"/>
      <c r="H4880" s="343"/>
      <c r="I4880" s="343"/>
      <c r="J4880" s="343"/>
      <c r="K4880" s="343"/>
      <c r="L4880" s="343"/>
    </row>
    <row r="4881" spans="4:12" x14ac:dyDescent="0.2">
      <c r="D4881" s="341"/>
      <c r="F4881" s="343"/>
      <c r="G4881" s="343"/>
      <c r="H4881" s="343"/>
      <c r="I4881" s="343"/>
      <c r="J4881" s="343"/>
      <c r="K4881" s="343"/>
      <c r="L4881" s="343"/>
    </row>
    <row r="4882" spans="4:12" x14ac:dyDescent="0.2">
      <c r="D4882" s="341"/>
      <c r="F4882" s="343"/>
      <c r="G4882" s="343"/>
      <c r="H4882" s="343"/>
      <c r="I4882" s="343"/>
      <c r="J4882" s="343"/>
      <c r="K4882" s="343"/>
      <c r="L4882" s="343"/>
    </row>
    <row r="4883" spans="4:12" x14ac:dyDescent="0.2">
      <c r="D4883" s="341"/>
      <c r="F4883" s="343"/>
      <c r="G4883" s="343"/>
      <c r="H4883" s="343"/>
      <c r="I4883" s="343"/>
      <c r="J4883" s="343"/>
      <c r="K4883" s="343"/>
      <c r="L4883" s="343"/>
    </row>
    <row r="4884" spans="4:12" x14ac:dyDescent="0.2">
      <c r="D4884" s="341"/>
      <c r="F4884" s="343"/>
      <c r="G4884" s="343"/>
      <c r="H4884" s="343"/>
      <c r="I4884" s="343"/>
      <c r="J4884" s="343"/>
      <c r="K4884" s="343"/>
      <c r="L4884" s="343"/>
    </row>
    <row r="4885" spans="4:12" x14ac:dyDescent="0.2">
      <c r="D4885" s="341"/>
      <c r="F4885" s="343"/>
      <c r="G4885" s="343"/>
      <c r="H4885" s="343"/>
      <c r="I4885" s="343"/>
      <c r="J4885" s="343"/>
      <c r="K4885" s="343"/>
      <c r="L4885" s="343"/>
    </row>
    <row r="4886" spans="4:12" x14ac:dyDescent="0.2">
      <c r="D4886" s="341"/>
      <c r="F4886" s="343"/>
      <c r="G4886" s="343"/>
      <c r="H4886" s="343"/>
      <c r="I4886" s="343"/>
      <c r="J4886" s="343"/>
      <c r="K4886" s="343"/>
      <c r="L4886" s="343"/>
    </row>
    <row r="4887" spans="4:12" x14ac:dyDescent="0.2">
      <c r="D4887" s="341"/>
      <c r="F4887" s="343"/>
      <c r="G4887" s="343"/>
      <c r="H4887" s="343"/>
      <c r="I4887" s="343"/>
      <c r="J4887" s="343"/>
      <c r="K4887" s="343"/>
      <c r="L4887" s="343"/>
    </row>
    <row r="4888" spans="4:12" x14ac:dyDescent="0.2">
      <c r="D4888" s="341"/>
      <c r="F4888" s="343"/>
      <c r="G4888" s="343"/>
      <c r="H4888" s="343"/>
      <c r="I4888" s="343"/>
      <c r="J4888" s="343"/>
      <c r="K4888" s="343"/>
      <c r="L4888" s="343"/>
    </row>
    <row r="4889" spans="4:12" x14ac:dyDescent="0.2">
      <c r="D4889" s="341"/>
      <c r="F4889" s="343"/>
      <c r="G4889" s="343"/>
      <c r="H4889" s="343"/>
      <c r="I4889" s="343"/>
      <c r="J4889" s="343"/>
      <c r="K4889" s="343"/>
      <c r="L4889" s="343"/>
    </row>
    <row r="4890" spans="4:12" x14ac:dyDescent="0.2">
      <c r="D4890" s="341"/>
      <c r="F4890" s="343"/>
      <c r="G4890" s="343"/>
      <c r="H4890" s="343"/>
      <c r="I4890" s="343"/>
      <c r="J4890" s="343"/>
      <c r="K4890" s="343"/>
      <c r="L4890" s="343"/>
    </row>
    <row r="4891" spans="4:12" x14ac:dyDescent="0.2">
      <c r="D4891" s="341"/>
      <c r="F4891" s="343"/>
      <c r="G4891" s="343"/>
      <c r="H4891" s="343"/>
      <c r="I4891" s="343"/>
      <c r="J4891" s="343"/>
      <c r="K4891" s="343"/>
      <c r="L4891" s="343"/>
    </row>
    <row r="4892" spans="4:12" x14ac:dyDescent="0.2">
      <c r="D4892" s="341"/>
      <c r="F4892" s="343"/>
      <c r="G4892" s="343"/>
      <c r="H4892" s="343"/>
      <c r="I4892" s="343"/>
      <c r="J4892" s="343"/>
      <c r="K4892" s="343"/>
      <c r="L4892" s="343"/>
    </row>
    <row r="4893" spans="4:12" x14ac:dyDescent="0.2">
      <c r="D4893" s="341"/>
      <c r="F4893" s="343"/>
      <c r="G4893" s="343"/>
      <c r="H4893" s="343"/>
      <c r="I4893" s="343"/>
      <c r="J4893" s="343"/>
      <c r="K4893" s="343"/>
      <c r="L4893" s="343"/>
    </row>
    <row r="4894" spans="4:12" x14ac:dyDescent="0.2">
      <c r="D4894" s="341"/>
      <c r="F4894" s="343"/>
      <c r="G4894" s="343"/>
      <c r="H4894" s="343"/>
      <c r="I4894" s="343"/>
      <c r="J4894" s="343"/>
      <c r="K4894" s="343"/>
      <c r="L4894" s="343"/>
    </row>
    <row r="4895" spans="4:12" x14ac:dyDescent="0.2">
      <c r="D4895" s="341"/>
      <c r="F4895" s="343"/>
      <c r="G4895" s="343"/>
      <c r="H4895" s="343"/>
      <c r="I4895" s="343"/>
      <c r="J4895" s="343"/>
      <c r="K4895" s="343"/>
      <c r="L4895" s="343"/>
    </row>
    <row r="4896" spans="4:12" x14ac:dyDescent="0.2">
      <c r="D4896" s="341"/>
      <c r="F4896" s="343"/>
      <c r="G4896" s="343"/>
      <c r="H4896" s="343"/>
      <c r="I4896" s="343"/>
      <c r="J4896" s="343"/>
      <c r="K4896" s="343"/>
      <c r="L4896" s="343"/>
    </row>
    <row r="4897" spans="4:12" x14ac:dyDescent="0.2">
      <c r="D4897" s="341"/>
      <c r="F4897" s="343"/>
      <c r="G4897" s="343"/>
      <c r="H4897" s="343"/>
      <c r="I4897" s="343"/>
      <c r="J4897" s="343"/>
      <c r="K4897" s="343"/>
      <c r="L4897" s="343"/>
    </row>
    <row r="4898" spans="4:12" x14ac:dyDescent="0.2">
      <c r="D4898" s="341"/>
      <c r="F4898" s="343"/>
      <c r="G4898" s="343"/>
      <c r="H4898" s="343"/>
      <c r="I4898" s="343"/>
      <c r="J4898" s="343"/>
      <c r="K4898" s="343"/>
      <c r="L4898" s="343"/>
    </row>
    <row r="4899" spans="4:12" x14ac:dyDescent="0.2">
      <c r="D4899" s="341"/>
      <c r="F4899" s="343"/>
      <c r="G4899" s="343"/>
      <c r="H4899" s="343"/>
      <c r="I4899" s="343"/>
      <c r="J4899" s="343"/>
      <c r="K4899" s="343"/>
      <c r="L4899" s="343"/>
    </row>
    <row r="4900" spans="4:12" x14ac:dyDescent="0.2">
      <c r="D4900" s="341"/>
      <c r="F4900" s="343"/>
      <c r="G4900" s="343"/>
      <c r="H4900" s="343"/>
      <c r="I4900" s="343"/>
      <c r="J4900" s="343"/>
      <c r="K4900" s="343"/>
      <c r="L4900" s="343"/>
    </row>
    <row r="4901" spans="4:12" x14ac:dyDescent="0.2">
      <c r="D4901" s="341"/>
      <c r="F4901" s="343"/>
      <c r="G4901" s="343"/>
      <c r="H4901" s="343"/>
      <c r="I4901" s="343"/>
      <c r="J4901" s="343"/>
      <c r="K4901" s="343"/>
      <c r="L4901" s="343"/>
    </row>
    <row r="4902" spans="4:12" x14ac:dyDescent="0.2">
      <c r="D4902" s="341"/>
      <c r="F4902" s="343"/>
      <c r="G4902" s="343"/>
      <c r="H4902" s="343"/>
      <c r="I4902" s="343"/>
      <c r="J4902" s="343"/>
      <c r="K4902" s="343"/>
      <c r="L4902" s="343"/>
    </row>
    <row r="4903" spans="4:12" x14ac:dyDescent="0.2">
      <c r="D4903" s="341"/>
      <c r="F4903" s="343"/>
      <c r="G4903" s="343"/>
      <c r="H4903" s="343"/>
      <c r="I4903" s="343"/>
      <c r="J4903" s="343"/>
      <c r="K4903" s="343"/>
      <c r="L4903" s="343"/>
    </row>
    <row r="4904" spans="4:12" x14ac:dyDescent="0.2">
      <c r="D4904" s="341"/>
      <c r="F4904" s="343"/>
      <c r="G4904" s="343"/>
      <c r="H4904" s="343"/>
      <c r="I4904" s="343"/>
      <c r="J4904" s="343"/>
      <c r="K4904" s="343"/>
      <c r="L4904" s="343"/>
    </row>
    <row r="4905" spans="4:12" x14ac:dyDescent="0.2">
      <c r="D4905" s="341"/>
      <c r="F4905" s="343"/>
      <c r="G4905" s="343"/>
      <c r="H4905" s="343"/>
      <c r="I4905" s="343"/>
      <c r="J4905" s="343"/>
      <c r="K4905" s="343"/>
      <c r="L4905" s="343"/>
    </row>
    <row r="4906" spans="4:12" x14ac:dyDescent="0.2">
      <c r="D4906" s="341"/>
      <c r="F4906" s="343"/>
      <c r="G4906" s="343"/>
      <c r="H4906" s="343"/>
      <c r="I4906" s="343"/>
      <c r="J4906" s="343"/>
      <c r="K4906" s="343"/>
      <c r="L4906" s="343"/>
    </row>
    <row r="4907" spans="4:12" x14ac:dyDescent="0.2">
      <c r="D4907" s="341"/>
      <c r="F4907" s="343"/>
      <c r="G4907" s="343"/>
      <c r="H4907" s="343"/>
      <c r="I4907" s="343"/>
      <c r="J4907" s="343"/>
      <c r="K4907" s="343"/>
      <c r="L4907" s="343"/>
    </row>
    <row r="4908" spans="4:12" x14ac:dyDescent="0.2">
      <c r="D4908" s="341"/>
      <c r="F4908" s="343"/>
      <c r="G4908" s="343"/>
      <c r="H4908" s="343"/>
      <c r="I4908" s="343"/>
      <c r="J4908" s="343"/>
      <c r="K4908" s="343"/>
      <c r="L4908" s="343"/>
    </row>
    <row r="4909" spans="4:12" x14ac:dyDescent="0.2">
      <c r="D4909" s="341"/>
      <c r="F4909" s="343"/>
      <c r="G4909" s="343"/>
      <c r="H4909" s="343"/>
      <c r="I4909" s="343"/>
      <c r="J4909" s="343"/>
      <c r="K4909" s="343"/>
      <c r="L4909" s="343"/>
    </row>
    <row r="4910" spans="4:12" x14ac:dyDescent="0.2">
      <c r="D4910" s="341"/>
      <c r="F4910" s="343"/>
      <c r="G4910" s="343"/>
      <c r="H4910" s="343"/>
      <c r="I4910" s="343"/>
      <c r="J4910" s="343"/>
      <c r="K4910" s="343"/>
      <c r="L4910" s="343"/>
    </row>
    <row r="4911" spans="4:12" x14ac:dyDescent="0.2">
      <c r="D4911" s="341"/>
      <c r="F4911" s="343"/>
      <c r="G4911" s="343"/>
      <c r="H4911" s="343"/>
      <c r="I4911" s="343"/>
      <c r="J4911" s="343"/>
      <c r="K4911" s="343"/>
      <c r="L4911" s="343"/>
    </row>
    <row r="4912" spans="4:12" x14ac:dyDescent="0.2">
      <c r="D4912" s="341"/>
      <c r="F4912" s="343"/>
      <c r="G4912" s="343"/>
      <c r="H4912" s="343"/>
      <c r="I4912" s="343"/>
      <c r="J4912" s="343"/>
      <c r="K4912" s="343"/>
      <c r="L4912" s="343"/>
    </row>
    <row r="4913" spans="4:12" x14ac:dyDescent="0.2">
      <c r="D4913" s="341"/>
      <c r="F4913" s="343"/>
      <c r="G4913" s="343"/>
      <c r="H4913" s="343"/>
      <c r="I4913" s="343"/>
      <c r="J4913" s="343"/>
      <c r="K4913" s="343"/>
      <c r="L4913" s="343"/>
    </row>
    <row r="4914" spans="4:12" x14ac:dyDescent="0.2">
      <c r="D4914" s="341"/>
      <c r="F4914" s="343"/>
      <c r="G4914" s="343"/>
      <c r="H4914" s="343"/>
      <c r="I4914" s="343"/>
      <c r="J4914" s="343"/>
      <c r="K4914" s="343"/>
      <c r="L4914" s="343"/>
    </row>
    <row r="4915" spans="4:12" x14ac:dyDescent="0.2">
      <c r="D4915" s="341"/>
      <c r="F4915" s="343"/>
      <c r="G4915" s="343"/>
      <c r="H4915" s="343"/>
      <c r="I4915" s="343"/>
      <c r="J4915" s="343"/>
      <c r="K4915" s="343"/>
      <c r="L4915" s="343"/>
    </row>
    <row r="4916" spans="4:12" x14ac:dyDescent="0.2">
      <c r="D4916" s="341"/>
      <c r="F4916" s="343"/>
      <c r="G4916" s="343"/>
      <c r="H4916" s="343"/>
      <c r="I4916" s="343"/>
      <c r="J4916" s="343"/>
      <c r="K4916" s="343"/>
      <c r="L4916" s="343"/>
    </row>
    <row r="4917" spans="4:12" x14ac:dyDescent="0.2">
      <c r="D4917" s="341"/>
      <c r="F4917" s="343"/>
      <c r="G4917" s="343"/>
      <c r="H4917" s="343"/>
      <c r="I4917" s="343"/>
      <c r="J4917" s="343"/>
      <c r="K4917" s="343"/>
      <c r="L4917" s="343"/>
    </row>
    <row r="4918" spans="4:12" x14ac:dyDescent="0.2">
      <c r="D4918" s="341"/>
      <c r="F4918" s="343"/>
      <c r="G4918" s="343"/>
      <c r="H4918" s="343"/>
      <c r="I4918" s="343"/>
      <c r="J4918" s="343"/>
      <c r="K4918" s="343"/>
      <c r="L4918" s="343"/>
    </row>
    <row r="4919" spans="4:12" x14ac:dyDescent="0.2">
      <c r="D4919" s="341"/>
      <c r="F4919" s="343"/>
      <c r="G4919" s="343"/>
      <c r="H4919" s="343"/>
      <c r="I4919" s="343"/>
      <c r="J4919" s="343"/>
      <c r="K4919" s="343"/>
      <c r="L4919" s="343"/>
    </row>
    <row r="4920" spans="4:12" x14ac:dyDescent="0.2">
      <c r="D4920" s="341"/>
      <c r="F4920" s="343"/>
      <c r="G4920" s="343"/>
      <c r="H4920" s="343"/>
      <c r="I4920" s="343"/>
      <c r="J4920" s="343"/>
      <c r="K4920" s="343"/>
      <c r="L4920" s="343"/>
    </row>
    <row r="4921" spans="4:12" x14ac:dyDescent="0.2">
      <c r="D4921" s="341"/>
      <c r="F4921" s="343"/>
      <c r="G4921" s="343"/>
      <c r="H4921" s="343"/>
      <c r="I4921" s="343"/>
      <c r="J4921" s="343"/>
      <c r="K4921" s="343"/>
      <c r="L4921" s="343"/>
    </row>
    <row r="4922" spans="4:12" x14ac:dyDescent="0.2">
      <c r="D4922" s="341"/>
      <c r="F4922" s="343"/>
      <c r="G4922" s="343"/>
      <c r="H4922" s="343"/>
      <c r="I4922" s="343"/>
      <c r="J4922" s="343"/>
      <c r="K4922" s="343"/>
      <c r="L4922" s="343"/>
    </row>
    <row r="4923" spans="4:12" x14ac:dyDescent="0.2">
      <c r="D4923" s="341"/>
      <c r="F4923" s="343"/>
      <c r="G4923" s="343"/>
      <c r="H4923" s="343"/>
      <c r="I4923" s="343"/>
      <c r="J4923" s="343"/>
      <c r="K4923" s="343"/>
      <c r="L4923" s="343"/>
    </row>
    <row r="4924" spans="4:12" x14ac:dyDescent="0.2">
      <c r="D4924" s="341"/>
      <c r="F4924" s="343"/>
      <c r="G4924" s="343"/>
      <c r="H4924" s="343"/>
      <c r="I4924" s="343"/>
      <c r="J4924" s="343"/>
      <c r="K4924" s="343"/>
      <c r="L4924" s="343"/>
    </row>
    <row r="4925" spans="4:12" x14ac:dyDescent="0.2">
      <c r="D4925" s="341"/>
      <c r="F4925" s="343"/>
      <c r="G4925" s="343"/>
      <c r="H4925" s="343"/>
      <c r="I4925" s="343"/>
      <c r="J4925" s="343"/>
      <c r="K4925" s="343"/>
      <c r="L4925" s="343"/>
    </row>
    <row r="4926" spans="4:12" x14ac:dyDescent="0.2">
      <c r="D4926" s="341"/>
      <c r="F4926" s="343"/>
      <c r="G4926" s="343"/>
      <c r="H4926" s="343"/>
      <c r="I4926" s="343"/>
      <c r="J4926" s="343"/>
      <c r="K4926" s="343"/>
      <c r="L4926" s="343"/>
    </row>
    <row r="4927" spans="4:12" x14ac:dyDescent="0.2">
      <c r="D4927" s="341"/>
      <c r="F4927" s="343"/>
      <c r="G4927" s="343"/>
      <c r="H4927" s="343"/>
      <c r="I4927" s="343"/>
      <c r="J4927" s="343"/>
      <c r="K4927" s="343"/>
      <c r="L4927" s="343"/>
    </row>
    <row r="4928" spans="4:12" x14ac:dyDescent="0.2">
      <c r="D4928" s="341"/>
      <c r="F4928" s="343"/>
      <c r="G4928" s="343"/>
      <c r="H4928" s="343"/>
      <c r="I4928" s="343"/>
      <c r="J4928" s="343"/>
      <c r="K4928" s="343"/>
      <c r="L4928" s="343"/>
    </row>
    <row r="4929" spans="4:12" x14ac:dyDescent="0.2">
      <c r="D4929" s="341"/>
      <c r="F4929" s="343"/>
      <c r="G4929" s="343"/>
      <c r="H4929" s="343"/>
      <c r="I4929" s="343"/>
      <c r="J4929" s="343"/>
      <c r="K4929" s="343"/>
      <c r="L4929" s="343"/>
    </row>
    <row r="4930" spans="4:12" x14ac:dyDescent="0.2">
      <c r="D4930" s="341"/>
      <c r="F4930" s="343"/>
      <c r="G4930" s="343"/>
      <c r="H4930" s="343"/>
      <c r="I4930" s="343"/>
      <c r="J4930" s="343"/>
      <c r="K4930" s="343"/>
      <c r="L4930" s="343"/>
    </row>
    <row r="4931" spans="4:12" x14ac:dyDescent="0.2">
      <c r="D4931" s="341"/>
      <c r="F4931" s="343"/>
      <c r="G4931" s="343"/>
      <c r="H4931" s="343"/>
      <c r="I4931" s="343"/>
      <c r="J4931" s="343"/>
      <c r="K4931" s="343"/>
      <c r="L4931" s="343"/>
    </row>
    <row r="4932" spans="4:12" x14ac:dyDescent="0.2">
      <c r="D4932" s="341"/>
      <c r="F4932" s="343"/>
      <c r="G4932" s="343"/>
      <c r="H4932" s="343"/>
      <c r="I4932" s="343"/>
      <c r="J4932" s="343"/>
      <c r="K4932" s="343"/>
      <c r="L4932" s="343"/>
    </row>
    <row r="4933" spans="4:12" x14ac:dyDescent="0.2">
      <c r="D4933" s="341"/>
      <c r="F4933" s="343"/>
      <c r="G4933" s="343"/>
      <c r="H4933" s="343"/>
      <c r="I4933" s="343"/>
      <c r="J4933" s="343"/>
      <c r="K4933" s="343"/>
      <c r="L4933" s="343"/>
    </row>
    <row r="4934" spans="4:12" x14ac:dyDescent="0.2">
      <c r="D4934" s="341"/>
      <c r="F4934" s="343"/>
      <c r="G4934" s="343"/>
      <c r="H4934" s="343"/>
      <c r="I4934" s="343"/>
      <c r="J4934" s="343"/>
      <c r="K4934" s="343"/>
      <c r="L4934" s="343"/>
    </row>
    <row r="4935" spans="4:12" x14ac:dyDescent="0.2">
      <c r="D4935" s="341"/>
      <c r="F4935" s="343"/>
      <c r="G4935" s="343"/>
      <c r="H4935" s="343"/>
      <c r="I4935" s="343"/>
      <c r="J4935" s="343"/>
      <c r="K4935" s="343"/>
      <c r="L4935" s="343"/>
    </row>
    <row r="4936" spans="4:12" x14ac:dyDescent="0.2">
      <c r="D4936" s="341"/>
      <c r="F4936" s="343"/>
      <c r="G4936" s="343"/>
      <c r="H4936" s="343"/>
      <c r="I4936" s="343"/>
      <c r="J4936" s="343"/>
      <c r="K4936" s="343"/>
      <c r="L4936" s="343"/>
    </row>
    <row r="4937" spans="4:12" x14ac:dyDescent="0.2">
      <c r="D4937" s="341"/>
      <c r="F4937" s="343"/>
      <c r="G4937" s="343"/>
      <c r="H4937" s="343"/>
      <c r="I4937" s="343"/>
      <c r="J4937" s="343"/>
      <c r="K4937" s="343"/>
      <c r="L4937" s="343"/>
    </row>
    <row r="4938" spans="4:12" x14ac:dyDescent="0.2">
      <c r="D4938" s="341"/>
      <c r="F4938" s="343"/>
      <c r="G4938" s="343"/>
      <c r="H4938" s="343"/>
      <c r="I4938" s="343"/>
      <c r="J4938" s="343"/>
      <c r="K4938" s="343"/>
      <c r="L4938" s="343"/>
    </row>
    <row r="4939" spans="4:12" x14ac:dyDescent="0.2">
      <c r="D4939" s="341"/>
      <c r="F4939" s="343"/>
      <c r="G4939" s="343"/>
      <c r="H4939" s="343"/>
      <c r="I4939" s="343"/>
      <c r="J4939" s="343"/>
      <c r="K4939" s="343"/>
      <c r="L4939" s="343"/>
    </row>
    <row r="4940" spans="4:12" x14ac:dyDescent="0.2">
      <c r="D4940" s="341"/>
      <c r="F4940" s="343"/>
      <c r="G4940" s="343"/>
      <c r="H4940" s="343"/>
      <c r="I4940" s="343"/>
      <c r="J4940" s="343"/>
      <c r="K4940" s="343"/>
      <c r="L4940" s="343"/>
    </row>
    <row r="4941" spans="4:12" x14ac:dyDescent="0.2">
      <c r="D4941" s="341"/>
      <c r="F4941" s="343"/>
      <c r="G4941" s="343"/>
      <c r="H4941" s="343"/>
      <c r="I4941" s="343"/>
      <c r="J4941" s="343"/>
      <c r="K4941" s="343"/>
      <c r="L4941" s="343"/>
    </row>
    <row r="4942" spans="4:12" x14ac:dyDescent="0.2">
      <c r="D4942" s="341"/>
      <c r="F4942" s="343"/>
      <c r="G4942" s="343"/>
      <c r="H4942" s="343"/>
      <c r="I4942" s="343"/>
      <c r="J4942" s="343"/>
      <c r="K4942" s="343"/>
      <c r="L4942" s="343"/>
    </row>
    <row r="4943" spans="4:12" x14ac:dyDescent="0.2">
      <c r="D4943" s="341"/>
      <c r="F4943" s="343"/>
      <c r="G4943" s="343"/>
      <c r="H4943" s="343"/>
      <c r="I4943" s="343"/>
      <c r="J4943" s="343"/>
      <c r="K4943" s="343"/>
      <c r="L4943" s="343"/>
    </row>
    <row r="4944" spans="4:12" x14ac:dyDescent="0.2">
      <c r="D4944" s="341"/>
      <c r="F4944" s="343"/>
      <c r="G4944" s="343"/>
      <c r="H4944" s="343"/>
      <c r="I4944" s="343"/>
      <c r="J4944" s="343"/>
      <c r="K4944" s="343"/>
      <c r="L4944" s="343"/>
    </row>
    <row r="4945" spans="4:12" x14ac:dyDescent="0.2">
      <c r="D4945" s="341"/>
      <c r="F4945" s="343"/>
      <c r="G4945" s="343"/>
      <c r="H4945" s="343"/>
      <c r="I4945" s="343"/>
      <c r="J4945" s="343"/>
      <c r="K4945" s="343"/>
      <c r="L4945" s="343"/>
    </row>
    <row r="4946" spans="4:12" x14ac:dyDescent="0.2">
      <c r="D4946" s="341"/>
      <c r="F4946" s="343"/>
      <c r="G4946" s="343"/>
      <c r="H4946" s="343"/>
      <c r="I4946" s="343"/>
      <c r="J4946" s="343"/>
      <c r="K4946" s="343"/>
      <c r="L4946" s="343"/>
    </row>
    <row r="4947" spans="4:12" x14ac:dyDescent="0.2">
      <c r="D4947" s="341"/>
      <c r="F4947" s="343"/>
      <c r="G4947" s="343"/>
      <c r="H4947" s="343"/>
      <c r="I4947" s="343"/>
      <c r="J4947" s="343"/>
      <c r="K4947" s="343"/>
      <c r="L4947" s="343"/>
    </row>
    <row r="4948" spans="4:12" x14ac:dyDescent="0.2">
      <c r="D4948" s="341"/>
      <c r="F4948" s="343"/>
      <c r="G4948" s="343"/>
      <c r="H4948" s="343"/>
      <c r="I4948" s="343"/>
      <c r="J4948" s="343"/>
      <c r="K4948" s="343"/>
      <c r="L4948" s="343"/>
    </row>
    <row r="4949" spans="4:12" x14ac:dyDescent="0.2">
      <c r="D4949" s="341"/>
      <c r="F4949" s="343"/>
      <c r="G4949" s="343"/>
      <c r="H4949" s="343"/>
      <c r="I4949" s="343"/>
      <c r="J4949" s="343"/>
      <c r="K4949" s="343"/>
      <c r="L4949" s="343"/>
    </row>
    <row r="4950" spans="4:12" x14ac:dyDescent="0.2">
      <c r="D4950" s="341"/>
      <c r="F4950" s="343"/>
      <c r="G4950" s="343"/>
      <c r="H4950" s="343"/>
      <c r="I4950" s="343"/>
      <c r="J4950" s="343"/>
      <c r="K4950" s="343"/>
      <c r="L4950" s="343"/>
    </row>
    <row r="4951" spans="4:12" x14ac:dyDescent="0.2">
      <c r="D4951" s="341"/>
      <c r="F4951" s="343"/>
      <c r="G4951" s="343"/>
      <c r="H4951" s="343"/>
      <c r="I4951" s="343"/>
      <c r="J4951" s="343"/>
      <c r="K4951" s="343"/>
      <c r="L4951" s="343"/>
    </row>
    <row r="4952" spans="4:12" x14ac:dyDescent="0.2">
      <c r="D4952" s="341"/>
      <c r="F4952" s="343"/>
      <c r="G4952" s="343"/>
      <c r="H4952" s="343"/>
      <c r="I4952" s="343"/>
      <c r="J4952" s="343"/>
      <c r="K4952" s="343"/>
      <c r="L4952" s="343"/>
    </row>
    <row r="4953" spans="4:12" x14ac:dyDescent="0.2">
      <c r="D4953" s="341"/>
      <c r="F4953" s="343"/>
      <c r="G4953" s="343"/>
      <c r="H4953" s="343"/>
      <c r="I4953" s="343"/>
      <c r="J4953" s="343"/>
      <c r="K4953" s="343"/>
      <c r="L4953" s="343"/>
    </row>
    <row r="4954" spans="4:12" x14ac:dyDescent="0.2">
      <c r="D4954" s="341"/>
      <c r="F4954" s="343"/>
      <c r="G4954" s="343"/>
      <c r="H4954" s="343"/>
      <c r="I4954" s="343"/>
      <c r="J4954" s="343"/>
      <c r="K4954" s="343"/>
      <c r="L4954" s="343"/>
    </row>
    <row r="4955" spans="4:12" x14ac:dyDescent="0.2">
      <c r="D4955" s="341"/>
      <c r="F4955" s="343"/>
      <c r="G4955" s="343"/>
      <c r="H4955" s="343"/>
      <c r="I4955" s="343"/>
      <c r="J4955" s="343"/>
      <c r="K4955" s="343"/>
      <c r="L4955" s="343"/>
    </row>
    <row r="4956" spans="4:12" x14ac:dyDescent="0.2">
      <c r="D4956" s="341"/>
      <c r="F4956" s="343"/>
      <c r="G4956" s="343"/>
      <c r="H4956" s="343"/>
      <c r="I4956" s="343"/>
      <c r="J4956" s="343"/>
      <c r="K4956" s="343"/>
      <c r="L4956" s="343"/>
    </row>
    <row r="4957" spans="4:12" x14ac:dyDescent="0.2">
      <c r="D4957" s="341"/>
      <c r="F4957" s="343"/>
      <c r="G4957" s="343"/>
      <c r="H4957" s="343"/>
      <c r="I4957" s="343"/>
      <c r="J4957" s="343"/>
      <c r="K4957" s="343"/>
      <c r="L4957" s="343"/>
    </row>
    <row r="4958" spans="4:12" x14ac:dyDescent="0.2">
      <c r="D4958" s="341"/>
      <c r="F4958" s="343"/>
      <c r="G4958" s="343"/>
      <c r="H4958" s="343"/>
      <c r="I4958" s="343"/>
      <c r="J4958" s="343"/>
      <c r="K4958" s="343"/>
      <c r="L4958" s="343"/>
    </row>
    <row r="4959" spans="4:12" x14ac:dyDescent="0.2">
      <c r="D4959" s="341"/>
      <c r="F4959" s="343"/>
      <c r="G4959" s="343"/>
      <c r="H4959" s="343"/>
      <c r="I4959" s="343"/>
      <c r="J4959" s="343"/>
      <c r="K4959" s="343"/>
      <c r="L4959" s="343"/>
    </row>
    <row r="4960" spans="4:12" x14ac:dyDescent="0.2">
      <c r="D4960" s="341"/>
      <c r="F4960" s="343"/>
      <c r="G4960" s="343"/>
      <c r="H4960" s="343"/>
      <c r="I4960" s="343"/>
      <c r="J4960" s="343"/>
      <c r="K4960" s="343"/>
      <c r="L4960" s="343"/>
    </row>
    <row r="4961" spans="4:12" x14ac:dyDescent="0.2">
      <c r="D4961" s="341"/>
      <c r="F4961" s="343"/>
      <c r="G4961" s="343"/>
      <c r="H4961" s="343"/>
      <c r="I4961" s="343"/>
      <c r="J4961" s="343"/>
      <c r="K4961" s="343"/>
      <c r="L4961" s="343"/>
    </row>
    <row r="4962" spans="4:12" x14ac:dyDescent="0.2">
      <c r="D4962" s="341"/>
      <c r="F4962" s="343"/>
      <c r="G4962" s="343"/>
      <c r="H4962" s="343"/>
      <c r="I4962" s="343"/>
      <c r="J4962" s="343"/>
      <c r="K4962" s="343"/>
      <c r="L4962" s="343"/>
    </row>
    <row r="4963" spans="4:12" x14ac:dyDescent="0.2">
      <c r="D4963" s="341"/>
      <c r="F4963" s="343"/>
      <c r="G4963" s="343"/>
      <c r="H4963" s="343"/>
      <c r="I4963" s="343"/>
      <c r="J4963" s="343"/>
      <c r="K4963" s="343"/>
      <c r="L4963" s="343"/>
    </row>
    <row r="4964" spans="4:12" x14ac:dyDescent="0.2">
      <c r="D4964" s="341"/>
      <c r="F4964" s="343"/>
      <c r="G4964" s="343"/>
      <c r="H4964" s="343"/>
      <c r="I4964" s="343"/>
      <c r="J4964" s="343"/>
      <c r="K4964" s="343"/>
      <c r="L4964" s="343"/>
    </row>
    <row r="4965" spans="4:12" x14ac:dyDescent="0.2">
      <c r="D4965" s="341"/>
      <c r="F4965" s="343"/>
      <c r="G4965" s="343"/>
      <c r="H4965" s="343"/>
      <c r="I4965" s="343"/>
      <c r="J4965" s="343"/>
      <c r="K4965" s="343"/>
      <c r="L4965" s="343"/>
    </row>
    <row r="4966" spans="4:12" x14ac:dyDescent="0.2">
      <c r="D4966" s="341"/>
      <c r="F4966" s="343"/>
      <c r="G4966" s="343"/>
      <c r="H4966" s="343"/>
      <c r="I4966" s="343"/>
      <c r="J4966" s="343"/>
      <c r="K4966" s="343"/>
      <c r="L4966" s="343"/>
    </row>
    <row r="4967" spans="4:12" x14ac:dyDescent="0.2">
      <c r="D4967" s="341"/>
      <c r="F4967" s="343"/>
      <c r="G4967" s="343"/>
      <c r="H4967" s="343"/>
      <c r="I4967" s="343"/>
      <c r="J4967" s="343"/>
      <c r="K4967" s="343"/>
      <c r="L4967" s="343"/>
    </row>
    <row r="4968" spans="4:12" x14ac:dyDescent="0.2">
      <c r="D4968" s="341"/>
      <c r="F4968" s="343"/>
      <c r="G4968" s="343"/>
      <c r="H4968" s="343"/>
      <c r="I4968" s="343"/>
      <c r="J4968" s="343"/>
      <c r="K4968" s="343"/>
      <c r="L4968" s="343"/>
    </row>
    <row r="4969" spans="4:12" x14ac:dyDescent="0.2">
      <c r="D4969" s="341"/>
      <c r="F4969" s="343"/>
      <c r="G4969" s="343"/>
      <c r="H4969" s="343"/>
      <c r="I4969" s="343"/>
      <c r="J4969" s="343"/>
      <c r="K4969" s="343"/>
      <c r="L4969" s="343"/>
    </row>
    <row r="4970" spans="4:12" x14ac:dyDescent="0.2">
      <c r="D4970" s="341"/>
      <c r="F4970" s="343"/>
      <c r="G4970" s="343"/>
      <c r="H4970" s="343"/>
      <c r="I4970" s="343"/>
      <c r="J4970" s="343"/>
      <c r="K4970" s="343"/>
      <c r="L4970" s="343"/>
    </row>
    <row r="4971" spans="4:12" x14ac:dyDescent="0.2">
      <c r="D4971" s="341"/>
      <c r="F4971" s="343"/>
      <c r="G4971" s="343"/>
      <c r="H4971" s="343"/>
      <c r="I4971" s="343"/>
      <c r="J4971" s="343"/>
      <c r="K4971" s="343"/>
      <c r="L4971" s="343"/>
    </row>
    <row r="4972" spans="4:12" x14ac:dyDescent="0.2">
      <c r="D4972" s="341"/>
      <c r="F4972" s="343"/>
      <c r="G4972" s="343"/>
      <c r="H4972" s="343"/>
      <c r="I4972" s="343"/>
      <c r="J4972" s="343"/>
      <c r="K4972" s="343"/>
      <c r="L4972" s="343"/>
    </row>
    <row r="4973" spans="4:12" x14ac:dyDescent="0.2">
      <c r="D4973" s="341"/>
      <c r="F4973" s="343"/>
      <c r="G4973" s="343"/>
      <c r="H4973" s="343"/>
      <c r="I4973" s="343"/>
      <c r="J4973" s="343"/>
      <c r="K4973" s="343"/>
      <c r="L4973" s="343"/>
    </row>
    <row r="4974" spans="4:12" x14ac:dyDescent="0.2">
      <c r="D4974" s="341"/>
      <c r="F4974" s="343"/>
      <c r="G4974" s="343"/>
      <c r="H4974" s="343"/>
      <c r="I4974" s="343"/>
      <c r="J4974" s="343"/>
      <c r="K4974" s="343"/>
      <c r="L4974" s="343"/>
    </row>
    <row r="4975" spans="4:12" x14ac:dyDescent="0.2">
      <c r="D4975" s="341"/>
      <c r="F4975" s="343"/>
      <c r="G4975" s="343"/>
      <c r="H4975" s="343"/>
      <c r="I4975" s="343"/>
      <c r="J4975" s="343"/>
      <c r="K4975" s="343"/>
      <c r="L4975" s="343"/>
    </row>
    <row r="4976" spans="4:12" x14ac:dyDescent="0.2">
      <c r="D4976" s="341"/>
      <c r="F4976" s="343"/>
      <c r="G4976" s="343"/>
      <c r="H4976" s="343"/>
      <c r="I4976" s="343"/>
      <c r="J4976" s="343"/>
      <c r="K4976" s="343"/>
      <c r="L4976" s="343"/>
    </row>
    <row r="4977" spans="4:12" x14ac:dyDescent="0.2">
      <c r="D4977" s="341"/>
      <c r="F4977" s="343"/>
      <c r="G4977" s="343"/>
      <c r="H4977" s="343"/>
      <c r="I4977" s="343"/>
      <c r="J4977" s="343"/>
      <c r="K4977" s="343"/>
      <c r="L4977" s="343"/>
    </row>
    <row r="4978" spans="4:12" x14ac:dyDescent="0.2">
      <c r="D4978" s="341"/>
      <c r="F4978" s="343"/>
      <c r="G4978" s="343"/>
      <c r="H4978" s="343"/>
      <c r="I4978" s="343"/>
      <c r="J4978" s="343"/>
      <c r="K4978" s="343"/>
      <c r="L4978" s="343"/>
    </row>
    <row r="4979" spans="4:12" x14ac:dyDescent="0.2">
      <c r="D4979" s="341"/>
      <c r="F4979" s="343"/>
      <c r="G4979" s="343"/>
      <c r="H4979" s="343"/>
      <c r="I4979" s="343"/>
      <c r="J4979" s="343"/>
      <c r="K4979" s="343"/>
      <c r="L4979" s="343"/>
    </row>
    <row r="4980" spans="4:12" x14ac:dyDescent="0.2">
      <c r="D4980" s="341"/>
      <c r="F4980" s="343"/>
      <c r="G4980" s="343"/>
      <c r="H4980" s="343"/>
      <c r="I4980" s="343"/>
      <c r="J4980" s="343"/>
      <c r="K4980" s="343"/>
      <c r="L4980" s="343"/>
    </row>
    <row r="4981" spans="4:12" x14ac:dyDescent="0.2">
      <c r="D4981" s="341"/>
      <c r="F4981" s="343"/>
      <c r="G4981" s="343"/>
      <c r="H4981" s="343"/>
      <c r="I4981" s="343"/>
      <c r="J4981" s="343"/>
      <c r="K4981" s="343"/>
      <c r="L4981" s="343"/>
    </row>
    <row r="4982" spans="4:12" x14ac:dyDescent="0.2">
      <c r="D4982" s="341"/>
      <c r="F4982" s="343"/>
      <c r="G4982" s="343"/>
      <c r="H4982" s="343"/>
      <c r="I4982" s="343"/>
      <c r="J4982" s="343"/>
      <c r="K4982" s="343"/>
      <c r="L4982" s="343"/>
    </row>
    <row r="4983" spans="4:12" x14ac:dyDescent="0.2">
      <c r="D4983" s="341"/>
      <c r="F4983" s="343"/>
      <c r="G4983" s="343"/>
      <c r="H4983" s="343"/>
      <c r="I4983" s="343"/>
      <c r="J4983" s="343"/>
      <c r="K4983" s="343"/>
      <c r="L4983" s="343"/>
    </row>
    <row r="4984" spans="4:12" x14ac:dyDescent="0.2">
      <c r="D4984" s="341"/>
      <c r="F4984" s="343"/>
      <c r="G4984" s="343"/>
      <c r="H4984" s="343"/>
      <c r="I4984" s="343"/>
      <c r="J4984" s="343"/>
      <c r="K4984" s="343"/>
      <c r="L4984" s="343"/>
    </row>
    <row r="4985" spans="4:12" x14ac:dyDescent="0.2">
      <c r="D4985" s="341"/>
      <c r="F4985" s="343"/>
      <c r="G4985" s="343"/>
      <c r="H4985" s="343"/>
      <c r="I4985" s="343"/>
      <c r="J4985" s="343"/>
      <c r="K4985" s="343"/>
      <c r="L4985" s="343"/>
    </row>
    <row r="4986" spans="4:12" x14ac:dyDescent="0.2">
      <c r="D4986" s="341"/>
      <c r="F4986" s="343"/>
      <c r="G4986" s="343"/>
      <c r="H4986" s="343"/>
      <c r="I4986" s="343"/>
      <c r="J4986" s="343"/>
      <c r="K4986" s="343"/>
      <c r="L4986" s="343"/>
    </row>
    <row r="4987" spans="4:12" x14ac:dyDescent="0.2">
      <c r="D4987" s="341"/>
      <c r="F4987" s="343"/>
      <c r="G4987" s="343"/>
      <c r="H4987" s="343"/>
      <c r="I4987" s="343"/>
      <c r="J4987" s="343"/>
      <c r="K4987" s="343"/>
      <c r="L4987" s="343"/>
    </row>
    <row r="4988" spans="4:12" x14ac:dyDescent="0.2">
      <c r="D4988" s="341"/>
      <c r="F4988" s="343"/>
      <c r="G4988" s="343"/>
      <c r="H4988" s="343"/>
      <c r="I4988" s="343"/>
      <c r="J4988" s="343"/>
      <c r="K4988" s="343"/>
      <c r="L4988" s="343"/>
    </row>
    <row r="4989" spans="4:12" x14ac:dyDescent="0.2">
      <c r="D4989" s="341"/>
      <c r="F4989" s="343"/>
      <c r="G4989" s="343"/>
      <c r="H4989" s="343"/>
      <c r="I4989" s="343"/>
      <c r="J4989" s="343"/>
      <c r="K4989" s="343"/>
      <c r="L4989" s="343"/>
    </row>
    <row r="4990" spans="4:12" x14ac:dyDescent="0.2">
      <c r="D4990" s="341"/>
      <c r="F4990" s="343"/>
      <c r="G4990" s="343"/>
      <c r="H4990" s="343"/>
      <c r="I4990" s="343"/>
      <c r="J4990" s="343"/>
      <c r="K4990" s="343"/>
      <c r="L4990" s="343"/>
    </row>
    <row r="4991" spans="4:12" x14ac:dyDescent="0.2">
      <c r="D4991" s="341"/>
      <c r="F4991" s="343"/>
      <c r="G4991" s="343"/>
      <c r="H4991" s="343"/>
      <c r="I4991" s="343"/>
      <c r="J4991" s="343"/>
      <c r="K4991" s="343"/>
      <c r="L4991" s="343"/>
    </row>
    <row r="4992" spans="4:12" x14ac:dyDescent="0.2">
      <c r="D4992" s="341"/>
      <c r="F4992" s="343"/>
      <c r="G4992" s="343"/>
      <c r="H4992" s="343"/>
      <c r="I4992" s="343"/>
      <c r="J4992" s="343"/>
      <c r="K4992" s="343"/>
      <c r="L4992" s="343"/>
    </row>
    <row r="4993" spans="4:12" x14ac:dyDescent="0.2">
      <c r="D4993" s="341"/>
      <c r="F4993" s="343"/>
      <c r="G4993" s="343"/>
      <c r="H4993" s="343"/>
      <c r="I4993" s="343"/>
      <c r="J4993" s="343"/>
      <c r="K4993" s="343"/>
      <c r="L4993" s="343"/>
    </row>
    <row r="4994" spans="4:12" x14ac:dyDescent="0.2">
      <c r="D4994" s="341"/>
      <c r="F4994" s="343"/>
      <c r="G4994" s="343"/>
      <c r="H4994" s="343"/>
      <c r="I4994" s="343"/>
      <c r="J4994" s="343"/>
      <c r="K4994" s="343"/>
      <c r="L4994" s="343"/>
    </row>
    <row r="4995" spans="4:12" x14ac:dyDescent="0.2">
      <c r="D4995" s="341"/>
      <c r="F4995" s="343"/>
      <c r="G4995" s="343"/>
      <c r="H4995" s="343"/>
      <c r="I4995" s="343"/>
      <c r="J4995" s="343"/>
      <c r="K4995" s="343"/>
      <c r="L4995" s="343"/>
    </row>
    <row r="4996" spans="4:12" x14ac:dyDescent="0.2">
      <c r="D4996" s="341"/>
      <c r="F4996" s="343"/>
      <c r="G4996" s="343"/>
      <c r="H4996" s="343"/>
      <c r="I4996" s="343"/>
      <c r="J4996" s="343"/>
      <c r="K4996" s="343"/>
      <c r="L4996" s="343"/>
    </row>
    <row r="4997" spans="4:12" x14ac:dyDescent="0.2">
      <c r="D4997" s="341"/>
      <c r="F4997" s="343"/>
      <c r="G4997" s="343"/>
      <c r="H4997" s="343"/>
      <c r="I4997" s="343"/>
      <c r="J4997" s="343"/>
      <c r="K4997" s="343"/>
      <c r="L4997" s="343"/>
    </row>
    <row r="4998" spans="4:12" x14ac:dyDescent="0.2">
      <c r="D4998" s="341"/>
      <c r="F4998" s="343"/>
      <c r="G4998" s="343"/>
      <c r="H4998" s="343"/>
      <c r="I4998" s="343"/>
      <c r="J4998" s="343"/>
      <c r="K4998" s="343"/>
      <c r="L4998" s="343"/>
    </row>
    <row r="4999" spans="4:12" x14ac:dyDescent="0.2">
      <c r="D4999" s="341"/>
      <c r="F4999" s="343"/>
      <c r="G4999" s="343"/>
      <c r="H4999" s="343"/>
      <c r="I4999" s="343"/>
      <c r="J4999" s="343"/>
      <c r="K4999" s="343"/>
      <c r="L4999" s="343"/>
    </row>
    <row r="5000" spans="4:12" x14ac:dyDescent="0.2">
      <c r="D5000" s="341"/>
      <c r="F5000" s="343"/>
      <c r="G5000" s="343"/>
      <c r="H5000" s="343"/>
      <c r="I5000" s="343"/>
      <c r="J5000" s="343"/>
      <c r="K5000" s="343"/>
      <c r="L5000" s="343"/>
    </row>
    <row r="5001" spans="4:12" x14ac:dyDescent="0.2">
      <c r="D5001" s="341"/>
      <c r="F5001" s="343"/>
      <c r="G5001" s="343"/>
      <c r="H5001" s="343"/>
      <c r="I5001" s="343"/>
      <c r="J5001" s="343"/>
      <c r="K5001" s="343"/>
      <c r="L5001" s="343"/>
    </row>
    <row r="5002" spans="4:12" x14ac:dyDescent="0.2">
      <c r="D5002" s="341"/>
      <c r="F5002" s="343"/>
      <c r="G5002" s="343"/>
      <c r="H5002" s="343"/>
      <c r="I5002" s="343"/>
      <c r="J5002" s="343"/>
      <c r="K5002" s="343"/>
      <c r="L5002" s="343"/>
    </row>
    <row r="5003" spans="4:12" x14ac:dyDescent="0.2">
      <c r="D5003" s="341"/>
      <c r="F5003" s="343"/>
      <c r="G5003" s="343"/>
      <c r="H5003" s="343"/>
      <c r="I5003" s="343"/>
      <c r="J5003" s="343"/>
      <c r="K5003" s="343"/>
      <c r="L5003" s="343"/>
    </row>
    <row r="5004" spans="4:12" x14ac:dyDescent="0.2">
      <c r="D5004" s="341"/>
      <c r="F5004" s="343"/>
      <c r="G5004" s="343"/>
      <c r="H5004" s="343"/>
      <c r="I5004" s="343"/>
      <c r="J5004" s="343"/>
      <c r="K5004" s="343"/>
      <c r="L5004" s="343"/>
    </row>
    <row r="5005" spans="4:12" x14ac:dyDescent="0.2">
      <c r="D5005" s="341"/>
      <c r="F5005" s="343"/>
      <c r="G5005" s="343"/>
      <c r="H5005" s="343"/>
      <c r="I5005" s="343"/>
      <c r="J5005" s="343"/>
      <c r="K5005" s="343"/>
      <c r="L5005" s="343"/>
    </row>
    <row r="5006" spans="4:12" x14ac:dyDescent="0.2">
      <c r="D5006" s="341"/>
      <c r="F5006" s="343"/>
      <c r="G5006" s="343"/>
      <c r="H5006" s="343"/>
      <c r="I5006" s="343"/>
      <c r="J5006" s="343"/>
      <c r="K5006" s="343"/>
      <c r="L5006" s="343"/>
    </row>
    <row r="5007" spans="4:12" x14ac:dyDescent="0.2">
      <c r="D5007" s="341"/>
      <c r="F5007" s="343"/>
      <c r="G5007" s="343"/>
      <c r="H5007" s="343"/>
      <c r="I5007" s="343"/>
      <c r="J5007" s="343"/>
      <c r="K5007" s="343"/>
      <c r="L5007" s="343"/>
    </row>
    <row r="5008" spans="4:12" x14ac:dyDescent="0.2">
      <c r="D5008" s="341"/>
      <c r="F5008" s="343"/>
      <c r="G5008" s="343"/>
      <c r="H5008" s="343"/>
      <c r="I5008" s="343"/>
      <c r="J5008" s="343"/>
      <c r="K5008" s="343"/>
      <c r="L5008" s="343"/>
    </row>
    <row r="5009" spans="4:12" x14ac:dyDescent="0.2">
      <c r="D5009" s="341"/>
      <c r="F5009" s="343"/>
      <c r="G5009" s="343"/>
      <c r="H5009" s="343"/>
      <c r="I5009" s="343"/>
      <c r="J5009" s="343"/>
      <c r="K5009" s="343"/>
      <c r="L5009" s="343"/>
    </row>
    <row r="5010" spans="4:12" x14ac:dyDescent="0.2">
      <c r="D5010" s="341"/>
      <c r="F5010" s="343"/>
      <c r="G5010" s="343"/>
      <c r="H5010" s="343"/>
      <c r="I5010" s="343"/>
      <c r="J5010" s="343"/>
      <c r="K5010" s="343"/>
      <c r="L5010" s="343"/>
    </row>
    <row r="5011" spans="4:12" x14ac:dyDescent="0.2">
      <c r="D5011" s="341"/>
      <c r="F5011" s="343"/>
      <c r="G5011" s="343"/>
      <c r="H5011" s="343"/>
      <c r="I5011" s="343"/>
      <c r="J5011" s="343"/>
      <c r="K5011" s="343"/>
      <c r="L5011" s="343"/>
    </row>
    <row r="5012" spans="4:12" x14ac:dyDescent="0.2">
      <c r="D5012" s="341"/>
      <c r="F5012" s="343"/>
      <c r="G5012" s="343"/>
      <c r="H5012" s="343"/>
      <c r="I5012" s="343"/>
      <c r="J5012" s="343"/>
      <c r="K5012" s="343"/>
      <c r="L5012" s="343"/>
    </row>
    <row r="5013" spans="4:12" x14ac:dyDescent="0.2">
      <c r="D5013" s="341"/>
      <c r="F5013" s="343"/>
      <c r="G5013" s="343"/>
      <c r="H5013" s="343"/>
      <c r="I5013" s="343"/>
      <c r="J5013" s="343"/>
      <c r="K5013" s="343"/>
      <c r="L5013" s="343"/>
    </row>
    <row r="5014" spans="4:12" x14ac:dyDescent="0.2">
      <c r="D5014" s="341"/>
      <c r="F5014" s="343"/>
      <c r="G5014" s="343"/>
      <c r="H5014" s="343"/>
      <c r="I5014" s="343"/>
      <c r="J5014" s="343"/>
      <c r="K5014" s="343"/>
      <c r="L5014" s="343"/>
    </row>
    <row r="5015" spans="4:12" x14ac:dyDescent="0.2">
      <c r="D5015" s="341"/>
      <c r="F5015" s="343"/>
      <c r="G5015" s="343"/>
      <c r="H5015" s="343"/>
      <c r="I5015" s="343"/>
      <c r="J5015" s="343"/>
      <c r="K5015" s="343"/>
      <c r="L5015" s="343"/>
    </row>
    <row r="5016" spans="4:12" x14ac:dyDescent="0.2">
      <c r="D5016" s="341"/>
      <c r="F5016" s="343"/>
      <c r="G5016" s="343"/>
      <c r="H5016" s="343"/>
      <c r="I5016" s="343"/>
      <c r="J5016" s="343"/>
      <c r="K5016" s="343"/>
      <c r="L5016" s="343"/>
    </row>
    <row r="5017" spans="4:12" x14ac:dyDescent="0.2">
      <c r="D5017" s="341"/>
      <c r="F5017" s="343"/>
      <c r="G5017" s="343"/>
      <c r="H5017" s="343"/>
      <c r="I5017" s="343"/>
      <c r="J5017" s="343"/>
      <c r="K5017" s="343"/>
      <c r="L5017" s="343"/>
    </row>
    <row r="5018" spans="4:12" x14ac:dyDescent="0.2">
      <c r="D5018" s="341"/>
      <c r="F5018" s="343"/>
      <c r="G5018" s="343"/>
      <c r="H5018" s="343"/>
      <c r="I5018" s="343"/>
      <c r="J5018" s="343"/>
      <c r="K5018" s="343"/>
      <c r="L5018" s="343"/>
    </row>
    <row r="5019" spans="4:12" x14ac:dyDescent="0.2">
      <c r="D5019" s="341"/>
      <c r="F5019" s="343"/>
      <c r="G5019" s="343"/>
      <c r="H5019" s="343"/>
      <c r="I5019" s="343"/>
      <c r="J5019" s="343"/>
      <c r="K5019" s="343"/>
      <c r="L5019" s="343"/>
    </row>
    <row r="5020" spans="4:12" x14ac:dyDescent="0.2">
      <c r="D5020" s="341"/>
      <c r="F5020" s="343"/>
      <c r="G5020" s="343"/>
      <c r="H5020" s="343"/>
      <c r="I5020" s="343"/>
      <c r="J5020" s="343"/>
      <c r="K5020" s="343"/>
      <c r="L5020" s="343"/>
    </row>
    <row r="5021" spans="4:12" x14ac:dyDescent="0.2">
      <c r="D5021" s="341"/>
      <c r="F5021" s="343"/>
      <c r="G5021" s="343"/>
      <c r="H5021" s="343"/>
      <c r="I5021" s="343"/>
      <c r="J5021" s="343"/>
      <c r="K5021" s="343"/>
      <c r="L5021" s="343"/>
    </row>
    <row r="5022" spans="4:12" x14ac:dyDescent="0.2">
      <c r="D5022" s="341"/>
      <c r="F5022" s="343"/>
      <c r="G5022" s="343"/>
      <c r="H5022" s="343"/>
      <c r="I5022" s="343"/>
      <c r="J5022" s="343"/>
      <c r="K5022" s="343"/>
      <c r="L5022" s="343"/>
    </row>
    <row r="5023" spans="4:12" x14ac:dyDescent="0.2">
      <c r="D5023" s="341"/>
      <c r="F5023" s="343"/>
      <c r="G5023" s="343"/>
      <c r="H5023" s="343"/>
      <c r="I5023" s="343"/>
      <c r="J5023" s="343"/>
      <c r="K5023" s="343"/>
      <c r="L5023" s="343"/>
    </row>
    <row r="5024" spans="4:12" x14ac:dyDescent="0.2">
      <c r="D5024" s="341"/>
      <c r="F5024" s="343"/>
      <c r="G5024" s="343"/>
      <c r="H5024" s="343"/>
      <c r="I5024" s="343"/>
      <c r="J5024" s="343"/>
      <c r="K5024" s="343"/>
      <c r="L5024" s="343"/>
    </row>
    <row r="5025" spans="4:12" x14ac:dyDescent="0.2">
      <c r="D5025" s="341"/>
      <c r="F5025" s="343"/>
      <c r="G5025" s="343"/>
      <c r="H5025" s="343"/>
      <c r="I5025" s="343"/>
      <c r="J5025" s="343"/>
      <c r="K5025" s="343"/>
      <c r="L5025" s="343"/>
    </row>
    <row r="5026" spans="4:12" x14ac:dyDescent="0.2">
      <c r="D5026" s="341"/>
      <c r="F5026" s="343"/>
      <c r="G5026" s="343"/>
      <c r="H5026" s="343"/>
      <c r="I5026" s="343"/>
      <c r="J5026" s="343"/>
      <c r="K5026" s="343"/>
      <c r="L5026" s="343"/>
    </row>
    <row r="5027" spans="4:12" x14ac:dyDescent="0.2">
      <c r="D5027" s="341"/>
      <c r="F5027" s="343"/>
      <c r="G5027" s="343"/>
      <c r="H5027" s="343"/>
      <c r="I5027" s="343"/>
      <c r="J5027" s="343"/>
      <c r="K5027" s="343"/>
      <c r="L5027" s="343"/>
    </row>
    <row r="5028" spans="4:12" x14ac:dyDescent="0.2">
      <c r="D5028" s="341"/>
      <c r="F5028" s="343"/>
      <c r="G5028" s="343"/>
      <c r="H5028" s="343"/>
      <c r="I5028" s="343"/>
      <c r="J5028" s="343"/>
      <c r="K5028" s="343"/>
      <c r="L5028" s="343"/>
    </row>
    <row r="5029" spans="4:12" x14ac:dyDescent="0.2">
      <c r="D5029" s="341"/>
      <c r="F5029" s="343"/>
      <c r="G5029" s="343"/>
      <c r="H5029" s="343"/>
      <c r="I5029" s="343"/>
      <c r="J5029" s="343"/>
      <c r="K5029" s="343"/>
      <c r="L5029" s="343"/>
    </row>
    <row r="5030" spans="4:12" x14ac:dyDescent="0.2">
      <c r="D5030" s="341"/>
      <c r="F5030" s="343"/>
      <c r="G5030" s="343"/>
      <c r="H5030" s="343"/>
      <c r="I5030" s="343"/>
      <c r="J5030" s="343"/>
      <c r="K5030" s="343"/>
      <c r="L5030" s="343"/>
    </row>
    <row r="5031" spans="4:12" x14ac:dyDescent="0.2">
      <c r="D5031" s="341"/>
      <c r="F5031" s="343"/>
      <c r="G5031" s="343"/>
      <c r="H5031" s="343"/>
      <c r="I5031" s="343"/>
      <c r="J5031" s="343"/>
      <c r="K5031" s="343"/>
      <c r="L5031" s="343"/>
    </row>
    <row r="5032" spans="4:12" x14ac:dyDescent="0.2">
      <c r="D5032" s="341"/>
      <c r="F5032" s="343"/>
      <c r="G5032" s="343"/>
      <c r="H5032" s="343"/>
      <c r="I5032" s="343"/>
      <c r="J5032" s="343"/>
      <c r="K5032" s="343"/>
      <c r="L5032" s="343"/>
    </row>
    <row r="5033" spans="4:12" x14ac:dyDescent="0.2">
      <c r="D5033" s="341"/>
      <c r="F5033" s="343"/>
      <c r="G5033" s="343"/>
      <c r="H5033" s="343"/>
      <c r="I5033" s="343"/>
      <c r="J5033" s="343"/>
      <c r="K5033" s="343"/>
      <c r="L5033" s="343"/>
    </row>
    <row r="5034" spans="4:12" x14ac:dyDescent="0.2">
      <c r="D5034" s="341"/>
      <c r="F5034" s="343"/>
      <c r="G5034" s="343"/>
      <c r="H5034" s="343"/>
      <c r="I5034" s="343"/>
      <c r="J5034" s="343"/>
      <c r="K5034" s="343"/>
      <c r="L5034" s="343"/>
    </row>
    <row r="5035" spans="4:12" x14ac:dyDescent="0.2">
      <c r="D5035" s="341"/>
      <c r="F5035" s="343"/>
      <c r="G5035" s="343"/>
      <c r="H5035" s="343"/>
      <c r="I5035" s="343"/>
      <c r="J5035" s="343"/>
      <c r="K5035" s="343"/>
      <c r="L5035" s="343"/>
    </row>
    <row r="5036" spans="4:12" x14ac:dyDescent="0.2">
      <c r="D5036" s="341"/>
      <c r="F5036" s="343"/>
      <c r="G5036" s="343"/>
      <c r="H5036" s="343"/>
      <c r="I5036" s="343"/>
      <c r="J5036" s="343"/>
      <c r="K5036" s="343"/>
      <c r="L5036" s="343"/>
    </row>
    <row r="5037" spans="4:12" x14ac:dyDescent="0.2">
      <c r="D5037" s="341"/>
      <c r="F5037" s="343"/>
      <c r="G5037" s="343"/>
      <c r="H5037" s="343"/>
      <c r="I5037" s="343"/>
      <c r="J5037" s="343"/>
      <c r="K5037" s="343"/>
      <c r="L5037" s="343"/>
    </row>
    <row r="5038" spans="4:12" x14ac:dyDescent="0.2">
      <c r="D5038" s="341"/>
      <c r="F5038" s="343"/>
      <c r="G5038" s="343"/>
      <c r="H5038" s="343"/>
      <c r="I5038" s="343"/>
      <c r="J5038" s="343"/>
      <c r="K5038" s="343"/>
      <c r="L5038" s="343"/>
    </row>
    <row r="5039" spans="4:12" x14ac:dyDescent="0.2">
      <c r="D5039" s="341"/>
      <c r="F5039" s="343"/>
      <c r="G5039" s="343"/>
      <c r="H5039" s="343"/>
      <c r="I5039" s="343"/>
      <c r="J5039" s="343"/>
      <c r="K5039" s="343"/>
      <c r="L5039" s="343"/>
    </row>
    <row r="5040" spans="4:12" x14ac:dyDescent="0.2">
      <c r="D5040" s="341"/>
      <c r="F5040" s="343"/>
      <c r="G5040" s="343"/>
      <c r="H5040" s="343"/>
      <c r="I5040" s="343"/>
      <c r="J5040" s="343"/>
      <c r="K5040" s="343"/>
      <c r="L5040" s="343"/>
    </row>
    <row r="5041" spans="4:12" x14ac:dyDescent="0.2">
      <c r="D5041" s="341"/>
      <c r="F5041" s="343"/>
      <c r="G5041" s="343"/>
      <c r="H5041" s="343"/>
      <c r="I5041" s="343"/>
      <c r="J5041" s="343"/>
      <c r="K5041" s="343"/>
      <c r="L5041" s="343"/>
    </row>
    <row r="5042" spans="4:12" x14ac:dyDescent="0.2">
      <c r="D5042" s="341"/>
      <c r="F5042" s="343"/>
      <c r="G5042" s="343"/>
      <c r="H5042" s="343"/>
      <c r="I5042" s="343"/>
      <c r="J5042" s="343"/>
      <c r="K5042" s="343"/>
      <c r="L5042" s="343"/>
    </row>
    <row r="5043" spans="4:12" x14ac:dyDescent="0.2">
      <c r="D5043" s="341"/>
      <c r="F5043" s="343"/>
      <c r="G5043" s="343"/>
      <c r="H5043" s="343"/>
      <c r="I5043" s="343"/>
      <c r="J5043" s="343"/>
      <c r="K5043" s="343"/>
      <c r="L5043" s="343"/>
    </row>
    <row r="5044" spans="4:12" x14ac:dyDescent="0.2">
      <c r="D5044" s="341"/>
      <c r="F5044" s="343"/>
      <c r="G5044" s="343"/>
      <c r="H5044" s="343"/>
      <c r="I5044" s="343"/>
      <c r="J5044" s="343"/>
      <c r="K5044" s="343"/>
      <c r="L5044" s="343"/>
    </row>
    <row r="5045" spans="4:12" x14ac:dyDescent="0.2">
      <c r="D5045" s="341"/>
      <c r="F5045" s="343"/>
      <c r="G5045" s="343"/>
      <c r="H5045" s="343"/>
      <c r="I5045" s="343"/>
      <c r="J5045" s="343"/>
      <c r="K5045" s="343"/>
      <c r="L5045" s="343"/>
    </row>
    <row r="5046" spans="4:12" x14ac:dyDescent="0.2">
      <c r="D5046" s="341"/>
      <c r="F5046" s="343"/>
      <c r="G5046" s="343"/>
      <c r="H5046" s="343"/>
      <c r="I5046" s="343"/>
      <c r="J5046" s="343"/>
      <c r="K5046" s="343"/>
      <c r="L5046" s="343"/>
    </row>
    <row r="5047" spans="4:12" x14ac:dyDescent="0.2">
      <c r="D5047" s="341"/>
      <c r="F5047" s="343"/>
      <c r="G5047" s="343"/>
      <c r="H5047" s="343"/>
      <c r="I5047" s="343"/>
      <c r="J5047" s="343"/>
      <c r="K5047" s="343"/>
      <c r="L5047" s="343"/>
    </row>
    <row r="5048" spans="4:12" x14ac:dyDescent="0.2">
      <c r="D5048" s="341"/>
      <c r="F5048" s="343"/>
      <c r="G5048" s="343"/>
      <c r="H5048" s="343"/>
      <c r="I5048" s="343"/>
      <c r="J5048" s="343"/>
      <c r="K5048" s="343"/>
      <c r="L5048" s="343"/>
    </row>
    <row r="5049" spans="4:12" x14ac:dyDescent="0.2">
      <c r="D5049" s="341"/>
      <c r="F5049" s="343"/>
      <c r="G5049" s="343"/>
      <c r="H5049" s="343"/>
      <c r="I5049" s="343"/>
      <c r="J5049" s="343"/>
      <c r="K5049" s="343"/>
      <c r="L5049" s="343"/>
    </row>
    <row r="5050" spans="4:12" x14ac:dyDescent="0.2">
      <c r="D5050" s="341"/>
      <c r="F5050" s="343"/>
      <c r="G5050" s="343"/>
      <c r="H5050" s="343"/>
      <c r="I5050" s="343"/>
      <c r="J5050" s="343"/>
      <c r="K5050" s="343"/>
      <c r="L5050" s="343"/>
    </row>
    <row r="5051" spans="4:12" x14ac:dyDescent="0.2">
      <c r="D5051" s="341"/>
      <c r="F5051" s="343"/>
      <c r="G5051" s="343"/>
      <c r="H5051" s="343"/>
      <c r="I5051" s="343"/>
      <c r="J5051" s="343"/>
      <c r="K5051" s="343"/>
      <c r="L5051" s="343"/>
    </row>
    <row r="5052" spans="4:12" x14ac:dyDescent="0.2">
      <c r="D5052" s="341"/>
      <c r="F5052" s="343"/>
      <c r="G5052" s="343"/>
      <c r="H5052" s="343"/>
      <c r="I5052" s="343"/>
      <c r="J5052" s="343"/>
      <c r="K5052" s="343"/>
      <c r="L5052" s="343"/>
    </row>
    <row r="5053" spans="4:12" x14ac:dyDescent="0.2">
      <c r="D5053" s="341"/>
      <c r="F5053" s="343"/>
      <c r="G5053" s="343"/>
      <c r="H5053" s="343"/>
      <c r="I5053" s="343"/>
      <c r="J5053" s="343"/>
      <c r="K5053" s="343"/>
      <c r="L5053" s="343"/>
    </row>
    <row r="5054" spans="4:12" x14ac:dyDescent="0.2">
      <c r="D5054" s="341"/>
      <c r="F5054" s="343"/>
      <c r="G5054" s="343"/>
      <c r="H5054" s="343"/>
      <c r="I5054" s="343"/>
      <c r="J5054" s="343"/>
      <c r="K5054" s="343"/>
      <c r="L5054" s="343"/>
    </row>
    <row r="5055" spans="4:12" x14ac:dyDescent="0.2">
      <c r="D5055" s="341"/>
      <c r="F5055" s="343"/>
      <c r="G5055" s="343"/>
      <c r="H5055" s="343"/>
      <c r="I5055" s="343"/>
      <c r="J5055" s="343"/>
      <c r="K5055" s="343"/>
      <c r="L5055" s="343"/>
    </row>
    <row r="5056" spans="4:12" x14ac:dyDescent="0.2">
      <c r="D5056" s="341"/>
      <c r="F5056" s="343"/>
      <c r="G5056" s="343"/>
      <c r="H5056" s="343"/>
      <c r="I5056" s="343"/>
      <c r="J5056" s="343"/>
      <c r="K5056" s="343"/>
      <c r="L5056" s="343"/>
    </row>
    <row r="5057" spans="4:12" x14ac:dyDescent="0.2">
      <c r="D5057" s="341"/>
      <c r="F5057" s="343"/>
      <c r="G5057" s="343"/>
      <c r="H5057" s="343"/>
      <c r="I5057" s="343"/>
      <c r="J5057" s="343"/>
      <c r="K5057" s="343"/>
      <c r="L5057" s="343"/>
    </row>
    <row r="5058" spans="4:12" x14ac:dyDescent="0.2">
      <c r="D5058" s="341"/>
      <c r="F5058" s="343"/>
      <c r="G5058" s="343"/>
      <c r="H5058" s="343"/>
      <c r="I5058" s="343"/>
      <c r="J5058" s="343"/>
      <c r="K5058" s="343"/>
      <c r="L5058" s="343"/>
    </row>
    <row r="5059" spans="4:12" x14ac:dyDescent="0.2">
      <c r="D5059" s="341"/>
      <c r="F5059" s="343"/>
      <c r="G5059" s="343"/>
      <c r="H5059" s="343"/>
      <c r="I5059" s="343"/>
      <c r="J5059" s="343"/>
      <c r="K5059" s="343"/>
      <c r="L5059" s="343"/>
    </row>
    <row r="5060" spans="4:12" x14ac:dyDescent="0.2">
      <c r="D5060" s="341"/>
      <c r="F5060" s="343"/>
      <c r="G5060" s="343"/>
      <c r="H5060" s="343"/>
      <c r="I5060" s="343"/>
      <c r="J5060" s="343"/>
      <c r="K5060" s="343"/>
      <c r="L5060" s="343"/>
    </row>
    <row r="5061" spans="4:12" x14ac:dyDescent="0.2">
      <c r="D5061" s="341"/>
      <c r="F5061" s="343"/>
      <c r="G5061" s="343"/>
      <c r="H5061" s="343"/>
      <c r="I5061" s="343"/>
      <c r="J5061" s="343"/>
      <c r="K5061" s="343"/>
      <c r="L5061" s="343"/>
    </row>
    <row r="5062" spans="4:12" x14ac:dyDescent="0.2">
      <c r="D5062" s="341"/>
      <c r="F5062" s="343"/>
      <c r="G5062" s="343"/>
      <c r="H5062" s="343"/>
      <c r="I5062" s="343"/>
      <c r="J5062" s="343"/>
      <c r="K5062" s="343"/>
      <c r="L5062" s="343"/>
    </row>
    <row r="5063" spans="4:12" x14ac:dyDescent="0.2">
      <c r="D5063" s="341"/>
      <c r="F5063" s="343"/>
      <c r="G5063" s="343"/>
      <c r="H5063" s="343"/>
      <c r="I5063" s="343"/>
      <c r="J5063" s="343"/>
      <c r="K5063" s="343"/>
      <c r="L5063" s="343"/>
    </row>
    <row r="5064" spans="4:12" x14ac:dyDescent="0.2">
      <c r="D5064" s="341"/>
      <c r="F5064" s="343"/>
      <c r="G5064" s="343"/>
      <c r="H5064" s="343"/>
      <c r="I5064" s="343"/>
      <c r="J5064" s="343"/>
      <c r="K5064" s="343"/>
      <c r="L5064" s="343"/>
    </row>
    <row r="5065" spans="4:12" x14ac:dyDescent="0.2">
      <c r="D5065" s="341"/>
      <c r="F5065" s="343"/>
      <c r="G5065" s="343"/>
      <c r="H5065" s="343"/>
      <c r="I5065" s="343"/>
      <c r="J5065" s="343"/>
      <c r="K5065" s="343"/>
      <c r="L5065" s="343"/>
    </row>
    <row r="5066" spans="4:12" x14ac:dyDescent="0.2">
      <c r="D5066" s="341"/>
      <c r="F5066" s="343"/>
      <c r="G5066" s="343"/>
      <c r="H5066" s="343"/>
      <c r="I5066" s="343"/>
      <c r="J5066" s="343"/>
      <c r="K5066" s="343"/>
      <c r="L5066" s="343"/>
    </row>
    <row r="5067" spans="4:12" x14ac:dyDescent="0.2">
      <c r="D5067" s="341"/>
      <c r="F5067" s="343"/>
      <c r="G5067" s="343"/>
      <c r="H5067" s="343"/>
      <c r="I5067" s="343"/>
      <c r="J5067" s="343"/>
      <c r="K5067" s="343"/>
      <c r="L5067" s="343"/>
    </row>
    <row r="5068" spans="4:12" x14ac:dyDescent="0.2">
      <c r="D5068" s="341"/>
      <c r="F5068" s="343"/>
      <c r="G5068" s="343"/>
      <c r="H5068" s="343"/>
      <c r="I5068" s="343"/>
      <c r="J5068" s="343"/>
      <c r="K5068" s="343"/>
      <c r="L5068" s="343"/>
    </row>
    <row r="5069" spans="4:12" x14ac:dyDescent="0.2">
      <c r="D5069" s="341"/>
      <c r="F5069" s="343"/>
      <c r="G5069" s="343"/>
      <c r="H5069" s="343"/>
      <c r="I5069" s="343"/>
      <c r="J5069" s="343"/>
      <c r="K5069" s="343"/>
      <c r="L5069" s="343"/>
    </row>
    <row r="5070" spans="4:12" x14ac:dyDescent="0.2">
      <c r="D5070" s="341"/>
      <c r="F5070" s="343"/>
      <c r="G5070" s="343"/>
      <c r="H5070" s="343"/>
      <c r="I5070" s="343"/>
      <c r="J5070" s="343"/>
      <c r="K5070" s="343"/>
      <c r="L5070" s="343"/>
    </row>
    <row r="5071" spans="4:12" x14ac:dyDescent="0.2">
      <c r="D5071" s="341"/>
      <c r="F5071" s="343"/>
      <c r="G5071" s="343"/>
      <c r="H5071" s="343"/>
      <c r="I5071" s="343"/>
      <c r="J5071" s="343"/>
      <c r="K5071" s="343"/>
      <c r="L5071" s="343"/>
    </row>
    <row r="5072" spans="4:12" x14ac:dyDescent="0.2">
      <c r="D5072" s="341"/>
      <c r="F5072" s="343"/>
      <c r="G5072" s="343"/>
      <c r="H5072" s="343"/>
      <c r="I5072" s="343"/>
      <c r="J5072" s="343"/>
      <c r="K5072" s="343"/>
      <c r="L5072" s="343"/>
    </row>
    <row r="5073" spans="4:12" x14ac:dyDescent="0.2">
      <c r="D5073" s="341"/>
      <c r="F5073" s="343"/>
      <c r="G5073" s="343"/>
      <c r="H5073" s="343"/>
      <c r="I5073" s="343"/>
      <c r="J5073" s="343"/>
      <c r="K5073" s="343"/>
      <c r="L5073" s="343"/>
    </row>
    <row r="5074" spans="4:12" x14ac:dyDescent="0.2">
      <c r="D5074" s="341"/>
      <c r="F5074" s="343"/>
      <c r="G5074" s="343"/>
      <c r="H5074" s="343"/>
      <c r="I5074" s="343"/>
      <c r="J5074" s="343"/>
      <c r="K5074" s="343"/>
      <c r="L5074" s="343"/>
    </row>
    <row r="5075" spans="4:12" x14ac:dyDescent="0.2">
      <c r="D5075" s="341"/>
      <c r="F5075" s="343"/>
      <c r="G5075" s="343"/>
      <c r="H5075" s="343"/>
      <c r="I5075" s="343"/>
      <c r="J5075" s="343"/>
      <c r="K5075" s="343"/>
      <c r="L5075" s="343"/>
    </row>
    <row r="5076" spans="4:12" x14ac:dyDescent="0.2">
      <c r="D5076" s="341"/>
      <c r="F5076" s="343"/>
      <c r="G5076" s="343"/>
      <c r="H5076" s="343"/>
      <c r="I5076" s="343"/>
      <c r="J5076" s="343"/>
      <c r="K5076" s="343"/>
      <c r="L5076" s="343"/>
    </row>
    <row r="5077" spans="4:12" x14ac:dyDescent="0.2">
      <c r="D5077" s="341"/>
      <c r="F5077" s="343"/>
      <c r="G5077" s="343"/>
      <c r="H5077" s="343"/>
      <c r="I5077" s="343"/>
      <c r="J5077" s="343"/>
      <c r="K5077" s="343"/>
      <c r="L5077" s="343"/>
    </row>
    <row r="5078" spans="4:12" x14ac:dyDescent="0.2">
      <c r="D5078" s="341"/>
      <c r="F5078" s="343"/>
      <c r="G5078" s="343"/>
      <c r="H5078" s="343"/>
      <c r="I5078" s="343"/>
      <c r="J5078" s="343"/>
      <c r="K5078" s="343"/>
      <c r="L5078" s="343"/>
    </row>
    <row r="5079" spans="4:12" x14ac:dyDescent="0.2">
      <c r="D5079" s="341"/>
      <c r="F5079" s="343"/>
      <c r="G5079" s="343"/>
      <c r="H5079" s="343"/>
      <c r="I5079" s="343"/>
      <c r="J5079" s="343"/>
      <c r="K5079" s="343"/>
      <c r="L5079" s="343"/>
    </row>
    <row r="5080" spans="4:12" x14ac:dyDescent="0.2">
      <c r="D5080" s="341"/>
      <c r="F5080" s="343"/>
      <c r="G5080" s="343"/>
      <c r="H5080" s="343"/>
      <c r="I5080" s="343"/>
      <c r="J5080" s="343"/>
      <c r="K5080" s="343"/>
      <c r="L5080" s="343"/>
    </row>
    <row r="5081" spans="4:12" x14ac:dyDescent="0.2">
      <c r="D5081" s="341"/>
      <c r="F5081" s="343"/>
      <c r="G5081" s="343"/>
      <c r="H5081" s="343"/>
      <c r="I5081" s="343"/>
      <c r="J5081" s="343"/>
      <c r="K5081" s="343"/>
      <c r="L5081" s="343"/>
    </row>
    <row r="5082" spans="4:12" x14ac:dyDescent="0.2">
      <c r="D5082" s="341"/>
      <c r="F5082" s="343"/>
      <c r="G5082" s="343"/>
      <c r="H5082" s="343"/>
      <c r="I5082" s="343"/>
      <c r="J5082" s="343"/>
      <c r="K5082" s="343"/>
      <c r="L5082" s="343"/>
    </row>
    <row r="5083" spans="4:12" x14ac:dyDescent="0.2">
      <c r="D5083" s="341"/>
      <c r="F5083" s="343"/>
      <c r="G5083" s="343"/>
      <c r="H5083" s="343"/>
      <c r="I5083" s="343"/>
      <c r="J5083" s="343"/>
      <c r="K5083" s="343"/>
      <c r="L5083" s="343"/>
    </row>
    <row r="5084" spans="4:12" x14ac:dyDescent="0.2">
      <c r="D5084" s="341"/>
      <c r="F5084" s="343"/>
      <c r="G5084" s="343"/>
      <c r="H5084" s="343"/>
      <c r="I5084" s="343"/>
      <c r="J5084" s="343"/>
      <c r="K5084" s="343"/>
      <c r="L5084" s="343"/>
    </row>
    <row r="5085" spans="4:12" x14ac:dyDescent="0.2">
      <c r="D5085" s="341"/>
      <c r="F5085" s="343"/>
      <c r="G5085" s="343"/>
      <c r="H5085" s="343"/>
      <c r="I5085" s="343"/>
      <c r="J5085" s="343"/>
      <c r="K5085" s="343"/>
      <c r="L5085" s="343"/>
    </row>
    <row r="5086" spans="4:12" x14ac:dyDescent="0.2">
      <c r="D5086" s="341"/>
      <c r="F5086" s="343"/>
      <c r="G5086" s="343"/>
      <c r="H5086" s="343"/>
      <c r="I5086" s="343"/>
      <c r="J5086" s="343"/>
      <c r="K5086" s="343"/>
      <c r="L5086" s="343"/>
    </row>
    <row r="5087" spans="4:12" x14ac:dyDescent="0.2">
      <c r="D5087" s="341"/>
      <c r="F5087" s="343"/>
      <c r="G5087" s="343"/>
      <c r="H5087" s="343"/>
      <c r="I5087" s="343"/>
      <c r="J5087" s="343"/>
      <c r="K5087" s="343"/>
      <c r="L5087" s="343"/>
    </row>
    <row r="5088" spans="4:12" x14ac:dyDescent="0.2">
      <c r="D5088" s="341"/>
      <c r="F5088" s="343"/>
      <c r="G5088" s="343"/>
      <c r="H5088" s="343"/>
      <c r="I5088" s="343"/>
      <c r="J5088" s="343"/>
      <c r="K5088" s="343"/>
      <c r="L5088" s="343"/>
    </row>
    <row r="5089" spans="4:12" x14ac:dyDescent="0.2">
      <c r="D5089" s="341"/>
      <c r="F5089" s="343"/>
      <c r="G5089" s="343"/>
      <c r="H5089" s="343"/>
      <c r="I5089" s="343"/>
      <c r="J5089" s="343"/>
      <c r="K5089" s="343"/>
      <c r="L5089" s="343"/>
    </row>
    <row r="5090" spans="4:12" x14ac:dyDescent="0.2">
      <c r="D5090" s="341"/>
      <c r="F5090" s="343"/>
      <c r="G5090" s="343"/>
      <c r="H5090" s="343"/>
      <c r="I5090" s="343"/>
      <c r="J5090" s="343"/>
      <c r="K5090" s="343"/>
      <c r="L5090" s="343"/>
    </row>
    <row r="5091" spans="4:12" x14ac:dyDescent="0.2">
      <c r="D5091" s="341"/>
      <c r="F5091" s="343"/>
      <c r="G5091" s="343"/>
      <c r="H5091" s="343"/>
      <c r="I5091" s="343"/>
      <c r="J5091" s="343"/>
      <c r="K5091" s="343"/>
      <c r="L5091" s="343"/>
    </row>
    <row r="5092" spans="4:12" x14ac:dyDescent="0.2">
      <c r="D5092" s="341"/>
      <c r="F5092" s="343"/>
      <c r="G5092" s="343"/>
      <c r="H5092" s="343"/>
      <c r="I5092" s="343"/>
      <c r="J5092" s="343"/>
      <c r="K5092" s="343"/>
      <c r="L5092" s="343"/>
    </row>
    <row r="5093" spans="4:12" x14ac:dyDescent="0.2">
      <c r="D5093" s="341"/>
      <c r="F5093" s="343"/>
      <c r="G5093" s="343"/>
      <c r="H5093" s="343"/>
      <c r="I5093" s="343"/>
      <c r="J5093" s="343"/>
      <c r="K5093" s="343"/>
      <c r="L5093" s="343"/>
    </row>
    <row r="5094" spans="4:12" x14ac:dyDescent="0.2">
      <c r="D5094" s="341"/>
      <c r="F5094" s="343"/>
      <c r="G5094" s="343"/>
      <c r="H5094" s="343"/>
      <c r="I5094" s="343"/>
      <c r="J5094" s="343"/>
      <c r="K5094" s="343"/>
      <c r="L5094" s="343"/>
    </row>
    <row r="5095" spans="4:12" x14ac:dyDescent="0.2">
      <c r="D5095" s="341"/>
      <c r="F5095" s="343"/>
      <c r="G5095" s="343"/>
      <c r="H5095" s="343"/>
      <c r="I5095" s="343"/>
      <c r="J5095" s="343"/>
      <c r="K5095" s="343"/>
      <c r="L5095" s="343"/>
    </row>
    <row r="5096" spans="4:12" x14ac:dyDescent="0.2">
      <c r="D5096" s="341"/>
      <c r="F5096" s="343"/>
      <c r="G5096" s="343"/>
      <c r="H5096" s="343"/>
      <c r="I5096" s="343"/>
      <c r="J5096" s="343"/>
      <c r="K5096" s="343"/>
      <c r="L5096" s="343"/>
    </row>
    <row r="5097" spans="4:12" x14ac:dyDescent="0.2">
      <c r="D5097" s="341"/>
      <c r="F5097" s="343"/>
      <c r="G5097" s="343"/>
      <c r="H5097" s="343"/>
      <c r="I5097" s="343"/>
      <c r="J5097" s="343"/>
      <c r="K5097" s="343"/>
      <c r="L5097" s="343"/>
    </row>
    <row r="5098" spans="4:12" x14ac:dyDescent="0.2">
      <c r="D5098" s="341"/>
      <c r="F5098" s="343"/>
      <c r="G5098" s="343"/>
      <c r="H5098" s="343"/>
      <c r="I5098" s="343"/>
      <c r="J5098" s="343"/>
      <c r="K5098" s="343"/>
      <c r="L5098" s="343"/>
    </row>
    <row r="5099" spans="4:12" x14ac:dyDescent="0.2">
      <c r="D5099" s="341"/>
      <c r="F5099" s="343"/>
      <c r="G5099" s="343"/>
      <c r="H5099" s="343"/>
      <c r="I5099" s="343"/>
      <c r="J5099" s="343"/>
      <c r="K5099" s="343"/>
      <c r="L5099" s="343"/>
    </row>
    <row r="5100" spans="4:12" x14ac:dyDescent="0.2">
      <c r="D5100" s="341"/>
      <c r="F5100" s="343"/>
      <c r="G5100" s="343"/>
      <c r="H5100" s="343"/>
      <c r="I5100" s="343"/>
      <c r="J5100" s="343"/>
      <c r="K5100" s="343"/>
      <c r="L5100" s="343"/>
    </row>
    <row r="5101" spans="4:12" x14ac:dyDescent="0.2">
      <c r="D5101" s="341"/>
      <c r="F5101" s="343"/>
      <c r="G5101" s="343"/>
      <c r="H5101" s="343"/>
      <c r="I5101" s="343"/>
      <c r="J5101" s="343"/>
      <c r="K5101" s="343"/>
      <c r="L5101" s="343"/>
    </row>
    <row r="5102" spans="4:12" x14ac:dyDescent="0.2">
      <c r="D5102" s="341"/>
      <c r="F5102" s="343"/>
      <c r="G5102" s="343"/>
      <c r="H5102" s="343"/>
      <c r="I5102" s="343"/>
      <c r="J5102" s="343"/>
      <c r="K5102" s="343"/>
      <c r="L5102" s="343"/>
    </row>
    <row r="5103" spans="4:12" x14ac:dyDescent="0.2">
      <c r="D5103" s="341"/>
      <c r="F5103" s="343"/>
      <c r="G5103" s="343"/>
      <c r="H5103" s="343"/>
      <c r="I5103" s="343"/>
      <c r="J5103" s="343"/>
      <c r="K5103" s="343"/>
      <c r="L5103" s="343"/>
    </row>
    <row r="5104" spans="4:12" x14ac:dyDescent="0.2">
      <c r="D5104" s="341"/>
      <c r="F5104" s="343"/>
      <c r="G5104" s="343"/>
      <c r="H5104" s="343"/>
      <c r="I5104" s="343"/>
      <c r="J5104" s="343"/>
      <c r="K5104" s="343"/>
      <c r="L5104" s="343"/>
    </row>
    <row r="5105" spans="4:12" x14ac:dyDescent="0.2">
      <c r="D5105" s="341"/>
      <c r="F5105" s="343"/>
      <c r="G5105" s="343"/>
      <c r="H5105" s="343"/>
      <c r="I5105" s="343"/>
      <c r="J5105" s="343"/>
      <c r="K5105" s="343"/>
      <c r="L5105" s="343"/>
    </row>
    <row r="5106" spans="4:12" x14ac:dyDescent="0.2">
      <c r="D5106" s="341"/>
      <c r="F5106" s="343"/>
      <c r="G5106" s="343"/>
      <c r="H5106" s="343"/>
      <c r="I5106" s="343"/>
      <c r="J5106" s="343"/>
      <c r="K5106" s="343"/>
      <c r="L5106" s="343"/>
    </row>
    <row r="5107" spans="4:12" x14ac:dyDescent="0.2">
      <c r="D5107" s="341"/>
      <c r="F5107" s="343"/>
      <c r="G5107" s="343"/>
      <c r="H5107" s="343"/>
      <c r="I5107" s="343"/>
      <c r="J5107" s="343"/>
      <c r="K5107" s="343"/>
      <c r="L5107" s="343"/>
    </row>
    <row r="5108" spans="4:12" x14ac:dyDescent="0.2">
      <c r="D5108" s="341"/>
      <c r="F5108" s="343"/>
      <c r="G5108" s="343"/>
      <c r="H5108" s="343"/>
      <c r="I5108" s="343"/>
      <c r="J5108" s="343"/>
      <c r="K5108" s="343"/>
      <c r="L5108" s="343"/>
    </row>
    <row r="5109" spans="4:12" x14ac:dyDescent="0.2">
      <c r="D5109" s="341"/>
      <c r="F5109" s="343"/>
      <c r="G5109" s="343"/>
      <c r="H5109" s="343"/>
      <c r="I5109" s="343"/>
      <c r="J5109" s="343"/>
      <c r="K5109" s="343"/>
      <c r="L5109" s="343"/>
    </row>
    <row r="5110" spans="4:12" x14ac:dyDescent="0.2">
      <c r="D5110" s="341"/>
      <c r="F5110" s="343"/>
      <c r="G5110" s="343"/>
      <c r="H5110" s="343"/>
      <c r="I5110" s="343"/>
      <c r="J5110" s="343"/>
      <c r="K5110" s="343"/>
      <c r="L5110" s="343"/>
    </row>
    <row r="5111" spans="4:12" x14ac:dyDescent="0.2">
      <c r="D5111" s="341"/>
      <c r="F5111" s="343"/>
      <c r="G5111" s="343"/>
      <c r="H5111" s="343"/>
      <c r="I5111" s="343"/>
      <c r="J5111" s="343"/>
      <c r="K5111" s="343"/>
      <c r="L5111" s="343"/>
    </row>
    <row r="5112" spans="4:12" x14ac:dyDescent="0.2">
      <c r="D5112" s="341"/>
      <c r="F5112" s="343"/>
      <c r="G5112" s="343"/>
      <c r="H5112" s="343"/>
      <c r="I5112" s="343"/>
      <c r="J5112" s="343"/>
      <c r="K5112" s="343"/>
      <c r="L5112" s="343"/>
    </row>
    <row r="5113" spans="4:12" x14ac:dyDescent="0.2">
      <c r="D5113" s="341"/>
      <c r="F5113" s="343"/>
      <c r="G5113" s="343"/>
      <c r="H5113" s="343"/>
      <c r="I5113" s="343"/>
      <c r="J5113" s="343"/>
      <c r="K5113" s="343"/>
      <c r="L5113" s="343"/>
    </row>
    <row r="5114" spans="4:12" x14ac:dyDescent="0.2">
      <c r="D5114" s="341"/>
      <c r="F5114" s="343"/>
      <c r="G5114" s="343"/>
      <c r="H5114" s="343"/>
      <c r="I5114" s="343"/>
      <c r="J5114" s="343"/>
      <c r="K5114" s="343"/>
      <c r="L5114" s="343"/>
    </row>
    <row r="5115" spans="4:12" x14ac:dyDescent="0.2">
      <c r="D5115" s="341"/>
      <c r="F5115" s="343"/>
      <c r="G5115" s="343"/>
      <c r="H5115" s="343"/>
      <c r="I5115" s="343"/>
      <c r="J5115" s="343"/>
      <c r="K5115" s="343"/>
      <c r="L5115" s="343"/>
    </row>
    <row r="5116" spans="4:12" x14ac:dyDescent="0.2">
      <c r="D5116" s="341"/>
      <c r="F5116" s="343"/>
      <c r="G5116" s="343"/>
      <c r="H5116" s="343"/>
      <c r="I5116" s="343"/>
      <c r="J5116" s="343"/>
      <c r="K5116" s="343"/>
      <c r="L5116" s="343"/>
    </row>
    <row r="5117" spans="4:12" x14ac:dyDescent="0.2">
      <c r="D5117" s="341"/>
      <c r="F5117" s="343"/>
      <c r="G5117" s="343"/>
      <c r="H5117" s="343"/>
      <c r="I5117" s="343"/>
      <c r="J5117" s="343"/>
      <c r="K5117" s="343"/>
      <c r="L5117" s="343"/>
    </row>
    <row r="5118" spans="4:12" x14ac:dyDescent="0.2">
      <c r="D5118" s="341"/>
      <c r="F5118" s="343"/>
      <c r="G5118" s="343"/>
      <c r="H5118" s="343"/>
      <c r="I5118" s="343"/>
      <c r="J5118" s="343"/>
      <c r="K5118" s="343"/>
      <c r="L5118" s="343"/>
    </row>
    <row r="5119" spans="4:12" x14ac:dyDescent="0.2">
      <c r="D5119" s="341"/>
      <c r="F5119" s="343"/>
      <c r="G5119" s="343"/>
      <c r="H5119" s="343"/>
      <c r="I5119" s="343"/>
      <c r="J5119" s="343"/>
      <c r="K5119" s="343"/>
      <c r="L5119" s="343"/>
    </row>
    <row r="5120" spans="4:12" x14ac:dyDescent="0.2">
      <c r="D5120" s="341"/>
      <c r="F5120" s="343"/>
      <c r="G5120" s="343"/>
      <c r="H5120" s="343"/>
      <c r="I5120" s="343"/>
      <c r="J5120" s="343"/>
      <c r="K5120" s="343"/>
      <c r="L5120" s="343"/>
    </row>
    <row r="5121" spans="4:12" x14ac:dyDescent="0.2">
      <c r="D5121" s="341"/>
      <c r="F5121" s="343"/>
      <c r="G5121" s="343"/>
      <c r="H5121" s="343"/>
      <c r="I5121" s="343"/>
      <c r="J5121" s="343"/>
      <c r="K5121" s="343"/>
      <c r="L5121" s="343"/>
    </row>
    <row r="5122" spans="4:12" x14ac:dyDescent="0.2">
      <c r="D5122" s="341"/>
      <c r="F5122" s="343"/>
      <c r="G5122" s="343"/>
      <c r="H5122" s="343"/>
      <c r="I5122" s="343"/>
      <c r="J5122" s="343"/>
      <c r="K5122" s="343"/>
      <c r="L5122" s="343"/>
    </row>
    <row r="5123" spans="4:12" x14ac:dyDescent="0.2">
      <c r="D5123" s="341"/>
      <c r="F5123" s="343"/>
      <c r="G5123" s="343"/>
      <c r="H5123" s="343"/>
      <c r="I5123" s="343"/>
      <c r="J5123" s="343"/>
      <c r="K5123" s="343"/>
      <c r="L5123" s="343"/>
    </row>
    <row r="5124" spans="4:12" x14ac:dyDescent="0.2">
      <c r="D5124" s="341"/>
      <c r="F5124" s="343"/>
      <c r="G5124" s="343"/>
      <c r="H5124" s="343"/>
      <c r="I5124" s="343"/>
      <c r="J5124" s="343"/>
      <c r="K5124" s="343"/>
      <c r="L5124" s="343"/>
    </row>
    <row r="5125" spans="4:12" x14ac:dyDescent="0.2">
      <c r="D5125" s="341"/>
      <c r="F5125" s="343"/>
      <c r="G5125" s="343"/>
      <c r="H5125" s="343"/>
      <c r="I5125" s="343"/>
      <c r="J5125" s="343"/>
      <c r="K5125" s="343"/>
      <c r="L5125" s="343"/>
    </row>
    <row r="5126" spans="4:12" x14ac:dyDescent="0.2">
      <c r="D5126" s="341"/>
      <c r="F5126" s="343"/>
      <c r="G5126" s="343"/>
      <c r="H5126" s="343"/>
      <c r="I5126" s="343"/>
      <c r="J5126" s="343"/>
      <c r="K5126" s="343"/>
      <c r="L5126" s="343"/>
    </row>
    <row r="5127" spans="4:12" x14ac:dyDescent="0.2">
      <c r="D5127" s="341"/>
      <c r="F5127" s="343"/>
      <c r="G5127" s="343"/>
      <c r="H5127" s="343"/>
      <c r="I5127" s="343"/>
      <c r="J5127" s="343"/>
      <c r="K5127" s="343"/>
      <c r="L5127" s="343"/>
    </row>
    <row r="5128" spans="4:12" x14ac:dyDescent="0.2">
      <c r="D5128" s="341"/>
      <c r="F5128" s="343"/>
      <c r="G5128" s="343"/>
      <c r="H5128" s="343"/>
      <c r="I5128" s="343"/>
      <c r="J5128" s="343"/>
      <c r="K5128" s="343"/>
      <c r="L5128" s="343"/>
    </row>
    <row r="5129" spans="4:12" x14ac:dyDescent="0.2">
      <c r="D5129" s="341"/>
      <c r="F5129" s="343"/>
      <c r="G5129" s="343"/>
      <c r="H5129" s="343"/>
      <c r="I5129" s="343"/>
      <c r="J5129" s="343"/>
      <c r="K5129" s="343"/>
      <c r="L5129" s="343"/>
    </row>
    <row r="5130" spans="4:12" x14ac:dyDescent="0.2">
      <c r="D5130" s="341"/>
      <c r="F5130" s="343"/>
      <c r="G5130" s="343"/>
      <c r="H5130" s="343"/>
      <c r="I5130" s="343"/>
      <c r="J5130" s="343"/>
      <c r="K5130" s="343"/>
      <c r="L5130" s="343"/>
    </row>
    <row r="5131" spans="4:12" x14ac:dyDescent="0.2">
      <c r="D5131" s="341"/>
      <c r="F5131" s="343"/>
      <c r="G5131" s="343"/>
      <c r="H5131" s="343"/>
      <c r="I5131" s="343"/>
      <c r="J5131" s="343"/>
      <c r="K5131" s="343"/>
      <c r="L5131" s="343"/>
    </row>
    <row r="5132" spans="4:12" x14ac:dyDescent="0.2">
      <c r="D5132" s="341"/>
      <c r="F5132" s="343"/>
      <c r="G5132" s="343"/>
      <c r="H5132" s="343"/>
      <c r="I5132" s="343"/>
      <c r="J5132" s="343"/>
      <c r="K5132" s="343"/>
      <c r="L5132" s="343"/>
    </row>
    <row r="5133" spans="4:12" x14ac:dyDescent="0.2">
      <c r="D5133" s="341"/>
      <c r="F5133" s="343"/>
      <c r="G5133" s="343"/>
      <c r="H5133" s="343"/>
      <c r="I5133" s="343"/>
      <c r="J5133" s="343"/>
      <c r="K5133" s="343"/>
      <c r="L5133" s="343"/>
    </row>
    <row r="5134" spans="4:12" x14ac:dyDescent="0.2">
      <c r="D5134" s="341"/>
      <c r="F5134" s="343"/>
      <c r="G5134" s="343"/>
      <c r="H5134" s="343"/>
      <c r="I5134" s="343"/>
      <c r="J5134" s="343"/>
      <c r="K5134" s="343"/>
      <c r="L5134" s="343"/>
    </row>
    <row r="5135" spans="4:12" x14ac:dyDescent="0.2">
      <c r="D5135" s="341"/>
      <c r="F5135" s="343"/>
      <c r="G5135" s="343"/>
      <c r="H5135" s="343"/>
      <c r="I5135" s="343"/>
      <c r="J5135" s="343"/>
      <c r="K5135" s="343"/>
      <c r="L5135" s="343"/>
    </row>
    <row r="5136" spans="4:12" x14ac:dyDescent="0.2">
      <c r="D5136" s="341"/>
      <c r="F5136" s="343"/>
      <c r="G5136" s="343"/>
      <c r="H5136" s="343"/>
      <c r="I5136" s="343"/>
      <c r="J5136" s="343"/>
      <c r="K5136" s="343"/>
      <c r="L5136" s="343"/>
    </row>
    <row r="5137" spans="4:12" x14ac:dyDescent="0.2">
      <c r="D5137" s="341"/>
      <c r="F5137" s="343"/>
      <c r="G5137" s="343"/>
      <c r="H5137" s="343"/>
      <c r="I5137" s="343"/>
      <c r="J5137" s="343"/>
      <c r="K5137" s="343"/>
      <c r="L5137" s="343"/>
    </row>
    <row r="5138" spans="4:12" x14ac:dyDescent="0.2">
      <c r="D5138" s="341"/>
      <c r="F5138" s="343"/>
      <c r="G5138" s="343"/>
      <c r="H5138" s="343"/>
      <c r="I5138" s="343"/>
      <c r="J5138" s="343"/>
      <c r="K5138" s="343"/>
      <c r="L5138" s="343"/>
    </row>
    <row r="5139" spans="4:12" x14ac:dyDescent="0.2">
      <c r="D5139" s="341"/>
      <c r="F5139" s="343"/>
      <c r="G5139" s="343"/>
      <c r="H5139" s="343"/>
      <c r="I5139" s="343"/>
      <c r="J5139" s="343"/>
      <c r="K5139" s="343"/>
      <c r="L5139" s="343"/>
    </row>
    <row r="5140" spans="4:12" x14ac:dyDescent="0.2">
      <c r="D5140" s="341"/>
      <c r="F5140" s="343"/>
      <c r="G5140" s="343"/>
      <c r="H5140" s="343"/>
      <c r="I5140" s="343"/>
      <c r="J5140" s="343"/>
      <c r="K5140" s="343"/>
      <c r="L5140" s="343"/>
    </row>
    <row r="5141" spans="4:12" x14ac:dyDescent="0.2">
      <c r="D5141" s="341"/>
      <c r="F5141" s="343"/>
      <c r="G5141" s="343"/>
      <c r="H5141" s="343"/>
      <c r="I5141" s="343"/>
      <c r="J5141" s="343"/>
      <c r="K5141" s="343"/>
      <c r="L5141" s="343"/>
    </row>
    <row r="5142" spans="4:12" x14ac:dyDescent="0.2">
      <c r="D5142" s="341"/>
      <c r="F5142" s="343"/>
      <c r="G5142" s="343"/>
      <c r="H5142" s="343"/>
      <c r="I5142" s="343"/>
      <c r="J5142" s="343"/>
      <c r="K5142" s="343"/>
      <c r="L5142" s="343"/>
    </row>
    <row r="5143" spans="4:12" x14ac:dyDescent="0.2">
      <c r="D5143" s="341"/>
      <c r="F5143" s="343"/>
      <c r="G5143" s="343"/>
      <c r="H5143" s="343"/>
      <c r="I5143" s="343"/>
      <c r="J5143" s="343"/>
      <c r="K5143" s="343"/>
      <c r="L5143" s="343"/>
    </row>
    <row r="5144" spans="4:12" x14ac:dyDescent="0.2">
      <c r="D5144" s="341"/>
      <c r="F5144" s="343"/>
      <c r="G5144" s="343"/>
      <c r="H5144" s="343"/>
      <c r="I5144" s="343"/>
      <c r="J5144" s="343"/>
      <c r="K5144" s="343"/>
      <c r="L5144" s="343"/>
    </row>
    <row r="5145" spans="4:12" x14ac:dyDescent="0.2">
      <c r="D5145" s="341"/>
      <c r="F5145" s="343"/>
      <c r="G5145" s="343"/>
      <c r="H5145" s="343"/>
      <c r="I5145" s="343"/>
      <c r="J5145" s="343"/>
      <c r="K5145" s="343"/>
      <c r="L5145" s="343"/>
    </row>
    <row r="5146" spans="4:12" x14ac:dyDescent="0.2">
      <c r="D5146" s="341"/>
      <c r="F5146" s="343"/>
      <c r="G5146" s="343"/>
      <c r="H5146" s="343"/>
      <c r="I5146" s="343"/>
      <c r="J5146" s="343"/>
      <c r="K5146" s="343"/>
      <c r="L5146" s="343"/>
    </row>
    <row r="5147" spans="4:12" x14ac:dyDescent="0.2">
      <c r="D5147" s="341"/>
      <c r="F5147" s="343"/>
      <c r="G5147" s="343"/>
      <c r="H5147" s="343"/>
      <c r="I5147" s="343"/>
      <c r="J5147" s="343"/>
      <c r="K5147" s="343"/>
      <c r="L5147" s="343"/>
    </row>
    <row r="5148" spans="4:12" x14ac:dyDescent="0.2">
      <c r="D5148" s="341"/>
      <c r="F5148" s="343"/>
      <c r="G5148" s="343"/>
      <c r="H5148" s="343"/>
      <c r="I5148" s="343"/>
      <c r="J5148" s="343"/>
      <c r="K5148" s="343"/>
      <c r="L5148" s="343"/>
    </row>
    <row r="5149" spans="4:12" x14ac:dyDescent="0.2">
      <c r="D5149" s="341"/>
      <c r="F5149" s="343"/>
      <c r="G5149" s="343"/>
      <c r="H5149" s="343"/>
      <c r="I5149" s="343"/>
      <c r="J5149" s="343"/>
      <c r="K5149" s="343"/>
      <c r="L5149" s="343"/>
    </row>
    <row r="5150" spans="4:12" x14ac:dyDescent="0.2">
      <c r="D5150" s="341"/>
      <c r="F5150" s="343"/>
      <c r="G5150" s="343"/>
      <c r="H5150" s="343"/>
      <c r="I5150" s="343"/>
      <c r="J5150" s="343"/>
      <c r="K5150" s="343"/>
      <c r="L5150" s="343"/>
    </row>
    <row r="5151" spans="4:12" x14ac:dyDescent="0.2">
      <c r="D5151" s="341"/>
      <c r="F5151" s="343"/>
      <c r="G5151" s="343"/>
      <c r="H5151" s="343"/>
      <c r="I5151" s="343"/>
      <c r="J5151" s="343"/>
      <c r="K5151" s="343"/>
      <c r="L5151" s="343"/>
    </row>
    <row r="5152" spans="4:12" x14ac:dyDescent="0.2">
      <c r="D5152" s="341"/>
      <c r="F5152" s="343"/>
      <c r="G5152" s="343"/>
      <c r="H5152" s="343"/>
      <c r="I5152" s="343"/>
      <c r="J5152" s="343"/>
      <c r="K5152" s="343"/>
      <c r="L5152" s="343"/>
    </row>
    <row r="5153" spans="4:12" x14ac:dyDescent="0.2">
      <c r="D5153" s="341"/>
      <c r="F5153" s="343"/>
      <c r="G5153" s="343"/>
      <c r="H5153" s="343"/>
      <c r="I5153" s="343"/>
      <c r="J5153" s="343"/>
      <c r="K5153" s="343"/>
      <c r="L5153" s="343"/>
    </row>
    <row r="5154" spans="4:12" x14ac:dyDescent="0.2">
      <c r="D5154" s="341"/>
      <c r="F5154" s="343"/>
      <c r="G5154" s="343"/>
      <c r="H5154" s="343"/>
      <c r="I5154" s="343"/>
      <c r="J5154" s="343"/>
      <c r="K5154" s="343"/>
      <c r="L5154" s="343"/>
    </row>
    <row r="5155" spans="4:12" x14ac:dyDescent="0.2">
      <c r="D5155" s="341"/>
      <c r="F5155" s="343"/>
      <c r="G5155" s="343"/>
      <c r="H5155" s="343"/>
      <c r="I5155" s="343"/>
      <c r="J5155" s="343"/>
      <c r="K5155" s="343"/>
      <c r="L5155" s="343"/>
    </row>
    <row r="5156" spans="4:12" x14ac:dyDescent="0.2">
      <c r="D5156" s="341"/>
      <c r="F5156" s="343"/>
      <c r="G5156" s="343"/>
      <c r="H5156" s="343"/>
      <c r="I5156" s="343"/>
      <c r="J5156" s="343"/>
      <c r="K5156" s="343"/>
      <c r="L5156" s="343"/>
    </row>
    <row r="5157" spans="4:12" x14ac:dyDescent="0.2">
      <c r="D5157" s="341"/>
      <c r="F5157" s="343"/>
      <c r="G5157" s="343"/>
      <c r="H5157" s="343"/>
      <c r="I5157" s="343"/>
      <c r="J5157" s="343"/>
      <c r="K5157" s="343"/>
      <c r="L5157" s="343"/>
    </row>
    <row r="5158" spans="4:12" x14ac:dyDescent="0.2">
      <c r="D5158" s="341"/>
      <c r="F5158" s="343"/>
      <c r="G5158" s="343"/>
      <c r="H5158" s="343"/>
      <c r="I5158" s="343"/>
      <c r="J5158" s="343"/>
      <c r="K5158" s="343"/>
      <c r="L5158" s="343"/>
    </row>
    <row r="5159" spans="4:12" x14ac:dyDescent="0.2">
      <c r="D5159" s="341"/>
      <c r="F5159" s="343"/>
      <c r="G5159" s="343"/>
      <c r="H5159" s="343"/>
      <c r="I5159" s="343"/>
      <c r="J5159" s="343"/>
      <c r="K5159" s="343"/>
      <c r="L5159" s="343"/>
    </row>
    <row r="5160" spans="4:12" x14ac:dyDescent="0.2">
      <c r="D5160" s="341"/>
      <c r="F5160" s="343"/>
      <c r="G5160" s="343"/>
      <c r="H5160" s="343"/>
      <c r="I5160" s="343"/>
      <c r="J5160" s="343"/>
      <c r="K5160" s="343"/>
      <c r="L5160" s="343"/>
    </row>
    <row r="5161" spans="4:12" x14ac:dyDescent="0.2">
      <c r="D5161" s="341"/>
      <c r="F5161" s="343"/>
      <c r="G5161" s="343"/>
      <c r="H5161" s="343"/>
      <c r="I5161" s="343"/>
      <c r="J5161" s="343"/>
      <c r="K5161" s="343"/>
      <c r="L5161" s="343"/>
    </row>
    <row r="5162" spans="4:12" x14ac:dyDescent="0.2">
      <c r="D5162" s="341"/>
      <c r="F5162" s="343"/>
      <c r="G5162" s="343"/>
      <c r="H5162" s="343"/>
      <c r="I5162" s="343"/>
      <c r="J5162" s="343"/>
      <c r="K5162" s="343"/>
      <c r="L5162" s="343"/>
    </row>
    <row r="5163" spans="4:12" x14ac:dyDescent="0.2">
      <c r="D5163" s="341"/>
      <c r="F5163" s="343"/>
      <c r="G5163" s="343"/>
      <c r="H5163" s="343"/>
      <c r="I5163" s="343"/>
      <c r="J5163" s="343"/>
      <c r="K5163" s="343"/>
      <c r="L5163" s="343"/>
    </row>
    <row r="5164" spans="4:12" x14ac:dyDescent="0.2">
      <c r="D5164" s="341"/>
      <c r="F5164" s="343"/>
      <c r="G5164" s="343"/>
      <c r="H5164" s="343"/>
      <c r="I5164" s="343"/>
      <c r="J5164" s="343"/>
      <c r="K5164" s="343"/>
      <c r="L5164" s="343"/>
    </row>
    <row r="5165" spans="4:12" x14ac:dyDescent="0.2">
      <c r="D5165" s="341"/>
      <c r="F5165" s="343"/>
      <c r="G5165" s="343"/>
      <c r="H5165" s="343"/>
      <c r="I5165" s="343"/>
      <c r="J5165" s="343"/>
      <c r="K5165" s="343"/>
      <c r="L5165" s="343"/>
    </row>
    <row r="5166" spans="4:12" x14ac:dyDescent="0.2">
      <c r="D5166" s="341"/>
      <c r="F5166" s="343"/>
      <c r="G5166" s="343"/>
      <c r="H5166" s="343"/>
      <c r="I5166" s="343"/>
      <c r="J5166" s="343"/>
      <c r="K5166" s="343"/>
      <c r="L5166" s="343"/>
    </row>
    <row r="5167" spans="4:12" x14ac:dyDescent="0.2">
      <c r="D5167" s="341"/>
      <c r="F5167" s="343"/>
      <c r="G5167" s="343"/>
      <c r="H5167" s="343"/>
      <c r="I5167" s="343"/>
      <c r="J5167" s="343"/>
      <c r="K5167" s="343"/>
      <c r="L5167" s="343"/>
    </row>
    <row r="5168" spans="4:12" x14ac:dyDescent="0.2">
      <c r="D5168" s="341"/>
      <c r="F5168" s="343"/>
      <c r="G5168" s="343"/>
      <c r="H5168" s="343"/>
      <c r="I5168" s="343"/>
      <c r="J5168" s="343"/>
      <c r="K5168" s="343"/>
      <c r="L5168" s="343"/>
    </row>
    <row r="5169" spans="4:12" x14ac:dyDescent="0.2">
      <c r="D5169" s="341"/>
      <c r="F5169" s="343"/>
      <c r="G5169" s="343"/>
      <c r="H5169" s="343"/>
      <c r="I5169" s="343"/>
      <c r="J5169" s="343"/>
      <c r="K5169" s="343"/>
      <c r="L5169" s="343"/>
    </row>
    <row r="5170" spans="4:12" x14ac:dyDescent="0.2">
      <c r="D5170" s="341"/>
      <c r="F5170" s="343"/>
      <c r="G5170" s="343"/>
      <c r="H5170" s="343"/>
      <c r="I5170" s="343"/>
      <c r="J5170" s="343"/>
      <c r="K5170" s="343"/>
      <c r="L5170" s="343"/>
    </row>
    <row r="5171" spans="4:12" x14ac:dyDescent="0.2">
      <c r="D5171" s="341"/>
      <c r="F5171" s="343"/>
      <c r="G5171" s="343"/>
      <c r="H5171" s="343"/>
      <c r="I5171" s="343"/>
      <c r="J5171" s="343"/>
      <c r="K5171" s="343"/>
      <c r="L5171" s="343"/>
    </row>
    <row r="5172" spans="4:12" x14ac:dyDescent="0.2">
      <c r="D5172" s="341"/>
      <c r="F5172" s="343"/>
      <c r="G5172" s="343"/>
      <c r="H5172" s="343"/>
      <c r="I5172" s="343"/>
      <c r="J5172" s="343"/>
      <c r="K5172" s="343"/>
      <c r="L5172" s="343"/>
    </row>
    <row r="5173" spans="4:12" x14ac:dyDescent="0.2">
      <c r="D5173" s="341"/>
      <c r="F5173" s="343"/>
      <c r="G5173" s="343"/>
      <c r="H5173" s="343"/>
      <c r="I5173" s="343"/>
      <c r="J5173" s="343"/>
      <c r="K5173" s="343"/>
      <c r="L5173" s="343"/>
    </row>
    <row r="5174" spans="4:12" x14ac:dyDescent="0.2">
      <c r="D5174" s="341"/>
      <c r="F5174" s="343"/>
      <c r="G5174" s="343"/>
      <c r="H5174" s="343"/>
      <c r="I5174" s="343"/>
      <c r="J5174" s="343"/>
      <c r="K5174" s="343"/>
      <c r="L5174" s="343"/>
    </row>
    <row r="5175" spans="4:12" x14ac:dyDescent="0.2">
      <c r="D5175" s="341"/>
      <c r="F5175" s="343"/>
      <c r="G5175" s="343"/>
      <c r="H5175" s="343"/>
      <c r="I5175" s="343"/>
      <c r="J5175" s="343"/>
      <c r="K5175" s="343"/>
      <c r="L5175" s="343"/>
    </row>
    <row r="5176" spans="4:12" x14ac:dyDescent="0.2">
      <c r="D5176" s="341"/>
      <c r="F5176" s="343"/>
      <c r="G5176" s="343"/>
      <c r="H5176" s="343"/>
      <c r="I5176" s="343"/>
      <c r="J5176" s="343"/>
      <c r="K5176" s="343"/>
      <c r="L5176" s="343"/>
    </row>
    <row r="5177" spans="4:12" x14ac:dyDescent="0.2">
      <c r="D5177" s="341"/>
      <c r="F5177" s="343"/>
      <c r="G5177" s="343"/>
      <c r="H5177" s="343"/>
      <c r="I5177" s="343"/>
      <c r="J5177" s="343"/>
      <c r="K5177" s="343"/>
      <c r="L5177" s="343"/>
    </row>
    <row r="5178" spans="4:12" x14ac:dyDescent="0.2">
      <c r="D5178" s="341"/>
      <c r="F5178" s="343"/>
      <c r="G5178" s="343"/>
      <c r="H5178" s="343"/>
      <c r="I5178" s="343"/>
      <c r="J5178" s="343"/>
      <c r="K5178" s="343"/>
      <c r="L5178" s="343"/>
    </row>
    <row r="5179" spans="4:12" x14ac:dyDescent="0.2">
      <c r="D5179" s="341"/>
      <c r="F5179" s="343"/>
      <c r="G5179" s="343"/>
      <c r="H5179" s="343"/>
      <c r="I5179" s="343"/>
      <c r="J5179" s="343"/>
      <c r="K5179" s="343"/>
      <c r="L5179" s="343"/>
    </row>
    <row r="5180" spans="4:12" x14ac:dyDescent="0.2">
      <c r="D5180" s="341"/>
      <c r="F5180" s="343"/>
      <c r="G5180" s="343"/>
      <c r="H5180" s="343"/>
      <c r="I5180" s="343"/>
      <c r="J5180" s="343"/>
      <c r="K5180" s="343"/>
      <c r="L5180" s="343"/>
    </row>
    <row r="5181" spans="4:12" x14ac:dyDescent="0.2">
      <c r="D5181" s="341"/>
      <c r="F5181" s="343"/>
      <c r="G5181" s="343"/>
      <c r="H5181" s="343"/>
      <c r="I5181" s="343"/>
      <c r="J5181" s="343"/>
      <c r="K5181" s="343"/>
      <c r="L5181" s="343"/>
    </row>
    <row r="5182" spans="4:12" x14ac:dyDescent="0.2">
      <c r="D5182" s="341"/>
      <c r="F5182" s="343"/>
      <c r="G5182" s="343"/>
      <c r="H5182" s="343"/>
      <c r="I5182" s="343"/>
      <c r="J5182" s="343"/>
      <c r="K5182" s="343"/>
      <c r="L5182" s="343"/>
    </row>
    <row r="5183" spans="4:12" x14ac:dyDescent="0.2">
      <c r="D5183" s="341"/>
      <c r="F5183" s="343"/>
      <c r="G5183" s="343"/>
      <c r="H5183" s="343"/>
      <c r="I5183" s="343"/>
      <c r="J5183" s="343"/>
      <c r="K5183" s="343"/>
      <c r="L5183" s="343"/>
    </row>
    <row r="5184" spans="4:12" x14ac:dyDescent="0.2">
      <c r="D5184" s="341"/>
      <c r="F5184" s="343"/>
      <c r="G5184" s="343"/>
      <c r="H5184" s="343"/>
      <c r="I5184" s="343"/>
      <c r="J5184" s="343"/>
      <c r="K5184" s="343"/>
      <c r="L5184" s="343"/>
    </row>
    <row r="5185" spans="4:12" x14ac:dyDescent="0.2">
      <c r="D5185" s="341"/>
      <c r="F5185" s="343"/>
      <c r="G5185" s="343"/>
      <c r="H5185" s="343"/>
      <c r="I5185" s="343"/>
      <c r="J5185" s="343"/>
      <c r="K5185" s="343"/>
      <c r="L5185" s="343"/>
    </row>
    <row r="5186" spans="4:12" x14ac:dyDescent="0.2">
      <c r="D5186" s="341"/>
      <c r="F5186" s="343"/>
      <c r="G5186" s="343"/>
      <c r="H5186" s="343"/>
      <c r="I5186" s="343"/>
      <c r="J5186" s="343"/>
      <c r="K5186" s="343"/>
      <c r="L5186" s="343"/>
    </row>
    <row r="5187" spans="4:12" x14ac:dyDescent="0.2">
      <c r="D5187" s="341"/>
      <c r="F5187" s="343"/>
      <c r="G5187" s="343"/>
      <c r="H5187" s="343"/>
      <c r="I5187" s="343"/>
      <c r="J5187" s="343"/>
      <c r="K5187" s="343"/>
      <c r="L5187" s="343"/>
    </row>
    <row r="5188" spans="4:12" x14ac:dyDescent="0.2">
      <c r="D5188" s="341"/>
      <c r="F5188" s="343"/>
      <c r="G5188" s="343"/>
      <c r="H5188" s="343"/>
      <c r="I5188" s="343"/>
      <c r="J5188" s="343"/>
      <c r="K5188" s="343"/>
      <c r="L5188" s="343"/>
    </row>
    <row r="5189" spans="4:12" x14ac:dyDescent="0.2">
      <c r="D5189" s="341"/>
      <c r="F5189" s="343"/>
      <c r="G5189" s="343"/>
      <c r="H5189" s="343"/>
      <c r="I5189" s="343"/>
      <c r="J5189" s="343"/>
      <c r="K5189" s="343"/>
      <c r="L5189" s="343"/>
    </row>
    <row r="5190" spans="4:12" x14ac:dyDescent="0.2">
      <c r="D5190" s="341"/>
      <c r="F5190" s="343"/>
      <c r="G5190" s="343"/>
      <c r="H5190" s="343"/>
      <c r="I5190" s="343"/>
      <c r="J5190" s="343"/>
      <c r="K5190" s="343"/>
      <c r="L5190" s="343"/>
    </row>
    <row r="5191" spans="4:12" x14ac:dyDescent="0.2">
      <c r="D5191" s="341"/>
      <c r="F5191" s="343"/>
      <c r="G5191" s="343"/>
      <c r="H5191" s="343"/>
      <c r="I5191" s="343"/>
      <c r="J5191" s="343"/>
      <c r="K5191" s="343"/>
      <c r="L5191" s="343"/>
    </row>
    <row r="5192" spans="4:12" x14ac:dyDescent="0.2">
      <c r="D5192" s="341"/>
      <c r="F5192" s="343"/>
      <c r="G5192" s="343"/>
      <c r="H5192" s="343"/>
      <c r="I5192" s="343"/>
      <c r="J5192" s="343"/>
      <c r="K5192" s="343"/>
      <c r="L5192" s="343"/>
    </row>
    <row r="5193" spans="4:12" x14ac:dyDescent="0.2">
      <c r="D5193" s="341"/>
      <c r="F5193" s="343"/>
      <c r="G5193" s="343"/>
      <c r="H5193" s="343"/>
      <c r="I5193" s="343"/>
      <c r="J5193" s="343"/>
      <c r="K5193" s="343"/>
      <c r="L5193" s="343"/>
    </row>
    <row r="5194" spans="4:12" x14ac:dyDescent="0.2">
      <c r="D5194" s="341"/>
      <c r="F5194" s="343"/>
      <c r="G5194" s="343"/>
      <c r="H5194" s="343"/>
      <c r="I5194" s="343"/>
      <c r="J5194" s="343"/>
      <c r="K5194" s="343"/>
      <c r="L5194" s="343"/>
    </row>
    <row r="5195" spans="4:12" x14ac:dyDescent="0.2">
      <c r="D5195" s="341"/>
      <c r="F5195" s="343"/>
      <c r="G5195" s="343"/>
      <c r="H5195" s="343"/>
      <c r="I5195" s="343"/>
      <c r="J5195" s="343"/>
      <c r="K5195" s="343"/>
      <c r="L5195" s="343"/>
    </row>
    <row r="5196" spans="4:12" x14ac:dyDescent="0.2">
      <c r="D5196" s="341"/>
      <c r="F5196" s="343"/>
      <c r="G5196" s="343"/>
      <c r="H5196" s="343"/>
      <c r="I5196" s="343"/>
      <c r="J5196" s="343"/>
      <c r="K5196" s="343"/>
      <c r="L5196" s="343"/>
    </row>
    <row r="5197" spans="4:12" x14ac:dyDescent="0.2">
      <c r="D5197" s="341"/>
      <c r="F5197" s="343"/>
      <c r="G5197" s="343"/>
      <c r="H5197" s="343"/>
      <c r="I5197" s="343"/>
      <c r="J5197" s="343"/>
      <c r="K5197" s="343"/>
      <c r="L5197" s="343"/>
    </row>
    <row r="5198" spans="4:12" x14ac:dyDescent="0.2">
      <c r="D5198" s="341"/>
      <c r="F5198" s="343"/>
      <c r="G5198" s="343"/>
      <c r="H5198" s="343"/>
      <c r="I5198" s="343"/>
      <c r="J5198" s="343"/>
      <c r="K5198" s="343"/>
      <c r="L5198" s="343"/>
    </row>
    <row r="5199" spans="4:12" x14ac:dyDescent="0.2">
      <c r="D5199" s="341"/>
      <c r="F5199" s="343"/>
      <c r="G5199" s="343"/>
      <c r="H5199" s="343"/>
      <c r="I5199" s="343"/>
      <c r="J5199" s="343"/>
      <c r="K5199" s="343"/>
      <c r="L5199" s="343"/>
    </row>
    <row r="5200" spans="4:12" x14ac:dyDescent="0.2">
      <c r="D5200" s="341"/>
      <c r="F5200" s="343"/>
      <c r="G5200" s="343"/>
      <c r="H5200" s="343"/>
      <c r="I5200" s="343"/>
      <c r="J5200" s="343"/>
      <c r="K5200" s="343"/>
      <c r="L5200" s="343"/>
    </row>
    <row r="5201" spans="4:12" x14ac:dyDescent="0.2">
      <c r="D5201" s="341"/>
      <c r="F5201" s="343"/>
      <c r="G5201" s="343"/>
      <c r="H5201" s="343"/>
      <c r="I5201" s="343"/>
      <c r="J5201" s="343"/>
      <c r="K5201" s="343"/>
      <c r="L5201" s="343"/>
    </row>
    <row r="5202" spans="4:12" x14ac:dyDescent="0.2">
      <c r="D5202" s="341"/>
      <c r="F5202" s="343"/>
      <c r="G5202" s="343"/>
      <c r="H5202" s="343"/>
      <c r="I5202" s="343"/>
      <c r="J5202" s="343"/>
      <c r="K5202" s="343"/>
      <c r="L5202" s="343"/>
    </row>
    <row r="5203" spans="4:12" x14ac:dyDescent="0.2">
      <c r="D5203" s="341"/>
      <c r="F5203" s="343"/>
      <c r="G5203" s="343"/>
      <c r="H5203" s="343"/>
      <c r="I5203" s="343"/>
      <c r="J5203" s="343"/>
      <c r="K5203" s="343"/>
      <c r="L5203" s="343"/>
    </row>
    <row r="5204" spans="4:12" x14ac:dyDescent="0.2">
      <c r="D5204" s="341"/>
      <c r="F5204" s="343"/>
      <c r="G5204" s="343"/>
      <c r="H5204" s="343"/>
      <c r="I5204" s="343"/>
      <c r="J5204" s="343"/>
      <c r="K5204" s="343"/>
      <c r="L5204" s="343"/>
    </row>
    <row r="5205" spans="4:12" x14ac:dyDescent="0.2">
      <c r="D5205" s="341"/>
      <c r="F5205" s="343"/>
      <c r="G5205" s="343"/>
      <c r="H5205" s="343"/>
      <c r="I5205" s="343"/>
      <c r="J5205" s="343"/>
      <c r="K5205" s="343"/>
      <c r="L5205" s="343"/>
    </row>
    <row r="5206" spans="4:12" x14ac:dyDescent="0.2">
      <c r="D5206" s="341"/>
      <c r="F5206" s="343"/>
      <c r="G5206" s="343"/>
      <c r="H5206" s="343"/>
      <c r="I5206" s="343"/>
      <c r="J5206" s="343"/>
      <c r="K5206" s="343"/>
      <c r="L5206" s="343"/>
    </row>
    <row r="5207" spans="4:12" x14ac:dyDescent="0.2">
      <c r="D5207" s="341"/>
      <c r="F5207" s="343"/>
      <c r="G5207" s="343"/>
      <c r="H5207" s="343"/>
      <c r="I5207" s="343"/>
      <c r="J5207" s="343"/>
      <c r="K5207" s="343"/>
      <c r="L5207" s="343"/>
    </row>
    <row r="5208" spans="4:12" x14ac:dyDescent="0.2">
      <c r="D5208" s="341"/>
      <c r="F5208" s="343"/>
      <c r="G5208" s="343"/>
      <c r="H5208" s="343"/>
      <c r="I5208" s="343"/>
      <c r="J5208" s="343"/>
      <c r="K5208" s="343"/>
      <c r="L5208" s="343"/>
    </row>
    <row r="5209" spans="4:12" x14ac:dyDescent="0.2">
      <c r="D5209" s="341"/>
      <c r="F5209" s="343"/>
      <c r="G5209" s="343"/>
      <c r="H5209" s="343"/>
      <c r="I5209" s="343"/>
      <c r="J5209" s="343"/>
      <c r="K5209" s="343"/>
      <c r="L5209" s="343"/>
    </row>
    <row r="5210" spans="4:12" x14ac:dyDescent="0.2">
      <c r="D5210" s="341"/>
      <c r="F5210" s="343"/>
      <c r="G5210" s="343"/>
      <c r="H5210" s="343"/>
      <c r="I5210" s="343"/>
      <c r="J5210" s="343"/>
      <c r="K5210" s="343"/>
      <c r="L5210" s="343"/>
    </row>
    <row r="5211" spans="4:12" x14ac:dyDescent="0.2">
      <c r="D5211" s="341"/>
      <c r="F5211" s="343"/>
      <c r="G5211" s="343"/>
      <c r="H5211" s="343"/>
      <c r="I5211" s="343"/>
      <c r="J5211" s="343"/>
      <c r="K5211" s="343"/>
      <c r="L5211" s="343"/>
    </row>
    <row r="5212" spans="4:12" x14ac:dyDescent="0.2">
      <c r="D5212" s="341"/>
      <c r="F5212" s="343"/>
      <c r="G5212" s="343"/>
      <c r="H5212" s="343"/>
      <c r="I5212" s="343"/>
      <c r="J5212" s="343"/>
      <c r="K5212" s="343"/>
      <c r="L5212" s="343"/>
    </row>
    <row r="5213" spans="4:12" x14ac:dyDescent="0.2">
      <c r="D5213" s="341"/>
      <c r="F5213" s="343"/>
      <c r="G5213" s="343"/>
      <c r="H5213" s="343"/>
      <c r="I5213" s="343"/>
      <c r="J5213" s="343"/>
      <c r="K5213" s="343"/>
      <c r="L5213" s="343"/>
    </row>
    <row r="5214" spans="4:12" x14ac:dyDescent="0.2">
      <c r="D5214" s="341"/>
      <c r="F5214" s="343"/>
      <c r="G5214" s="343"/>
      <c r="H5214" s="343"/>
      <c r="I5214" s="343"/>
      <c r="J5214" s="343"/>
      <c r="K5214" s="343"/>
      <c r="L5214" s="343"/>
    </row>
    <row r="5215" spans="4:12" x14ac:dyDescent="0.2">
      <c r="D5215" s="341"/>
      <c r="F5215" s="343"/>
      <c r="G5215" s="343"/>
      <c r="H5215" s="343"/>
      <c r="I5215" s="343"/>
      <c r="J5215" s="343"/>
      <c r="K5215" s="343"/>
      <c r="L5215" s="343"/>
    </row>
    <row r="5216" spans="4:12" x14ac:dyDescent="0.2">
      <c r="D5216" s="341"/>
      <c r="F5216" s="343"/>
      <c r="G5216" s="343"/>
      <c r="H5216" s="343"/>
      <c r="I5216" s="343"/>
      <c r="J5216" s="343"/>
      <c r="K5216" s="343"/>
      <c r="L5216" s="343"/>
    </row>
    <row r="5217" spans="4:12" x14ac:dyDescent="0.2">
      <c r="D5217" s="341"/>
      <c r="F5217" s="343"/>
      <c r="G5217" s="343"/>
      <c r="H5217" s="343"/>
      <c r="I5217" s="343"/>
      <c r="J5217" s="343"/>
      <c r="K5217" s="343"/>
      <c r="L5217" s="343"/>
    </row>
    <row r="5218" spans="4:12" x14ac:dyDescent="0.2">
      <c r="D5218" s="341"/>
      <c r="F5218" s="343"/>
      <c r="G5218" s="343"/>
      <c r="H5218" s="343"/>
      <c r="I5218" s="343"/>
      <c r="J5218" s="343"/>
      <c r="K5218" s="343"/>
      <c r="L5218" s="343"/>
    </row>
    <row r="5219" spans="4:12" x14ac:dyDescent="0.2">
      <c r="D5219" s="341"/>
      <c r="F5219" s="343"/>
      <c r="G5219" s="343"/>
      <c r="H5219" s="343"/>
      <c r="I5219" s="343"/>
      <c r="J5219" s="343"/>
      <c r="K5219" s="343"/>
      <c r="L5219" s="343"/>
    </row>
    <row r="5220" spans="4:12" x14ac:dyDescent="0.2">
      <c r="D5220" s="341"/>
      <c r="F5220" s="343"/>
      <c r="G5220" s="343"/>
      <c r="H5220" s="343"/>
      <c r="I5220" s="343"/>
      <c r="J5220" s="343"/>
      <c r="K5220" s="343"/>
      <c r="L5220" s="343"/>
    </row>
    <row r="5221" spans="4:12" x14ac:dyDescent="0.2">
      <c r="D5221" s="341"/>
      <c r="F5221" s="343"/>
      <c r="G5221" s="343"/>
      <c r="H5221" s="343"/>
      <c r="I5221" s="343"/>
      <c r="J5221" s="343"/>
      <c r="K5221" s="343"/>
      <c r="L5221" s="343"/>
    </row>
    <row r="5222" spans="4:12" x14ac:dyDescent="0.2">
      <c r="D5222" s="341"/>
      <c r="F5222" s="343"/>
      <c r="G5222" s="343"/>
      <c r="H5222" s="343"/>
      <c r="I5222" s="343"/>
      <c r="J5222" s="343"/>
      <c r="K5222" s="343"/>
      <c r="L5222" s="343"/>
    </row>
    <row r="5223" spans="4:12" x14ac:dyDescent="0.2">
      <c r="D5223" s="341"/>
      <c r="F5223" s="343"/>
      <c r="G5223" s="343"/>
      <c r="H5223" s="343"/>
      <c r="I5223" s="343"/>
      <c r="J5223" s="343"/>
      <c r="K5223" s="343"/>
      <c r="L5223" s="343"/>
    </row>
    <row r="5224" spans="4:12" x14ac:dyDescent="0.2">
      <c r="D5224" s="341"/>
      <c r="F5224" s="343"/>
      <c r="G5224" s="343"/>
      <c r="H5224" s="343"/>
      <c r="I5224" s="343"/>
      <c r="J5224" s="343"/>
      <c r="K5224" s="343"/>
      <c r="L5224" s="343"/>
    </row>
    <row r="5225" spans="4:12" x14ac:dyDescent="0.2">
      <c r="D5225" s="341"/>
      <c r="F5225" s="343"/>
      <c r="G5225" s="343"/>
      <c r="H5225" s="343"/>
      <c r="I5225" s="343"/>
      <c r="J5225" s="343"/>
      <c r="K5225" s="343"/>
      <c r="L5225" s="343"/>
    </row>
    <row r="5226" spans="4:12" x14ac:dyDescent="0.2">
      <c r="D5226" s="341"/>
      <c r="F5226" s="343"/>
      <c r="G5226" s="343"/>
      <c r="H5226" s="343"/>
      <c r="I5226" s="343"/>
      <c r="J5226" s="343"/>
      <c r="K5226" s="343"/>
      <c r="L5226" s="343"/>
    </row>
    <row r="5227" spans="4:12" x14ac:dyDescent="0.2">
      <c r="D5227" s="341"/>
      <c r="F5227" s="343"/>
      <c r="G5227" s="343"/>
      <c r="H5227" s="343"/>
      <c r="I5227" s="343"/>
      <c r="J5227" s="343"/>
      <c r="K5227" s="343"/>
      <c r="L5227" s="343"/>
    </row>
    <row r="5228" spans="4:12" x14ac:dyDescent="0.2">
      <c r="D5228" s="341"/>
      <c r="F5228" s="343"/>
      <c r="G5228" s="343"/>
      <c r="H5228" s="343"/>
      <c r="I5228" s="343"/>
      <c r="J5228" s="343"/>
      <c r="K5228" s="343"/>
      <c r="L5228" s="343"/>
    </row>
    <row r="5229" spans="4:12" x14ac:dyDescent="0.2">
      <c r="D5229" s="341"/>
      <c r="F5229" s="343"/>
      <c r="G5229" s="343"/>
      <c r="H5229" s="343"/>
      <c r="I5229" s="343"/>
      <c r="J5229" s="343"/>
      <c r="K5229" s="343"/>
      <c r="L5229" s="343"/>
    </row>
    <row r="5230" spans="4:12" x14ac:dyDescent="0.2">
      <c r="D5230" s="341"/>
      <c r="F5230" s="343"/>
      <c r="G5230" s="343"/>
      <c r="H5230" s="343"/>
      <c r="I5230" s="343"/>
      <c r="J5230" s="343"/>
      <c r="K5230" s="343"/>
      <c r="L5230" s="343"/>
    </row>
    <row r="5231" spans="4:12" x14ac:dyDescent="0.2">
      <c r="D5231" s="341"/>
      <c r="F5231" s="343"/>
      <c r="G5231" s="343"/>
      <c r="H5231" s="343"/>
      <c r="I5231" s="343"/>
      <c r="J5231" s="343"/>
      <c r="K5231" s="343"/>
      <c r="L5231" s="343"/>
    </row>
    <row r="5232" spans="4:12" x14ac:dyDescent="0.2">
      <c r="D5232" s="341"/>
      <c r="F5232" s="343"/>
      <c r="G5232" s="343"/>
      <c r="H5232" s="343"/>
      <c r="I5232" s="343"/>
      <c r="J5232" s="343"/>
      <c r="K5232" s="343"/>
      <c r="L5232" s="343"/>
    </row>
    <row r="5233" spans="4:12" x14ac:dyDescent="0.2">
      <c r="D5233" s="341"/>
      <c r="F5233" s="343"/>
      <c r="G5233" s="343"/>
      <c r="H5233" s="343"/>
      <c r="I5233" s="343"/>
      <c r="J5233" s="343"/>
      <c r="K5233" s="343"/>
      <c r="L5233" s="343"/>
    </row>
    <row r="5234" spans="4:12" x14ac:dyDescent="0.2">
      <c r="D5234" s="341"/>
      <c r="F5234" s="343"/>
      <c r="G5234" s="343"/>
      <c r="H5234" s="343"/>
      <c r="I5234" s="343"/>
      <c r="J5234" s="343"/>
      <c r="K5234" s="343"/>
      <c r="L5234" s="343"/>
    </row>
    <row r="5235" spans="4:12" x14ac:dyDescent="0.2">
      <c r="D5235" s="341"/>
      <c r="F5235" s="343"/>
      <c r="G5235" s="343"/>
      <c r="H5235" s="343"/>
      <c r="I5235" s="343"/>
      <c r="J5235" s="343"/>
      <c r="K5235" s="343"/>
      <c r="L5235" s="343"/>
    </row>
    <row r="5236" spans="4:12" x14ac:dyDescent="0.2">
      <c r="D5236" s="341"/>
      <c r="F5236" s="343"/>
      <c r="G5236" s="343"/>
      <c r="H5236" s="343"/>
      <c r="I5236" s="343"/>
      <c r="J5236" s="343"/>
      <c r="K5236" s="343"/>
      <c r="L5236" s="343"/>
    </row>
    <row r="5237" spans="4:12" x14ac:dyDescent="0.2">
      <c r="D5237" s="341"/>
      <c r="F5237" s="343"/>
      <c r="G5237" s="343"/>
      <c r="H5237" s="343"/>
      <c r="I5237" s="343"/>
      <c r="J5237" s="343"/>
      <c r="K5237" s="343"/>
      <c r="L5237" s="343"/>
    </row>
    <row r="5238" spans="4:12" x14ac:dyDescent="0.2">
      <c r="D5238" s="341"/>
      <c r="F5238" s="343"/>
      <c r="G5238" s="343"/>
      <c r="H5238" s="343"/>
      <c r="I5238" s="343"/>
      <c r="J5238" s="343"/>
      <c r="K5238" s="343"/>
      <c r="L5238" s="343"/>
    </row>
    <row r="5239" spans="4:12" x14ac:dyDescent="0.2">
      <c r="D5239" s="341"/>
      <c r="F5239" s="343"/>
      <c r="G5239" s="343"/>
      <c r="H5239" s="343"/>
      <c r="I5239" s="343"/>
      <c r="J5239" s="343"/>
      <c r="K5239" s="343"/>
      <c r="L5239" s="343"/>
    </row>
    <row r="5240" spans="4:12" x14ac:dyDescent="0.2">
      <c r="D5240" s="341"/>
      <c r="F5240" s="343"/>
      <c r="G5240" s="343"/>
      <c r="H5240" s="343"/>
      <c r="I5240" s="343"/>
      <c r="J5240" s="343"/>
      <c r="K5240" s="343"/>
      <c r="L5240" s="343"/>
    </row>
    <row r="5241" spans="4:12" x14ac:dyDescent="0.2">
      <c r="D5241" s="341"/>
      <c r="F5241" s="343"/>
      <c r="G5241" s="343"/>
      <c r="H5241" s="343"/>
      <c r="I5241" s="343"/>
      <c r="J5241" s="343"/>
      <c r="K5241" s="343"/>
      <c r="L5241" s="343"/>
    </row>
    <row r="5242" spans="4:12" x14ac:dyDescent="0.2">
      <c r="D5242" s="341"/>
      <c r="F5242" s="343"/>
      <c r="G5242" s="343"/>
      <c r="H5242" s="343"/>
      <c r="I5242" s="343"/>
      <c r="J5242" s="343"/>
      <c r="K5242" s="343"/>
      <c r="L5242" s="343"/>
    </row>
    <row r="5243" spans="4:12" x14ac:dyDescent="0.2">
      <c r="D5243" s="341"/>
      <c r="F5243" s="343"/>
      <c r="G5243" s="343"/>
      <c r="H5243" s="343"/>
      <c r="I5243" s="343"/>
      <c r="J5243" s="343"/>
      <c r="K5243" s="343"/>
      <c r="L5243" s="343"/>
    </row>
    <row r="5244" spans="4:12" x14ac:dyDescent="0.2">
      <c r="D5244" s="341"/>
      <c r="F5244" s="343"/>
      <c r="G5244" s="343"/>
      <c r="H5244" s="343"/>
      <c r="I5244" s="343"/>
      <c r="J5244" s="343"/>
      <c r="K5244" s="343"/>
      <c r="L5244" s="343"/>
    </row>
    <row r="5245" spans="4:12" x14ac:dyDescent="0.2">
      <c r="D5245" s="341"/>
      <c r="F5245" s="343"/>
      <c r="G5245" s="343"/>
      <c r="H5245" s="343"/>
      <c r="I5245" s="343"/>
      <c r="J5245" s="343"/>
      <c r="K5245" s="343"/>
      <c r="L5245" s="343"/>
    </row>
    <row r="5246" spans="4:12" x14ac:dyDescent="0.2">
      <c r="D5246" s="341"/>
      <c r="F5246" s="343"/>
      <c r="G5246" s="343"/>
      <c r="H5246" s="343"/>
      <c r="I5246" s="343"/>
      <c r="J5246" s="343"/>
      <c r="K5246" s="343"/>
      <c r="L5246" s="343"/>
    </row>
    <row r="5247" spans="4:12" x14ac:dyDescent="0.2">
      <c r="D5247" s="341"/>
      <c r="F5247" s="343"/>
      <c r="G5247" s="343"/>
      <c r="H5247" s="343"/>
      <c r="I5247" s="343"/>
      <c r="J5247" s="343"/>
      <c r="K5247" s="343"/>
      <c r="L5247" s="343"/>
    </row>
    <row r="5248" spans="4:12" x14ac:dyDescent="0.2">
      <c r="D5248" s="341"/>
      <c r="F5248" s="343"/>
      <c r="G5248" s="343"/>
      <c r="H5248" s="343"/>
      <c r="I5248" s="343"/>
      <c r="J5248" s="343"/>
      <c r="K5248" s="343"/>
      <c r="L5248" s="343"/>
    </row>
    <row r="5249" spans="4:12" x14ac:dyDescent="0.2">
      <c r="D5249" s="341"/>
      <c r="F5249" s="343"/>
      <c r="G5249" s="343"/>
      <c r="H5249" s="343"/>
      <c r="I5249" s="343"/>
      <c r="J5249" s="343"/>
      <c r="K5249" s="343"/>
      <c r="L5249" s="343"/>
    </row>
    <row r="5250" spans="4:12" x14ac:dyDescent="0.2">
      <c r="D5250" s="341"/>
      <c r="F5250" s="343"/>
      <c r="G5250" s="343"/>
      <c r="H5250" s="343"/>
      <c r="I5250" s="343"/>
      <c r="J5250" s="343"/>
      <c r="K5250" s="343"/>
      <c r="L5250" s="343"/>
    </row>
    <row r="5251" spans="4:12" x14ac:dyDescent="0.2">
      <c r="D5251" s="341"/>
      <c r="F5251" s="343"/>
      <c r="G5251" s="343"/>
      <c r="H5251" s="343"/>
      <c r="I5251" s="343"/>
      <c r="J5251" s="343"/>
      <c r="K5251" s="343"/>
      <c r="L5251" s="343"/>
    </row>
    <row r="5252" spans="4:12" x14ac:dyDescent="0.2">
      <c r="D5252" s="341"/>
      <c r="F5252" s="343"/>
      <c r="G5252" s="343"/>
      <c r="H5252" s="343"/>
      <c r="I5252" s="343"/>
      <c r="J5252" s="343"/>
      <c r="K5252" s="343"/>
      <c r="L5252" s="343"/>
    </row>
    <row r="5253" spans="4:12" x14ac:dyDescent="0.2">
      <c r="D5253" s="341"/>
      <c r="F5253" s="343"/>
      <c r="G5253" s="343"/>
      <c r="H5253" s="343"/>
      <c r="I5253" s="343"/>
      <c r="J5253" s="343"/>
      <c r="K5253" s="343"/>
      <c r="L5253" s="343"/>
    </row>
    <row r="5254" spans="4:12" x14ac:dyDescent="0.2">
      <c r="D5254" s="341"/>
      <c r="F5254" s="343"/>
      <c r="G5254" s="343"/>
      <c r="H5254" s="343"/>
      <c r="I5254" s="343"/>
      <c r="J5254" s="343"/>
      <c r="K5254" s="343"/>
      <c r="L5254" s="343"/>
    </row>
    <row r="5255" spans="4:12" x14ac:dyDescent="0.2">
      <c r="D5255" s="341"/>
      <c r="F5255" s="343"/>
      <c r="G5255" s="343"/>
      <c r="H5255" s="343"/>
      <c r="I5255" s="343"/>
      <c r="J5255" s="343"/>
      <c r="K5255" s="343"/>
      <c r="L5255" s="343"/>
    </row>
    <row r="5256" spans="4:12" x14ac:dyDescent="0.2">
      <c r="D5256" s="341"/>
      <c r="F5256" s="343"/>
      <c r="G5256" s="343"/>
      <c r="H5256" s="343"/>
      <c r="I5256" s="343"/>
      <c r="J5256" s="343"/>
      <c r="K5256" s="343"/>
      <c r="L5256" s="343"/>
    </row>
    <row r="5257" spans="4:12" x14ac:dyDescent="0.2">
      <c r="D5257" s="341"/>
      <c r="F5257" s="343"/>
      <c r="G5257" s="343"/>
      <c r="H5257" s="343"/>
      <c r="I5257" s="343"/>
      <c r="J5257" s="343"/>
      <c r="K5257" s="343"/>
      <c r="L5257" s="343"/>
    </row>
    <row r="5258" spans="4:12" x14ac:dyDescent="0.2">
      <c r="D5258" s="341"/>
      <c r="F5258" s="343"/>
      <c r="G5258" s="343"/>
      <c r="H5258" s="343"/>
      <c r="I5258" s="343"/>
      <c r="J5258" s="343"/>
      <c r="K5258" s="343"/>
      <c r="L5258" s="343"/>
    </row>
    <row r="5259" spans="4:12" x14ac:dyDescent="0.2">
      <c r="D5259" s="341"/>
      <c r="F5259" s="343"/>
      <c r="G5259" s="343"/>
      <c r="H5259" s="343"/>
      <c r="I5259" s="343"/>
      <c r="J5259" s="343"/>
      <c r="K5259" s="343"/>
      <c r="L5259" s="343"/>
    </row>
    <row r="5260" spans="4:12" x14ac:dyDescent="0.2">
      <c r="D5260" s="341"/>
      <c r="F5260" s="343"/>
      <c r="G5260" s="343"/>
      <c r="H5260" s="343"/>
      <c r="I5260" s="343"/>
      <c r="J5260" s="343"/>
      <c r="K5260" s="343"/>
      <c r="L5260" s="343"/>
    </row>
    <row r="5261" spans="4:12" x14ac:dyDescent="0.2">
      <c r="D5261" s="341"/>
      <c r="F5261" s="343"/>
      <c r="G5261" s="343"/>
      <c r="H5261" s="343"/>
      <c r="I5261" s="343"/>
      <c r="J5261" s="343"/>
      <c r="K5261" s="343"/>
      <c r="L5261" s="343"/>
    </row>
    <row r="5262" spans="4:12" x14ac:dyDescent="0.2">
      <c r="D5262" s="341"/>
      <c r="F5262" s="343"/>
      <c r="G5262" s="343"/>
      <c r="H5262" s="343"/>
      <c r="I5262" s="343"/>
      <c r="J5262" s="343"/>
      <c r="K5262" s="343"/>
      <c r="L5262" s="343"/>
    </row>
    <row r="5263" spans="4:12" x14ac:dyDescent="0.2">
      <c r="D5263" s="341"/>
      <c r="F5263" s="343"/>
      <c r="G5263" s="343"/>
      <c r="H5263" s="343"/>
      <c r="I5263" s="343"/>
      <c r="J5263" s="343"/>
      <c r="K5263" s="343"/>
      <c r="L5263" s="343"/>
    </row>
    <row r="5264" spans="4:12" x14ac:dyDescent="0.2">
      <c r="D5264" s="341"/>
      <c r="F5264" s="343"/>
      <c r="G5264" s="343"/>
      <c r="H5264" s="343"/>
      <c r="I5264" s="343"/>
      <c r="J5264" s="343"/>
      <c r="K5264" s="343"/>
      <c r="L5264" s="343"/>
    </row>
    <row r="5265" spans="4:12" x14ac:dyDescent="0.2">
      <c r="D5265" s="341"/>
      <c r="F5265" s="343"/>
      <c r="G5265" s="343"/>
      <c r="H5265" s="343"/>
      <c r="I5265" s="343"/>
      <c r="J5265" s="343"/>
      <c r="K5265" s="343"/>
      <c r="L5265" s="343"/>
    </row>
    <row r="5266" spans="4:12" x14ac:dyDescent="0.2">
      <c r="D5266" s="341"/>
      <c r="F5266" s="343"/>
      <c r="G5266" s="343"/>
      <c r="H5266" s="343"/>
      <c r="I5266" s="343"/>
      <c r="J5266" s="343"/>
      <c r="K5266" s="343"/>
      <c r="L5266" s="343"/>
    </row>
    <row r="5267" spans="4:12" x14ac:dyDescent="0.2">
      <c r="D5267" s="341"/>
      <c r="F5267" s="343"/>
      <c r="G5267" s="343"/>
      <c r="H5267" s="343"/>
      <c r="I5267" s="343"/>
      <c r="J5267" s="343"/>
      <c r="K5267" s="343"/>
      <c r="L5267" s="343"/>
    </row>
    <row r="5268" spans="4:12" x14ac:dyDescent="0.2">
      <c r="D5268" s="341"/>
      <c r="F5268" s="343"/>
      <c r="G5268" s="343"/>
      <c r="H5268" s="343"/>
      <c r="I5268" s="343"/>
      <c r="J5268" s="343"/>
      <c r="K5268" s="343"/>
      <c r="L5268" s="343"/>
    </row>
    <row r="5269" spans="4:12" x14ac:dyDescent="0.2">
      <c r="D5269" s="341"/>
      <c r="F5269" s="343"/>
      <c r="G5269" s="343"/>
      <c r="H5269" s="343"/>
      <c r="I5269" s="343"/>
      <c r="J5269" s="343"/>
      <c r="K5269" s="343"/>
      <c r="L5269" s="343"/>
    </row>
    <row r="5270" spans="4:12" x14ac:dyDescent="0.2">
      <c r="D5270" s="341"/>
      <c r="F5270" s="343"/>
      <c r="G5270" s="343"/>
      <c r="H5270" s="343"/>
      <c r="I5270" s="343"/>
      <c r="J5270" s="343"/>
      <c r="K5270" s="343"/>
      <c r="L5270" s="343"/>
    </row>
    <row r="5271" spans="4:12" x14ac:dyDescent="0.2">
      <c r="D5271" s="341"/>
      <c r="F5271" s="343"/>
      <c r="G5271" s="343"/>
      <c r="H5271" s="343"/>
      <c r="I5271" s="343"/>
      <c r="J5271" s="343"/>
      <c r="K5271" s="343"/>
      <c r="L5271" s="343"/>
    </row>
    <row r="5272" spans="4:12" x14ac:dyDescent="0.2">
      <c r="D5272" s="341"/>
      <c r="F5272" s="343"/>
      <c r="G5272" s="343"/>
      <c r="H5272" s="343"/>
      <c r="I5272" s="343"/>
      <c r="J5272" s="343"/>
      <c r="K5272" s="343"/>
      <c r="L5272" s="343"/>
    </row>
    <row r="5273" spans="4:12" x14ac:dyDescent="0.2">
      <c r="D5273" s="341"/>
      <c r="F5273" s="343"/>
      <c r="G5273" s="343"/>
      <c r="H5273" s="343"/>
      <c r="I5273" s="343"/>
      <c r="J5273" s="343"/>
      <c r="K5273" s="343"/>
      <c r="L5273" s="343"/>
    </row>
    <row r="5274" spans="4:12" x14ac:dyDescent="0.2">
      <c r="D5274" s="341"/>
      <c r="F5274" s="343"/>
      <c r="G5274" s="343"/>
      <c r="H5274" s="343"/>
      <c r="I5274" s="343"/>
      <c r="J5274" s="343"/>
      <c r="K5274" s="343"/>
      <c r="L5274" s="343"/>
    </row>
    <row r="5275" spans="4:12" x14ac:dyDescent="0.2">
      <c r="D5275" s="341"/>
      <c r="F5275" s="343"/>
      <c r="G5275" s="343"/>
      <c r="H5275" s="343"/>
      <c r="I5275" s="343"/>
      <c r="J5275" s="343"/>
      <c r="K5275" s="343"/>
      <c r="L5275" s="343"/>
    </row>
    <row r="5276" spans="4:12" x14ac:dyDescent="0.2">
      <c r="D5276" s="341"/>
      <c r="F5276" s="343"/>
      <c r="G5276" s="343"/>
      <c r="H5276" s="343"/>
      <c r="I5276" s="343"/>
      <c r="J5276" s="343"/>
      <c r="K5276" s="343"/>
      <c r="L5276" s="343"/>
    </row>
    <row r="5277" spans="4:12" x14ac:dyDescent="0.2">
      <c r="D5277" s="341"/>
      <c r="F5277" s="343"/>
      <c r="G5277" s="343"/>
      <c r="H5277" s="343"/>
      <c r="I5277" s="343"/>
      <c r="J5277" s="343"/>
      <c r="K5277" s="343"/>
      <c r="L5277" s="343"/>
    </row>
    <row r="5278" spans="4:12" x14ac:dyDescent="0.2">
      <c r="D5278" s="341"/>
      <c r="F5278" s="343"/>
      <c r="G5278" s="343"/>
      <c r="H5278" s="343"/>
      <c r="I5278" s="343"/>
      <c r="J5278" s="343"/>
      <c r="K5278" s="343"/>
      <c r="L5278" s="343"/>
    </row>
    <row r="5279" spans="4:12" x14ac:dyDescent="0.2">
      <c r="D5279" s="341"/>
      <c r="F5279" s="343"/>
      <c r="G5279" s="343"/>
      <c r="H5279" s="343"/>
      <c r="I5279" s="343"/>
      <c r="J5279" s="343"/>
      <c r="K5279" s="343"/>
      <c r="L5279" s="343"/>
    </row>
    <row r="5280" spans="4:12" x14ac:dyDescent="0.2">
      <c r="D5280" s="341"/>
      <c r="F5280" s="343"/>
      <c r="G5280" s="343"/>
      <c r="H5280" s="343"/>
      <c r="I5280" s="343"/>
      <c r="J5280" s="343"/>
      <c r="K5280" s="343"/>
      <c r="L5280" s="343"/>
    </row>
    <row r="5281" spans="4:12" x14ac:dyDescent="0.2">
      <c r="D5281" s="341"/>
      <c r="F5281" s="343"/>
      <c r="G5281" s="343"/>
      <c r="H5281" s="343"/>
      <c r="I5281" s="343"/>
      <c r="J5281" s="343"/>
      <c r="K5281" s="343"/>
      <c r="L5281" s="343"/>
    </row>
    <row r="5282" spans="4:12" x14ac:dyDescent="0.2">
      <c r="D5282" s="341"/>
      <c r="F5282" s="343"/>
      <c r="G5282" s="343"/>
      <c r="H5282" s="343"/>
      <c r="I5282" s="343"/>
      <c r="J5282" s="343"/>
      <c r="K5282" s="343"/>
      <c r="L5282" s="343"/>
    </row>
    <row r="5283" spans="4:12" x14ac:dyDescent="0.2">
      <c r="D5283" s="341"/>
      <c r="F5283" s="343"/>
      <c r="G5283" s="343"/>
      <c r="H5283" s="343"/>
      <c r="I5283" s="343"/>
      <c r="J5283" s="343"/>
      <c r="K5283" s="343"/>
      <c r="L5283" s="343"/>
    </row>
    <row r="5284" spans="4:12" x14ac:dyDescent="0.2">
      <c r="D5284" s="341"/>
      <c r="F5284" s="343"/>
      <c r="G5284" s="343"/>
      <c r="H5284" s="343"/>
      <c r="I5284" s="343"/>
      <c r="J5284" s="343"/>
      <c r="K5284" s="343"/>
      <c r="L5284" s="343"/>
    </row>
    <row r="5285" spans="4:12" x14ac:dyDescent="0.2">
      <c r="D5285" s="341"/>
      <c r="F5285" s="343"/>
      <c r="G5285" s="343"/>
      <c r="H5285" s="343"/>
      <c r="I5285" s="343"/>
      <c r="J5285" s="343"/>
      <c r="K5285" s="343"/>
      <c r="L5285" s="343"/>
    </row>
    <row r="5286" spans="4:12" x14ac:dyDescent="0.2">
      <c r="D5286" s="341"/>
      <c r="F5286" s="343"/>
      <c r="G5286" s="343"/>
      <c r="H5286" s="343"/>
      <c r="I5286" s="343"/>
      <c r="J5286" s="343"/>
      <c r="K5286" s="343"/>
      <c r="L5286" s="343"/>
    </row>
    <row r="5287" spans="4:12" x14ac:dyDescent="0.2">
      <c r="D5287" s="341"/>
      <c r="F5287" s="343"/>
      <c r="G5287" s="343"/>
      <c r="H5287" s="343"/>
      <c r="I5287" s="343"/>
      <c r="J5287" s="343"/>
      <c r="K5287" s="343"/>
      <c r="L5287" s="343"/>
    </row>
    <row r="5288" spans="4:12" x14ac:dyDescent="0.2">
      <c r="D5288" s="341"/>
      <c r="F5288" s="343"/>
      <c r="G5288" s="343"/>
      <c r="H5288" s="343"/>
      <c r="I5288" s="343"/>
      <c r="J5288" s="343"/>
      <c r="K5288" s="343"/>
      <c r="L5288" s="343"/>
    </row>
    <row r="5289" spans="4:12" x14ac:dyDescent="0.2">
      <c r="D5289" s="341"/>
      <c r="F5289" s="343"/>
      <c r="G5289" s="343"/>
      <c r="H5289" s="343"/>
      <c r="I5289" s="343"/>
      <c r="J5289" s="343"/>
      <c r="K5289" s="343"/>
      <c r="L5289" s="343"/>
    </row>
    <row r="5290" spans="4:12" x14ac:dyDescent="0.2">
      <c r="D5290" s="341"/>
      <c r="F5290" s="343"/>
      <c r="G5290" s="343"/>
      <c r="H5290" s="343"/>
      <c r="I5290" s="343"/>
      <c r="J5290" s="343"/>
      <c r="K5290" s="343"/>
      <c r="L5290" s="343"/>
    </row>
    <row r="5291" spans="4:12" x14ac:dyDescent="0.2">
      <c r="D5291" s="341"/>
      <c r="F5291" s="343"/>
      <c r="G5291" s="343"/>
      <c r="H5291" s="343"/>
      <c r="I5291" s="343"/>
      <c r="J5291" s="343"/>
      <c r="K5291" s="343"/>
      <c r="L5291" s="343"/>
    </row>
    <row r="5292" spans="4:12" x14ac:dyDescent="0.2">
      <c r="D5292" s="341"/>
      <c r="F5292" s="343"/>
      <c r="G5292" s="343"/>
      <c r="H5292" s="343"/>
      <c r="I5292" s="343"/>
      <c r="J5292" s="343"/>
      <c r="K5292" s="343"/>
      <c r="L5292" s="343"/>
    </row>
    <row r="5293" spans="4:12" x14ac:dyDescent="0.2">
      <c r="D5293" s="341"/>
      <c r="F5293" s="343"/>
      <c r="G5293" s="343"/>
      <c r="H5293" s="343"/>
      <c r="I5293" s="343"/>
      <c r="J5293" s="343"/>
      <c r="K5293" s="343"/>
      <c r="L5293" s="343"/>
    </row>
    <row r="5294" spans="4:12" x14ac:dyDescent="0.2">
      <c r="D5294" s="341"/>
      <c r="F5294" s="343"/>
      <c r="G5294" s="343"/>
      <c r="H5294" s="343"/>
      <c r="I5294" s="343"/>
      <c r="J5294" s="343"/>
      <c r="K5294" s="343"/>
      <c r="L5294" s="343"/>
    </row>
    <row r="5295" spans="4:12" x14ac:dyDescent="0.2">
      <c r="D5295" s="341"/>
      <c r="F5295" s="343"/>
      <c r="G5295" s="343"/>
      <c r="H5295" s="343"/>
      <c r="I5295" s="343"/>
      <c r="J5295" s="343"/>
      <c r="K5295" s="343"/>
      <c r="L5295" s="343"/>
    </row>
    <row r="5296" spans="4:12" x14ac:dyDescent="0.2">
      <c r="D5296" s="341"/>
      <c r="F5296" s="343"/>
      <c r="G5296" s="343"/>
      <c r="H5296" s="343"/>
      <c r="I5296" s="343"/>
      <c r="J5296" s="343"/>
      <c r="K5296" s="343"/>
      <c r="L5296" s="343"/>
    </row>
    <row r="5297" spans="4:12" x14ac:dyDescent="0.2">
      <c r="D5297" s="341"/>
      <c r="F5297" s="343"/>
      <c r="G5297" s="343"/>
      <c r="H5297" s="343"/>
      <c r="I5297" s="343"/>
      <c r="J5297" s="343"/>
      <c r="K5297" s="343"/>
      <c r="L5297" s="343"/>
    </row>
    <row r="5298" spans="4:12" x14ac:dyDescent="0.2">
      <c r="D5298" s="341"/>
      <c r="F5298" s="343"/>
      <c r="G5298" s="343"/>
      <c r="H5298" s="343"/>
      <c r="I5298" s="343"/>
      <c r="J5298" s="343"/>
      <c r="K5298" s="343"/>
      <c r="L5298" s="343"/>
    </row>
    <row r="5299" spans="4:12" x14ac:dyDescent="0.2">
      <c r="D5299" s="341"/>
      <c r="F5299" s="343"/>
      <c r="G5299" s="343"/>
      <c r="H5299" s="343"/>
      <c r="I5299" s="343"/>
      <c r="J5299" s="343"/>
      <c r="K5299" s="343"/>
      <c r="L5299" s="343"/>
    </row>
    <row r="5300" spans="4:12" x14ac:dyDescent="0.2">
      <c r="D5300" s="341"/>
      <c r="F5300" s="343"/>
      <c r="G5300" s="343"/>
      <c r="H5300" s="343"/>
      <c r="I5300" s="343"/>
      <c r="J5300" s="343"/>
      <c r="K5300" s="343"/>
      <c r="L5300" s="343"/>
    </row>
    <row r="5301" spans="4:12" x14ac:dyDescent="0.2">
      <c r="D5301" s="341"/>
      <c r="F5301" s="343"/>
      <c r="G5301" s="343"/>
      <c r="H5301" s="343"/>
      <c r="I5301" s="343"/>
      <c r="J5301" s="343"/>
      <c r="K5301" s="343"/>
      <c r="L5301" s="343"/>
    </row>
    <row r="5302" spans="4:12" x14ac:dyDescent="0.2">
      <c r="D5302" s="341"/>
      <c r="F5302" s="343"/>
      <c r="G5302" s="343"/>
      <c r="H5302" s="343"/>
      <c r="I5302" s="343"/>
      <c r="J5302" s="343"/>
      <c r="K5302" s="343"/>
      <c r="L5302" s="343"/>
    </row>
    <row r="5303" spans="4:12" x14ac:dyDescent="0.2">
      <c r="D5303" s="341"/>
      <c r="F5303" s="343"/>
      <c r="G5303" s="343"/>
      <c r="H5303" s="343"/>
      <c r="I5303" s="343"/>
      <c r="J5303" s="343"/>
      <c r="K5303" s="343"/>
      <c r="L5303" s="343"/>
    </row>
    <row r="5304" spans="4:12" x14ac:dyDescent="0.2">
      <c r="D5304" s="341"/>
      <c r="F5304" s="343"/>
      <c r="G5304" s="343"/>
      <c r="H5304" s="343"/>
      <c r="I5304" s="343"/>
      <c r="J5304" s="343"/>
      <c r="K5304" s="343"/>
      <c r="L5304" s="343"/>
    </row>
    <row r="5305" spans="4:12" x14ac:dyDescent="0.2">
      <c r="D5305" s="341"/>
      <c r="F5305" s="343"/>
      <c r="G5305" s="343"/>
      <c r="H5305" s="343"/>
      <c r="I5305" s="343"/>
      <c r="J5305" s="343"/>
      <c r="K5305" s="343"/>
      <c r="L5305" s="343"/>
    </row>
    <row r="5306" spans="4:12" x14ac:dyDescent="0.2">
      <c r="D5306" s="341"/>
      <c r="F5306" s="343"/>
      <c r="G5306" s="343"/>
      <c r="H5306" s="343"/>
      <c r="I5306" s="343"/>
      <c r="J5306" s="343"/>
      <c r="K5306" s="343"/>
      <c r="L5306" s="343"/>
    </row>
    <row r="5307" spans="4:12" x14ac:dyDescent="0.2">
      <c r="D5307" s="341"/>
      <c r="F5307" s="343"/>
      <c r="G5307" s="343"/>
      <c r="H5307" s="343"/>
      <c r="I5307" s="343"/>
      <c r="J5307" s="343"/>
      <c r="K5307" s="343"/>
      <c r="L5307" s="343"/>
    </row>
    <row r="5308" spans="4:12" x14ac:dyDescent="0.2">
      <c r="D5308" s="341"/>
      <c r="F5308" s="343"/>
      <c r="G5308" s="343"/>
      <c r="H5308" s="343"/>
      <c r="I5308" s="343"/>
      <c r="J5308" s="343"/>
      <c r="K5308" s="343"/>
      <c r="L5308" s="343"/>
    </row>
    <row r="5309" spans="4:12" x14ac:dyDescent="0.2">
      <c r="D5309" s="341"/>
      <c r="F5309" s="343"/>
      <c r="G5309" s="343"/>
      <c r="H5309" s="343"/>
      <c r="I5309" s="343"/>
      <c r="J5309" s="343"/>
      <c r="K5309" s="343"/>
      <c r="L5309" s="343"/>
    </row>
    <row r="5310" spans="4:12" x14ac:dyDescent="0.2">
      <c r="D5310" s="341"/>
      <c r="F5310" s="343"/>
      <c r="G5310" s="343"/>
      <c r="H5310" s="343"/>
      <c r="I5310" s="343"/>
      <c r="J5310" s="343"/>
      <c r="K5310" s="343"/>
      <c r="L5310" s="343"/>
    </row>
    <row r="5311" spans="4:12" x14ac:dyDescent="0.2">
      <c r="D5311" s="341"/>
      <c r="F5311" s="343"/>
      <c r="G5311" s="343"/>
      <c r="H5311" s="343"/>
      <c r="I5311" s="343"/>
      <c r="J5311" s="343"/>
      <c r="K5311" s="343"/>
      <c r="L5311" s="343"/>
    </row>
    <row r="5312" spans="4:12" x14ac:dyDescent="0.2">
      <c r="D5312" s="341"/>
      <c r="F5312" s="343"/>
      <c r="G5312" s="343"/>
      <c r="H5312" s="343"/>
      <c r="I5312" s="343"/>
      <c r="J5312" s="343"/>
      <c r="K5312" s="343"/>
      <c r="L5312" s="343"/>
    </row>
    <row r="5313" spans="4:12" x14ac:dyDescent="0.2">
      <c r="D5313" s="341"/>
      <c r="F5313" s="343"/>
      <c r="G5313" s="343"/>
      <c r="H5313" s="343"/>
      <c r="I5313" s="343"/>
      <c r="J5313" s="343"/>
      <c r="K5313" s="343"/>
      <c r="L5313" s="343"/>
    </row>
    <row r="5314" spans="4:12" x14ac:dyDescent="0.2">
      <c r="D5314" s="341"/>
      <c r="F5314" s="343"/>
      <c r="G5314" s="343"/>
      <c r="H5314" s="343"/>
      <c r="I5314" s="343"/>
      <c r="J5314" s="343"/>
      <c r="K5314" s="343"/>
      <c r="L5314" s="343"/>
    </row>
    <row r="5315" spans="4:12" x14ac:dyDescent="0.2">
      <c r="D5315" s="341"/>
      <c r="F5315" s="343"/>
      <c r="G5315" s="343"/>
      <c r="H5315" s="343"/>
      <c r="I5315" s="343"/>
      <c r="J5315" s="343"/>
      <c r="K5315" s="343"/>
      <c r="L5315" s="343"/>
    </row>
    <row r="5316" spans="4:12" x14ac:dyDescent="0.2">
      <c r="D5316" s="341"/>
      <c r="F5316" s="343"/>
      <c r="G5316" s="343"/>
      <c r="H5316" s="343"/>
      <c r="I5316" s="343"/>
      <c r="J5316" s="343"/>
      <c r="K5316" s="343"/>
      <c r="L5316" s="343"/>
    </row>
    <row r="5317" spans="4:12" x14ac:dyDescent="0.2">
      <c r="D5317" s="341"/>
      <c r="F5317" s="343"/>
      <c r="G5317" s="343"/>
      <c r="H5317" s="343"/>
      <c r="I5317" s="343"/>
      <c r="J5317" s="343"/>
      <c r="K5317" s="343"/>
      <c r="L5317" s="343"/>
    </row>
    <row r="5318" spans="4:12" x14ac:dyDescent="0.2">
      <c r="D5318" s="341"/>
      <c r="F5318" s="343"/>
      <c r="G5318" s="343"/>
      <c r="H5318" s="343"/>
      <c r="I5318" s="343"/>
      <c r="J5318" s="343"/>
      <c r="K5318" s="343"/>
      <c r="L5318" s="343"/>
    </row>
    <row r="5319" spans="4:12" x14ac:dyDescent="0.2">
      <c r="D5319" s="341"/>
      <c r="F5319" s="343"/>
      <c r="G5319" s="343"/>
      <c r="H5319" s="343"/>
      <c r="I5319" s="343"/>
      <c r="J5319" s="343"/>
      <c r="K5319" s="343"/>
      <c r="L5319" s="343"/>
    </row>
    <row r="5320" spans="4:12" x14ac:dyDescent="0.2">
      <c r="D5320" s="341"/>
      <c r="F5320" s="343"/>
      <c r="G5320" s="343"/>
      <c r="H5320" s="343"/>
      <c r="I5320" s="343"/>
      <c r="J5320" s="343"/>
      <c r="K5320" s="343"/>
      <c r="L5320" s="343"/>
    </row>
    <row r="5321" spans="4:12" x14ac:dyDescent="0.2">
      <c r="D5321" s="341"/>
      <c r="F5321" s="343"/>
      <c r="G5321" s="343"/>
      <c r="H5321" s="343"/>
      <c r="I5321" s="343"/>
      <c r="J5321" s="343"/>
      <c r="K5321" s="343"/>
      <c r="L5321" s="343"/>
    </row>
    <row r="5322" spans="4:12" x14ac:dyDescent="0.2">
      <c r="D5322" s="341"/>
      <c r="F5322" s="343"/>
      <c r="G5322" s="343"/>
      <c r="H5322" s="343"/>
      <c r="I5322" s="343"/>
      <c r="J5322" s="343"/>
      <c r="K5322" s="343"/>
      <c r="L5322" s="343"/>
    </row>
    <row r="5323" spans="4:12" x14ac:dyDescent="0.2">
      <c r="D5323" s="341"/>
      <c r="F5323" s="343"/>
      <c r="G5323" s="343"/>
      <c r="H5323" s="343"/>
      <c r="I5323" s="343"/>
      <c r="J5323" s="343"/>
      <c r="K5323" s="343"/>
      <c r="L5323" s="343"/>
    </row>
    <row r="5324" spans="4:12" x14ac:dyDescent="0.2">
      <c r="D5324" s="341"/>
      <c r="F5324" s="343"/>
      <c r="G5324" s="343"/>
      <c r="H5324" s="343"/>
      <c r="I5324" s="343"/>
      <c r="J5324" s="343"/>
      <c r="K5324" s="343"/>
      <c r="L5324" s="343"/>
    </row>
    <row r="5325" spans="4:12" x14ac:dyDescent="0.2">
      <c r="D5325" s="341"/>
      <c r="F5325" s="343"/>
      <c r="G5325" s="343"/>
      <c r="H5325" s="343"/>
      <c r="I5325" s="343"/>
      <c r="J5325" s="343"/>
      <c r="K5325" s="343"/>
      <c r="L5325" s="343"/>
    </row>
    <row r="5326" spans="4:12" x14ac:dyDescent="0.2">
      <c r="D5326" s="341"/>
      <c r="F5326" s="343"/>
      <c r="G5326" s="343"/>
      <c r="H5326" s="343"/>
      <c r="I5326" s="343"/>
      <c r="J5326" s="343"/>
      <c r="K5326" s="343"/>
      <c r="L5326" s="343"/>
    </row>
    <row r="5327" spans="4:12" x14ac:dyDescent="0.2">
      <c r="D5327" s="341"/>
      <c r="F5327" s="343"/>
      <c r="G5327" s="343"/>
      <c r="H5327" s="343"/>
      <c r="I5327" s="343"/>
      <c r="J5327" s="343"/>
      <c r="K5327" s="343"/>
      <c r="L5327" s="343"/>
    </row>
    <row r="5328" spans="4:12" x14ac:dyDescent="0.2">
      <c r="D5328" s="341"/>
      <c r="F5328" s="343"/>
      <c r="G5328" s="343"/>
      <c r="H5328" s="343"/>
      <c r="I5328" s="343"/>
      <c r="J5328" s="343"/>
      <c r="K5328" s="343"/>
      <c r="L5328" s="343"/>
    </row>
    <row r="5329" spans="4:12" x14ac:dyDescent="0.2">
      <c r="D5329" s="341"/>
      <c r="F5329" s="343"/>
      <c r="G5329" s="343"/>
      <c r="H5329" s="343"/>
      <c r="I5329" s="343"/>
      <c r="J5329" s="343"/>
      <c r="K5329" s="343"/>
      <c r="L5329" s="343"/>
    </row>
    <row r="5330" spans="4:12" x14ac:dyDescent="0.2">
      <c r="D5330" s="341"/>
      <c r="F5330" s="343"/>
      <c r="G5330" s="343"/>
      <c r="H5330" s="343"/>
      <c r="I5330" s="343"/>
      <c r="J5330" s="343"/>
      <c r="K5330" s="343"/>
      <c r="L5330" s="343"/>
    </row>
    <row r="5331" spans="4:12" x14ac:dyDescent="0.2">
      <c r="D5331" s="341"/>
      <c r="F5331" s="343"/>
      <c r="G5331" s="343"/>
      <c r="H5331" s="343"/>
      <c r="I5331" s="343"/>
      <c r="J5331" s="343"/>
      <c r="K5331" s="343"/>
      <c r="L5331" s="343"/>
    </row>
    <row r="5332" spans="4:12" x14ac:dyDescent="0.2">
      <c r="D5332" s="341"/>
      <c r="F5332" s="343"/>
      <c r="G5332" s="343"/>
      <c r="H5332" s="343"/>
      <c r="I5332" s="343"/>
      <c r="J5332" s="343"/>
      <c r="K5332" s="343"/>
      <c r="L5332" s="343"/>
    </row>
    <row r="5333" spans="4:12" x14ac:dyDescent="0.2">
      <c r="D5333" s="341"/>
      <c r="F5333" s="343"/>
      <c r="G5333" s="343"/>
      <c r="H5333" s="343"/>
      <c r="I5333" s="343"/>
      <c r="J5333" s="343"/>
      <c r="K5333" s="343"/>
      <c r="L5333" s="343"/>
    </row>
    <row r="5334" spans="4:12" x14ac:dyDescent="0.2">
      <c r="D5334" s="341"/>
      <c r="F5334" s="343"/>
      <c r="G5334" s="343"/>
      <c r="H5334" s="343"/>
      <c r="I5334" s="343"/>
      <c r="J5334" s="343"/>
      <c r="K5334" s="343"/>
      <c r="L5334" s="343"/>
    </row>
    <row r="5335" spans="4:12" x14ac:dyDescent="0.2">
      <c r="D5335" s="341"/>
      <c r="F5335" s="343"/>
      <c r="G5335" s="343"/>
      <c r="H5335" s="343"/>
      <c r="I5335" s="343"/>
      <c r="J5335" s="343"/>
      <c r="K5335" s="343"/>
      <c r="L5335" s="343"/>
    </row>
    <row r="5336" spans="4:12" x14ac:dyDescent="0.2">
      <c r="D5336" s="341"/>
      <c r="F5336" s="343"/>
      <c r="G5336" s="343"/>
      <c r="H5336" s="343"/>
      <c r="I5336" s="343"/>
      <c r="J5336" s="343"/>
      <c r="K5336" s="343"/>
      <c r="L5336" s="343"/>
    </row>
    <row r="5337" spans="4:12" x14ac:dyDescent="0.2">
      <c r="D5337" s="341"/>
      <c r="F5337" s="343"/>
      <c r="G5337" s="343"/>
      <c r="H5337" s="343"/>
      <c r="I5337" s="343"/>
      <c r="J5337" s="343"/>
      <c r="K5337" s="343"/>
      <c r="L5337" s="343"/>
    </row>
    <row r="5338" spans="4:12" x14ac:dyDescent="0.2">
      <c r="D5338" s="341"/>
      <c r="F5338" s="343"/>
      <c r="G5338" s="343"/>
      <c r="H5338" s="343"/>
      <c r="I5338" s="343"/>
      <c r="J5338" s="343"/>
      <c r="K5338" s="343"/>
      <c r="L5338" s="343"/>
    </row>
    <row r="5339" spans="4:12" x14ac:dyDescent="0.2">
      <c r="D5339" s="341"/>
      <c r="F5339" s="343"/>
      <c r="G5339" s="343"/>
      <c r="H5339" s="343"/>
      <c r="I5339" s="343"/>
      <c r="J5339" s="343"/>
      <c r="K5339" s="343"/>
      <c r="L5339" s="343"/>
    </row>
    <row r="5340" spans="4:12" x14ac:dyDescent="0.2">
      <c r="D5340" s="341"/>
      <c r="F5340" s="343"/>
      <c r="G5340" s="343"/>
      <c r="H5340" s="343"/>
      <c r="I5340" s="343"/>
      <c r="J5340" s="343"/>
      <c r="K5340" s="343"/>
      <c r="L5340" s="343"/>
    </row>
    <row r="5341" spans="4:12" x14ac:dyDescent="0.2">
      <c r="D5341" s="341"/>
      <c r="F5341" s="343"/>
      <c r="G5341" s="343"/>
      <c r="H5341" s="343"/>
      <c r="I5341" s="343"/>
      <c r="J5341" s="343"/>
      <c r="K5341" s="343"/>
      <c r="L5341" s="343"/>
    </row>
    <row r="5342" spans="4:12" x14ac:dyDescent="0.2">
      <c r="D5342" s="341"/>
      <c r="F5342" s="343"/>
      <c r="G5342" s="343"/>
      <c r="H5342" s="343"/>
      <c r="I5342" s="343"/>
      <c r="J5342" s="343"/>
      <c r="K5342" s="343"/>
      <c r="L5342" s="343"/>
    </row>
    <row r="5343" spans="4:12" x14ac:dyDescent="0.2">
      <c r="D5343" s="341"/>
      <c r="F5343" s="343"/>
      <c r="G5343" s="343"/>
      <c r="H5343" s="343"/>
      <c r="I5343" s="343"/>
      <c r="J5343" s="343"/>
      <c r="K5343" s="343"/>
      <c r="L5343" s="343"/>
    </row>
    <row r="5344" spans="4:12" x14ac:dyDescent="0.2">
      <c r="D5344" s="341"/>
      <c r="F5344" s="343"/>
      <c r="G5344" s="343"/>
      <c r="H5344" s="343"/>
      <c r="I5344" s="343"/>
      <c r="J5344" s="343"/>
      <c r="K5344" s="343"/>
      <c r="L5344" s="343"/>
    </row>
    <row r="5345" spans="4:12" x14ac:dyDescent="0.2">
      <c r="D5345" s="341"/>
      <c r="F5345" s="343"/>
      <c r="G5345" s="343"/>
      <c r="H5345" s="343"/>
      <c r="I5345" s="343"/>
      <c r="J5345" s="343"/>
      <c r="K5345" s="343"/>
      <c r="L5345" s="343"/>
    </row>
    <row r="5346" spans="4:12" x14ac:dyDescent="0.2">
      <c r="D5346" s="341"/>
      <c r="F5346" s="343"/>
      <c r="G5346" s="343"/>
      <c r="H5346" s="343"/>
      <c r="I5346" s="343"/>
      <c r="J5346" s="343"/>
      <c r="K5346" s="343"/>
      <c r="L5346" s="343"/>
    </row>
    <row r="5347" spans="4:12" x14ac:dyDescent="0.2">
      <c r="D5347" s="341"/>
      <c r="F5347" s="343"/>
      <c r="G5347" s="343"/>
      <c r="H5347" s="343"/>
      <c r="I5347" s="343"/>
      <c r="J5347" s="343"/>
      <c r="K5347" s="343"/>
      <c r="L5347" s="343"/>
    </row>
    <row r="5348" spans="4:12" x14ac:dyDescent="0.2">
      <c r="D5348" s="341"/>
      <c r="F5348" s="343"/>
      <c r="G5348" s="343"/>
      <c r="H5348" s="343"/>
      <c r="I5348" s="343"/>
      <c r="J5348" s="343"/>
      <c r="K5348" s="343"/>
      <c r="L5348" s="343"/>
    </row>
    <row r="5349" spans="4:12" x14ac:dyDescent="0.2">
      <c r="D5349" s="341"/>
      <c r="F5349" s="343"/>
      <c r="G5349" s="343"/>
      <c r="H5349" s="343"/>
      <c r="I5349" s="343"/>
      <c r="J5349" s="343"/>
      <c r="K5349" s="343"/>
      <c r="L5349" s="343"/>
    </row>
    <row r="5350" spans="4:12" x14ac:dyDescent="0.2">
      <c r="D5350" s="341"/>
      <c r="F5350" s="343"/>
      <c r="G5350" s="343"/>
      <c r="H5350" s="343"/>
      <c r="I5350" s="343"/>
      <c r="J5350" s="343"/>
      <c r="K5350" s="343"/>
      <c r="L5350" s="343"/>
    </row>
    <row r="5351" spans="4:12" x14ac:dyDescent="0.2">
      <c r="D5351" s="341"/>
      <c r="F5351" s="343"/>
      <c r="G5351" s="343"/>
      <c r="H5351" s="343"/>
      <c r="I5351" s="343"/>
      <c r="J5351" s="343"/>
      <c r="K5351" s="343"/>
      <c r="L5351" s="343"/>
    </row>
    <row r="5352" spans="4:12" x14ac:dyDescent="0.2">
      <c r="D5352" s="341"/>
      <c r="F5352" s="343"/>
      <c r="G5352" s="343"/>
      <c r="H5352" s="343"/>
      <c r="I5352" s="343"/>
      <c r="J5352" s="343"/>
      <c r="K5352" s="343"/>
      <c r="L5352" s="343"/>
    </row>
    <row r="5353" spans="4:12" x14ac:dyDescent="0.2">
      <c r="D5353" s="341"/>
      <c r="F5353" s="343"/>
      <c r="G5353" s="343"/>
      <c r="H5353" s="343"/>
      <c r="I5353" s="343"/>
      <c r="J5353" s="343"/>
      <c r="K5353" s="343"/>
      <c r="L5353" s="343"/>
    </row>
    <row r="5354" spans="4:12" x14ac:dyDescent="0.2">
      <c r="D5354" s="341"/>
      <c r="F5354" s="343"/>
      <c r="G5354" s="343"/>
      <c r="H5354" s="343"/>
      <c r="I5354" s="343"/>
      <c r="J5354" s="343"/>
      <c r="K5354" s="343"/>
      <c r="L5354" s="343"/>
    </row>
    <row r="5355" spans="4:12" x14ac:dyDescent="0.2">
      <c r="D5355" s="341"/>
      <c r="F5355" s="343"/>
      <c r="G5355" s="343"/>
      <c r="H5355" s="343"/>
      <c r="I5355" s="343"/>
      <c r="J5355" s="343"/>
      <c r="K5355" s="343"/>
      <c r="L5355" s="343"/>
    </row>
    <row r="5356" spans="4:12" x14ac:dyDescent="0.2">
      <c r="D5356" s="341"/>
      <c r="F5356" s="343"/>
      <c r="G5356" s="343"/>
      <c r="H5356" s="343"/>
      <c r="I5356" s="343"/>
      <c r="J5356" s="343"/>
      <c r="K5356" s="343"/>
      <c r="L5356" s="343"/>
    </row>
    <row r="5357" spans="4:12" x14ac:dyDescent="0.2">
      <c r="D5357" s="341"/>
      <c r="F5357" s="343"/>
      <c r="G5357" s="343"/>
      <c r="H5357" s="343"/>
      <c r="I5357" s="343"/>
      <c r="J5357" s="343"/>
      <c r="K5357" s="343"/>
      <c r="L5357" s="343"/>
    </row>
    <row r="5358" spans="4:12" x14ac:dyDescent="0.2">
      <c r="D5358" s="341"/>
      <c r="F5358" s="343"/>
      <c r="G5358" s="343"/>
      <c r="H5358" s="343"/>
      <c r="I5358" s="343"/>
      <c r="J5358" s="343"/>
      <c r="K5358" s="343"/>
      <c r="L5358" s="343"/>
    </row>
    <row r="5359" spans="4:12" x14ac:dyDescent="0.2">
      <c r="D5359" s="341"/>
      <c r="F5359" s="343"/>
      <c r="G5359" s="343"/>
      <c r="H5359" s="343"/>
      <c r="I5359" s="343"/>
      <c r="J5359" s="343"/>
      <c r="K5359" s="343"/>
      <c r="L5359" s="343"/>
    </row>
    <row r="5360" spans="4:12" x14ac:dyDescent="0.2">
      <c r="D5360" s="341"/>
      <c r="F5360" s="343"/>
      <c r="G5360" s="343"/>
      <c r="H5360" s="343"/>
      <c r="I5360" s="343"/>
      <c r="J5360" s="343"/>
      <c r="K5360" s="343"/>
      <c r="L5360" s="343"/>
    </row>
    <row r="5361" spans="4:12" x14ac:dyDescent="0.2">
      <c r="D5361" s="341"/>
      <c r="F5361" s="343"/>
      <c r="G5361" s="343"/>
      <c r="H5361" s="343"/>
      <c r="I5361" s="343"/>
      <c r="J5361" s="343"/>
      <c r="K5361" s="343"/>
      <c r="L5361" s="343"/>
    </row>
    <row r="5362" spans="4:12" x14ac:dyDescent="0.2">
      <c r="D5362" s="341"/>
      <c r="F5362" s="343"/>
      <c r="G5362" s="343"/>
      <c r="H5362" s="343"/>
      <c r="I5362" s="343"/>
      <c r="J5362" s="343"/>
      <c r="K5362" s="343"/>
      <c r="L5362" s="343"/>
    </row>
    <row r="5363" spans="4:12" x14ac:dyDescent="0.2">
      <c r="D5363" s="341"/>
      <c r="F5363" s="343"/>
      <c r="G5363" s="343"/>
      <c r="H5363" s="343"/>
      <c r="I5363" s="343"/>
      <c r="J5363" s="343"/>
      <c r="K5363" s="343"/>
      <c r="L5363" s="343"/>
    </row>
    <row r="5364" spans="4:12" x14ac:dyDescent="0.2">
      <c r="D5364" s="341"/>
      <c r="F5364" s="343"/>
      <c r="G5364" s="343"/>
      <c r="H5364" s="343"/>
      <c r="I5364" s="343"/>
      <c r="J5364" s="343"/>
      <c r="K5364" s="343"/>
      <c r="L5364" s="343"/>
    </row>
    <row r="5365" spans="4:12" x14ac:dyDescent="0.2">
      <c r="D5365" s="341"/>
      <c r="F5365" s="343"/>
      <c r="G5365" s="343"/>
      <c r="H5365" s="343"/>
      <c r="I5365" s="343"/>
      <c r="J5365" s="343"/>
      <c r="K5365" s="343"/>
      <c r="L5365" s="343"/>
    </row>
    <row r="5366" spans="4:12" x14ac:dyDescent="0.2">
      <c r="D5366" s="341"/>
      <c r="F5366" s="343"/>
      <c r="G5366" s="343"/>
      <c r="H5366" s="343"/>
      <c r="I5366" s="343"/>
      <c r="J5366" s="343"/>
      <c r="K5366" s="343"/>
      <c r="L5366" s="343"/>
    </row>
    <row r="5367" spans="4:12" x14ac:dyDescent="0.2">
      <c r="D5367" s="341"/>
      <c r="F5367" s="343"/>
      <c r="G5367" s="343"/>
      <c r="H5367" s="343"/>
      <c r="I5367" s="343"/>
      <c r="J5367" s="343"/>
      <c r="K5367" s="343"/>
      <c r="L5367" s="343"/>
    </row>
    <row r="5368" spans="4:12" x14ac:dyDescent="0.2">
      <c r="D5368" s="341"/>
      <c r="F5368" s="343"/>
      <c r="G5368" s="343"/>
      <c r="H5368" s="343"/>
      <c r="I5368" s="343"/>
      <c r="J5368" s="343"/>
      <c r="K5368" s="343"/>
      <c r="L5368" s="343"/>
    </row>
    <row r="5369" spans="4:12" x14ac:dyDescent="0.2">
      <c r="D5369" s="341"/>
      <c r="F5369" s="343"/>
      <c r="G5369" s="343"/>
      <c r="H5369" s="343"/>
      <c r="I5369" s="343"/>
      <c r="J5369" s="343"/>
      <c r="K5369" s="343"/>
      <c r="L5369" s="343"/>
    </row>
    <row r="5370" spans="4:12" x14ac:dyDescent="0.2">
      <c r="D5370" s="341"/>
      <c r="F5370" s="343"/>
      <c r="G5370" s="343"/>
      <c r="H5370" s="343"/>
      <c r="I5370" s="343"/>
      <c r="J5370" s="343"/>
      <c r="K5370" s="343"/>
      <c r="L5370" s="343"/>
    </row>
    <row r="5371" spans="4:12" x14ac:dyDescent="0.2">
      <c r="D5371" s="341"/>
      <c r="F5371" s="343"/>
      <c r="G5371" s="343"/>
      <c r="H5371" s="343"/>
      <c r="I5371" s="343"/>
      <c r="J5371" s="343"/>
      <c r="K5371" s="343"/>
      <c r="L5371" s="343"/>
    </row>
    <row r="5372" spans="4:12" x14ac:dyDescent="0.2">
      <c r="D5372" s="341"/>
      <c r="F5372" s="343"/>
      <c r="G5372" s="343"/>
      <c r="H5372" s="343"/>
      <c r="I5372" s="343"/>
      <c r="J5372" s="343"/>
      <c r="K5372" s="343"/>
      <c r="L5372" s="343"/>
    </row>
    <row r="5373" spans="4:12" x14ac:dyDescent="0.2">
      <c r="D5373" s="341"/>
      <c r="F5373" s="343"/>
      <c r="G5373" s="343"/>
      <c r="H5373" s="343"/>
      <c r="I5373" s="343"/>
      <c r="J5373" s="343"/>
      <c r="K5373" s="343"/>
      <c r="L5373" s="343"/>
    </row>
    <row r="5374" spans="4:12" x14ac:dyDescent="0.2">
      <c r="D5374" s="341"/>
      <c r="F5374" s="343"/>
      <c r="G5374" s="343"/>
      <c r="H5374" s="343"/>
      <c r="I5374" s="343"/>
      <c r="J5374" s="343"/>
      <c r="K5374" s="343"/>
      <c r="L5374" s="343"/>
    </row>
    <row r="5375" spans="4:12" x14ac:dyDescent="0.2">
      <c r="D5375" s="341"/>
      <c r="F5375" s="343"/>
      <c r="G5375" s="343"/>
      <c r="H5375" s="343"/>
      <c r="I5375" s="343"/>
      <c r="J5375" s="343"/>
      <c r="K5375" s="343"/>
      <c r="L5375" s="343"/>
    </row>
    <row r="5376" spans="4:12" x14ac:dyDescent="0.2">
      <c r="D5376" s="341"/>
      <c r="F5376" s="343"/>
      <c r="G5376" s="343"/>
      <c r="H5376" s="343"/>
      <c r="I5376" s="343"/>
      <c r="J5376" s="343"/>
      <c r="K5376" s="343"/>
      <c r="L5376" s="343"/>
    </row>
    <row r="5377" spans="4:12" x14ac:dyDescent="0.2">
      <c r="D5377" s="341"/>
      <c r="F5377" s="343"/>
      <c r="G5377" s="343"/>
      <c r="H5377" s="343"/>
      <c r="I5377" s="343"/>
      <c r="J5377" s="343"/>
      <c r="K5377" s="343"/>
      <c r="L5377" s="343"/>
    </row>
    <row r="5378" spans="4:12" x14ac:dyDescent="0.2">
      <c r="D5378" s="341"/>
      <c r="F5378" s="343"/>
      <c r="G5378" s="343"/>
      <c r="H5378" s="343"/>
      <c r="I5378" s="343"/>
      <c r="J5378" s="343"/>
      <c r="K5378" s="343"/>
      <c r="L5378" s="343"/>
    </row>
    <row r="5379" spans="4:12" x14ac:dyDescent="0.2">
      <c r="D5379" s="341"/>
      <c r="F5379" s="343"/>
      <c r="G5379" s="343"/>
      <c r="H5379" s="343"/>
      <c r="I5379" s="343"/>
      <c r="J5379" s="343"/>
      <c r="K5379" s="343"/>
      <c r="L5379" s="343"/>
    </row>
    <row r="5380" spans="4:12" x14ac:dyDescent="0.2">
      <c r="D5380" s="341"/>
      <c r="F5380" s="343"/>
      <c r="G5380" s="343"/>
      <c r="H5380" s="343"/>
      <c r="I5380" s="343"/>
      <c r="J5380" s="343"/>
      <c r="K5380" s="343"/>
      <c r="L5380" s="343"/>
    </row>
    <row r="5381" spans="4:12" x14ac:dyDescent="0.2">
      <c r="D5381" s="341"/>
      <c r="F5381" s="343"/>
      <c r="G5381" s="343"/>
      <c r="H5381" s="343"/>
      <c r="I5381" s="343"/>
      <c r="J5381" s="343"/>
      <c r="K5381" s="343"/>
      <c r="L5381" s="343"/>
    </row>
    <row r="5382" spans="4:12" x14ac:dyDescent="0.2">
      <c r="D5382" s="341"/>
      <c r="F5382" s="343"/>
      <c r="G5382" s="343"/>
      <c r="H5382" s="343"/>
      <c r="I5382" s="343"/>
      <c r="J5382" s="343"/>
      <c r="K5382" s="343"/>
      <c r="L5382" s="343"/>
    </row>
    <row r="5383" spans="4:12" x14ac:dyDescent="0.2">
      <c r="D5383" s="341"/>
      <c r="F5383" s="343"/>
      <c r="G5383" s="343"/>
      <c r="H5383" s="343"/>
      <c r="I5383" s="343"/>
      <c r="J5383" s="343"/>
      <c r="K5383" s="343"/>
      <c r="L5383" s="343"/>
    </row>
    <row r="5384" spans="4:12" x14ac:dyDescent="0.2">
      <c r="D5384" s="341"/>
      <c r="F5384" s="343"/>
      <c r="G5384" s="343"/>
      <c r="H5384" s="343"/>
      <c r="I5384" s="343"/>
      <c r="J5384" s="343"/>
      <c r="K5384" s="343"/>
      <c r="L5384" s="343"/>
    </row>
    <row r="5385" spans="4:12" x14ac:dyDescent="0.2">
      <c r="D5385" s="341"/>
      <c r="F5385" s="343"/>
      <c r="G5385" s="343"/>
      <c r="H5385" s="343"/>
      <c r="I5385" s="343"/>
      <c r="J5385" s="343"/>
      <c r="K5385" s="343"/>
      <c r="L5385" s="343"/>
    </row>
    <row r="5386" spans="4:12" x14ac:dyDescent="0.2">
      <c r="D5386" s="341"/>
      <c r="F5386" s="343"/>
      <c r="G5386" s="343"/>
      <c r="H5386" s="343"/>
      <c r="I5386" s="343"/>
      <c r="J5386" s="343"/>
      <c r="K5386" s="343"/>
      <c r="L5386" s="343"/>
    </row>
    <row r="5387" spans="4:12" x14ac:dyDescent="0.2">
      <c r="D5387" s="341"/>
      <c r="F5387" s="343"/>
      <c r="G5387" s="343"/>
      <c r="H5387" s="343"/>
      <c r="I5387" s="343"/>
      <c r="J5387" s="343"/>
      <c r="K5387" s="343"/>
      <c r="L5387" s="343"/>
    </row>
    <row r="5388" spans="4:12" x14ac:dyDescent="0.2">
      <c r="D5388" s="341"/>
      <c r="F5388" s="343"/>
      <c r="G5388" s="343"/>
      <c r="H5388" s="343"/>
      <c r="I5388" s="343"/>
      <c r="J5388" s="343"/>
      <c r="K5388" s="343"/>
      <c r="L5388" s="343"/>
    </row>
    <row r="5389" spans="4:12" x14ac:dyDescent="0.2">
      <c r="D5389" s="341"/>
      <c r="F5389" s="343"/>
      <c r="G5389" s="343"/>
      <c r="H5389" s="343"/>
      <c r="I5389" s="343"/>
      <c r="J5389" s="343"/>
      <c r="K5389" s="343"/>
      <c r="L5389" s="343"/>
    </row>
    <row r="5390" spans="4:12" x14ac:dyDescent="0.2">
      <c r="D5390" s="341"/>
      <c r="F5390" s="343"/>
      <c r="G5390" s="343"/>
      <c r="H5390" s="343"/>
      <c r="I5390" s="343"/>
      <c r="J5390" s="343"/>
      <c r="K5390" s="343"/>
      <c r="L5390" s="343"/>
    </row>
    <row r="5391" spans="4:12" x14ac:dyDescent="0.2">
      <c r="D5391" s="341"/>
      <c r="F5391" s="343"/>
      <c r="G5391" s="343"/>
      <c r="H5391" s="343"/>
      <c r="I5391" s="343"/>
      <c r="J5391" s="343"/>
      <c r="K5391" s="343"/>
      <c r="L5391" s="343"/>
    </row>
    <row r="5392" spans="4:12" x14ac:dyDescent="0.2">
      <c r="D5392" s="341"/>
      <c r="F5392" s="343"/>
      <c r="G5392" s="343"/>
      <c r="H5392" s="343"/>
      <c r="I5392" s="343"/>
      <c r="J5392" s="343"/>
      <c r="K5392" s="343"/>
      <c r="L5392" s="343"/>
    </row>
    <row r="5393" spans="4:12" x14ac:dyDescent="0.2">
      <c r="D5393" s="341"/>
      <c r="F5393" s="343"/>
      <c r="G5393" s="343"/>
      <c r="H5393" s="343"/>
      <c r="I5393" s="343"/>
      <c r="J5393" s="343"/>
      <c r="K5393" s="343"/>
      <c r="L5393" s="343"/>
    </row>
    <row r="5394" spans="4:12" x14ac:dyDescent="0.2">
      <c r="D5394" s="341"/>
      <c r="F5394" s="343"/>
      <c r="G5394" s="343"/>
      <c r="H5394" s="343"/>
      <c r="I5394" s="343"/>
      <c r="J5394" s="343"/>
      <c r="K5394" s="343"/>
      <c r="L5394" s="343"/>
    </row>
    <row r="5395" spans="4:12" x14ac:dyDescent="0.2">
      <c r="D5395" s="341"/>
      <c r="F5395" s="343"/>
      <c r="G5395" s="343"/>
      <c r="H5395" s="343"/>
      <c r="I5395" s="343"/>
      <c r="J5395" s="343"/>
      <c r="K5395" s="343"/>
      <c r="L5395" s="343"/>
    </row>
    <row r="5396" spans="4:12" x14ac:dyDescent="0.2">
      <c r="D5396" s="341"/>
      <c r="F5396" s="343"/>
      <c r="G5396" s="343"/>
      <c r="H5396" s="343"/>
      <c r="I5396" s="343"/>
      <c r="J5396" s="343"/>
      <c r="K5396" s="343"/>
      <c r="L5396" s="343"/>
    </row>
    <row r="5397" spans="4:12" x14ac:dyDescent="0.2">
      <c r="D5397" s="341"/>
      <c r="F5397" s="343"/>
      <c r="G5397" s="343"/>
      <c r="H5397" s="343"/>
      <c r="I5397" s="343"/>
      <c r="J5397" s="343"/>
      <c r="K5397" s="343"/>
      <c r="L5397" s="343"/>
    </row>
    <row r="5398" spans="4:12" x14ac:dyDescent="0.2">
      <c r="D5398" s="341"/>
      <c r="F5398" s="343"/>
      <c r="G5398" s="343"/>
      <c r="H5398" s="343"/>
      <c r="I5398" s="343"/>
      <c r="J5398" s="343"/>
      <c r="K5398" s="343"/>
      <c r="L5398" s="343"/>
    </row>
    <row r="5399" spans="4:12" x14ac:dyDescent="0.2">
      <c r="D5399" s="341"/>
      <c r="F5399" s="343"/>
      <c r="G5399" s="343"/>
      <c r="H5399" s="343"/>
      <c r="I5399" s="343"/>
      <c r="J5399" s="343"/>
      <c r="K5399" s="343"/>
      <c r="L5399" s="343"/>
    </row>
    <row r="5400" spans="4:12" x14ac:dyDescent="0.2">
      <c r="D5400" s="341"/>
      <c r="F5400" s="343"/>
      <c r="G5400" s="343"/>
      <c r="H5400" s="343"/>
      <c r="I5400" s="343"/>
      <c r="J5400" s="343"/>
      <c r="K5400" s="343"/>
      <c r="L5400" s="343"/>
    </row>
    <row r="5401" spans="4:12" x14ac:dyDescent="0.2">
      <c r="D5401" s="341"/>
      <c r="F5401" s="343"/>
      <c r="G5401" s="343"/>
      <c r="H5401" s="343"/>
      <c r="I5401" s="343"/>
      <c r="J5401" s="343"/>
      <c r="K5401" s="343"/>
      <c r="L5401" s="343"/>
    </row>
    <row r="5402" spans="4:12" x14ac:dyDescent="0.2">
      <c r="D5402" s="341"/>
      <c r="F5402" s="343"/>
      <c r="G5402" s="343"/>
      <c r="H5402" s="343"/>
      <c r="I5402" s="343"/>
      <c r="J5402" s="343"/>
      <c r="K5402" s="343"/>
      <c r="L5402" s="343"/>
    </row>
    <row r="5403" spans="4:12" x14ac:dyDescent="0.2">
      <c r="D5403" s="341"/>
      <c r="F5403" s="343"/>
      <c r="G5403" s="343"/>
      <c r="H5403" s="343"/>
      <c r="I5403" s="343"/>
      <c r="J5403" s="343"/>
      <c r="K5403" s="343"/>
      <c r="L5403" s="343"/>
    </row>
    <row r="5404" spans="4:12" x14ac:dyDescent="0.2">
      <c r="D5404" s="341"/>
      <c r="F5404" s="343"/>
      <c r="G5404" s="343"/>
      <c r="H5404" s="343"/>
      <c r="I5404" s="343"/>
      <c r="J5404" s="343"/>
      <c r="K5404" s="343"/>
      <c r="L5404" s="343"/>
    </row>
    <row r="5405" spans="4:12" x14ac:dyDescent="0.2">
      <c r="D5405" s="341"/>
      <c r="F5405" s="343"/>
      <c r="G5405" s="343"/>
      <c r="H5405" s="343"/>
      <c r="I5405" s="343"/>
      <c r="J5405" s="343"/>
      <c r="K5405" s="343"/>
      <c r="L5405" s="343"/>
    </row>
    <row r="5406" spans="4:12" x14ac:dyDescent="0.2">
      <c r="D5406" s="341"/>
      <c r="F5406" s="343"/>
      <c r="G5406" s="343"/>
      <c r="H5406" s="343"/>
      <c r="I5406" s="343"/>
      <c r="J5406" s="343"/>
      <c r="K5406" s="343"/>
      <c r="L5406" s="343"/>
    </row>
    <row r="5407" spans="4:12" x14ac:dyDescent="0.2">
      <c r="D5407" s="341"/>
      <c r="F5407" s="343"/>
      <c r="G5407" s="343"/>
      <c r="H5407" s="343"/>
      <c r="I5407" s="343"/>
      <c r="J5407" s="343"/>
      <c r="K5407" s="343"/>
      <c r="L5407" s="343"/>
    </row>
    <row r="5408" spans="4:12" x14ac:dyDescent="0.2">
      <c r="D5408" s="341"/>
      <c r="F5408" s="343"/>
      <c r="G5408" s="343"/>
      <c r="H5408" s="343"/>
      <c r="I5408" s="343"/>
      <c r="J5408" s="343"/>
      <c r="K5408" s="343"/>
      <c r="L5408" s="343"/>
    </row>
    <row r="5409" spans="4:12" x14ac:dyDescent="0.2">
      <c r="D5409" s="341"/>
      <c r="F5409" s="343"/>
      <c r="G5409" s="343"/>
      <c r="H5409" s="343"/>
      <c r="I5409" s="343"/>
      <c r="J5409" s="343"/>
      <c r="K5409" s="343"/>
      <c r="L5409" s="343"/>
    </row>
    <row r="5410" spans="4:12" x14ac:dyDescent="0.2">
      <c r="D5410" s="341"/>
      <c r="F5410" s="343"/>
      <c r="G5410" s="343"/>
      <c r="H5410" s="343"/>
      <c r="I5410" s="343"/>
      <c r="J5410" s="343"/>
      <c r="K5410" s="343"/>
      <c r="L5410" s="343"/>
    </row>
    <row r="5411" spans="4:12" x14ac:dyDescent="0.2">
      <c r="D5411" s="341"/>
      <c r="F5411" s="343"/>
      <c r="G5411" s="343"/>
      <c r="H5411" s="343"/>
      <c r="I5411" s="343"/>
      <c r="J5411" s="343"/>
      <c r="K5411" s="343"/>
      <c r="L5411" s="343"/>
    </row>
    <row r="5412" spans="4:12" x14ac:dyDescent="0.2">
      <c r="D5412" s="341"/>
      <c r="F5412" s="343"/>
      <c r="G5412" s="343"/>
      <c r="H5412" s="343"/>
      <c r="I5412" s="343"/>
      <c r="J5412" s="343"/>
      <c r="K5412" s="343"/>
      <c r="L5412" s="343"/>
    </row>
    <row r="5413" spans="4:12" x14ac:dyDescent="0.2">
      <c r="D5413" s="341"/>
      <c r="F5413" s="343"/>
      <c r="G5413" s="343"/>
      <c r="H5413" s="343"/>
      <c r="I5413" s="343"/>
      <c r="J5413" s="343"/>
      <c r="K5413" s="343"/>
      <c r="L5413" s="343"/>
    </row>
    <row r="5414" spans="4:12" x14ac:dyDescent="0.2">
      <c r="D5414" s="341"/>
      <c r="F5414" s="343"/>
      <c r="G5414" s="343"/>
      <c r="H5414" s="343"/>
      <c r="I5414" s="343"/>
      <c r="J5414" s="343"/>
      <c r="K5414" s="343"/>
      <c r="L5414" s="343"/>
    </row>
    <row r="5415" spans="4:12" x14ac:dyDescent="0.2">
      <c r="D5415" s="341"/>
      <c r="F5415" s="343"/>
      <c r="G5415" s="343"/>
      <c r="H5415" s="343"/>
      <c r="I5415" s="343"/>
      <c r="J5415" s="343"/>
      <c r="K5415" s="343"/>
      <c r="L5415" s="343"/>
    </row>
    <row r="5416" spans="4:12" x14ac:dyDescent="0.2">
      <c r="D5416" s="341"/>
      <c r="F5416" s="343"/>
      <c r="G5416" s="343"/>
      <c r="H5416" s="343"/>
      <c r="I5416" s="343"/>
      <c r="J5416" s="343"/>
      <c r="K5416" s="343"/>
      <c r="L5416" s="343"/>
    </row>
    <row r="5417" spans="4:12" x14ac:dyDescent="0.2">
      <c r="D5417" s="341"/>
      <c r="F5417" s="343"/>
      <c r="G5417" s="343"/>
      <c r="H5417" s="343"/>
      <c r="I5417" s="343"/>
      <c r="J5417" s="343"/>
      <c r="K5417" s="343"/>
      <c r="L5417" s="343"/>
    </row>
    <row r="5418" spans="4:12" x14ac:dyDescent="0.2">
      <c r="D5418" s="341"/>
      <c r="F5418" s="343"/>
      <c r="G5418" s="343"/>
      <c r="H5418" s="343"/>
      <c r="I5418" s="343"/>
      <c r="J5418" s="343"/>
      <c r="K5418" s="343"/>
      <c r="L5418" s="343"/>
    </row>
    <row r="5419" spans="4:12" x14ac:dyDescent="0.2">
      <c r="D5419" s="341"/>
      <c r="F5419" s="343"/>
      <c r="G5419" s="343"/>
      <c r="H5419" s="343"/>
      <c r="I5419" s="343"/>
      <c r="J5419" s="343"/>
      <c r="K5419" s="343"/>
      <c r="L5419" s="343"/>
    </row>
    <row r="5420" spans="4:12" x14ac:dyDescent="0.2">
      <c r="D5420" s="341"/>
      <c r="F5420" s="343"/>
      <c r="G5420" s="343"/>
      <c r="H5420" s="343"/>
      <c r="I5420" s="343"/>
      <c r="J5420" s="343"/>
      <c r="K5420" s="343"/>
      <c r="L5420" s="343"/>
    </row>
    <row r="5421" spans="4:12" x14ac:dyDescent="0.2">
      <c r="D5421" s="341"/>
      <c r="F5421" s="343"/>
      <c r="G5421" s="343"/>
      <c r="H5421" s="343"/>
      <c r="I5421" s="343"/>
      <c r="J5421" s="343"/>
      <c r="K5421" s="343"/>
      <c r="L5421" s="343"/>
    </row>
    <row r="5422" spans="4:12" x14ac:dyDescent="0.2">
      <c r="D5422" s="341"/>
      <c r="F5422" s="343"/>
      <c r="G5422" s="343"/>
      <c r="H5422" s="343"/>
      <c r="I5422" s="343"/>
      <c r="J5422" s="343"/>
      <c r="K5422" s="343"/>
      <c r="L5422" s="343"/>
    </row>
    <row r="5423" spans="4:12" x14ac:dyDescent="0.2">
      <c r="D5423" s="341"/>
      <c r="F5423" s="343"/>
      <c r="G5423" s="343"/>
      <c r="H5423" s="343"/>
      <c r="I5423" s="343"/>
      <c r="J5423" s="343"/>
      <c r="K5423" s="343"/>
      <c r="L5423" s="343"/>
    </row>
    <row r="5424" spans="4:12" x14ac:dyDescent="0.2">
      <c r="D5424" s="341"/>
      <c r="F5424" s="343"/>
      <c r="G5424" s="343"/>
      <c r="H5424" s="343"/>
      <c r="I5424" s="343"/>
      <c r="J5424" s="343"/>
      <c r="K5424" s="343"/>
      <c r="L5424" s="343"/>
    </row>
    <row r="5425" spans="4:12" x14ac:dyDescent="0.2">
      <c r="D5425" s="341"/>
      <c r="F5425" s="343"/>
      <c r="G5425" s="343"/>
      <c r="H5425" s="343"/>
      <c r="I5425" s="343"/>
      <c r="J5425" s="343"/>
      <c r="K5425" s="343"/>
      <c r="L5425" s="343"/>
    </row>
    <row r="5426" spans="4:12" x14ac:dyDescent="0.2">
      <c r="D5426" s="341"/>
      <c r="F5426" s="343"/>
      <c r="G5426" s="343"/>
      <c r="H5426" s="343"/>
      <c r="I5426" s="343"/>
      <c r="J5426" s="343"/>
      <c r="K5426" s="343"/>
      <c r="L5426" s="343"/>
    </row>
    <row r="5427" spans="4:12" x14ac:dyDescent="0.2">
      <c r="D5427" s="341"/>
      <c r="F5427" s="343"/>
      <c r="G5427" s="343"/>
      <c r="H5427" s="343"/>
      <c r="I5427" s="343"/>
      <c r="J5427" s="343"/>
      <c r="K5427" s="343"/>
      <c r="L5427" s="343"/>
    </row>
    <row r="5428" spans="4:12" x14ac:dyDescent="0.2">
      <c r="D5428" s="341"/>
      <c r="F5428" s="343"/>
      <c r="G5428" s="343"/>
      <c r="H5428" s="343"/>
      <c r="I5428" s="343"/>
      <c r="J5428" s="343"/>
      <c r="K5428" s="343"/>
      <c r="L5428" s="343"/>
    </row>
    <row r="5429" spans="4:12" x14ac:dyDescent="0.2">
      <c r="D5429" s="341"/>
      <c r="F5429" s="343"/>
      <c r="G5429" s="343"/>
      <c r="H5429" s="343"/>
      <c r="I5429" s="343"/>
      <c r="J5429" s="343"/>
      <c r="K5429" s="343"/>
      <c r="L5429" s="343"/>
    </row>
    <row r="5430" spans="4:12" x14ac:dyDescent="0.2">
      <c r="D5430" s="341"/>
      <c r="F5430" s="343"/>
      <c r="G5430" s="343"/>
      <c r="H5430" s="343"/>
      <c r="I5430" s="343"/>
      <c r="J5430" s="343"/>
      <c r="K5430" s="343"/>
      <c r="L5430" s="343"/>
    </row>
    <row r="5431" spans="4:12" x14ac:dyDescent="0.2">
      <c r="D5431" s="341"/>
      <c r="F5431" s="343"/>
      <c r="G5431" s="343"/>
      <c r="H5431" s="343"/>
      <c r="I5431" s="343"/>
      <c r="J5431" s="343"/>
      <c r="K5431" s="343"/>
      <c r="L5431" s="343"/>
    </row>
    <row r="5432" spans="4:12" x14ac:dyDescent="0.2">
      <c r="D5432" s="341"/>
      <c r="F5432" s="343"/>
      <c r="G5432" s="343"/>
      <c r="H5432" s="343"/>
      <c r="I5432" s="343"/>
      <c r="J5432" s="343"/>
      <c r="K5432" s="343"/>
      <c r="L5432" s="343"/>
    </row>
    <row r="5433" spans="4:12" x14ac:dyDescent="0.2">
      <c r="D5433" s="341"/>
      <c r="F5433" s="343"/>
      <c r="G5433" s="343"/>
      <c r="H5433" s="343"/>
      <c r="I5433" s="343"/>
      <c r="J5433" s="343"/>
      <c r="K5433" s="343"/>
      <c r="L5433" s="343"/>
    </row>
    <row r="5434" spans="4:12" x14ac:dyDescent="0.2">
      <c r="D5434" s="341"/>
      <c r="F5434" s="343"/>
      <c r="G5434" s="343"/>
      <c r="H5434" s="343"/>
      <c r="I5434" s="343"/>
      <c r="J5434" s="343"/>
      <c r="K5434" s="343"/>
      <c r="L5434" s="343"/>
    </row>
    <row r="5435" spans="4:12" x14ac:dyDescent="0.2">
      <c r="D5435" s="341"/>
      <c r="F5435" s="343"/>
      <c r="G5435" s="343"/>
      <c r="H5435" s="343"/>
      <c r="I5435" s="343"/>
      <c r="J5435" s="343"/>
      <c r="K5435" s="343"/>
      <c r="L5435" s="343"/>
    </row>
    <row r="5436" spans="4:12" x14ac:dyDescent="0.2">
      <c r="D5436" s="341"/>
      <c r="F5436" s="343"/>
      <c r="G5436" s="343"/>
      <c r="H5436" s="343"/>
      <c r="I5436" s="343"/>
      <c r="J5436" s="343"/>
      <c r="K5436" s="343"/>
      <c r="L5436" s="343"/>
    </row>
    <row r="5437" spans="4:12" x14ac:dyDescent="0.2">
      <c r="D5437" s="341"/>
      <c r="F5437" s="343"/>
      <c r="G5437" s="343"/>
      <c r="H5437" s="343"/>
      <c r="I5437" s="343"/>
      <c r="J5437" s="343"/>
      <c r="K5437" s="343"/>
      <c r="L5437" s="343"/>
    </row>
    <row r="5438" spans="4:12" x14ac:dyDescent="0.2">
      <c r="D5438" s="341"/>
      <c r="F5438" s="343"/>
      <c r="G5438" s="343"/>
      <c r="H5438" s="343"/>
      <c r="I5438" s="343"/>
      <c r="J5438" s="343"/>
      <c r="K5438" s="343"/>
      <c r="L5438" s="343"/>
    </row>
    <row r="5439" spans="4:12" x14ac:dyDescent="0.2">
      <c r="D5439" s="341"/>
      <c r="F5439" s="343"/>
      <c r="G5439" s="343"/>
      <c r="H5439" s="343"/>
      <c r="I5439" s="343"/>
      <c r="J5439" s="343"/>
      <c r="K5439" s="343"/>
      <c r="L5439" s="343"/>
    </row>
    <row r="5440" spans="4:12" x14ac:dyDescent="0.2">
      <c r="D5440" s="341"/>
      <c r="F5440" s="343"/>
      <c r="G5440" s="343"/>
      <c r="H5440" s="343"/>
      <c r="I5440" s="343"/>
      <c r="J5440" s="343"/>
      <c r="K5440" s="343"/>
      <c r="L5440" s="343"/>
    </row>
    <row r="5441" spans="4:12" x14ac:dyDescent="0.2">
      <c r="D5441" s="341"/>
      <c r="F5441" s="343"/>
      <c r="G5441" s="343"/>
      <c r="H5441" s="343"/>
      <c r="I5441" s="343"/>
      <c r="J5441" s="343"/>
      <c r="K5441" s="343"/>
      <c r="L5441" s="343"/>
    </row>
    <row r="5442" spans="4:12" x14ac:dyDescent="0.2">
      <c r="D5442" s="341"/>
      <c r="F5442" s="343"/>
      <c r="G5442" s="343"/>
      <c r="H5442" s="343"/>
      <c r="I5442" s="343"/>
      <c r="J5442" s="343"/>
      <c r="K5442" s="343"/>
      <c r="L5442" s="343"/>
    </row>
    <row r="5443" spans="4:12" x14ac:dyDescent="0.2">
      <c r="D5443" s="341"/>
      <c r="F5443" s="343"/>
      <c r="G5443" s="343"/>
      <c r="H5443" s="343"/>
      <c r="I5443" s="343"/>
      <c r="J5443" s="343"/>
      <c r="K5443" s="343"/>
      <c r="L5443" s="343"/>
    </row>
    <row r="5444" spans="4:12" x14ac:dyDescent="0.2">
      <c r="D5444" s="341"/>
      <c r="F5444" s="343"/>
      <c r="G5444" s="343"/>
      <c r="H5444" s="343"/>
      <c r="I5444" s="343"/>
      <c r="J5444" s="343"/>
      <c r="K5444" s="343"/>
      <c r="L5444" s="343"/>
    </row>
    <row r="5445" spans="4:12" x14ac:dyDescent="0.2">
      <c r="D5445" s="341"/>
      <c r="F5445" s="343"/>
      <c r="G5445" s="343"/>
      <c r="H5445" s="343"/>
      <c r="I5445" s="343"/>
      <c r="J5445" s="343"/>
      <c r="K5445" s="343"/>
      <c r="L5445" s="343"/>
    </row>
    <row r="5446" spans="4:12" x14ac:dyDescent="0.2">
      <c r="D5446" s="341"/>
      <c r="F5446" s="343"/>
      <c r="G5446" s="343"/>
      <c r="H5446" s="343"/>
      <c r="I5446" s="343"/>
      <c r="J5446" s="343"/>
      <c r="K5446" s="343"/>
      <c r="L5446" s="343"/>
    </row>
    <row r="5447" spans="4:12" x14ac:dyDescent="0.2">
      <c r="D5447" s="341"/>
      <c r="F5447" s="343"/>
      <c r="G5447" s="343"/>
      <c r="H5447" s="343"/>
      <c r="I5447" s="343"/>
      <c r="J5447" s="343"/>
      <c r="K5447" s="343"/>
      <c r="L5447" s="343"/>
    </row>
    <row r="5448" spans="4:12" x14ac:dyDescent="0.2">
      <c r="D5448" s="341"/>
      <c r="F5448" s="343"/>
      <c r="G5448" s="343"/>
      <c r="H5448" s="343"/>
      <c r="I5448" s="343"/>
      <c r="J5448" s="343"/>
      <c r="K5448" s="343"/>
      <c r="L5448" s="343"/>
    </row>
    <row r="5449" spans="4:12" x14ac:dyDescent="0.2">
      <c r="D5449" s="341"/>
      <c r="F5449" s="343"/>
      <c r="G5449" s="343"/>
      <c r="H5449" s="343"/>
      <c r="I5449" s="343"/>
      <c r="J5449" s="343"/>
      <c r="K5449" s="343"/>
      <c r="L5449" s="343"/>
    </row>
    <row r="5450" spans="4:12" x14ac:dyDescent="0.2">
      <c r="D5450" s="341"/>
      <c r="F5450" s="343"/>
      <c r="G5450" s="343"/>
      <c r="H5450" s="343"/>
      <c r="I5450" s="343"/>
      <c r="J5450" s="343"/>
      <c r="K5450" s="343"/>
      <c r="L5450" s="343"/>
    </row>
    <row r="5451" spans="4:12" x14ac:dyDescent="0.2">
      <c r="D5451" s="341"/>
      <c r="F5451" s="343"/>
      <c r="G5451" s="343"/>
      <c r="H5451" s="343"/>
      <c r="I5451" s="343"/>
      <c r="J5451" s="343"/>
      <c r="K5451" s="343"/>
      <c r="L5451" s="343"/>
    </row>
    <row r="5452" spans="4:12" x14ac:dyDescent="0.2">
      <c r="D5452" s="341"/>
      <c r="F5452" s="343"/>
      <c r="G5452" s="343"/>
      <c r="H5452" s="343"/>
      <c r="I5452" s="343"/>
      <c r="J5452" s="343"/>
      <c r="K5452" s="343"/>
      <c r="L5452" s="343"/>
    </row>
    <row r="5453" spans="4:12" x14ac:dyDescent="0.2">
      <c r="D5453" s="341"/>
      <c r="F5453" s="343"/>
      <c r="G5453" s="343"/>
      <c r="H5453" s="343"/>
      <c r="I5453" s="343"/>
      <c r="J5453" s="343"/>
      <c r="K5453" s="343"/>
      <c r="L5453" s="343"/>
    </row>
    <row r="5454" spans="4:12" x14ac:dyDescent="0.2">
      <c r="D5454" s="341"/>
      <c r="F5454" s="343"/>
      <c r="G5454" s="343"/>
      <c r="H5454" s="343"/>
      <c r="I5454" s="343"/>
      <c r="J5454" s="343"/>
      <c r="K5454" s="343"/>
      <c r="L5454" s="343"/>
    </row>
    <row r="5455" spans="4:12" x14ac:dyDescent="0.2">
      <c r="D5455" s="341"/>
      <c r="F5455" s="343"/>
      <c r="G5455" s="343"/>
      <c r="H5455" s="343"/>
      <c r="I5455" s="343"/>
      <c r="J5455" s="343"/>
      <c r="K5455" s="343"/>
      <c r="L5455" s="343"/>
    </row>
    <row r="5456" spans="4:12" x14ac:dyDescent="0.2">
      <c r="D5456" s="341"/>
      <c r="F5456" s="343"/>
      <c r="G5456" s="343"/>
      <c r="H5456" s="343"/>
      <c r="I5456" s="343"/>
      <c r="J5456" s="343"/>
      <c r="K5456" s="343"/>
      <c r="L5456" s="343"/>
    </row>
    <row r="5457" spans="4:12" x14ac:dyDescent="0.2">
      <c r="D5457" s="341"/>
      <c r="F5457" s="343"/>
      <c r="G5457" s="343"/>
      <c r="H5457" s="343"/>
      <c r="I5457" s="343"/>
      <c r="J5457" s="343"/>
      <c r="K5457" s="343"/>
      <c r="L5457" s="343"/>
    </row>
    <row r="5458" spans="4:12" x14ac:dyDescent="0.2">
      <c r="D5458" s="341"/>
      <c r="F5458" s="343"/>
      <c r="G5458" s="343"/>
      <c r="H5458" s="343"/>
      <c r="I5458" s="343"/>
      <c r="J5458" s="343"/>
      <c r="K5458" s="343"/>
      <c r="L5458" s="343"/>
    </row>
    <row r="5459" spans="4:12" x14ac:dyDescent="0.2">
      <c r="D5459" s="341"/>
      <c r="F5459" s="343"/>
      <c r="G5459" s="343"/>
      <c r="H5459" s="343"/>
      <c r="I5459" s="343"/>
      <c r="J5459" s="343"/>
      <c r="K5459" s="343"/>
      <c r="L5459" s="343"/>
    </row>
    <row r="5460" spans="4:12" x14ac:dyDescent="0.2">
      <c r="D5460" s="341"/>
      <c r="F5460" s="343"/>
      <c r="G5460" s="343"/>
      <c r="H5460" s="343"/>
      <c r="I5460" s="343"/>
      <c r="J5460" s="343"/>
      <c r="K5460" s="343"/>
      <c r="L5460" s="343"/>
    </row>
    <row r="5461" spans="4:12" x14ac:dyDescent="0.2">
      <c r="D5461" s="341"/>
      <c r="F5461" s="343"/>
      <c r="G5461" s="343"/>
      <c r="H5461" s="343"/>
      <c r="I5461" s="343"/>
      <c r="J5461" s="343"/>
      <c r="K5461" s="343"/>
      <c r="L5461" s="343"/>
    </row>
    <row r="5462" spans="4:12" x14ac:dyDescent="0.2">
      <c r="D5462" s="341"/>
      <c r="F5462" s="343"/>
      <c r="G5462" s="343"/>
      <c r="H5462" s="343"/>
      <c r="I5462" s="343"/>
      <c r="J5462" s="343"/>
      <c r="K5462" s="343"/>
      <c r="L5462" s="343"/>
    </row>
    <row r="5463" spans="4:12" x14ac:dyDescent="0.2">
      <c r="D5463" s="341"/>
      <c r="F5463" s="343"/>
      <c r="G5463" s="343"/>
      <c r="H5463" s="343"/>
      <c r="I5463" s="343"/>
      <c r="J5463" s="343"/>
      <c r="K5463" s="343"/>
      <c r="L5463" s="343"/>
    </row>
    <row r="5464" spans="4:12" x14ac:dyDescent="0.2">
      <c r="D5464" s="341"/>
      <c r="F5464" s="343"/>
      <c r="G5464" s="343"/>
      <c r="H5464" s="343"/>
      <c r="I5464" s="343"/>
      <c r="J5464" s="343"/>
      <c r="K5464" s="343"/>
      <c r="L5464" s="343"/>
    </row>
    <row r="5465" spans="4:12" x14ac:dyDescent="0.2">
      <c r="D5465" s="341"/>
      <c r="F5465" s="343"/>
      <c r="G5465" s="343"/>
      <c r="H5465" s="343"/>
      <c r="I5465" s="343"/>
      <c r="J5465" s="343"/>
      <c r="K5465" s="343"/>
      <c r="L5465" s="343"/>
    </row>
    <row r="5466" spans="4:12" x14ac:dyDescent="0.2">
      <c r="D5466" s="341"/>
      <c r="F5466" s="343"/>
      <c r="G5466" s="343"/>
      <c r="H5466" s="343"/>
      <c r="I5466" s="343"/>
      <c r="J5466" s="343"/>
      <c r="K5466" s="343"/>
      <c r="L5466" s="343"/>
    </row>
    <row r="5467" spans="4:12" x14ac:dyDescent="0.2">
      <c r="D5467" s="341"/>
      <c r="F5467" s="343"/>
      <c r="G5467" s="343"/>
      <c r="H5467" s="343"/>
      <c r="I5467" s="343"/>
      <c r="J5467" s="343"/>
      <c r="K5467" s="343"/>
      <c r="L5467" s="343"/>
    </row>
    <row r="5468" spans="4:12" x14ac:dyDescent="0.2">
      <c r="D5468" s="341"/>
      <c r="F5468" s="343"/>
      <c r="G5468" s="343"/>
      <c r="H5468" s="343"/>
      <c r="I5468" s="343"/>
      <c r="J5468" s="343"/>
      <c r="K5468" s="343"/>
      <c r="L5468" s="343"/>
    </row>
    <row r="5469" spans="4:12" x14ac:dyDescent="0.2">
      <c r="D5469" s="341"/>
      <c r="F5469" s="343"/>
      <c r="G5469" s="343"/>
      <c r="H5469" s="343"/>
      <c r="I5469" s="343"/>
      <c r="J5469" s="343"/>
      <c r="K5469" s="343"/>
      <c r="L5469" s="343"/>
    </row>
    <row r="5470" spans="4:12" x14ac:dyDescent="0.2">
      <c r="D5470" s="341"/>
      <c r="F5470" s="343"/>
      <c r="G5470" s="343"/>
      <c r="H5470" s="343"/>
      <c r="I5470" s="343"/>
      <c r="J5470" s="343"/>
      <c r="K5470" s="343"/>
      <c r="L5470" s="343"/>
    </row>
    <row r="5471" spans="4:12" x14ac:dyDescent="0.2">
      <c r="D5471" s="341"/>
      <c r="F5471" s="343"/>
      <c r="G5471" s="343"/>
      <c r="H5471" s="343"/>
      <c r="I5471" s="343"/>
      <c r="J5471" s="343"/>
      <c r="K5471" s="343"/>
      <c r="L5471" s="343"/>
    </row>
    <row r="5472" spans="4:12" x14ac:dyDescent="0.2">
      <c r="D5472" s="341"/>
      <c r="F5472" s="343"/>
      <c r="G5472" s="343"/>
      <c r="H5472" s="343"/>
      <c r="I5472" s="343"/>
      <c r="J5472" s="343"/>
      <c r="K5472" s="343"/>
      <c r="L5472" s="343"/>
    </row>
    <row r="5473" spans="4:12" x14ac:dyDescent="0.2">
      <c r="D5473" s="341"/>
      <c r="F5473" s="343"/>
      <c r="G5473" s="343"/>
      <c r="H5473" s="343"/>
      <c r="I5473" s="343"/>
      <c r="J5473" s="343"/>
      <c r="K5473" s="343"/>
      <c r="L5473" s="343"/>
    </row>
    <row r="5474" spans="4:12" x14ac:dyDescent="0.2">
      <c r="D5474" s="341"/>
      <c r="F5474" s="343"/>
      <c r="G5474" s="343"/>
      <c r="H5474" s="343"/>
      <c r="I5474" s="343"/>
      <c r="J5474" s="343"/>
      <c r="K5474" s="343"/>
      <c r="L5474" s="343"/>
    </row>
    <row r="5475" spans="4:12" x14ac:dyDescent="0.2">
      <c r="D5475" s="341"/>
      <c r="F5475" s="343"/>
      <c r="G5475" s="343"/>
      <c r="H5475" s="343"/>
      <c r="I5475" s="343"/>
      <c r="J5475" s="343"/>
      <c r="K5475" s="343"/>
      <c r="L5475" s="343"/>
    </row>
    <row r="5476" spans="4:12" x14ac:dyDescent="0.2">
      <c r="D5476" s="341"/>
      <c r="F5476" s="343"/>
      <c r="G5476" s="343"/>
      <c r="H5476" s="343"/>
      <c r="I5476" s="343"/>
      <c r="J5476" s="343"/>
      <c r="K5476" s="343"/>
      <c r="L5476" s="343"/>
    </row>
    <row r="5477" spans="4:12" x14ac:dyDescent="0.2">
      <c r="D5477" s="341"/>
      <c r="F5477" s="343"/>
      <c r="G5477" s="343"/>
      <c r="H5477" s="343"/>
      <c r="I5477" s="343"/>
      <c r="J5477" s="343"/>
      <c r="K5477" s="343"/>
      <c r="L5477" s="343"/>
    </row>
    <row r="5478" spans="4:12" x14ac:dyDescent="0.2">
      <c r="D5478" s="341"/>
      <c r="F5478" s="343"/>
      <c r="G5478" s="343"/>
      <c r="H5478" s="343"/>
      <c r="I5478" s="343"/>
      <c r="J5478" s="343"/>
      <c r="K5478" s="343"/>
      <c r="L5478" s="343"/>
    </row>
    <row r="5479" spans="4:12" x14ac:dyDescent="0.2">
      <c r="D5479" s="341"/>
      <c r="F5479" s="343"/>
      <c r="G5479" s="343"/>
      <c r="H5479" s="343"/>
      <c r="I5479" s="343"/>
      <c r="J5479" s="343"/>
      <c r="K5479" s="343"/>
      <c r="L5479" s="343"/>
    </row>
    <row r="5480" spans="4:12" x14ac:dyDescent="0.2">
      <c r="D5480" s="341"/>
      <c r="F5480" s="343"/>
      <c r="G5480" s="343"/>
      <c r="H5480" s="343"/>
      <c r="I5480" s="343"/>
      <c r="J5480" s="343"/>
      <c r="K5480" s="343"/>
      <c r="L5480" s="343"/>
    </row>
    <row r="5481" spans="4:12" x14ac:dyDescent="0.2">
      <c r="D5481" s="341"/>
      <c r="F5481" s="343"/>
      <c r="G5481" s="343"/>
      <c r="H5481" s="343"/>
      <c r="I5481" s="343"/>
      <c r="J5481" s="343"/>
      <c r="K5481" s="343"/>
      <c r="L5481" s="343"/>
    </row>
    <row r="5482" spans="4:12" x14ac:dyDescent="0.2">
      <c r="D5482" s="341"/>
      <c r="F5482" s="343"/>
      <c r="G5482" s="343"/>
      <c r="H5482" s="343"/>
      <c r="I5482" s="343"/>
      <c r="J5482" s="343"/>
      <c r="K5482" s="343"/>
      <c r="L5482" s="343"/>
    </row>
    <row r="5483" spans="4:12" x14ac:dyDescent="0.2">
      <c r="D5483" s="341"/>
      <c r="F5483" s="343"/>
      <c r="G5483" s="343"/>
      <c r="H5483" s="343"/>
      <c r="I5483" s="343"/>
      <c r="J5483" s="343"/>
      <c r="K5483" s="343"/>
      <c r="L5483" s="343"/>
    </row>
    <row r="5484" spans="4:12" x14ac:dyDescent="0.2">
      <c r="D5484" s="341"/>
      <c r="F5484" s="343"/>
      <c r="G5484" s="343"/>
      <c r="H5484" s="343"/>
      <c r="I5484" s="343"/>
      <c r="J5484" s="343"/>
      <c r="K5484" s="343"/>
      <c r="L5484" s="343"/>
    </row>
    <row r="5485" spans="4:12" x14ac:dyDescent="0.2">
      <c r="D5485" s="341"/>
      <c r="F5485" s="343"/>
      <c r="G5485" s="343"/>
      <c r="H5485" s="343"/>
      <c r="I5485" s="343"/>
      <c r="J5485" s="343"/>
      <c r="K5485" s="343"/>
      <c r="L5485" s="343"/>
    </row>
    <row r="5486" spans="4:12" x14ac:dyDescent="0.2">
      <c r="D5486" s="341"/>
      <c r="F5486" s="343"/>
      <c r="G5486" s="343"/>
      <c r="H5486" s="343"/>
      <c r="I5486" s="343"/>
      <c r="J5486" s="343"/>
      <c r="K5486" s="343"/>
      <c r="L5486" s="343"/>
    </row>
    <row r="5487" spans="4:12" x14ac:dyDescent="0.2">
      <c r="D5487" s="341"/>
      <c r="F5487" s="343"/>
      <c r="G5487" s="343"/>
      <c r="H5487" s="343"/>
      <c r="I5487" s="343"/>
      <c r="J5487" s="343"/>
      <c r="K5487" s="343"/>
      <c r="L5487" s="343"/>
    </row>
    <row r="5488" spans="4:12" x14ac:dyDescent="0.2">
      <c r="D5488" s="341"/>
      <c r="F5488" s="343"/>
      <c r="G5488" s="343"/>
      <c r="H5488" s="343"/>
      <c r="I5488" s="343"/>
      <c r="J5488" s="343"/>
      <c r="K5488" s="343"/>
      <c r="L5488" s="343"/>
    </row>
    <row r="5489" spans="4:12" x14ac:dyDescent="0.2">
      <c r="D5489" s="341"/>
      <c r="F5489" s="343"/>
      <c r="G5489" s="343"/>
      <c r="H5489" s="343"/>
      <c r="I5489" s="343"/>
      <c r="J5489" s="343"/>
      <c r="K5489" s="343"/>
      <c r="L5489" s="343"/>
    </row>
    <row r="5490" spans="4:12" x14ac:dyDescent="0.2">
      <c r="D5490" s="341"/>
      <c r="F5490" s="343"/>
      <c r="G5490" s="343"/>
      <c r="H5490" s="343"/>
      <c r="I5490" s="343"/>
      <c r="J5490" s="343"/>
      <c r="K5490" s="343"/>
      <c r="L5490" s="343"/>
    </row>
    <row r="5491" spans="4:12" x14ac:dyDescent="0.2">
      <c r="D5491" s="341"/>
      <c r="F5491" s="343"/>
      <c r="G5491" s="343"/>
      <c r="H5491" s="343"/>
      <c r="I5491" s="343"/>
      <c r="J5491" s="343"/>
      <c r="K5491" s="343"/>
      <c r="L5491" s="343"/>
    </row>
    <row r="5492" spans="4:12" x14ac:dyDescent="0.2">
      <c r="D5492" s="341"/>
      <c r="F5492" s="343"/>
      <c r="G5492" s="343"/>
      <c r="H5492" s="343"/>
      <c r="I5492" s="343"/>
      <c r="J5492" s="343"/>
      <c r="K5492" s="343"/>
      <c r="L5492" s="343"/>
    </row>
    <row r="5493" spans="4:12" x14ac:dyDescent="0.2">
      <c r="D5493" s="341"/>
      <c r="F5493" s="343"/>
      <c r="G5493" s="343"/>
      <c r="H5493" s="343"/>
      <c r="I5493" s="343"/>
      <c r="J5493" s="343"/>
      <c r="K5493" s="343"/>
      <c r="L5493" s="343"/>
    </row>
    <row r="5494" spans="4:12" x14ac:dyDescent="0.2">
      <c r="D5494" s="341"/>
      <c r="F5494" s="343"/>
      <c r="G5494" s="343"/>
      <c r="H5494" s="343"/>
      <c r="I5494" s="343"/>
      <c r="J5494" s="343"/>
      <c r="K5494" s="343"/>
      <c r="L5494" s="343"/>
    </row>
    <row r="5495" spans="4:12" x14ac:dyDescent="0.2">
      <c r="D5495" s="341"/>
      <c r="F5495" s="343"/>
      <c r="G5495" s="343"/>
      <c r="H5495" s="343"/>
      <c r="I5495" s="343"/>
      <c r="J5495" s="343"/>
      <c r="K5495" s="343"/>
      <c r="L5495" s="343"/>
    </row>
    <row r="5496" spans="4:12" x14ac:dyDescent="0.2">
      <c r="D5496" s="341"/>
      <c r="F5496" s="343"/>
      <c r="G5496" s="343"/>
      <c r="H5496" s="343"/>
      <c r="I5496" s="343"/>
      <c r="J5496" s="343"/>
      <c r="K5496" s="343"/>
      <c r="L5496" s="343"/>
    </row>
    <row r="5497" spans="4:12" x14ac:dyDescent="0.2">
      <c r="D5497" s="341"/>
      <c r="F5497" s="343"/>
      <c r="G5497" s="343"/>
      <c r="H5497" s="343"/>
      <c r="I5497" s="343"/>
      <c r="J5497" s="343"/>
      <c r="K5497" s="343"/>
      <c r="L5497" s="343"/>
    </row>
    <row r="5498" spans="4:12" x14ac:dyDescent="0.2">
      <c r="D5498" s="341"/>
      <c r="F5498" s="343"/>
      <c r="G5498" s="343"/>
      <c r="H5498" s="343"/>
      <c r="I5498" s="343"/>
      <c r="J5498" s="343"/>
      <c r="K5498" s="343"/>
      <c r="L5498" s="343"/>
    </row>
    <row r="5499" spans="4:12" x14ac:dyDescent="0.2">
      <c r="D5499" s="341"/>
      <c r="F5499" s="343"/>
      <c r="G5499" s="343"/>
      <c r="H5499" s="343"/>
      <c r="I5499" s="343"/>
      <c r="J5499" s="343"/>
      <c r="K5499" s="343"/>
      <c r="L5499" s="343"/>
    </row>
    <row r="5500" spans="4:12" x14ac:dyDescent="0.2">
      <c r="D5500" s="341"/>
      <c r="F5500" s="343"/>
      <c r="G5500" s="343"/>
      <c r="H5500" s="343"/>
      <c r="I5500" s="343"/>
      <c r="J5500" s="343"/>
      <c r="K5500" s="343"/>
      <c r="L5500" s="343"/>
    </row>
    <row r="5501" spans="4:12" x14ac:dyDescent="0.2">
      <c r="D5501" s="341"/>
      <c r="F5501" s="343"/>
      <c r="G5501" s="343"/>
      <c r="H5501" s="343"/>
      <c r="I5501" s="343"/>
      <c r="J5501" s="343"/>
      <c r="K5501" s="343"/>
      <c r="L5501" s="343"/>
    </row>
    <row r="5502" spans="4:12" x14ac:dyDescent="0.2">
      <c r="D5502" s="341"/>
      <c r="F5502" s="343"/>
      <c r="G5502" s="343"/>
      <c r="H5502" s="343"/>
      <c r="I5502" s="343"/>
      <c r="J5502" s="343"/>
      <c r="K5502" s="343"/>
      <c r="L5502" s="343"/>
    </row>
    <row r="5503" spans="4:12" x14ac:dyDescent="0.2">
      <c r="D5503" s="341"/>
      <c r="F5503" s="343"/>
      <c r="G5503" s="343"/>
      <c r="H5503" s="343"/>
      <c r="I5503" s="343"/>
      <c r="J5503" s="343"/>
      <c r="K5503" s="343"/>
      <c r="L5503" s="343"/>
    </row>
    <row r="5504" spans="4:12" x14ac:dyDescent="0.2">
      <c r="D5504" s="341"/>
      <c r="F5504" s="343"/>
      <c r="G5504" s="343"/>
      <c r="H5504" s="343"/>
      <c r="I5504" s="343"/>
      <c r="J5504" s="343"/>
      <c r="K5504" s="343"/>
      <c r="L5504" s="343"/>
    </row>
    <row r="5505" spans="4:12" x14ac:dyDescent="0.2">
      <c r="D5505" s="341"/>
      <c r="F5505" s="343"/>
      <c r="G5505" s="343"/>
      <c r="H5505" s="343"/>
      <c r="I5505" s="343"/>
      <c r="J5505" s="343"/>
      <c r="K5505" s="343"/>
      <c r="L5505" s="343"/>
    </row>
    <row r="5506" spans="4:12" x14ac:dyDescent="0.2">
      <c r="D5506" s="341"/>
      <c r="F5506" s="343"/>
      <c r="G5506" s="343"/>
      <c r="H5506" s="343"/>
      <c r="I5506" s="343"/>
      <c r="J5506" s="343"/>
      <c r="K5506" s="343"/>
      <c r="L5506" s="343"/>
    </row>
    <row r="5507" spans="4:12" x14ac:dyDescent="0.2">
      <c r="D5507" s="341"/>
      <c r="F5507" s="343"/>
      <c r="G5507" s="343"/>
      <c r="H5507" s="343"/>
      <c r="I5507" s="343"/>
      <c r="J5507" s="343"/>
      <c r="K5507" s="343"/>
      <c r="L5507" s="343"/>
    </row>
    <row r="5508" spans="4:12" x14ac:dyDescent="0.2">
      <c r="D5508" s="341"/>
      <c r="F5508" s="343"/>
      <c r="G5508" s="343"/>
      <c r="H5508" s="343"/>
      <c r="I5508" s="343"/>
      <c r="J5508" s="343"/>
      <c r="K5508" s="343"/>
      <c r="L5508" s="343"/>
    </row>
    <row r="5509" spans="4:12" x14ac:dyDescent="0.2">
      <c r="D5509" s="341"/>
      <c r="F5509" s="343"/>
      <c r="G5509" s="343"/>
      <c r="H5509" s="343"/>
      <c r="I5509" s="343"/>
      <c r="J5509" s="343"/>
      <c r="K5509" s="343"/>
      <c r="L5509" s="343"/>
    </row>
    <row r="5510" spans="4:12" x14ac:dyDescent="0.2">
      <c r="D5510" s="341"/>
      <c r="F5510" s="343"/>
      <c r="G5510" s="343"/>
      <c r="H5510" s="343"/>
      <c r="I5510" s="343"/>
      <c r="J5510" s="343"/>
      <c r="K5510" s="343"/>
      <c r="L5510" s="343"/>
    </row>
    <row r="5511" spans="4:12" x14ac:dyDescent="0.2">
      <c r="D5511" s="341"/>
      <c r="F5511" s="343"/>
      <c r="G5511" s="343"/>
      <c r="H5511" s="343"/>
      <c r="I5511" s="343"/>
      <c r="J5511" s="343"/>
      <c r="K5511" s="343"/>
      <c r="L5511" s="343"/>
    </row>
    <row r="5512" spans="4:12" x14ac:dyDescent="0.2">
      <c r="D5512" s="341"/>
      <c r="F5512" s="343"/>
      <c r="G5512" s="343"/>
      <c r="H5512" s="343"/>
      <c r="I5512" s="343"/>
      <c r="J5512" s="343"/>
      <c r="K5512" s="343"/>
      <c r="L5512" s="343"/>
    </row>
    <row r="5513" spans="4:12" x14ac:dyDescent="0.2">
      <c r="D5513" s="341"/>
      <c r="F5513" s="343"/>
      <c r="G5513" s="343"/>
      <c r="H5513" s="343"/>
      <c r="I5513" s="343"/>
      <c r="J5513" s="343"/>
      <c r="K5513" s="343"/>
      <c r="L5513" s="343"/>
    </row>
    <row r="5514" spans="4:12" x14ac:dyDescent="0.2">
      <c r="D5514" s="341"/>
      <c r="F5514" s="343"/>
      <c r="G5514" s="343"/>
      <c r="H5514" s="343"/>
      <c r="I5514" s="343"/>
      <c r="J5514" s="343"/>
      <c r="K5514" s="343"/>
      <c r="L5514" s="343"/>
    </row>
    <row r="5515" spans="4:12" x14ac:dyDescent="0.2">
      <c r="D5515" s="341"/>
      <c r="F5515" s="343"/>
      <c r="G5515" s="343"/>
      <c r="H5515" s="343"/>
      <c r="I5515" s="343"/>
      <c r="J5515" s="343"/>
      <c r="K5515" s="343"/>
      <c r="L5515" s="343"/>
    </row>
    <row r="5516" spans="4:12" x14ac:dyDescent="0.2">
      <c r="D5516" s="341"/>
      <c r="F5516" s="343"/>
      <c r="G5516" s="343"/>
      <c r="H5516" s="343"/>
      <c r="I5516" s="343"/>
      <c r="J5516" s="343"/>
      <c r="K5516" s="343"/>
      <c r="L5516" s="343"/>
    </row>
    <row r="5517" spans="4:12" x14ac:dyDescent="0.2">
      <c r="D5517" s="341"/>
      <c r="F5517" s="343"/>
      <c r="G5517" s="343"/>
      <c r="H5517" s="343"/>
      <c r="I5517" s="343"/>
      <c r="J5517" s="343"/>
      <c r="K5517" s="343"/>
      <c r="L5517" s="343"/>
    </row>
    <row r="5518" spans="4:12" x14ac:dyDescent="0.2">
      <c r="D5518" s="341"/>
      <c r="F5518" s="343"/>
      <c r="G5518" s="343"/>
      <c r="H5518" s="343"/>
      <c r="I5518" s="343"/>
      <c r="J5518" s="343"/>
      <c r="K5518" s="343"/>
      <c r="L5518" s="343"/>
    </row>
    <row r="5519" spans="4:12" x14ac:dyDescent="0.2">
      <c r="D5519" s="341"/>
      <c r="F5519" s="343"/>
      <c r="G5519" s="343"/>
      <c r="H5519" s="343"/>
      <c r="I5519" s="343"/>
      <c r="J5519" s="343"/>
      <c r="K5519" s="343"/>
      <c r="L5519" s="343"/>
    </row>
    <row r="5520" spans="4:12" x14ac:dyDescent="0.2">
      <c r="D5520" s="341"/>
      <c r="F5520" s="343"/>
      <c r="G5520" s="343"/>
      <c r="H5520" s="343"/>
      <c r="I5520" s="343"/>
      <c r="J5520" s="343"/>
      <c r="K5520" s="343"/>
      <c r="L5520" s="343"/>
    </row>
    <row r="5521" spans="4:12" x14ac:dyDescent="0.2">
      <c r="D5521" s="341"/>
      <c r="F5521" s="343"/>
      <c r="G5521" s="343"/>
      <c r="H5521" s="343"/>
      <c r="I5521" s="343"/>
      <c r="J5521" s="343"/>
      <c r="K5521" s="343"/>
      <c r="L5521" s="343"/>
    </row>
    <row r="5522" spans="4:12" x14ac:dyDescent="0.2">
      <c r="D5522" s="341"/>
      <c r="F5522" s="343"/>
      <c r="G5522" s="343"/>
      <c r="H5522" s="343"/>
      <c r="I5522" s="343"/>
      <c r="J5522" s="343"/>
      <c r="K5522" s="343"/>
      <c r="L5522" s="343"/>
    </row>
    <row r="5523" spans="4:12" x14ac:dyDescent="0.2">
      <c r="D5523" s="341"/>
      <c r="F5523" s="343"/>
      <c r="G5523" s="343"/>
      <c r="H5523" s="343"/>
      <c r="I5523" s="343"/>
      <c r="J5523" s="343"/>
      <c r="K5523" s="343"/>
      <c r="L5523" s="343"/>
    </row>
    <row r="5524" spans="4:12" x14ac:dyDescent="0.2">
      <c r="D5524" s="341"/>
      <c r="F5524" s="343"/>
      <c r="G5524" s="343"/>
      <c r="H5524" s="343"/>
      <c r="I5524" s="343"/>
      <c r="J5524" s="343"/>
      <c r="K5524" s="343"/>
      <c r="L5524" s="343"/>
    </row>
    <row r="5525" spans="4:12" x14ac:dyDescent="0.2">
      <c r="D5525" s="341"/>
      <c r="F5525" s="343"/>
      <c r="G5525" s="343"/>
      <c r="H5525" s="343"/>
      <c r="I5525" s="343"/>
      <c r="J5525" s="343"/>
      <c r="K5525" s="343"/>
      <c r="L5525" s="343"/>
    </row>
    <row r="5526" spans="4:12" x14ac:dyDescent="0.2">
      <c r="D5526" s="341"/>
      <c r="F5526" s="343"/>
      <c r="G5526" s="343"/>
      <c r="H5526" s="343"/>
      <c r="I5526" s="343"/>
      <c r="J5526" s="343"/>
      <c r="K5526" s="343"/>
      <c r="L5526" s="343"/>
    </row>
    <row r="5527" spans="4:12" x14ac:dyDescent="0.2">
      <c r="D5527" s="341"/>
      <c r="F5527" s="343"/>
      <c r="G5527" s="343"/>
      <c r="H5527" s="343"/>
      <c r="I5527" s="343"/>
      <c r="J5527" s="343"/>
      <c r="K5527" s="343"/>
      <c r="L5527" s="343"/>
    </row>
    <row r="5528" spans="4:12" x14ac:dyDescent="0.2">
      <c r="D5528" s="341"/>
      <c r="F5528" s="343"/>
      <c r="G5528" s="343"/>
      <c r="H5528" s="343"/>
      <c r="I5528" s="343"/>
      <c r="J5528" s="343"/>
      <c r="K5528" s="343"/>
      <c r="L5528" s="343"/>
    </row>
    <row r="5529" spans="4:12" x14ac:dyDescent="0.2">
      <c r="D5529" s="341"/>
      <c r="F5529" s="343"/>
      <c r="G5529" s="343"/>
      <c r="H5529" s="343"/>
      <c r="I5529" s="343"/>
      <c r="J5529" s="343"/>
      <c r="K5529" s="343"/>
      <c r="L5529" s="343"/>
    </row>
    <row r="5530" spans="4:12" x14ac:dyDescent="0.2">
      <c r="D5530" s="341"/>
      <c r="F5530" s="343"/>
      <c r="G5530" s="343"/>
      <c r="H5530" s="343"/>
      <c r="I5530" s="343"/>
      <c r="J5530" s="343"/>
      <c r="K5530" s="343"/>
      <c r="L5530" s="343"/>
    </row>
    <row r="5531" spans="4:12" x14ac:dyDescent="0.2">
      <c r="D5531" s="341"/>
      <c r="F5531" s="343"/>
      <c r="G5531" s="343"/>
      <c r="H5531" s="343"/>
      <c r="I5531" s="343"/>
      <c r="J5531" s="343"/>
      <c r="K5531" s="343"/>
      <c r="L5531" s="343"/>
    </row>
    <row r="5532" spans="4:12" x14ac:dyDescent="0.2">
      <c r="D5532" s="341"/>
      <c r="F5532" s="343"/>
      <c r="G5532" s="343"/>
      <c r="H5532" s="343"/>
      <c r="I5532" s="343"/>
      <c r="J5532" s="343"/>
      <c r="K5532" s="343"/>
      <c r="L5532" s="343"/>
    </row>
    <row r="5533" spans="4:12" x14ac:dyDescent="0.2">
      <c r="D5533" s="341"/>
      <c r="F5533" s="343"/>
      <c r="G5533" s="343"/>
      <c r="H5533" s="343"/>
      <c r="I5533" s="343"/>
      <c r="J5533" s="343"/>
      <c r="K5533" s="343"/>
      <c r="L5533" s="343"/>
    </row>
    <row r="5534" spans="4:12" x14ac:dyDescent="0.2">
      <c r="D5534" s="341"/>
      <c r="F5534" s="343"/>
      <c r="G5534" s="343"/>
      <c r="H5534" s="343"/>
      <c r="I5534" s="343"/>
      <c r="J5534" s="343"/>
      <c r="K5534" s="343"/>
      <c r="L5534" s="343"/>
    </row>
    <row r="5535" spans="4:12" x14ac:dyDescent="0.2">
      <c r="D5535" s="341"/>
      <c r="F5535" s="343"/>
      <c r="G5535" s="343"/>
      <c r="H5535" s="343"/>
      <c r="I5535" s="343"/>
      <c r="J5535" s="343"/>
      <c r="K5535" s="343"/>
      <c r="L5535" s="343"/>
    </row>
    <row r="5536" spans="4:12" x14ac:dyDescent="0.2">
      <c r="D5536" s="341"/>
      <c r="F5536" s="343"/>
      <c r="G5536" s="343"/>
      <c r="H5536" s="343"/>
      <c r="I5536" s="343"/>
      <c r="J5536" s="343"/>
      <c r="K5536" s="343"/>
      <c r="L5536" s="343"/>
    </row>
    <row r="5537" spans="4:12" x14ac:dyDescent="0.2">
      <c r="D5537" s="341"/>
      <c r="F5537" s="343"/>
      <c r="G5537" s="343"/>
      <c r="H5537" s="343"/>
      <c r="I5537" s="343"/>
      <c r="J5537" s="343"/>
      <c r="K5537" s="343"/>
      <c r="L5537" s="343"/>
    </row>
    <row r="5538" spans="4:12" x14ac:dyDescent="0.2">
      <c r="D5538" s="341"/>
      <c r="F5538" s="343"/>
      <c r="G5538" s="343"/>
      <c r="H5538" s="343"/>
      <c r="I5538" s="343"/>
      <c r="J5538" s="343"/>
      <c r="K5538" s="343"/>
      <c r="L5538" s="343"/>
    </row>
    <row r="5539" spans="4:12" x14ac:dyDescent="0.2">
      <c r="D5539" s="341"/>
      <c r="F5539" s="343"/>
      <c r="G5539" s="343"/>
      <c r="H5539" s="343"/>
      <c r="I5539" s="343"/>
      <c r="J5539" s="343"/>
      <c r="K5539" s="343"/>
      <c r="L5539" s="343"/>
    </row>
    <row r="5540" spans="4:12" x14ac:dyDescent="0.2">
      <c r="D5540" s="341"/>
      <c r="F5540" s="343"/>
      <c r="G5540" s="343"/>
      <c r="H5540" s="343"/>
      <c r="I5540" s="343"/>
      <c r="J5540" s="343"/>
      <c r="K5540" s="343"/>
      <c r="L5540" s="343"/>
    </row>
    <row r="5541" spans="4:12" x14ac:dyDescent="0.2">
      <c r="D5541" s="341"/>
      <c r="F5541" s="343"/>
      <c r="G5541" s="343"/>
      <c r="H5541" s="343"/>
      <c r="I5541" s="343"/>
      <c r="J5541" s="343"/>
      <c r="K5541" s="343"/>
      <c r="L5541" s="343"/>
    </row>
    <row r="5542" spans="4:12" x14ac:dyDescent="0.2">
      <c r="D5542" s="341"/>
      <c r="F5542" s="343"/>
      <c r="G5542" s="343"/>
      <c r="H5542" s="343"/>
      <c r="I5542" s="343"/>
      <c r="J5542" s="343"/>
      <c r="K5542" s="343"/>
      <c r="L5542" s="343"/>
    </row>
    <row r="5543" spans="4:12" x14ac:dyDescent="0.2">
      <c r="D5543" s="341"/>
      <c r="F5543" s="343"/>
      <c r="G5543" s="343"/>
      <c r="H5543" s="343"/>
      <c r="I5543" s="343"/>
      <c r="J5543" s="343"/>
      <c r="K5543" s="343"/>
      <c r="L5543" s="343"/>
    </row>
    <row r="5544" spans="4:12" x14ac:dyDescent="0.2">
      <c r="D5544" s="341"/>
      <c r="F5544" s="343"/>
      <c r="G5544" s="343"/>
      <c r="H5544" s="343"/>
      <c r="I5544" s="343"/>
      <c r="J5544" s="343"/>
      <c r="K5544" s="343"/>
      <c r="L5544" s="343"/>
    </row>
    <row r="5545" spans="4:12" x14ac:dyDescent="0.2">
      <c r="D5545" s="341"/>
      <c r="F5545" s="343"/>
      <c r="G5545" s="343"/>
      <c r="H5545" s="343"/>
      <c r="I5545" s="343"/>
      <c r="J5545" s="343"/>
      <c r="K5545" s="343"/>
      <c r="L5545" s="343"/>
    </row>
    <row r="5546" spans="4:12" x14ac:dyDescent="0.2">
      <c r="D5546" s="341"/>
      <c r="F5546" s="343"/>
      <c r="G5546" s="343"/>
      <c r="H5546" s="343"/>
      <c r="I5546" s="343"/>
      <c r="J5546" s="343"/>
      <c r="K5546" s="343"/>
      <c r="L5546" s="343"/>
    </row>
    <row r="5547" spans="4:12" x14ac:dyDescent="0.2">
      <c r="D5547" s="341"/>
      <c r="F5547" s="343"/>
      <c r="G5547" s="343"/>
      <c r="H5547" s="343"/>
      <c r="I5547" s="343"/>
      <c r="J5547" s="343"/>
      <c r="K5547" s="343"/>
      <c r="L5547" s="343"/>
    </row>
    <row r="5548" spans="4:12" x14ac:dyDescent="0.2">
      <c r="D5548" s="341"/>
      <c r="F5548" s="343"/>
      <c r="G5548" s="343"/>
      <c r="H5548" s="343"/>
      <c r="I5548" s="343"/>
      <c r="J5548" s="343"/>
      <c r="K5548" s="343"/>
      <c r="L5548" s="343"/>
    </row>
    <row r="5549" spans="4:12" x14ac:dyDescent="0.2">
      <c r="D5549" s="341"/>
      <c r="F5549" s="343"/>
      <c r="G5549" s="343"/>
      <c r="H5549" s="343"/>
      <c r="I5549" s="343"/>
      <c r="J5549" s="343"/>
      <c r="K5549" s="343"/>
      <c r="L5549" s="343"/>
    </row>
    <row r="5550" spans="4:12" x14ac:dyDescent="0.2">
      <c r="D5550" s="341"/>
      <c r="F5550" s="343"/>
      <c r="G5550" s="343"/>
      <c r="H5550" s="343"/>
      <c r="I5550" s="343"/>
      <c r="J5550" s="343"/>
      <c r="K5550" s="343"/>
      <c r="L5550" s="343"/>
    </row>
    <row r="5551" spans="4:12" x14ac:dyDescent="0.2">
      <c r="D5551" s="341"/>
      <c r="F5551" s="343"/>
      <c r="G5551" s="343"/>
      <c r="H5551" s="343"/>
      <c r="I5551" s="343"/>
      <c r="J5551" s="343"/>
      <c r="K5551" s="343"/>
      <c r="L5551" s="343"/>
    </row>
    <row r="5552" spans="4:12" x14ac:dyDescent="0.2">
      <c r="D5552" s="341"/>
      <c r="F5552" s="343"/>
      <c r="G5552" s="343"/>
      <c r="H5552" s="343"/>
      <c r="I5552" s="343"/>
      <c r="J5552" s="343"/>
      <c r="K5552" s="343"/>
      <c r="L5552" s="343"/>
    </row>
    <row r="5553" spans="4:12" x14ac:dyDescent="0.2">
      <c r="D5553" s="341"/>
      <c r="F5553" s="343"/>
      <c r="G5553" s="343"/>
      <c r="H5553" s="343"/>
      <c r="I5553" s="343"/>
      <c r="J5553" s="343"/>
      <c r="K5553" s="343"/>
      <c r="L5553" s="343"/>
    </row>
    <row r="5554" spans="4:12" x14ac:dyDescent="0.2">
      <c r="D5554" s="341"/>
      <c r="F5554" s="343"/>
      <c r="G5554" s="343"/>
      <c r="H5554" s="343"/>
      <c r="I5554" s="343"/>
      <c r="J5554" s="343"/>
      <c r="K5554" s="343"/>
      <c r="L5554" s="343"/>
    </row>
    <row r="5555" spans="4:12" x14ac:dyDescent="0.2">
      <c r="D5555" s="341"/>
      <c r="F5555" s="343"/>
      <c r="G5555" s="343"/>
      <c r="H5555" s="343"/>
      <c r="I5555" s="343"/>
      <c r="J5555" s="343"/>
      <c r="K5555" s="343"/>
      <c r="L5555" s="343"/>
    </row>
    <row r="5556" spans="4:12" x14ac:dyDescent="0.2">
      <c r="D5556" s="341"/>
      <c r="F5556" s="343"/>
      <c r="G5556" s="343"/>
      <c r="H5556" s="343"/>
      <c r="I5556" s="343"/>
      <c r="J5556" s="343"/>
      <c r="K5556" s="343"/>
      <c r="L5556" s="343"/>
    </row>
    <row r="5557" spans="4:12" x14ac:dyDescent="0.2">
      <c r="D5557" s="341"/>
      <c r="F5557" s="343"/>
      <c r="G5557" s="343"/>
      <c r="H5557" s="343"/>
      <c r="I5557" s="343"/>
      <c r="J5557" s="343"/>
      <c r="K5557" s="343"/>
      <c r="L5557" s="343"/>
    </row>
    <row r="5558" spans="4:12" x14ac:dyDescent="0.2">
      <c r="D5558" s="341"/>
      <c r="F5558" s="343"/>
      <c r="G5558" s="343"/>
      <c r="H5558" s="343"/>
      <c r="I5558" s="343"/>
      <c r="J5558" s="343"/>
      <c r="K5558" s="343"/>
      <c r="L5558" s="343"/>
    </row>
    <row r="5559" spans="4:12" x14ac:dyDescent="0.2">
      <c r="D5559" s="341"/>
      <c r="F5559" s="343"/>
      <c r="G5559" s="343"/>
      <c r="H5559" s="343"/>
      <c r="I5559" s="343"/>
      <c r="J5559" s="343"/>
      <c r="K5559" s="343"/>
      <c r="L5559" s="343"/>
    </row>
    <row r="5560" spans="4:12" x14ac:dyDescent="0.2">
      <c r="D5560" s="341"/>
      <c r="F5560" s="343"/>
      <c r="G5560" s="343"/>
      <c r="H5560" s="343"/>
      <c r="I5560" s="343"/>
      <c r="J5560" s="343"/>
      <c r="K5560" s="343"/>
      <c r="L5560" s="343"/>
    </row>
    <row r="5561" spans="4:12" x14ac:dyDescent="0.2">
      <c r="D5561" s="341"/>
      <c r="F5561" s="343"/>
      <c r="G5561" s="343"/>
      <c r="H5561" s="343"/>
      <c r="I5561" s="343"/>
      <c r="J5561" s="343"/>
      <c r="K5561" s="343"/>
      <c r="L5561" s="343"/>
    </row>
    <row r="5562" spans="4:12" x14ac:dyDescent="0.2">
      <c r="D5562" s="341"/>
      <c r="F5562" s="343"/>
      <c r="G5562" s="343"/>
      <c r="H5562" s="343"/>
      <c r="I5562" s="343"/>
      <c r="J5562" s="343"/>
      <c r="K5562" s="343"/>
      <c r="L5562" s="343"/>
    </row>
    <row r="5563" spans="4:12" x14ac:dyDescent="0.2">
      <c r="D5563" s="341"/>
      <c r="F5563" s="343"/>
      <c r="G5563" s="343"/>
      <c r="H5563" s="343"/>
      <c r="I5563" s="343"/>
      <c r="J5563" s="343"/>
      <c r="K5563" s="343"/>
      <c r="L5563" s="343"/>
    </row>
    <row r="5564" spans="4:12" x14ac:dyDescent="0.2">
      <c r="D5564" s="341"/>
      <c r="F5564" s="343"/>
      <c r="G5564" s="343"/>
      <c r="H5564" s="343"/>
      <c r="I5564" s="343"/>
      <c r="J5564" s="343"/>
      <c r="K5564" s="343"/>
      <c r="L5564" s="343"/>
    </row>
    <row r="5565" spans="4:12" x14ac:dyDescent="0.2">
      <c r="D5565" s="341"/>
      <c r="F5565" s="343"/>
      <c r="G5565" s="343"/>
      <c r="H5565" s="343"/>
      <c r="I5565" s="343"/>
      <c r="J5565" s="343"/>
      <c r="K5565" s="343"/>
      <c r="L5565" s="343"/>
    </row>
    <row r="5566" spans="4:12" x14ac:dyDescent="0.2">
      <c r="D5566" s="341"/>
      <c r="F5566" s="343"/>
      <c r="G5566" s="343"/>
      <c r="H5566" s="343"/>
      <c r="I5566" s="343"/>
      <c r="J5566" s="343"/>
      <c r="K5566" s="343"/>
      <c r="L5566" s="343"/>
    </row>
    <row r="5567" spans="4:12" x14ac:dyDescent="0.2">
      <c r="D5567" s="341"/>
      <c r="F5567" s="343"/>
      <c r="G5567" s="343"/>
      <c r="H5567" s="343"/>
      <c r="I5567" s="343"/>
      <c r="J5567" s="343"/>
      <c r="K5567" s="343"/>
      <c r="L5567" s="343"/>
    </row>
    <row r="5568" spans="4:12" x14ac:dyDescent="0.2">
      <c r="D5568" s="341"/>
      <c r="F5568" s="343"/>
      <c r="G5568" s="343"/>
      <c r="H5568" s="343"/>
      <c r="I5568" s="343"/>
      <c r="J5568" s="343"/>
      <c r="K5568" s="343"/>
      <c r="L5568" s="343"/>
    </row>
    <row r="5569" spans="4:12" x14ac:dyDescent="0.2">
      <c r="D5569" s="341"/>
      <c r="F5569" s="343"/>
      <c r="G5569" s="343"/>
      <c r="H5569" s="343"/>
      <c r="I5569" s="343"/>
      <c r="J5569" s="343"/>
      <c r="K5569" s="343"/>
      <c r="L5569" s="343"/>
    </row>
    <row r="5570" spans="4:12" x14ac:dyDescent="0.2">
      <c r="D5570" s="341"/>
      <c r="F5570" s="343"/>
      <c r="G5570" s="343"/>
      <c r="H5570" s="343"/>
      <c r="I5570" s="343"/>
      <c r="J5570" s="343"/>
      <c r="K5570" s="343"/>
      <c r="L5570" s="343"/>
    </row>
    <row r="5571" spans="4:12" x14ac:dyDescent="0.2">
      <c r="D5571" s="341"/>
      <c r="F5571" s="343"/>
      <c r="G5571" s="343"/>
      <c r="H5571" s="343"/>
      <c r="I5571" s="343"/>
      <c r="J5571" s="343"/>
      <c r="K5571" s="343"/>
      <c r="L5571" s="343"/>
    </row>
    <row r="5572" spans="4:12" x14ac:dyDescent="0.2">
      <c r="D5572" s="341"/>
      <c r="F5572" s="343"/>
      <c r="G5572" s="343"/>
      <c r="H5572" s="343"/>
      <c r="I5572" s="343"/>
      <c r="J5572" s="343"/>
      <c r="K5572" s="343"/>
      <c r="L5572" s="343"/>
    </row>
    <row r="5573" spans="4:12" x14ac:dyDescent="0.2">
      <c r="D5573" s="341"/>
      <c r="F5573" s="343"/>
      <c r="G5573" s="343"/>
      <c r="H5573" s="343"/>
      <c r="I5573" s="343"/>
      <c r="J5573" s="343"/>
      <c r="K5573" s="343"/>
      <c r="L5573" s="343"/>
    </row>
    <row r="5574" spans="4:12" x14ac:dyDescent="0.2">
      <c r="D5574" s="341"/>
      <c r="F5574" s="343"/>
      <c r="G5574" s="343"/>
      <c r="H5574" s="343"/>
      <c r="I5574" s="343"/>
      <c r="J5574" s="343"/>
      <c r="K5574" s="343"/>
      <c r="L5574" s="343"/>
    </row>
    <row r="5575" spans="4:12" x14ac:dyDescent="0.2">
      <c r="D5575" s="341"/>
      <c r="F5575" s="343"/>
      <c r="G5575" s="343"/>
      <c r="H5575" s="343"/>
      <c r="I5575" s="343"/>
      <c r="J5575" s="343"/>
      <c r="K5575" s="343"/>
      <c r="L5575" s="343"/>
    </row>
    <row r="5576" spans="4:12" x14ac:dyDescent="0.2">
      <c r="D5576" s="341"/>
      <c r="F5576" s="343"/>
      <c r="G5576" s="343"/>
      <c r="H5576" s="343"/>
      <c r="I5576" s="343"/>
      <c r="J5576" s="343"/>
      <c r="K5576" s="343"/>
      <c r="L5576" s="343"/>
    </row>
    <row r="5577" spans="4:12" x14ac:dyDescent="0.2">
      <c r="D5577" s="341"/>
      <c r="F5577" s="343"/>
      <c r="G5577" s="343"/>
      <c r="H5577" s="343"/>
      <c r="I5577" s="343"/>
      <c r="J5577" s="343"/>
      <c r="K5577" s="343"/>
      <c r="L5577" s="343"/>
    </row>
    <row r="5578" spans="4:12" x14ac:dyDescent="0.2">
      <c r="D5578" s="341"/>
      <c r="F5578" s="343"/>
      <c r="G5578" s="343"/>
      <c r="H5578" s="343"/>
      <c r="I5578" s="343"/>
      <c r="J5578" s="343"/>
      <c r="K5578" s="343"/>
      <c r="L5578" s="343"/>
    </row>
    <row r="5579" spans="4:12" x14ac:dyDescent="0.2">
      <c r="D5579" s="341"/>
      <c r="F5579" s="343"/>
      <c r="G5579" s="343"/>
      <c r="H5579" s="343"/>
      <c r="I5579" s="343"/>
      <c r="J5579" s="343"/>
      <c r="K5579" s="343"/>
      <c r="L5579" s="343"/>
    </row>
    <row r="5580" spans="4:12" x14ac:dyDescent="0.2">
      <c r="D5580" s="341"/>
      <c r="F5580" s="343"/>
      <c r="G5580" s="343"/>
      <c r="H5580" s="343"/>
      <c r="I5580" s="343"/>
      <c r="J5580" s="343"/>
      <c r="K5580" s="343"/>
      <c r="L5580" s="343"/>
    </row>
    <row r="5581" spans="4:12" x14ac:dyDescent="0.2">
      <c r="D5581" s="341"/>
      <c r="F5581" s="343"/>
      <c r="G5581" s="343"/>
      <c r="H5581" s="343"/>
      <c r="I5581" s="343"/>
      <c r="J5581" s="343"/>
      <c r="K5581" s="343"/>
      <c r="L5581" s="343"/>
    </row>
    <row r="5582" spans="4:12" x14ac:dyDescent="0.2">
      <c r="D5582" s="341"/>
      <c r="F5582" s="343"/>
      <c r="G5582" s="343"/>
      <c r="H5582" s="343"/>
      <c r="I5582" s="343"/>
      <c r="J5582" s="343"/>
      <c r="K5582" s="343"/>
      <c r="L5582" s="343"/>
    </row>
    <row r="5583" spans="4:12" x14ac:dyDescent="0.2">
      <c r="D5583" s="341"/>
      <c r="F5583" s="343"/>
      <c r="G5583" s="343"/>
      <c r="H5583" s="343"/>
      <c r="I5583" s="343"/>
      <c r="J5583" s="343"/>
      <c r="K5583" s="343"/>
      <c r="L5583" s="343"/>
    </row>
    <row r="5584" spans="4:12" x14ac:dyDescent="0.2">
      <c r="D5584" s="341"/>
      <c r="F5584" s="343"/>
      <c r="G5584" s="343"/>
      <c r="H5584" s="343"/>
      <c r="I5584" s="343"/>
      <c r="J5584" s="343"/>
      <c r="K5584" s="343"/>
      <c r="L5584" s="343"/>
    </row>
    <row r="5585" spans="4:12" x14ac:dyDescent="0.2">
      <c r="D5585" s="341"/>
      <c r="F5585" s="343"/>
      <c r="G5585" s="343"/>
      <c r="H5585" s="343"/>
      <c r="I5585" s="343"/>
      <c r="J5585" s="343"/>
      <c r="K5585" s="343"/>
      <c r="L5585" s="343"/>
    </row>
    <row r="5586" spans="4:12" x14ac:dyDescent="0.2">
      <c r="D5586" s="341"/>
      <c r="F5586" s="343"/>
      <c r="G5586" s="343"/>
      <c r="H5586" s="343"/>
      <c r="I5586" s="343"/>
      <c r="J5586" s="343"/>
      <c r="K5586" s="343"/>
      <c r="L5586" s="343"/>
    </row>
    <row r="5587" spans="4:12" x14ac:dyDescent="0.2">
      <c r="D5587" s="341"/>
      <c r="F5587" s="343"/>
      <c r="G5587" s="343"/>
      <c r="H5587" s="343"/>
      <c r="I5587" s="343"/>
      <c r="J5587" s="343"/>
      <c r="K5587" s="343"/>
      <c r="L5587" s="343"/>
    </row>
    <row r="5588" spans="4:12" x14ac:dyDescent="0.2">
      <c r="D5588" s="341"/>
      <c r="F5588" s="343"/>
      <c r="G5588" s="343"/>
      <c r="H5588" s="343"/>
      <c r="I5588" s="343"/>
      <c r="J5588" s="343"/>
      <c r="K5588" s="343"/>
      <c r="L5588" s="343"/>
    </row>
    <row r="5589" spans="4:12" x14ac:dyDescent="0.2">
      <c r="D5589" s="341"/>
      <c r="F5589" s="343"/>
      <c r="G5589" s="343"/>
      <c r="H5589" s="343"/>
      <c r="I5589" s="343"/>
      <c r="J5589" s="343"/>
      <c r="K5589" s="343"/>
      <c r="L5589" s="343"/>
    </row>
    <row r="5590" spans="4:12" x14ac:dyDescent="0.2">
      <c r="D5590" s="341"/>
      <c r="F5590" s="343"/>
      <c r="G5590" s="343"/>
      <c r="H5590" s="343"/>
      <c r="I5590" s="343"/>
      <c r="J5590" s="343"/>
      <c r="K5590" s="343"/>
      <c r="L5590" s="343"/>
    </row>
    <row r="5591" spans="4:12" x14ac:dyDescent="0.2">
      <c r="D5591" s="341"/>
      <c r="F5591" s="343"/>
      <c r="G5591" s="343"/>
      <c r="H5591" s="343"/>
      <c r="I5591" s="343"/>
      <c r="J5591" s="343"/>
      <c r="K5591" s="343"/>
      <c r="L5591" s="343"/>
    </row>
    <row r="5592" spans="4:12" x14ac:dyDescent="0.2">
      <c r="D5592" s="341"/>
      <c r="F5592" s="343"/>
      <c r="G5592" s="343"/>
      <c r="H5592" s="343"/>
      <c r="I5592" s="343"/>
      <c r="J5592" s="343"/>
      <c r="K5592" s="343"/>
      <c r="L5592" s="343"/>
    </row>
    <row r="5593" spans="4:12" x14ac:dyDescent="0.2">
      <c r="D5593" s="341"/>
      <c r="F5593" s="343"/>
      <c r="G5593" s="343"/>
      <c r="H5593" s="343"/>
      <c r="I5593" s="343"/>
      <c r="J5593" s="343"/>
      <c r="K5593" s="343"/>
      <c r="L5593" s="343"/>
    </row>
    <row r="5594" spans="4:12" x14ac:dyDescent="0.2">
      <c r="D5594" s="341"/>
      <c r="F5594" s="343"/>
      <c r="G5594" s="343"/>
      <c r="H5594" s="343"/>
      <c r="I5594" s="343"/>
      <c r="J5594" s="343"/>
      <c r="K5594" s="343"/>
      <c r="L5594" s="343"/>
    </row>
    <row r="5595" spans="4:12" x14ac:dyDescent="0.2">
      <c r="D5595" s="341"/>
      <c r="F5595" s="343"/>
      <c r="G5595" s="343"/>
      <c r="H5595" s="343"/>
      <c r="I5595" s="343"/>
      <c r="J5595" s="343"/>
      <c r="K5595" s="343"/>
      <c r="L5595" s="343"/>
    </row>
    <row r="5596" spans="4:12" x14ac:dyDescent="0.2">
      <c r="D5596" s="341"/>
      <c r="F5596" s="343"/>
      <c r="G5596" s="343"/>
      <c r="H5596" s="343"/>
      <c r="I5596" s="343"/>
      <c r="J5596" s="343"/>
      <c r="K5596" s="343"/>
      <c r="L5596" s="343"/>
    </row>
    <row r="5597" spans="4:12" x14ac:dyDescent="0.2">
      <c r="D5597" s="341"/>
      <c r="F5597" s="343"/>
      <c r="G5597" s="343"/>
      <c r="H5597" s="343"/>
      <c r="I5597" s="343"/>
      <c r="J5597" s="343"/>
      <c r="K5597" s="343"/>
      <c r="L5597" s="343"/>
    </row>
    <row r="5598" spans="4:12" x14ac:dyDescent="0.2">
      <c r="D5598" s="341"/>
      <c r="F5598" s="343"/>
      <c r="G5598" s="343"/>
      <c r="H5598" s="343"/>
      <c r="I5598" s="343"/>
      <c r="J5598" s="343"/>
      <c r="K5598" s="343"/>
      <c r="L5598" s="343"/>
    </row>
    <row r="5599" spans="4:12" x14ac:dyDescent="0.2">
      <c r="D5599" s="341"/>
      <c r="F5599" s="343"/>
      <c r="G5599" s="343"/>
      <c r="H5599" s="343"/>
      <c r="I5599" s="343"/>
      <c r="J5599" s="343"/>
      <c r="K5599" s="343"/>
      <c r="L5599" s="343"/>
    </row>
    <row r="5600" spans="4:12" x14ac:dyDescent="0.2">
      <c r="D5600" s="341"/>
      <c r="F5600" s="343"/>
      <c r="G5600" s="343"/>
      <c r="H5600" s="343"/>
      <c r="I5600" s="343"/>
      <c r="J5600" s="343"/>
      <c r="K5600" s="343"/>
      <c r="L5600" s="343"/>
    </row>
    <row r="5601" spans="4:12" x14ac:dyDescent="0.2">
      <c r="D5601" s="341"/>
      <c r="F5601" s="343"/>
      <c r="G5601" s="343"/>
      <c r="H5601" s="343"/>
      <c r="I5601" s="343"/>
      <c r="J5601" s="343"/>
      <c r="K5601" s="343"/>
      <c r="L5601" s="343"/>
    </row>
    <row r="5602" spans="4:12" x14ac:dyDescent="0.2">
      <c r="D5602" s="341"/>
      <c r="F5602" s="343"/>
      <c r="G5602" s="343"/>
      <c r="H5602" s="343"/>
      <c r="I5602" s="343"/>
      <c r="J5602" s="343"/>
      <c r="K5602" s="343"/>
      <c r="L5602" s="343"/>
    </row>
    <row r="5603" spans="4:12" x14ac:dyDescent="0.2">
      <c r="D5603" s="341"/>
      <c r="F5603" s="343"/>
      <c r="G5603" s="343"/>
      <c r="H5603" s="343"/>
      <c r="I5603" s="343"/>
      <c r="J5603" s="343"/>
      <c r="K5603" s="343"/>
      <c r="L5603" s="343"/>
    </row>
    <row r="5604" spans="4:12" x14ac:dyDescent="0.2">
      <c r="D5604" s="341"/>
      <c r="F5604" s="343"/>
      <c r="G5604" s="343"/>
      <c r="H5604" s="343"/>
      <c r="I5604" s="343"/>
      <c r="J5604" s="343"/>
      <c r="K5604" s="343"/>
      <c r="L5604" s="343"/>
    </row>
    <row r="5605" spans="4:12" x14ac:dyDescent="0.2">
      <c r="D5605" s="341"/>
      <c r="F5605" s="343"/>
      <c r="G5605" s="343"/>
      <c r="H5605" s="343"/>
      <c r="I5605" s="343"/>
      <c r="J5605" s="343"/>
      <c r="K5605" s="343"/>
      <c r="L5605" s="343"/>
    </row>
    <row r="5606" spans="4:12" x14ac:dyDescent="0.2">
      <c r="D5606" s="341"/>
      <c r="F5606" s="343"/>
      <c r="G5606" s="343"/>
      <c r="H5606" s="343"/>
      <c r="I5606" s="343"/>
      <c r="J5606" s="343"/>
      <c r="K5606" s="343"/>
      <c r="L5606" s="343"/>
    </row>
    <row r="5607" spans="4:12" x14ac:dyDescent="0.2">
      <c r="D5607" s="341"/>
      <c r="F5607" s="343"/>
      <c r="G5607" s="343"/>
      <c r="H5607" s="343"/>
      <c r="I5607" s="343"/>
      <c r="J5607" s="343"/>
      <c r="K5607" s="343"/>
      <c r="L5607" s="343"/>
    </row>
    <row r="5608" spans="4:12" x14ac:dyDescent="0.2">
      <c r="D5608" s="341"/>
      <c r="F5608" s="343"/>
      <c r="G5608" s="343"/>
      <c r="H5608" s="343"/>
      <c r="I5608" s="343"/>
      <c r="J5608" s="343"/>
      <c r="K5608" s="343"/>
      <c r="L5608" s="343"/>
    </row>
    <row r="5609" spans="4:12" x14ac:dyDescent="0.2">
      <c r="D5609" s="341"/>
      <c r="F5609" s="343"/>
      <c r="G5609" s="343"/>
      <c r="H5609" s="343"/>
      <c r="I5609" s="343"/>
      <c r="J5609" s="343"/>
      <c r="K5609" s="343"/>
      <c r="L5609" s="343"/>
    </row>
    <row r="5610" spans="4:12" x14ac:dyDescent="0.2">
      <c r="D5610" s="341"/>
      <c r="F5610" s="343"/>
      <c r="G5610" s="343"/>
      <c r="H5610" s="343"/>
      <c r="I5610" s="343"/>
      <c r="J5610" s="343"/>
      <c r="K5610" s="343"/>
      <c r="L5610" s="343"/>
    </row>
    <row r="5611" spans="4:12" x14ac:dyDescent="0.2">
      <c r="D5611" s="341"/>
      <c r="F5611" s="343"/>
      <c r="G5611" s="343"/>
      <c r="H5611" s="343"/>
      <c r="I5611" s="343"/>
      <c r="J5611" s="343"/>
      <c r="K5611" s="343"/>
      <c r="L5611" s="343"/>
    </row>
    <row r="5612" spans="4:12" x14ac:dyDescent="0.2">
      <c r="D5612" s="341"/>
      <c r="F5612" s="343"/>
      <c r="G5612" s="343"/>
      <c r="H5612" s="343"/>
      <c r="I5612" s="343"/>
      <c r="J5612" s="343"/>
      <c r="K5612" s="343"/>
      <c r="L5612" s="343"/>
    </row>
    <row r="5613" spans="4:12" x14ac:dyDescent="0.2">
      <c r="D5613" s="341"/>
      <c r="F5613" s="343"/>
      <c r="G5613" s="343"/>
      <c r="H5613" s="343"/>
      <c r="I5613" s="343"/>
      <c r="J5613" s="343"/>
      <c r="K5613" s="343"/>
      <c r="L5613" s="343"/>
    </row>
    <row r="5614" spans="4:12" x14ac:dyDescent="0.2">
      <c r="D5614" s="341"/>
      <c r="F5614" s="343"/>
      <c r="G5614" s="343"/>
      <c r="H5614" s="343"/>
      <c r="I5614" s="343"/>
      <c r="J5614" s="343"/>
      <c r="K5614" s="343"/>
      <c r="L5614" s="343"/>
    </row>
    <row r="5615" spans="4:12" x14ac:dyDescent="0.2">
      <c r="D5615" s="341"/>
      <c r="F5615" s="343"/>
      <c r="G5615" s="343"/>
      <c r="H5615" s="343"/>
      <c r="I5615" s="343"/>
      <c r="J5615" s="343"/>
      <c r="K5615" s="343"/>
      <c r="L5615" s="343"/>
    </row>
    <row r="5616" spans="4:12" x14ac:dyDescent="0.2">
      <c r="D5616" s="341"/>
      <c r="F5616" s="343"/>
      <c r="G5616" s="343"/>
      <c r="H5616" s="343"/>
      <c r="I5616" s="343"/>
      <c r="J5616" s="343"/>
      <c r="K5616" s="343"/>
      <c r="L5616" s="343"/>
    </row>
    <row r="5617" spans="4:12" x14ac:dyDescent="0.2">
      <c r="D5617" s="341"/>
      <c r="F5617" s="343"/>
      <c r="G5617" s="343"/>
      <c r="H5617" s="343"/>
      <c r="I5617" s="343"/>
      <c r="J5617" s="343"/>
      <c r="K5617" s="343"/>
      <c r="L5617" s="343"/>
    </row>
    <row r="5618" spans="4:12" x14ac:dyDescent="0.2">
      <c r="D5618" s="341"/>
      <c r="F5618" s="343"/>
      <c r="G5618" s="343"/>
      <c r="H5618" s="343"/>
      <c r="I5618" s="343"/>
      <c r="J5618" s="343"/>
      <c r="K5618" s="343"/>
      <c r="L5618" s="343"/>
    </row>
    <row r="5619" spans="4:12" x14ac:dyDescent="0.2">
      <c r="D5619" s="341"/>
      <c r="F5619" s="343"/>
      <c r="G5619" s="343"/>
      <c r="H5619" s="343"/>
      <c r="I5619" s="343"/>
      <c r="J5619" s="343"/>
      <c r="K5619" s="343"/>
      <c r="L5619" s="343"/>
    </row>
    <row r="5620" spans="4:12" x14ac:dyDescent="0.2">
      <c r="D5620" s="341"/>
      <c r="F5620" s="343"/>
      <c r="G5620" s="343"/>
      <c r="H5620" s="343"/>
      <c r="I5620" s="343"/>
      <c r="J5620" s="343"/>
      <c r="K5620" s="343"/>
      <c r="L5620" s="343"/>
    </row>
    <row r="5621" spans="4:12" x14ac:dyDescent="0.2">
      <c r="D5621" s="341"/>
      <c r="F5621" s="343"/>
      <c r="G5621" s="343"/>
      <c r="H5621" s="343"/>
      <c r="I5621" s="343"/>
      <c r="J5621" s="343"/>
      <c r="K5621" s="343"/>
      <c r="L5621" s="343"/>
    </row>
    <row r="5622" spans="4:12" x14ac:dyDescent="0.2">
      <c r="D5622" s="341"/>
      <c r="F5622" s="343"/>
      <c r="G5622" s="343"/>
      <c r="H5622" s="343"/>
      <c r="I5622" s="343"/>
      <c r="J5622" s="343"/>
      <c r="K5622" s="343"/>
      <c r="L5622" s="343"/>
    </row>
    <row r="5623" spans="4:12" x14ac:dyDescent="0.2">
      <c r="D5623" s="341"/>
      <c r="F5623" s="343"/>
      <c r="G5623" s="343"/>
      <c r="H5623" s="343"/>
      <c r="I5623" s="343"/>
      <c r="J5623" s="343"/>
      <c r="K5623" s="343"/>
      <c r="L5623" s="343"/>
    </row>
    <row r="5624" spans="4:12" x14ac:dyDescent="0.2">
      <c r="D5624" s="341"/>
      <c r="F5624" s="343"/>
      <c r="G5624" s="343"/>
      <c r="H5624" s="343"/>
      <c r="I5624" s="343"/>
      <c r="J5624" s="343"/>
      <c r="K5624" s="343"/>
      <c r="L5624" s="343"/>
    </row>
    <row r="5625" spans="4:12" x14ac:dyDescent="0.2">
      <c r="D5625" s="341"/>
      <c r="F5625" s="343"/>
      <c r="G5625" s="343"/>
      <c r="H5625" s="343"/>
      <c r="I5625" s="343"/>
      <c r="J5625" s="343"/>
      <c r="K5625" s="343"/>
      <c r="L5625" s="343"/>
    </row>
    <row r="5626" spans="4:12" x14ac:dyDescent="0.2">
      <c r="D5626" s="341"/>
      <c r="F5626" s="343"/>
      <c r="G5626" s="343"/>
      <c r="H5626" s="343"/>
      <c r="I5626" s="343"/>
      <c r="J5626" s="343"/>
      <c r="K5626" s="343"/>
      <c r="L5626" s="343"/>
    </row>
    <row r="5627" spans="4:12" x14ac:dyDescent="0.2">
      <c r="D5627" s="341"/>
      <c r="F5627" s="343"/>
      <c r="G5627" s="343"/>
      <c r="H5627" s="343"/>
      <c r="I5627" s="343"/>
      <c r="J5627" s="343"/>
      <c r="K5627" s="343"/>
      <c r="L5627" s="343"/>
    </row>
    <row r="5628" spans="4:12" x14ac:dyDescent="0.2">
      <c r="D5628" s="341"/>
      <c r="F5628" s="343"/>
      <c r="G5628" s="343"/>
      <c r="H5628" s="343"/>
      <c r="I5628" s="343"/>
      <c r="J5628" s="343"/>
      <c r="K5628" s="343"/>
      <c r="L5628" s="343"/>
    </row>
    <row r="5629" spans="4:12" x14ac:dyDescent="0.2">
      <c r="D5629" s="341"/>
      <c r="F5629" s="343"/>
      <c r="G5629" s="343"/>
      <c r="H5629" s="343"/>
      <c r="I5629" s="343"/>
      <c r="J5629" s="343"/>
      <c r="K5629" s="343"/>
      <c r="L5629" s="343"/>
    </row>
    <row r="5630" spans="4:12" x14ac:dyDescent="0.2">
      <c r="D5630" s="341"/>
      <c r="F5630" s="343"/>
      <c r="G5630" s="343"/>
      <c r="H5630" s="343"/>
      <c r="I5630" s="343"/>
      <c r="J5630" s="343"/>
      <c r="K5630" s="343"/>
      <c r="L5630" s="343"/>
    </row>
    <row r="5631" spans="4:12" x14ac:dyDescent="0.2">
      <c r="D5631" s="341"/>
      <c r="F5631" s="343"/>
      <c r="G5631" s="343"/>
      <c r="H5631" s="343"/>
      <c r="I5631" s="343"/>
      <c r="J5631" s="343"/>
      <c r="K5631" s="343"/>
      <c r="L5631" s="343"/>
    </row>
    <row r="5632" spans="4:12" x14ac:dyDescent="0.2">
      <c r="D5632" s="341"/>
      <c r="F5632" s="343"/>
      <c r="G5632" s="343"/>
      <c r="H5632" s="343"/>
      <c r="I5632" s="343"/>
      <c r="J5632" s="343"/>
      <c r="K5632" s="343"/>
      <c r="L5632" s="343"/>
    </row>
    <row r="5633" spans="4:12" x14ac:dyDescent="0.2">
      <c r="D5633" s="341"/>
      <c r="F5633" s="343"/>
      <c r="G5633" s="343"/>
      <c r="H5633" s="343"/>
      <c r="I5633" s="343"/>
      <c r="J5633" s="343"/>
      <c r="K5633" s="343"/>
      <c r="L5633" s="343"/>
    </row>
    <row r="5634" spans="4:12" x14ac:dyDescent="0.2">
      <c r="D5634" s="341"/>
      <c r="F5634" s="343"/>
      <c r="G5634" s="343"/>
      <c r="H5634" s="343"/>
      <c r="I5634" s="343"/>
      <c r="J5634" s="343"/>
      <c r="K5634" s="343"/>
      <c r="L5634" s="343"/>
    </row>
    <row r="5635" spans="4:12" x14ac:dyDescent="0.2">
      <c r="D5635" s="341"/>
      <c r="F5635" s="343"/>
      <c r="G5635" s="343"/>
      <c r="H5635" s="343"/>
      <c r="I5635" s="343"/>
      <c r="J5635" s="343"/>
      <c r="K5635" s="343"/>
      <c r="L5635" s="343"/>
    </row>
    <row r="5636" spans="4:12" x14ac:dyDescent="0.2">
      <c r="D5636" s="341"/>
      <c r="F5636" s="343"/>
      <c r="G5636" s="343"/>
      <c r="H5636" s="343"/>
      <c r="I5636" s="343"/>
      <c r="J5636" s="343"/>
      <c r="K5636" s="343"/>
      <c r="L5636" s="343"/>
    </row>
    <row r="5637" spans="4:12" x14ac:dyDescent="0.2">
      <c r="D5637" s="341"/>
      <c r="F5637" s="343"/>
      <c r="G5637" s="343"/>
      <c r="H5637" s="343"/>
      <c r="I5637" s="343"/>
      <c r="J5637" s="343"/>
      <c r="K5637" s="343"/>
      <c r="L5637" s="343"/>
    </row>
    <row r="5638" spans="4:12" x14ac:dyDescent="0.2">
      <c r="D5638" s="341"/>
      <c r="F5638" s="343"/>
      <c r="G5638" s="343"/>
      <c r="H5638" s="343"/>
      <c r="I5638" s="343"/>
      <c r="J5638" s="343"/>
      <c r="K5638" s="343"/>
      <c r="L5638" s="343"/>
    </row>
    <row r="5639" spans="4:12" x14ac:dyDescent="0.2">
      <c r="D5639" s="341"/>
      <c r="F5639" s="343"/>
      <c r="G5639" s="343"/>
      <c r="H5639" s="343"/>
      <c r="I5639" s="343"/>
      <c r="J5639" s="343"/>
      <c r="K5639" s="343"/>
      <c r="L5639" s="343"/>
    </row>
    <row r="5640" spans="4:12" x14ac:dyDescent="0.2">
      <c r="D5640" s="341"/>
      <c r="F5640" s="343"/>
      <c r="G5640" s="343"/>
      <c r="H5640" s="343"/>
      <c r="I5640" s="343"/>
      <c r="J5640" s="343"/>
      <c r="K5640" s="343"/>
      <c r="L5640" s="343"/>
    </row>
    <row r="5641" spans="4:12" x14ac:dyDescent="0.2">
      <c r="D5641" s="341"/>
      <c r="F5641" s="343"/>
      <c r="G5641" s="343"/>
      <c r="H5641" s="343"/>
      <c r="I5641" s="343"/>
      <c r="J5641" s="343"/>
      <c r="K5641" s="343"/>
      <c r="L5641" s="343"/>
    </row>
    <row r="5642" spans="4:12" x14ac:dyDescent="0.2">
      <c r="D5642" s="341"/>
      <c r="F5642" s="343"/>
      <c r="G5642" s="343"/>
      <c r="H5642" s="343"/>
      <c r="I5642" s="343"/>
      <c r="J5642" s="343"/>
      <c r="K5642" s="343"/>
      <c r="L5642" s="343"/>
    </row>
    <row r="5643" spans="4:12" x14ac:dyDescent="0.2">
      <c r="D5643" s="341"/>
      <c r="F5643" s="343"/>
      <c r="G5643" s="343"/>
      <c r="H5643" s="343"/>
      <c r="I5643" s="343"/>
      <c r="J5643" s="343"/>
      <c r="K5643" s="343"/>
      <c r="L5643" s="343"/>
    </row>
    <row r="5644" spans="4:12" x14ac:dyDescent="0.2">
      <c r="D5644" s="341"/>
      <c r="F5644" s="343"/>
      <c r="G5644" s="343"/>
      <c r="H5644" s="343"/>
      <c r="I5644" s="343"/>
      <c r="J5644" s="343"/>
      <c r="K5644" s="343"/>
      <c r="L5644" s="343"/>
    </row>
    <row r="5645" spans="4:12" x14ac:dyDescent="0.2">
      <c r="D5645" s="341"/>
      <c r="F5645" s="343"/>
      <c r="G5645" s="343"/>
      <c r="H5645" s="343"/>
      <c r="I5645" s="343"/>
      <c r="J5645" s="343"/>
      <c r="K5645" s="343"/>
      <c r="L5645" s="343"/>
    </row>
    <row r="5646" spans="4:12" x14ac:dyDescent="0.2">
      <c r="D5646" s="341"/>
      <c r="F5646" s="343"/>
      <c r="G5646" s="343"/>
      <c r="H5646" s="343"/>
      <c r="I5646" s="343"/>
      <c r="J5646" s="343"/>
      <c r="K5646" s="343"/>
      <c r="L5646" s="343"/>
    </row>
    <row r="5647" spans="4:12" x14ac:dyDescent="0.2">
      <c r="D5647" s="341"/>
      <c r="F5647" s="343"/>
      <c r="G5647" s="343"/>
      <c r="H5647" s="343"/>
      <c r="I5647" s="343"/>
      <c r="J5647" s="343"/>
      <c r="K5647" s="343"/>
      <c r="L5647" s="343"/>
    </row>
    <row r="5648" spans="4:12" x14ac:dyDescent="0.2">
      <c r="D5648" s="341"/>
      <c r="F5648" s="343"/>
      <c r="G5648" s="343"/>
      <c r="H5648" s="343"/>
      <c r="I5648" s="343"/>
      <c r="J5648" s="343"/>
      <c r="K5648" s="343"/>
      <c r="L5648" s="343"/>
    </row>
    <row r="5649" spans="4:12" x14ac:dyDescent="0.2">
      <c r="D5649" s="341"/>
      <c r="F5649" s="343"/>
      <c r="G5649" s="343"/>
      <c r="H5649" s="343"/>
      <c r="I5649" s="343"/>
      <c r="J5649" s="343"/>
      <c r="K5649" s="343"/>
      <c r="L5649" s="343"/>
    </row>
    <row r="5650" spans="4:12" x14ac:dyDescent="0.2">
      <c r="D5650" s="341"/>
      <c r="F5650" s="343"/>
      <c r="G5650" s="343"/>
      <c r="H5650" s="343"/>
      <c r="I5650" s="343"/>
      <c r="J5650" s="343"/>
      <c r="K5650" s="343"/>
      <c r="L5650" s="343"/>
    </row>
    <row r="5651" spans="4:12" x14ac:dyDescent="0.2">
      <c r="D5651" s="341"/>
      <c r="F5651" s="343"/>
      <c r="G5651" s="343"/>
      <c r="H5651" s="343"/>
      <c r="I5651" s="343"/>
      <c r="J5651" s="343"/>
      <c r="K5651" s="343"/>
      <c r="L5651" s="343"/>
    </row>
    <row r="5652" spans="4:12" x14ac:dyDescent="0.2">
      <c r="D5652" s="341"/>
      <c r="F5652" s="343"/>
      <c r="G5652" s="343"/>
      <c r="H5652" s="343"/>
      <c r="I5652" s="343"/>
      <c r="J5652" s="343"/>
      <c r="K5652" s="343"/>
      <c r="L5652" s="343"/>
    </row>
    <row r="5653" spans="4:12" x14ac:dyDescent="0.2">
      <c r="D5653" s="341"/>
      <c r="F5653" s="343"/>
      <c r="G5653" s="343"/>
      <c r="H5653" s="343"/>
      <c r="I5653" s="343"/>
      <c r="J5653" s="343"/>
      <c r="K5653" s="343"/>
      <c r="L5653" s="343"/>
    </row>
    <row r="5654" spans="4:12" x14ac:dyDescent="0.2">
      <c r="D5654" s="341"/>
      <c r="F5654" s="343"/>
      <c r="G5654" s="343"/>
      <c r="H5654" s="343"/>
      <c r="I5654" s="343"/>
      <c r="J5654" s="343"/>
      <c r="K5654" s="343"/>
      <c r="L5654" s="343"/>
    </row>
    <row r="5655" spans="4:12" x14ac:dyDescent="0.2">
      <c r="D5655" s="341"/>
      <c r="F5655" s="343"/>
      <c r="G5655" s="343"/>
      <c r="H5655" s="343"/>
      <c r="I5655" s="343"/>
      <c r="J5655" s="343"/>
      <c r="K5655" s="343"/>
      <c r="L5655" s="343"/>
    </row>
    <row r="5656" spans="4:12" x14ac:dyDescent="0.2">
      <c r="D5656" s="341"/>
      <c r="F5656" s="343"/>
      <c r="G5656" s="343"/>
      <c r="H5656" s="343"/>
      <c r="I5656" s="343"/>
      <c r="J5656" s="343"/>
      <c r="K5656" s="343"/>
      <c r="L5656" s="343"/>
    </row>
    <row r="5657" spans="4:12" x14ac:dyDescent="0.2">
      <c r="D5657" s="341"/>
      <c r="F5657" s="343"/>
      <c r="G5657" s="343"/>
      <c r="H5657" s="343"/>
      <c r="I5657" s="343"/>
      <c r="J5657" s="343"/>
      <c r="K5657" s="343"/>
      <c r="L5657" s="343"/>
    </row>
    <row r="5658" spans="4:12" x14ac:dyDescent="0.2">
      <c r="D5658" s="341"/>
      <c r="F5658" s="343"/>
      <c r="G5658" s="343"/>
      <c r="H5658" s="343"/>
      <c r="I5658" s="343"/>
      <c r="J5658" s="343"/>
      <c r="K5658" s="343"/>
      <c r="L5658" s="343"/>
    </row>
    <row r="5659" spans="4:12" x14ac:dyDescent="0.2">
      <c r="D5659" s="341"/>
      <c r="F5659" s="343"/>
      <c r="G5659" s="343"/>
      <c r="H5659" s="343"/>
      <c r="I5659" s="343"/>
      <c r="J5659" s="343"/>
      <c r="K5659" s="343"/>
      <c r="L5659" s="343"/>
    </row>
    <row r="5660" spans="4:12" x14ac:dyDescent="0.2">
      <c r="D5660" s="341"/>
      <c r="F5660" s="343"/>
      <c r="G5660" s="343"/>
      <c r="H5660" s="343"/>
      <c r="I5660" s="343"/>
      <c r="J5660" s="343"/>
      <c r="K5660" s="343"/>
      <c r="L5660" s="343"/>
    </row>
    <row r="5661" spans="4:12" x14ac:dyDescent="0.2">
      <c r="D5661" s="341"/>
      <c r="F5661" s="343"/>
      <c r="G5661" s="343"/>
      <c r="H5661" s="343"/>
      <c r="I5661" s="343"/>
      <c r="J5661" s="343"/>
      <c r="K5661" s="343"/>
      <c r="L5661" s="343"/>
    </row>
    <row r="5662" spans="4:12" x14ac:dyDescent="0.2">
      <c r="D5662" s="341"/>
      <c r="F5662" s="343"/>
      <c r="G5662" s="343"/>
      <c r="H5662" s="343"/>
      <c r="I5662" s="343"/>
      <c r="J5662" s="343"/>
      <c r="K5662" s="343"/>
      <c r="L5662" s="343"/>
    </row>
    <row r="5663" spans="4:12" x14ac:dyDescent="0.2">
      <c r="D5663" s="341"/>
      <c r="F5663" s="343"/>
      <c r="G5663" s="343"/>
      <c r="H5663" s="343"/>
      <c r="I5663" s="343"/>
      <c r="J5663" s="343"/>
      <c r="K5663" s="343"/>
      <c r="L5663" s="343"/>
    </row>
    <row r="5664" spans="4:12" x14ac:dyDescent="0.2">
      <c r="D5664" s="341"/>
      <c r="F5664" s="343"/>
      <c r="G5664" s="343"/>
      <c r="H5664" s="343"/>
      <c r="I5664" s="343"/>
      <c r="J5664" s="343"/>
      <c r="K5664" s="343"/>
      <c r="L5664" s="343"/>
    </row>
    <row r="5665" spans="4:12" x14ac:dyDescent="0.2">
      <c r="D5665" s="341"/>
      <c r="F5665" s="343"/>
      <c r="G5665" s="343"/>
      <c r="H5665" s="343"/>
      <c r="I5665" s="343"/>
      <c r="J5665" s="343"/>
      <c r="K5665" s="343"/>
      <c r="L5665" s="343"/>
    </row>
    <row r="5666" spans="4:12" x14ac:dyDescent="0.2">
      <c r="D5666" s="341"/>
      <c r="F5666" s="343"/>
      <c r="G5666" s="343"/>
      <c r="H5666" s="343"/>
      <c r="I5666" s="343"/>
      <c r="J5666" s="343"/>
      <c r="K5666" s="343"/>
      <c r="L5666" s="343"/>
    </row>
    <row r="5667" spans="4:12" x14ac:dyDescent="0.2">
      <c r="D5667" s="341"/>
      <c r="F5667" s="343"/>
      <c r="G5667" s="343"/>
      <c r="H5667" s="343"/>
      <c r="I5667" s="343"/>
      <c r="J5667" s="343"/>
      <c r="K5667" s="343"/>
      <c r="L5667" s="343"/>
    </row>
    <row r="5668" spans="4:12" x14ac:dyDescent="0.2">
      <c r="D5668" s="341"/>
      <c r="F5668" s="343"/>
      <c r="G5668" s="343"/>
      <c r="H5668" s="343"/>
      <c r="I5668" s="343"/>
      <c r="J5668" s="343"/>
      <c r="K5668" s="343"/>
      <c r="L5668" s="343"/>
    </row>
    <row r="5669" spans="4:12" x14ac:dyDescent="0.2">
      <c r="D5669" s="341"/>
      <c r="F5669" s="343"/>
      <c r="G5669" s="343"/>
      <c r="H5669" s="343"/>
      <c r="I5669" s="343"/>
      <c r="J5669" s="343"/>
      <c r="K5669" s="343"/>
      <c r="L5669" s="343"/>
    </row>
    <row r="5670" spans="4:12" x14ac:dyDescent="0.2">
      <c r="D5670" s="341"/>
      <c r="F5670" s="343"/>
      <c r="G5670" s="343"/>
      <c r="H5670" s="343"/>
      <c r="I5670" s="343"/>
      <c r="J5670" s="343"/>
      <c r="K5670" s="343"/>
      <c r="L5670" s="343"/>
    </row>
    <row r="5671" spans="4:12" x14ac:dyDescent="0.2">
      <c r="D5671" s="341"/>
      <c r="F5671" s="343"/>
      <c r="G5671" s="343"/>
      <c r="H5671" s="343"/>
      <c r="I5671" s="343"/>
      <c r="J5671" s="343"/>
      <c r="K5671" s="343"/>
      <c r="L5671" s="343"/>
    </row>
    <row r="5672" spans="4:12" x14ac:dyDescent="0.2">
      <c r="D5672" s="341"/>
      <c r="F5672" s="343"/>
      <c r="G5672" s="343"/>
      <c r="H5672" s="343"/>
      <c r="I5672" s="343"/>
      <c r="J5672" s="343"/>
      <c r="K5672" s="343"/>
      <c r="L5672" s="343"/>
    </row>
    <row r="5673" spans="4:12" x14ac:dyDescent="0.2">
      <c r="D5673" s="341"/>
      <c r="F5673" s="343"/>
      <c r="G5673" s="343"/>
      <c r="H5673" s="343"/>
      <c r="I5673" s="343"/>
      <c r="J5673" s="343"/>
      <c r="K5673" s="343"/>
      <c r="L5673" s="343"/>
    </row>
    <row r="5674" spans="4:12" x14ac:dyDescent="0.2">
      <c r="D5674" s="341"/>
      <c r="F5674" s="343"/>
      <c r="G5674" s="343"/>
      <c r="H5674" s="343"/>
      <c r="I5674" s="343"/>
      <c r="J5674" s="343"/>
      <c r="K5674" s="343"/>
      <c r="L5674" s="343"/>
    </row>
    <row r="5675" spans="4:12" x14ac:dyDescent="0.2">
      <c r="D5675" s="341"/>
      <c r="F5675" s="343"/>
      <c r="G5675" s="343"/>
      <c r="H5675" s="343"/>
      <c r="I5675" s="343"/>
      <c r="J5675" s="343"/>
      <c r="K5675" s="343"/>
      <c r="L5675" s="343"/>
    </row>
    <row r="5676" spans="4:12" x14ac:dyDescent="0.2">
      <c r="D5676" s="341"/>
      <c r="F5676" s="343"/>
      <c r="G5676" s="343"/>
      <c r="H5676" s="343"/>
      <c r="I5676" s="343"/>
      <c r="J5676" s="343"/>
      <c r="K5676" s="343"/>
      <c r="L5676" s="343"/>
    </row>
    <row r="5677" spans="4:12" x14ac:dyDescent="0.2">
      <c r="D5677" s="341"/>
      <c r="F5677" s="343"/>
      <c r="G5677" s="343"/>
      <c r="H5677" s="343"/>
      <c r="I5677" s="343"/>
      <c r="J5677" s="343"/>
      <c r="K5677" s="343"/>
      <c r="L5677" s="343"/>
    </row>
    <row r="5678" spans="4:12" x14ac:dyDescent="0.2">
      <c r="D5678" s="341"/>
      <c r="F5678" s="343"/>
      <c r="G5678" s="343"/>
      <c r="H5678" s="343"/>
      <c r="I5678" s="343"/>
      <c r="J5678" s="343"/>
      <c r="K5678" s="343"/>
      <c r="L5678" s="343"/>
    </row>
    <row r="5679" spans="4:12" x14ac:dyDescent="0.2">
      <c r="D5679" s="341"/>
      <c r="F5679" s="343"/>
      <c r="G5679" s="343"/>
      <c r="H5679" s="343"/>
      <c r="I5679" s="343"/>
      <c r="J5679" s="343"/>
      <c r="K5679" s="343"/>
      <c r="L5679" s="343"/>
    </row>
    <row r="5680" spans="4:12" x14ac:dyDescent="0.2">
      <c r="D5680" s="341"/>
      <c r="F5680" s="343"/>
      <c r="G5680" s="343"/>
      <c r="H5680" s="343"/>
      <c r="I5680" s="343"/>
      <c r="J5680" s="343"/>
      <c r="K5680" s="343"/>
      <c r="L5680" s="343"/>
    </row>
    <row r="5681" spans="4:12" x14ac:dyDescent="0.2">
      <c r="D5681" s="341"/>
      <c r="F5681" s="343"/>
      <c r="G5681" s="343"/>
      <c r="H5681" s="343"/>
      <c r="I5681" s="343"/>
      <c r="J5681" s="343"/>
      <c r="K5681" s="343"/>
      <c r="L5681" s="343"/>
    </row>
    <row r="5682" spans="4:12" x14ac:dyDescent="0.2">
      <c r="D5682" s="341"/>
      <c r="F5682" s="343"/>
      <c r="G5682" s="343"/>
      <c r="H5682" s="343"/>
      <c r="I5682" s="343"/>
      <c r="J5682" s="343"/>
      <c r="K5682" s="343"/>
      <c r="L5682" s="343"/>
    </row>
    <row r="5683" spans="4:12" x14ac:dyDescent="0.2">
      <c r="D5683" s="341"/>
      <c r="F5683" s="343"/>
      <c r="G5683" s="343"/>
      <c r="H5683" s="343"/>
      <c r="I5683" s="343"/>
      <c r="J5683" s="343"/>
      <c r="K5683" s="343"/>
      <c r="L5683" s="343"/>
    </row>
    <row r="5684" spans="4:12" x14ac:dyDescent="0.2">
      <c r="D5684" s="341"/>
      <c r="F5684" s="343"/>
      <c r="G5684" s="343"/>
      <c r="H5684" s="343"/>
      <c r="I5684" s="343"/>
      <c r="J5684" s="343"/>
      <c r="K5684" s="343"/>
      <c r="L5684" s="343"/>
    </row>
    <row r="5685" spans="4:12" x14ac:dyDescent="0.2">
      <c r="D5685" s="341"/>
      <c r="F5685" s="343"/>
      <c r="G5685" s="343"/>
      <c r="H5685" s="343"/>
      <c r="I5685" s="343"/>
      <c r="J5685" s="343"/>
      <c r="K5685" s="343"/>
      <c r="L5685" s="343"/>
    </row>
    <row r="5686" spans="4:12" x14ac:dyDescent="0.2">
      <c r="D5686" s="341"/>
      <c r="F5686" s="343"/>
      <c r="G5686" s="343"/>
      <c r="H5686" s="343"/>
      <c r="I5686" s="343"/>
      <c r="J5686" s="343"/>
      <c r="K5686" s="343"/>
      <c r="L5686" s="343"/>
    </row>
    <row r="5687" spans="4:12" x14ac:dyDescent="0.2">
      <c r="D5687" s="341"/>
      <c r="F5687" s="343"/>
      <c r="G5687" s="343"/>
      <c r="H5687" s="343"/>
      <c r="I5687" s="343"/>
      <c r="J5687" s="343"/>
      <c r="K5687" s="343"/>
      <c r="L5687" s="343"/>
    </row>
    <row r="5688" spans="4:12" x14ac:dyDescent="0.2">
      <c r="D5688" s="341"/>
      <c r="F5688" s="343"/>
      <c r="G5688" s="343"/>
      <c r="H5688" s="343"/>
      <c r="I5688" s="343"/>
      <c r="J5688" s="343"/>
      <c r="K5688" s="343"/>
      <c r="L5688" s="343"/>
    </row>
    <row r="5689" spans="4:12" x14ac:dyDescent="0.2">
      <c r="D5689" s="341"/>
      <c r="F5689" s="343"/>
      <c r="G5689" s="343"/>
      <c r="H5689" s="343"/>
      <c r="I5689" s="343"/>
      <c r="J5689" s="343"/>
      <c r="K5689" s="343"/>
      <c r="L5689" s="343"/>
    </row>
    <row r="5690" spans="4:12" x14ac:dyDescent="0.2">
      <c r="D5690" s="341"/>
      <c r="F5690" s="343"/>
      <c r="G5690" s="343"/>
      <c r="H5690" s="343"/>
      <c r="I5690" s="343"/>
      <c r="J5690" s="343"/>
      <c r="K5690" s="343"/>
      <c r="L5690" s="343"/>
    </row>
    <row r="5691" spans="4:12" x14ac:dyDescent="0.2">
      <c r="D5691" s="341"/>
      <c r="F5691" s="343"/>
      <c r="G5691" s="343"/>
      <c r="H5691" s="343"/>
      <c r="I5691" s="343"/>
      <c r="J5691" s="343"/>
      <c r="K5691" s="343"/>
      <c r="L5691" s="343"/>
    </row>
    <row r="5692" spans="4:12" x14ac:dyDescent="0.2">
      <c r="D5692" s="341"/>
      <c r="F5692" s="343"/>
      <c r="G5692" s="343"/>
      <c r="H5692" s="343"/>
      <c r="I5692" s="343"/>
      <c r="J5692" s="343"/>
      <c r="K5692" s="343"/>
      <c r="L5692" s="343"/>
    </row>
    <row r="5693" spans="4:12" x14ac:dyDescent="0.2">
      <c r="D5693" s="341"/>
      <c r="F5693" s="343"/>
      <c r="G5693" s="343"/>
      <c r="H5693" s="343"/>
      <c r="I5693" s="343"/>
      <c r="J5693" s="343"/>
      <c r="K5693" s="343"/>
      <c r="L5693" s="343"/>
    </row>
    <row r="5694" spans="4:12" x14ac:dyDescent="0.2">
      <c r="D5694" s="341"/>
      <c r="F5694" s="343"/>
      <c r="G5694" s="343"/>
      <c r="H5694" s="343"/>
      <c r="I5694" s="343"/>
      <c r="J5694" s="343"/>
      <c r="K5694" s="343"/>
      <c r="L5694" s="343"/>
    </row>
    <row r="5695" spans="4:12" x14ac:dyDescent="0.2">
      <c r="D5695" s="341"/>
      <c r="F5695" s="343"/>
      <c r="G5695" s="343"/>
      <c r="H5695" s="343"/>
      <c r="I5695" s="343"/>
      <c r="J5695" s="343"/>
      <c r="K5695" s="343"/>
      <c r="L5695" s="343"/>
    </row>
    <row r="5696" spans="4:12" x14ac:dyDescent="0.2">
      <c r="D5696" s="341"/>
      <c r="F5696" s="343"/>
      <c r="G5696" s="343"/>
      <c r="H5696" s="343"/>
      <c r="I5696" s="343"/>
      <c r="J5696" s="343"/>
      <c r="K5696" s="343"/>
      <c r="L5696" s="343"/>
    </row>
    <row r="5697" spans="4:12" x14ac:dyDescent="0.2">
      <c r="D5697" s="341"/>
      <c r="F5697" s="343"/>
      <c r="G5697" s="343"/>
      <c r="H5697" s="343"/>
      <c r="I5697" s="343"/>
      <c r="J5697" s="343"/>
      <c r="K5697" s="343"/>
      <c r="L5697" s="343"/>
    </row>
    <row r="5698" spans="4:12" x14ac:dyDescent="0.2">
      <c r="D5698" s="341"/>
      <c r="F5698" s="343"/>
      <c r="G5698" s="343"/>
      <c r="H5698" s="343"/>
      <c r="I5698" s="343"/>
      <c r="J5698" s="343"/>
      <c r="K5698" s="343"/>
      <c r="L5698" s="343"/>
    </row>
    <row r="5699" spans="4:12" x14ac:dyDescent="0.2">
      <c r="D5699" s="341"/>
      <c r="F5699" s="343"/>
      <c r="G5699" s="343"/>
      <c r="H5699" s="343"/>
      <c r="I5699" s="343"/>
      <c r="J5699" s="343"/>
      <c r="K5699" s="343"/>
      <c r="L5699" s="343"/>
    </row>
    <row r="5700" spans="4:12" x14ac:dyDescent="0.2">
      <c r="D5700" s="341"/>
      <c r="F5700" s="343"/>
      <c r="G5700" s="343"/>
      <c r="H5700" s="343"/>
      <c r="I5700" s="343"/>
      <c r="J5700" s="343"/>
      <c r="K5700" s="343"/>
      <c r="L5700" s="343"/>
    </row>
    <row r="5701" spans="4:12" x14ac:dyDescent="0.2">
      <c r="D5701" s="341"/>
      <c r="F5701" s="343"/>
      <c r="G5701" s="343"/>
      <c r="H5701" s="343"/>
      <c r="I5701" s="343"/>
      <c r="J5701" s="343"/>
      <c r="K5701" s="343"/>
      <c r="L5701" s="343"/>
    </row>
    <row r="5702" spans="4:12" x14ac:dyDescent="0.2">
      <c r="D5702" s="341"/>
      <c r="F5702" s="343"/>
      <c r="G5702" s="343"/>
      <c r="H5702" s="343"/>
      <c r="I5702" s="343"/>
      <c r="J5702" s="343"/>
      <c r="K5702" s="343"/>
      <c r="L5702" s="343"/>
    </row>
    <row r="5703" spans="4:12" x14ac:dyDescent="0.2">
      <c r="D5703" s="341"/>
      <c r="F5703" s="343"/>
      <c r="G5703" s="343"/>
      <c r="H5703" s="343"/>
      <c r="I5703" s="343"/>
      <c r="J5703" s="343"/>
      <c r="K5703" s="343"/>
      <c r="L5703" s="343"/>
    </row>
    <row r="5704" spans="4:12" x14ac:dyDescent="0.2">
      <c r="D5704" s="341"/>
      <c r="F5704" s="343"/>
      <c r="G5704" s="343"/>
      <c r="H5704" s="343"/>
      <c r="I5704" s="343"/>
      <c r="J5704" s="343"/>
      <c r="K5704" s="343"/>
      <c r="L5704" s="343"/>
    </row>
    <row r="5705" spans="4:12" x14ac:dyDescent="0.2">
      <c r="D5705" s="341"/>
      <c r="F5705" s="343"/>
      <c r="G5705" s="343"/>
      <c r="H5705" s="343"/>
      <c r="I5705" s="343"/>
      <c r="J5705" s="343"/>
      <c r="K5705" s="343"/>
      <c r="L5705" s="343"/>
    </row>
    <row r="5706" spans="4:12" x14ac:dyDescent="0.2">
      <c r="D5706" s="341"/>
      <c r="F5706" s="343"/>
      <c r="G5706" s="343"/>
      <c r="H5706" s="343"/>
      <c r="I5706" s="343"/>
      <c r="J5706" s="343"/>
      <c r="K5706" s="343"/>
      <c r="L5706" s="343"/>
    </row>
    <row r="5707" spans="4:12" x14ac:dyDescent="0.2">
      <c r="D5707" s="341"/>
      <c r="F5707" s="343"/>
      <c r="G5707" s="343"/>
      <c r="H5707" s="343"/>
      <c r="I5707" s="343"/>
      <c r="J5707" s="343"/>
      <c r="K5707" s="343"/>
      <c r="L5707" s="343"/>
    </row>
    <row r="5708" spans="4:12" x14ac:dyDescent="0.2">
      <c r="D5708" s="341"/>
      <c r="F5708" s="343"/>
      <c r="G5708" s="343"/>
      <c r="H5708" s="343"/>
      <c r="I5708" s="343"/>
      <c r="J5708" s="343"/>
      <c r="K5708" s="343"/>
      <c r="L5708" s="343"/>
    </row>
    <row r="5709" spans="4:12" x14ac:dyDescent="0.2">
      <c r="D5709" s="341"/>
      <c r="F5709" s="343"/>
      <c r="G5709" s="343"/>
      <c r="H5709" s="343"/>
      <c r="I5709" s="343"/>
      <c r="J5709" s="343"/>
      <c r="K5709" s="343"/>
      <c r="L5709" s="343"/>
    </row>
    <row r="5710" spans="4:12" x14ac:dyDescent="0.2">
      <c r="D5710" s="341"/>
      <c r="F5710" s="343"/>
      <c r="G5710" s="343"/>
      <c r="H5710" s="343"/>
      <c r="I5710" s="343"/>
      <c r="J5710" s="343"/>
      <c r="K5710" s="343"/>
      <c r="L5710" s="343"/>
    </row>
    <row r="5711" spans="4:12" x14ac:dyDescent="0.2">
      <c r="D5711" s="341"/>
      <c r="F5711" s="343"/>
      <c r="G5711" s="343"/>
      <c r="H5711" s="343"/>
      <c r="I5711" s="343"/>
      <c r="J5711" s="343"/>
      <c r="K5711" s="343"/>
      <c r="L5711" s="343"/>
    </row>
    <row r="5712" spans="4:12" x14ac:dyDescent="0.2">
      <c r="D5712" s="341"/>
      <c r="F5712" s="343"/>
      <c r="G5712" s="343"/>
      <c r="H5712" s="343"/>
      <c r="I5712" s="343"/>
      <c r="J5712" s="343"/>
      <c r="K5712" s="343"/>
      <c r="L5712" s="343"/>
    </row>
    <row r="5713" spans="4:12" x14ac:dyDescent="0.2">
      <c r="D5713" s="341"/>
      <c r="F5713" s="343"/>
      <c r="G5713" s="343"/>
      <c r="H5713" s="343"/>
      <c r="I5713" s="343"/>
      <c r="J5713" s="343"/>
      <c r="K5713" s="343"/>
      <c r="L5713" s="343"/>
    </row>
    <row r="5714" spans="4:12" x14ac:dyDescent="0.2">
      <c r="D5714" s="341"/>
      <c r="F5714" s="343"/>
      <c r="G5714" s="343"/>
      <c r="H5714" s="343"/>
      <c r="I5714" s="343"/>
      <c r="J5714" s="343"/>
      <c r="K5714" s="343"/>
      <c r="L5714" s="343"/>
    </row>
    <row r="5715" spans="4:12" x14ac:dyDescent="0.2">
      <c r="D5715" s="341"/>
      <c r="F5715" s="343"/>
      <c r="G5715" s="343"/>
      <c r="H5715" s="343"/>
      <c r="I5715" s="343"/>
      <c r="J5715" s="343"/>
      <c r="K5715" s="343"/>
      <c r="L5715" s="343"/>
    </row>
    <row r="5716" spans="4:12" x14ac:dyDescent="0.2">
      <c r="D5716" s="341"/>
      <c r="F5716" s="343"/>
      <c r="G5716" s="343"/>
      <c r="H5716" s="343"/>
      <c r="I5716" s="343"/>
      <c r="J5716" s="343"/>
      <c r="K5716" s="343"/>
      <c r="L5716" s="343"/>
    </row>
    <row r="5717" spans="4:12" x14ac:dyDescent="0.2">
      <c r="D5717" s="341"/>
      <c r="F5717" s="343"/>
      <c r="G5717" s="343"/>
      <c r="H5717" s="343"/>
      <c r="I5717" s="343"/>
      <c r="J5717" s="343"/>
      <c r="K5717" s="343"/>
      <c r="L5717" s="343"/>
    </row>
    <row r="5718" spans="4:12" x14ac:dyDescent="0.2">
      <c r="D5718" s="341"/>
      <c r="F5718" s="343"/>
      <c r="G5718" s="343"/>
      <c r="H5718" s="343"/>
      <c r="I5718" s="343"/>
      <c r="J5718" s="343"/>
      <c r="K5718" s="343"/>
      <c r="L5718" s="343"/>
    </row>
    <row r="5719" spans="4:12" x14ac:dyDescent="0.2">
      <c r="D5719" s="341"/>
      <c r="F5719" s="343"/>
      <c r="G5719" s="343"/>
      <c r="H5719" s="343"/>
      <c r="I5719" s="343"/>
      <c r="J5719" s="343"/>
      <c r="K5719" s="343"/>
      <c r="L5719" s="343"/>
    </row>
    <row r="5720" spans="4:12" x14ac:dyDescent="0.2">
      <c r="D5720" s="341"/>
      <c r="F5720" s="343"/>
      <c r="G5720" s="343"/>
      <c r="H5720" s="343"/>
      <c r="I5720" s="343"/>
      <c r="J5720" s="343"/>
      <c r="K5720" s="343"/>
      <c r="L5720" s="343"/>
    </row>
    <row r="5721" spans="4:12" x14ac:dyDescent="0.2">
      <c r="D5721" s="341"/>
      <c r="F5721" s="343"/>
      <c r="G5721" s="343"/>
      <c r="H5721" s="343"/>
      <c r="I5721" s="343"/>
      <c r="J5721" s="343"/>
      <c r="K5721" s="343"/>
      <c r="L5721" s="343"/>
    </row>
    <row r="5722" spans="4:12" x14ac:dyDescent="0.2">
      <c r="D5722" s="341"/>
      <c r="F5722" s="343"/>
      <c r="G5722" s="343"/>
      <c r="H5722" s="343"/>
      <c r="I5722" s="343"/>
      <c r="J5722" s="343"/>
      <c r="K5722" s="343"/>
      <c r="L5722" s="343"/>
    </row>
    <row r="5723" spans="4:12" x14ac:dyDescent="0.2">
      <c r="D5723" s="341"/>
      <c r="F5723" s="343"/>
      <c r="G5723" s="343"/>
      <c r="H5723" s="343"/>
      <c r="I5723" s="343"/>
      <c r="J5723" s="343"/>
      <c r="K5723" s="343"/>
      <c r="L5723" s="343"/>
    </row>
    <row r="5724" spans="4:12" x14ac:dyDescent="0.2">
      <c r="D5724" s="341"/>
      <c r="F5724" s="343"/>
      <c r="G5724" s="343"/>
      <c r="H5724" s="343"/>
      <c r="I5724" s="343"/>
      <c r="J5724" s="343"/>
      <c r="K5724" s="343"/>
      <c r="L5724" s="343"/>
    </row>
    <row r="5725" spans="4:12" x14ac:dyDescent="0.2">
      <c r="D5725" s="341"/>
      <c r="F5725" s="343"/>
      <c r="G5725" s="343"/>
      <c r="H5725" s="343"/>
      <c r="I5725" s="343"/>
      <c r="J5725" s="343"/>
      <c r="K5725" s="343"/>
      <c r="L5725" s="343"/>
    </row>
    <row r="5726" spans="4:12" x14ac:dyDescent="0.2">
      <c r="D5726" s="341"/>
      <c r="F5726" s="343"/>
      <c r="G5726" s="343"/>
      <c r="H5726" s="343"/>
      <c r="I5726" s="343"/>
      <c r="J5726" s="343"/>
      <c r="K5726" s="343"/>
      <c r="L5726" s="343"/>
    </row>
    <row r="5727" spans="4:12" x14ac:dyDescent="0.2">
      <c r="D5727" s="341"/>
      <c r="F5727" s="343"/>
      <c r="G5727" s="343"/>
      <c r="H5727" s="343"/>
      <c r="I5727" s="343"/>
      <c r="J5727" s="343"/>
      <c r="K5727" s="343"/>
      <c r="L5727" s="343"/>
    </row>
    <row r="5728" spans="4:12" x14ac:dyDescent="0.2">
      <c r="D5728" s="341"/>
      <c r="F5728" s="343"/>
      <c r="G5728" s="343"/>
      <c r="H5728" s="343"/>
      <c r="I5728" s="343"/>
      <c r="J5728" s="343"/>
      <c r="K5728" s="343"/>
      <c r="L5728" s="343"/>
    </row>
    <row r="5729" spans="4:12" x14ac:dyDescent="0.2">
      <c r="D5729" s="341"/>
      <c r="F5729" s="343"/>
      <c r="G5729" s="343"/>
      <c r="H5729" s="343"/>
      <c r="I5729" s="343"/>
      <c r="J5729" s="343"/>
      <c r="K5729" s="343"/>
      <c r="L5729" s="343"/>
    </row>
    <row r="5730" spans="4:12" x14ac:dyDescent="0.2">
      <c r="D5730" s="341"/>
      <c r="F5730" s="343"/>
      <c r="G5730" s="343"/>
      <c r="H5730" s="343"/>
      <c r="I5730" s="343"/>
      <c r="J5730" s="343"/>
      <c r="K5730" s="343"/>
      <c r="L5730" s="343"/>
    </row>
    <row r="5731" spans="4:12" x14ac:dyDescent="0.2">
      <c r="D5731" s="341"/>
      <c r="F5731" s="343"/>
      <c r="G5731" s="343"/>
      <c r="H5731" s="343"/>
      <c r="I5731" s="343"/>
      <c r="J5731" s="343"/>
      <c r="K5731" s="343"/>
      <c r="L5731" s="343"/>
    </row>
    <row r="5732" spans="4:12" x14ac:dyDescent="0.2">
      <c r="D5732" s="341"/>
      <c r="F5732" s="343"/>
      <c r="G5732" s="343"/>
      <c r="H5732" s="343"/>
      <c r="I5732" s="343"/>
      <c r="J5732" s="343"/>
      <c r="K5732" s="343"/>
      <c r="L5732" s="343"/>
    </row>
    <row r="5733" spans="4:12" x14ac:dyDescent="0.2">
      <c r="D5733" s="341"/>
      <c r="F5733" s="343"/>
      <c r="G5733" s="343"/>
      <c r="H5733" s="343"/>
      <c r="I5733" s="343"/>
      <c r="J5733" s="343"/>
      <c r="K5733" s="343"/>
      <c r="L5733" s="343"/>
    </row>
    <row r="5734" spans="4:12" x14ac:dyDescent="0.2">
      <c r="D5734" s="341"/>
      <c r="F5734" s="343"/>
      <c r="G5734" s="343"/>
      <c r="H5734" s="343"/>
      <c r="I5734" s="343"/>
      <c r="J5734" s="343"/>
      <c r="K5734" s="343"/>
      <c r="L5734" s="343"/>
    </row>
    <row r="5735" spans="4:12" x14ac:dyDescent="0.2">
      <c r="D5735" s="341"/>
      <c r="F5735" s="343"/>
      <c r="G5735" s="343"/>
      <c r="H5735" s="343"/>
      <c r="I5735" s="343"/>
      <c r="J5735" s="343"/>
      <c r="K5735" s="343"/>
      <c r="L5735" s="343"/>
    </row>
    <row r="5736" spans="4:12" x14ac:dyDescent="0.2">
      <c r="D5736" s="341"/>
      <c r="F5736" s="343"/>
      <c r="G5736" s="343"/>
      <c r="H5736" s="343"/>
      <c r="I5736" s="343"/>
      <c r="J5736" s="343"/>
      <c r="K5736" s="343"/>
      <c r="L5736" s="343"/>
    </row>
    <row r="5737" spans="4:12" x14ac:dyDescent="0.2">
      <c r="D5737" s="341"/>
      <c r="F5737" s="343"/>
      <c r="G5737" s="343"/>
      <c r="H5737" s="343"/>
      <c r="I5737" s="343"/>
      <c r="J5737" s="343"/>
      <c r="K5737" s="343"/>
      <c r="L5737" s="343"/>
    </row>
    <row r="5738" spans="4:12" x14ac:dyDescent="0.2">
      <c r="D5738" s="341"/>
      <c r="F5738" s="343"/>
      <c r="G5738" s="343"/>
      <c r="H5738" s="343"/>
      <c r="I5738" s="343"/>
      <c r="J5738" s="343"/>
      <c r="K5738" s="343"/>
      <c r="L5738" s="343"/>
    </row>
    <row r="5739" spans="4:12" x14ac:dyDescent="0.2">
      <c r="D5739" s="341"/>
      <c r="F5739" s="343"/>
      <c r="G5739" s="343"/>
      <c r="H5739" s="343"/>
      <c r="I5739" s="343"/>
      <c r="J5739" s="343"/>
      <c r="K5739" s="343"/>
      <c r="L5739" s="343"/>
    </row>
    <row r="5740" spans="4:12" x14ac:dyDescent="0.2">
      <c r="D5740" s="341"/>
      <c r="F5740" s="343"/>
      <c r="G5740" s="343"/>
      <c r="H5740" s="343"/>
      <c r="I5740" s="343"/>
      <c r="J5740" s="343"/>
      <c r="K5740" s="343"/>
      <c r="L5740" s="343"/>
    </row>
    <row r="5741" spans="4:12" x14ac:dyDescent="0.2">
      <c r="D5741" s="341"/>
      <c r="F5741" s="343"/>
      <c r="G5741" s="343"/>
      <c r="H5741" s="343"/>
      <c r="I5741" s="343"/>
      <c r="J5741" s="343"/>
      <c r="K5741" s="343"/>
      <c r="L5741" s="343"/>
    </row>
    <row r="5742" spans="4:12" x14ac:dyDescent="0.2">
      <c r="D5742" s="341"/>
      <c r="F5742" s="343"/>
      <c r="G5742" s="343"/>
      <c r="H5742" s="343"/>
      <c r="I5742" s="343"/>
      <c r="J5742" s="343"/>
      <c r="K5742" s="343"/>
      <c r="L5742" s="343"/>
    </row>
    <row r="5743" spans="4:12" x14ac:dyDescent="0.2">
      <c r="D5743" s="341"/>
      <c r="F5743" s="343"/>
      <c r="G5743" s="343"/>
      <c r="H5743" s="343"/>
      <c r="I5743" s="343"/>
      <c r="J5743" s="343"/>
      <c r="K5743" s="343"/>
      <c r="L5743" s="343"/>
    </row>
    <row r="5744" spans="4:12" x14ac:dyDescent="0.2">
      <c r="D5744" s="341"/>
      <c r="F5744" s="343"/>
      <c r="G5744" s="343"/>
      <c r="H5744" s="343"/>
      <c r="I5744" s="343"/>
      <c r="J5744" s="343"/>
      <c r="K5744" s="343"/>
      <c r="L5744" s="343"/>
    </row>
    <row r="5745" spans="4:12" x14ac:dyDescent="0.2">
      <c r="D5745" s="341"/>
      <c r="F5745" s="343"/>
      <c r="G5745" s="343"/>
      <c r="H5745" s="343"/>
      <c r="I5745" s="343"/>
      <c r="J5745" s="343"/>
      <c r="K5745" s="343"/>
      <c r="L5745" s="343"/>
    </row>
    <row r="5746" spans="4:12" x14ac:dyDescent="0.2">
      <c r="D5746" s="341"/>
      <c r="F5746" s="343"/>
      <c r="G5746" s="343"/>
      <c r="H5746" s="343"/>
      <c r="I5746" s="343"/>
      <c r="J5746" s="343"/>
      <c r="K5746" s="343"/>
      <c r="L5746" s="343"/>
    </row>
    <row r="5747" spans="4:12" x14ac:dyDescent="0.2">
      <c r="D5747" s="341"/>
      <c r="F5747" s="343"/>
      <c r="G5747" s="343"/>
      <c r="H5747" s="343"/>
      <c r="I5747" s="343"/>
      <c r="J5747" s="343"/>
      <c r="K5747" s="343"/>
      <c r="L5747" s="343"/>
    </row>
    <row r="5748" spans="4:12" x14ac:dyDescent="0.2">
      <c r="D5748" s="341"/>
      <c r="F5748" s="343"/>
      <c r="G5748" s="343"/>
      <c r="H5748" s="343"/>
      <c r="I5748" s="343"/>
      <c r="J5748" s="343"/>
      <c r="K5748" s="343"/>
      <c r="L5748" s="343"/>
    </row>
    <row r="5749" spans="4:12" x14ac:dyDescent="0.2">
      <c r="D5749" s="341"/>
      <c r="F5749" s="343"/>
      <c r="G5749" s="343"/>
      <c r="H5749" s="343"/>
      <c r="I5749" s="343"/>
      <c r="J5749" s="343"/>
      <c r="K5749" s="343"/>
      <c r="L5749" s="343"/>
    </row>
    <row r="5750" spans="4:12" x14ac:dyDescent="0.2">
      <c r="D5750" s="341"/>
      <c r="F5750" s="343"/>
      <c r="G5750" s="343"/>
      <c r="H5750" s="343"/>
      <c r="I5750" s="343"/>
      <c r="J5750" s="343"/>
      <c r="K5750" s="343"/>
      <c r="L5750" s="343"/>
    </row>
    <row r="5751" spans="4:12" x14ac:dyDescent="0.2">
      <c r="D5751" s="341"/>
      <c r="F5751" s="343"/>
      <c r="G5751" s="343"/>
      <c r="H5751" s="343"/>
      <c r="I5751" s="343"/>
      <c r="J5751" s="343"/>
      <c r="K5751" s="343"/>
      <c r="L5751" s="343"/>
    </row>
    <row r="5752" spans="4:12" x14ac:dyDescent="0.2">
      <c r="D5752" s="341"/>
      <c r="F5752" s="343"/>
      <c r="G5752" s="343"/>
      <c r="H5752" s="343"/>
      <c r="I5752" s="343"/>
      <c r="J5752" s="343"/>
      <c r="K5752" s="343"/>
      <c r="L5752" s="343"/>
    </row>
    <row r="5753" spans="4:12" x14ac:dyDescent="0.2">
      <c r="D5753" s="341"/>
      <c r="F5753" s="343"/>
      <c r="G5753" s="343"/>
      <c r="H5753" s="343"/>
      <c r="I5753" s="343"/>
      <c r="J5753" s="343"/>
      <c r="K5753" s="343"/>
      <c r="L5753" s="343"/>
    </row>
    <row r="5754" spans="4:12" x14ac:dyDescent="0.2">
      <c r="D5754" s="341"/>
      <c r="F5754" s="343"/>
      <c r="G5754" s="343"/>
      <c r="H5754" s="343"/>
      <c r="I5754" s="343"/>
      <c r="J5754" s="343"/>
      <c r="K5754" s="343"/>
      <c r="L5754" s="343"/>
    </row>
    <row r="5755" spans="4:12" x14ac:dyDescent="0.2">
      <c r="D5755" s="341"/>
      <c r="F5755" s="343"/>
      <c r="G5755" s="343"/>
      <c r="H5755" s="343"/>
      <c r="I5755" s="343"/>
      <c r="J5755" s="343"/>
      <c r="K5755" s="343"/>
      <c r="L5755" s="343"/>
    </row>
    <row r="5756" spans="4:12" x14ac:dyDescent="0.2">
      <c r="D5756" s="341"/>
      <c r="F5756" s="343"/>
      <c r="G5756" s="343"/>
      <c r="H5756" s="343"/>
      <c r="I5756" s="343"/>
      <c r="J5756" s="343"/>
      <c r="K5756" s="343"/>
      <c r="L5756" s="343"/>
    </row>
    <row r="5757" spans="4:12" x14ac:dyDescent="0.2">
      <c r="D5757" s="341"/>
      <c r="F5757" s="343"/>
      <c r="G5757" s="343"/>
      <c r="H5757" s="343"/>
      <c r="I5757" s="343"/>
      <c r="J5757" s="343"/>
      <c r="K5757" s="343"/>
      <c r="L5757" s="343"/>
    </row>
    <row r="5758" spans="4:12" x14ac:dyDescent="0.2">
      <c r="D5758" s="341"/>
      <c r="F5758" s="343"/>
      <c r="G5758" s="343"/>
      <c r="H5758" s="343"/>
      <c r="I5758" s="343"/>
      <c r="J5758" s="343"/>
      <c r="K5758" s="343"/>
      <c r="L5758" s="343"/>
    </row>
    <row r="5759" spans="4:12" x14ac:dyDescent="0.2">
      <c r="D5759" s="341"/>
      <c r="F5759" s="343"/>
      <c r="G5759" s="343"/>
      <c r="H5759" s="343"/>
      <c r="I5759" s="343"/>
      <c r="J5759" s="343"/>
      <c r="K5759" s="343"/>
      <c r="L5759" s="343"/>
    </row>
    <row r="5760" spans="4:12" x14ac:dyDescent="0.2">
      <c r="D5760" s="341"/>
      <c r="F5760" s="343"/>
      <c r="G5760" s="343"/>
      <c r="H5760" s="343"/>
      <c r="I5760" s="343"/>
      <c r="J5760" s="343"/>
      <c r="K5760" s="343"/>
      <c r="L5760" s="343"/>
    </row>
    <row r="5761" spans="4:12" x14ac:dyDescent="0.2">
      <c r="D5761" s="341"/>
      <c r="F5761" s="343"/>
      <c r="G5761" s="343"/>
      <c r="H5761" s="343"/>
      <c r="I5761" s="343"/>
      <c r="J5761" s="343"/>
      <c r="K5761" s="343"/>
      <c r="L5761" s="343"/>
    </row>
    <row r="5762" spans="4:12" x14ac:dyDescent="0.2">
      <c r="D5762" s="341"/>
      <c r="F5762" s="343"/>
      <c r="G5762" s="343"/>
      <c r="H5762" s="343"/>
      <c r="I5762" s="343"/>
      <c r="J5762" s="343"/>
      <c r="K5762" s="343"/>
      <c r="L5762" s="343"/>
    </row>
    <row r="5763" spans="4:12" x14ac:dyDescent="0.2">
      <c r="D5763" s="341"/>
      <c r="F5763" s="343"/>
      <c r="G5763" s="343"/>
      <c r="H5763" s="343"/>
      <c r="I5763" s="343"/>
      <c r="J5763" s="343"/>
      <c r="K5763" s="343"/>
      <c r="L5763" s="343"/>
    </row>
    <row r="5764" spans="4:12" x14ac:dyDescent="0.2">
      <c r="D5764" s="341"/>
      <c r="F5764" s="343"/>
      <c r="G5764" s="343"/>
      <c r="H5764" s="343"/>
      <c r="I5764" s="343"/>
      <c r="J5764" s="343"/>
      <c r="K5764" s="343"/>
      <c r="L5764" s="343"/>
    </row>
    <row r="5765" spans="4:12" x14ac:dyDescent="0.2">
      <c r="D5765" s="341"/>
      <c r="F5765" s="343"/>
      <c r="G5765" s="343"/>
      <c r="H5765" s="343"/>
      <c r="I5765" s="343"/>
      <c r="J5765" s="343"/>
      <c r="K5765" s="343"/>
      <c r="L5765" s="343"/>
    </row>
    <row r="5766" spans="4:12" x14ac:dyDescent="0.2">
      <c r="D5766" s="341"/>
      <c r="F5766" s="343"/>
      <c r="G5766" s="343"/>
      <c r="H5766" s="343"/>
      <c r="I5766" s="343"/>
      <c r="J5766" s="343"/>
      <c r="K5766" s="343"/>
      <c r="L5766" s="343"/>
    </row>
    <row r="5767" spans="4:12" x14ac:dyDescent="0.2">
      <c r="D5767" s="341"/>
      <c r="F5767" s="343"/>
      <c r="G5767" s="343"/>
      <c r="H5767" s="343"/>
      <c r="I5767" s="343"/>
      <c r="J5767" s="343"/>
      <c r="K5767" s="343"/>
      <c r="L5767" s="343"/>
    </row>
    <row r="5768" spans="4:12" x14ac:dyDescent="0.2">
      <c r="D5768" s="341"/>
      <c r="F5768" s="343"/>
      <c r="G5768" s="343"/>
      <c r="H5768" s="343"/>
      <c r="I5768" s="343"/>
      <c r="J5768" s="343"/>
      <c r="K5768" s="343"/>
      <c r="L5768" s="343"/>
    </row>
    <row r="5769" spans="4:12" x14ac:dyDescent="0.2">
      <c r="D5769" s="341"/>
      <c r="F5769" s="343"/>
      <c r="G5769" s="343"/>
      <c r="H5769" s="343"/>
      <c r="I5769" s="343"/>
      <c r="J5769" s="343"/>
      <c r="K5769" s="343"/>
      <c r="L5769" s="343"/>
    </row>
    <row r="5770" spans="4:12" x14ac:dyDescent="0.2">
      <c r="D5770" s="341"/>
      <c r="F5770" s="343"/>
      <c r="G5770" s="343"/>
      <c r="H5770" s="343"/>
      <c r="I5770" s="343"/>
      <c r="J5770" s="343"/>
      <c r="K5770" s="343"/>
      <c r="L5770" s="343"/>
    </row>
    <row r="5771" spans="4:12" x14ac:dyDescent="0.2">
      <c r="D5771" s="341"/>
      <c r="F5771" s="343"/>
      <c r="G5771" s="343"/>
      <c r="H5771" s="343"/>
      <c r="I5771" s="343"/>
      <c r="J5771" s="343"/>
      <c r="K5771" s="343"/>
      <c r="L5771" s="343"/>
    </row>
    <row r="5772" spans="4:12" x14ac:dyDescent="0.2">
      <c r="D5772" s="341"/>
      <c r="F5772" s="343"/>
      <c r="G5772" s="343"/>
      <c r="H5772" s="343"/>
      <c r="I5772" s="343"/>
      <c r="J5772" s="343"/>
      <c r="K5772" s="343"/>
      <c r="L5772" s="343"/>
    </row>
    <row r="5773" spans="4:12" x14ac:dyDescent="0.2">
      <c r="D5773" s="341"/>
      <c r="F5773" s="343"/>
      <c r="G5773" s="343"/>
      <c r="H5773" s="343"/>
      <c r="I5773" s="343"/>
      <c r="J5773" s="343"/>
      <c r="K5773" s="343"/>
      <c r="L5773" s="343"/>
    </row>
    <row r="5774" spans="4:12" x14ac:dyDescent="0.2">
      <c r="D5774" s="341"/>
      <c r="F5774" s="343"/>
      <c r="G5774" s="343"/>
      <c r="H5774" s="343"/>
      <c r="I5774" s="343"/>
      <c r="J5774" s="343"/>
      <c r="K5774" s="343"/>
      <c r="L5774" s="343"/>
    </row>
    <row r="5775" spans="4:12" x14ac:dyDescent="0.2">
      <c r="D5775" s="341"/>
      <c r="F5775" s="343"/>
      <c r="G5775" s="343"/>
      <c r="H5775" s="343"/>
      <c r="I5775" s="343"/>
      <c r="J5775" s="343"/>
      <c r="K5775" s="343"/>
      <c r="L5775" s="343"/>
    </row>
    <row r="5776" spans="4:12" x14ac:dyDescent="0.2">
      <c r="D5776" s="341"/>
      <c r="F5776" s="343"/>
      <c r="G5776" s="343"/>
      <c r="H5776" s="343"/>
      <c r="I5776" s="343"/>
      <c r="J5776" s="343"/>
      <c r="K5776" s="343"/>
      <c r="L5776" s="343"/>
    </row>
    <row r="5777" spans="4:12" x14ac:dyDescent="0.2">
      <c r="D5777" s="341"/>
      <c r="F5777" s="343"/>
      <c r="G5777" s="343"/>
      <c r="H5777" s="343"/>
      <c r="I5777" s="343"/>
      <c r="J5777" s="343"/>
      <c r="K5777" s="343"/>
      <c r="L5777" s="343"/>
    </row>
    <row r="5778" spans="4:12" x14ac:dyDescent="0.2">
      <c r="D5778" s="341"/>
      <c r="F5778" s="343"/>
      <c r="G5778" s="343"/>
      <c r="H5778" s="343"/>
      <c r="I5778" s="343"/>
      <c r="J5778" s="343"/>
      <c r="K5778" s="343"/>
      <c r="L5778" s="343"/>
    </row>
    <row r="5779" spans="4:12" x14ac:dyDescent="0.2">
      <c r="D5779" s="341"/>
      <c r="F5779" s="343"/>
      <c r="G5779" s="343"/>
      <c r="H5779" s="343"/>
      <c r="I5779" s="343"/>
      <c r="J5779" s="343"/>
      <c r="K5779" s="343"/>
      <c r="L5779" s="343"/>
    </row>
    <row r="5780" spans="4:12" x14ac:dyDescent="0.2">
      <c r="D5780" s="341"/>
      <c r="F5780" s="343"/>
      <c r="G5780" s="343"/>
      <c r="H5780" s="343"/>
      <c r="I5780" s="343"/>
      <c r="J5780" s="343"/>
      <c r="K5780" s="343"/>
      <c r="L5780" s="343"/>
    </row>
    <row r="5781" spans="4:12" x14ac:dyDescent="0.2">
      <c r="D5781" s="341"/>
      <c r="F5781" s="343"/>
      <c r="G5781" s="343"/>
      <c r="H5781" s="343"/>
      <c r="I5781" s="343"/>
      <c r="J5781" s="343"/>
      <c r="K5781" s="343"/>
      <c r="L5781" s="343"/>
    </row>
    <row r="5782" spans="4:12" x14ac:dyDescent="0.2">
      <c r="D5782" s="341"/>
      <c r="F5782" s="343"/>
      <c r="G5782" s="343"/>
      <c r="H5782" s="343"/>
      <c r="I5782" s="343"/>
      <c r="J5782" s="343"/>
      <c r="K5782" s="343"/>
      <c r="L5782" s="343"/>
    </row>
    <row r="5783" spans="4:12" x14ac:dyDescent="0.2">
      <c r="D5783" s="341"/>
      <c r="F5783" s="343"/>
      <c r="G5783" s="343"/>
      <c r="H5783" s="343"/>
      <c r="I5783" s="343"/>
      <c r="J5783" s="343"/>
      <c r="K5783" s="343"/>
      <c r="L5783" s="343"/>
    </row>
    <row r="5784" spans="4:12" x14ac:dyDescent="0.2">
      <c r="D5784" s="341"/>
      <c r="F5784" s="343"/>
      <c r="G5784" s="343"/>
      <c r="H5784" s="343"/>
      <c r="I5784" s="343"/>
      <c r="J5784" s="343"/>
      <c r="K5784" s="343"/>
      <c r="L5784" s="343"/>
    </row>
    <row r="5785" spans="4:12" x14ac:dyDescent="0.2">
      <c r="D5785" s="341"/>
      <c r="F5785" s="343"/>
      <c r="G5785" s="343"/>
      <c r="H5785" s="343"/>
      <c r="I5785" s="343"/>
      <c r="J5785" s="343"/>
      <c r="K5785" s="343"/>
      <c r="L5785" s="343"/>
    </row>
    <row r="5786" spans="4:12" x14ac:dyDescent="0.2">
      <c r="D5786" s="341"/>
      <c r="F5786" s="343"/>
      <c r="G5786" s="343"/>
      <c r="H5786" s="343"/>
      <c r="I5786" s="343"/>
      <c r="J5786" s="343"/>
      <c r="K5786" s="343"/>
      <c r="L5786" s="343"/>
    </row>
    <row r="5787" spans="4:12" x14ac:dyDescent="0.2">
      <c r="D5787" s="341"/>
      <c r="F5787" s="343"/>
      <c r="G5787" s="343"/>
      <c r="H5787" s="343"/>
      <c r="I5787" s="343"/>
      <c r="J5787" s="343"/>
      <c r="K5787" s="343"/>
      <c r="L5787" s="343"/>
    </row>
    <row r="5788" spans="4:12" x14ac:dyDescent="0.2">
      <c r="D5788" s="341"/>
      <c r="F5788" s="343"/>
      <c r="G5788" s="343"/>
      <c r="H5788" s="343"/>
      <c r="I5788" s="343"/>
      <c r="J5788" s="343"/>
      <c r="K5788" s="343"/>
      <c r="L5788" s="343"/>
    </row>
    <row r="5789" spans="4:12" x14ac:dyDescent="0.2">
      <c r="D5789" s="341"/>
      <c r="F5789" s="343"/>
      <c r="G5789" s="343"/>
      <c r="H5789" s="343"/>
      <c r="I5789" s="343"/>
      <c r="J5789" s="343"/>
      <c r="K5789" s="343"/>
      <c r="L5789" s="343"/>
    </row>
    <row r="5790" spans="4:12" x14ac:dyDescent="0.2">
      <c r="D5790" s="341"/>
      <c r="F5790" s="343"/>
      <c r="G5790" s="343"/>
      <c r="H5790" s="343"/>
      <c r="I5790" s="343"/>
      <c r="J5790" s="343"/>
      <c r="K5790" s="343"/>
      <c r="L5790" s="343"/>
    </row>
    <row r="5791" spans="4:12" x14ac:dyDescent="0.2">
      <c r="D5791" s="341"/>
      <c r="F5791" s="343"/>
      <c r="G5791" s="343"/>
      <c r="H5791" s="343"/>
      <c r="I5791" s="343"/>
      <c r="J5791" s="343"/>
      <c r="K5791" s="343"/>
      <c r="L5791" s="343"/>
    </row>
    <row r="5792" spans="4:12" x14ac:dyDescent="0.2">
      <c r="D5792" s="341"/>
      <c r="F5792" s="343"/>
      <c r="G5792" s="343"/>
      <c r="H5792" s="343"/>
      <c r="I5792" s="343"/>
      <c r="J5792" s="343"/>
      <c r="K5792" s="343"/>
      <c r="L5792" s="343"/>
    </row>
    <row r="5793" spans="4:12" x14ac:dyDescent="0.2">
      <c r="D5793" s="341"/>
      <c r="F5793" s="343"/>
      <c r="G5793" s="343"/>
      <c r="H5793" s="343"/>
      <c r="I5793" s="343"/>
      <c r="J5793" s="343"/>
      <c r="K5793" s="343"/>
      <c r="L5793" s="343"/>
    </row>
    <row r="5794" spans="4:12" x14ac:dyDescent="0.2">
      <c r="D5794" s="341"/>
      <c r="F5794" s="343"/>
      <c r="G5794" s="343"/>
      <c r="H5794" s="343"/>
      <c r="I5794" s="343"/>
      <c r="J5794" s="343"/>
      <c r="K5794" s="343"/>
      <c r="L5794" s="343"/>
    </row>
    <row r="5795" spans="4:12" x14ac:dyDescent="0.2">
      <c r="D5795" s="341"/>
      <c r="F5795" s="343"/>
      <c r="G5795" s="343"/>
      <c r="H5795" s="343"/>
      <c r="I5795" s="343"/>
      <c r="J5795" s="343"/>
      <c r="K5795" s="343"/>
      <c r="L5795" s="343"/>
    </row>
    <row r="5796" spans="4:12" x14ac:dyDescent="0.2">
      <c r="D5796" s="341"/>
      <c r="F5796" s="343"/>
      <c r="G5796" s="343"/>
      <c r="H5796" s="343"/>
      <c r="I5796" s="343"/>
      <c r="J5796" s="343"/>
      <c r="K5796" s="343"/>
      <c r="L5796" s="343"/>
    </row>
    <row r="5797" spans="4:12" x14ac:dyDescent="0.2">
      <c r="D5797" s="341"/>
      <c r="F5797" s="343"/>
      <c r="G5797" s="343"/>
      <c r="H5797" s="343"/>
      <c r="I5797" s="343"/>
      <c r="J5797" s="343"/>
      <c r="K5797" s="343"/>
      <c r="L5797" s="343"/>
    </row>
    <row r="5798" spans="4:12" x14ac:dyDescent="0.2">
      <c r="D5798" s="341"/>
      <c r="F5798" s="343"/>
      <c r="G5798" s="343"/>
      <c r="H5798" s="343"/>
      <c r="I5798" s="343"/>
      <c r="J5798" s="343"/>
      <c r="K5798" s="343"/>
      <c r="L5798" s="343"/>
    </row>
    <row r="5799" spans="4:12" x14ac:dyDescent="0.2">
      <c r="D5799" s="341"/>
      <c r="F5799" s="343"/>
      <c r="G5799" s="343"/>
      <c r="H5799" s="343"/>
      <c r="I5799" s="343"/>
      <c r="J5799" s="343"/>
      <c r="K5799" s="343"/>
      <c r="L5799" s="343"/>
    </row>
    <row r="5800" spans="4:12" x14ac:dyDescent="0.2">
      <c r="D5800" s="341"/>
      <c r="F5800" s="343"/>
      <c r="G5800" s="343"/>
      <c r="H5800" s="343"/>
      <c r="I5800" s="343"/>
      <c r="J5800" s="343"/>
      <c r="K5800" s="343"/>
      <c r="L5800" s="343"/>
    </row>
    <row r="5801" spans="4:12" x14ac:dyDescent="0.2">
      <c r="D5801" s="341"/>
      <c r="F5801" s="343"/>
      <c r="G5801" s="343"/>
      <c r="H5801" s="343"/>
      <c r="I5801" s="343"/>
      <c r="J5801" s="343"/>
      <c r="K5801" s="343"/>
      <c r="L5801" s="343"/>
    </row>
    <row r="5802" spans="4:12" x14ac:dyDescent="0.2">
      <c r="D5802" s="341"/>
      <c r="F5802" s="343"/>
      <c r="G5802" s="343"/>
      <c r="H5802" s="343"/>
      <c r="I5802" s="343"/>
      <c r="J5802" s="343"/>
      <c r="K5802" s="343"/>
      <c r="L5802" s="343"/>
    </row>
    <row r="5803" spans="4:12" x14ac:dyDescent="0.2">
      <c r="D5803" s="341"/>
      <c r="F5803" s="343"/>
      <c r="G5803" s="343"/>
      <c r="H5803" s="343"/>
      <c r="I5803" s="343"/>
      <c r="J5803" s="343"/>
      <c r="K5803" s="343"/>
      <c r="L5803" s="343"/>
    </row>
    <row r="5804" spans="4:12" x14ac:dyDescent="0.2">
      <c r="D5804" s="341"/>
      <c r="F5804" s="343"/>
      <c r="G5804" s="343"/>
      <c r="H5804" s="343"/>
      <c r="I5804" s="343"/>
      <c r="J5804" s="343"/>
      <c r="K5804" s="343"/>
      <c r="L5804" s="343"/>
    </row>
    <row r="5805" spans="4:12" x14ac:dyDescent="0.2">
      <c r="D5805" s="341"/>
      <c r="F5805" s="343"/>
      <c r="G5805" s="343"/>
      <c r="H5805" s="343"/>
      <c r="I5805" s="343"/>
      <c r="J5805" s="343"/>
      <c r="K5805" s="343"/>
      <c r="L5805" s="343"/>
    </row>
    <row r="5806" spans="4:12" x14ac:dyDescent="0.2">
      <c r="D5806" s="341"/>
      <c r="F5806" s="343"/>
      <c r="G5806" s="343"/>
      <c r="H5806" s="343"/>
      <c r="I5806" s="343"/>
      <c r="J5806" s="343"/>
      <c r="K5806" s="343"/>
      <c r="L5806" s="343"/>
    </row>
    <row r="5807" spans="4:12" x14ac:dyDescent="0.2">
      <c r="D5807" s="341"/>
      <c r="F5807" s="343"/>
      <c r="G5807" s="343"/>
      <c r="H5807" s="343"/>
      <c r="I5807" s="343"/>
      <c r="J5807" s="343"/>
      <c r="K5807" s="343"/>
      <c r="L5807" s="343"/>
    </row>
    <row r="5808" spans="4:12" x14ac:dyDescent="0.2">
      <c r="D5808" s="341"/>
      <c r="F5808" s="343"/>
      <c r="G5808" s="343"/>
      <c r="H5808" s="343"/>
      <c r="I5808" s="343"/>
      <c r="J5808" s="343"/>
      <c r="K5808" s="343"/>
      <c r="L5808" s="343"/>
    </row>
    <row r="5809" spans="4:12" x14ac:dyDescent="0.2">
      <c r="D5809" s="341"/>
      <c r="F5809" s="343"/>
      <c r="G5809" s="343"/>
      <c r="H5809" s="343"/>
      <c r="I5809" s="343"/>
      <c r="J5809" s="343"/>
      <c r="K5809" s="343"/>
      <c r="L5809" s="343"/>
    </row>
    <row r="5810" spans="4:12" x14ac:dyDescent="0.2">
      <c r="D5810" s="341"/>
      <c r="F5810" s="343"/>
      <c r="G5810" s="343"/>
      <c r="H5810" s="343"/>
      <c r="I5810" s="343"/>
      <c r="J5810" s="343"/>
      <c r="K5810" s="343"/>
      <c r="L5810" s="343"/>
    </row>
    <row r="5811" spans="4:12" x14ac:dyDescent="0.2">
      <c r="D5811" s="341"/>
      <c r="F5811" s="343"/>
      <c r="G5811" s="343"/>
      <c r="H5811" s="343"/>
      <c r="I5811" s="343"/>
      <c r="J5811" s="343"/>
      <c r="K5811" s="343"/>
      <c r="L5811" s="343"/>
    </row>
    <row r="5812" spans="4:12" x14ac:dyDescent="0.2">
      <c r="D5812" s="341"/>
      <c r="F5812" s="343"/>
      <c r="G5812" s="343"/>
      <c r="H5812" s="343"/>
      <c r="I5812" s="343"/>
      <c r="J5812" s="343"/>
      <c r="K5812" s="343"/>
      <c r="L5812" s="343"/>
    </row>
    <row r="5813" spans="4:12" x14ac:dyDescent="0.2">
      <c r="D5813" s="341"/>
      <c r="F5813" s="343"/>
      <c r="G5813" s="343"/>
      <c r="H5813" s="343"/>
      <c r="I5813" s="343"/>
      <c r="J5813" s="343"/>
      <c r="K5813" s="343"/>
      <c r="L5813" s="343"/>
    </row>
    <row r="5814" spans="4:12" x14ac:dyDescent="0.2">
      <c r="D5814" s="341"/>
      <c r="F5814" s="343"/>
      <c r="G5814" s="343"/>
      <c r="H5814" s="343"/>
      <c r="I5814" s="343"/>
      <c r="J5814" s="343"/>
      <c r="K5814" s="343"/>
      <c r="L5814" s="343"/>
    </row>
    <row r="5815" spans="4:12" x14ac:dyDescent="0.2">
      <c r="D5815" s="341"/>
      <c r="F5815" s="343"/>
      <c r="G5815" s="343"/>
      <c r="H5815" s="343"/>
      <c r="I5815" s="343"/>
      <c r="J5815" s="343"/>
      <c r="K5815" s="343"/>
      <c r="L5815" s="343"/>
    </row>
    <row r="5816" spans="4:12" x14ac:dyDescent="0.2">
      <c r="D5816" s="341"/>
      <c r="F5816" s="343"/>
      <c r="G5816" s="343"/>
      <c r="H5816" s="343"/>
      <c r="I5816" s="343"/>
      <c r="J5816" s="343"/>
      <c r="K5816" s="343"/>
      <c r="L5816" s="343"/>
    </row>
    <row r="5817" spans="4:12" x14ac:dyDescent="0.2">
      <c r="D5817" s="341"/>
      <c r="F5817" s="343"/>
      <c r="G5817" s="343"/>
      <c r="H5817" s="343"/>
      <c r="I5817" s="343"/>
      <c r="J5817" s="343"/>
      <c r="K5817" s="343"/>
      <c r="L5817" s="343"/>
    </row>
    <row r="5818" spans="4:12" x14ac:dyDescent="0.2">
      <c r="D5818" s="341"/>
      <c r="F5818" s="343"/>
      <c r="G5818" s="343"/>
      <c r="H5818" s="343"/>
      <c r="I5818" s="343"/>
      <c r="J5818" s="343"/>
      <c r="K5818" s="343"/>
      <c r="L5818" s="343"/>
    </row>
    <row r="5819" spans="4:12" x14ac:dyDescent="0.2">
      <c r="D5819" s="341"/>
      <c r="F5819" s="343"/>
      <c r="G5819" s="343"/>
      <c r="H5819" s="343"/>
      <c r="I5819" s="343"/>
      <c r="J5819" s="343"/>
      <c r="K5819" s="343"/>
      <c r="L5819" s="343"/>
    </row>
    <row r="5820" spans="4:12" x14ac:dyDescent="0.2">
      <c r="D5820" s="341"/>
      <c r="F5820" s="343"/>
      <c r="G5820" s="343"/>
      <c r="H5820" s="343"/>
      <c r="I5820" s="343"/>
      <c r="J5820" s="343"/>
      <c r="K5820" s="343"/>
      <c r="L5820" s="343"/>
    </row>
    <row r="5821" spans="4:12" x14ac:dyDescent="0.2">
      <c r="D5821" s="341"/>
      <c r="F5821" s="343"/>
      <c r="G5821" s="343"/>
      <c r="H5821" s="343"/>
      <c r="I5821" s="343"/>
      <c r="J5821" s="343"/>
      <c r="K5821" s="343"/>
      <c r="L5821" s="343"/>
    </row>
    <row r="5822" spans="4:12" x14ac:dyDescent="0.2">
      <c r="D5822" s="341"/>
      <c r="F5822" s="343"/>
      <c r="G5822" s="343"/>
      <c r="H5822" s="343"/>
      <c r="I5822" s="343"/>
      <c r="J5822" s="343"/>
      <c r="K5822" s="343"/>
      <c r="L5822" s="343"/>
    </row>
    <row r="5823" spans="4:12" x14ac:dyDescent="0.2">
      <c r="D5823" s="341"/>
      <c r="F5823" s="343"/>
      <c r="G5823" s="343"/>
      <c r="H5823" s="343"/>
      <c r="I5823" s="343"/>
      <c r="J5823" s="343"/>
      <c r="K5823" s="343"/>
      <c r="L5823" s="343"/>
    </row>
    <row r="5824" spans="4:12" x14ac:dyDescent="0.2">
      <c r="D5824" s="341"/>
      <c r="F5824" s="343"/>
      <c r="G5824" s="343"/>
      <c r="H5824" s="343"/>
      <c r="I5824" s="343"/>
      <c r="J5824" s="343"/>
      <c r="K5824" s="343"/>
      <c r="L5824" s="343"/>
    </row>
    <row r="5825" spans="4:12" x14ac:dyDescent="0.2">
      <c r="D5825" s="341"/>
      <c r="F5825" s="343"/>
      <c r="G5825" s="343"/>
      <c r="H5825" s="343"/>
      <c r="I5825" s="343"/>
      <c r="J5825" s="343"/>
      <c r="K5825" s="343"/>
      <c r="L5825" s="343"/>
    </row>
    <row r="5826" spans="4:12" x14ac:dyDescent="0.2">
      <c r="D5826" s="341"/>
      <c r="F5826" s="343"/>
      <c r="G5826" s="343"/>
      <c r="H5826" s="343"/>
      <c r="I5826" s="343"/>
      <c r="J5826" s="343"/>
      <c r="K5826" s="343"/>
      <c r="L5826" s="343"/>
    </row>
    <row r="5827" spans="4:12" x14ac:dyDescent="0.2">
      <c r="D5827" s="341"/>
      <c r="F5827" s="343"/>
      <c r="G5827" s="343"/>
      <c r="H5827" s="343"/>
      <c r="I5827" s="343"/>
      <c r="J5827" s="343"/>
      <c r="K5827" s="343"/>
      <c r="L5827" s="343"/>
    </row>
    <row r="5828" spans="4:12" x14ac:dyDescent="0.2">
      <c r="D5828" s="341"/>
      <c r="F5828" s="343"/>
      <c r="G5828" s="343"/>
      <c r="H5828" s="343"/>
      <c r="I5828" s="343"/>
      <c r="J5828" s="343"/>
      <c r="K5828" s="343"/>
      <c r="L5828" s="343"/>
    </row>
    <row r="5829" spans="4:12" x14ac:dyDescent="0.2">
      <c r="D5829" s="341"/>
      <c r="F5829" s="343"/>
      <c r="G5829" s="343"/>
      <c r="H5829" s="343"/>
      <c r="I5829" s="343"/>
      <c r="J5829" s="343"/>
      <c r="K5829" s="343"/>
      <c r="L5829" s="343"/>
    </row>
    <row r="5830" spans="4:12" x14ac:dyDescent="0.2">
      <c r="D5830" s="341"/>
      <c r="F5830" s="343"/>
      <c r="G5830" s="343"/>
      <c r="H5830" s="343"/>
      <c r="I5830" s="343"/>
      <c r="J5830" s="343"/>
      <c r="K5830" s="343"/>
      <c r="L5830" s="343"/>
    </row>
    <row r="5831" spans="4:12" x14ac:dyDescent="0.2">
      <c r="D5831" s="341"/>
      <c r="F5831" s="343"/>
      <c r="G5831" s="343"/>
      <c r="H5831" s="343"/>
      <c r="I5831" s="343"/>
      <c r="J5831" s="343"/>
      <c r="K5831" s="343"/>
      <c r="L5831" s="343"/>
    </row>
    <row r="5832" spans="4:12" x14ac:dyDescent="0.2">
      <c r="D5832" s="341"/>
      <c r="F5832" s="343"/>
      <c r="G5832" s="343"/>
      <c r="H5832" s="343"/>
      <c r="I5832" s="343"/>
      <c r="J5832" s="343"/>
      <c r="K5832" s="343"/>
      <c r="L5832" s="343"/>
    </row>
    <row r="5833" spans="4:12" x14ac:dyDescent="0.2">
      <c r="D5833" s="341"/>
      <c r="F5833" s="343"/>
      <c r="G5833" s="343"/>
      <c r="H5833" s="343"/>
      <c r="I5833" s="343"/>
      <c r="J5833" s="343"/>
      <c r="K5833" s="343"/>
      <c r="L5833" s="343"/>
    </row>
    <row r="5834" spans="4:12" x14ac:dyDescent="0.2">
      <c r="D5834" s="341"/>
      <c r="F5834" s="343"/>
      <c r="G5834" s="343"/>
      <c r="H5834" s="343"/>
      <c r="I5834" s="343"/>
      <c r="J5834" s="343"/>
      <c r="K5834" s="343"/>
      <c r="L5834" s="343"/>
    </row>
    <row r="5835" spans="4:12" x14ac:dyDescent="0.2">
      <c r="D5835" s="341"/>
      <c r="F5835" s="343"/>
      <c r="G5835" s="343"/>
      <c r="H5835" s="343"/>
      <c r="I5835" s="343"/>
      <c r="J5835" s="343"/>
      <c r="K5835" s="343"/>
      <c r="L5835" s="343"/>
    </row>
    <row r="5836" spans="4:12" x14ac:dyDescent="0.2">
      <c r="D5836" s="341"/>
      <c r="F5836" s="343"/>
      <c r="G5836" s="343"/>
      <c r="H5836" s="343"/>
      <c r="I5836" s="343"/>
      <c r="J5836" s="343"/>
      <c r="K5836" s="343"/>
      <c r="L5836" s="343"/>
    </row>
    <row r="5837" spans="4:12" x14ac:dyDescent="0.2">
      <c r="D5837" s="341"/>
      <c r="F5837" s="343"/>
      <c r="G5837" s="343"/>
      <c r="H5837" s="343"/>
      <c r="I5837" s="343"/>
      <c r="J5837" s="343"/>
      <c r="K5837" s="343"/>
      <c r="L5837" s="343"/>
    </row>
    <row r="5838" spans="4:12" x14ac:dyDescent="0.2">
      <c r="D5838" s="341"/>
      <c r="F5838" s="343"/>
      <c r="G5838" s="343"/>
      <c r="H5838" s="343"/>
      <c r="I5838" s="343"/>
      <c r="J5838" s="343"/>
      <c r="K5838" s="343"/>
      <c r="L5838" s="343"/>
    </row>
    <row r="5839" spans="4:12" x14ac:dyDescent="0.2">
      <c r="D5839" s="341"/>
      <c r="F5839" s="343"/>
      <c r="G5839" s="343"/>
      <c r="H5839" s="343"/>
      <c r="I5839" s="343"/>
      <c r="J5839" s="343"/>
      <c r="K5839" s="343"/>
      <c r="L5839" s="343"/>
    </row>
    <row r="5840" spans="4:12" x14ac:dyDescent="0.2">
      <c r="D5840" s="341"/>
      <c r="F5840" s="343"/>
      <c r="G5840" s="343"/>
      <c r="H5840" s="343"/>
      <c r="I5840" s="343"/>
      <c r="J5840" s="343"/>
      <c r="K5840" s="343"/>
      <c r="L5840" s="343"/>
    </row>
    <row r="5841" spans="4:12" x14ac:dyDescent="0.2">
      <c r="D5841" s="341"/>
      <c r="F5841" s="343"/>
      <c r="G5841" s="343"/>
      <c r="H5841" s="343"/>
      <c r="I5841" s="343"/>
      <c r="J5841" s="343"/>
      <c r="K5841" s="343"/>
      <c r="L5841" s="343"/>
    </row>
    <row r="5842" spans="4:12" x14ac:dyDescent="0.2">
      <c r="D5842" s="341"/>
      <c r="F5842" s="343"/>
      <c r="G5842" s="343"/>
      <c r="H5842" s="343"/>
      <c r="I5842" s="343"/>
      <c r="J5842" s="343"/>
      <c r="K5842" s="343"/>
      <c r="L5842" s="343"/>
    </row>
    <row r="5843" spans="4:12" x14ac:dyDescent="0.2">
      <c r="D5843" s="341"/>
      <c r="F5843" s="343"/>
      <c r="G5843" s="343"/>
      <c r="H5843" s="343"/>
      <c r="I5843" s="343"/>
      <c r="J5843" s="343"/>
      <c r="K5843" s="343"/>
      <c r="L5843" s="343"/>
    </row>
    <row r="5844" spans="4:12" x14ac:dyDescent="0.2">
      <c r="D5844" s="341"/>
      <c r="F5844" s="343"/>
      <c r="G5844" s="343"/>
      <c r="H5844" s="343"/>
      <c r="I5844" s="343"/>
      <c r="J5844" s="343"/>
      <c r="K5844" s="343"/>
      <c r="L5844" s="343"/>
    </row>
    <row r="5845" spans="4:12" x14ac:dyDescent="0.2">
      <c r="D5845" s="341"/>
      <c r="F5845" s="343"/>
      <c r="G5845" s="343"/>
      <c r="H5845" s="343"/>
      <c r="I5845" s="343"/>
      <c r="J5845" s="343"/>
      <c r="K5845" s="343"/>
      <c r="L5845" s="343"/>
    </row>
    <row r="5846" spans="4:12" x14ac:dyDescent="0.2">
      <c r="D5846" s="341"/>
      <c r="F5846" s="343"/>
      <c r="G5846" s="343"/>
      <c r="H5846" s="343"/>
      <c r="I5846" s="343"/>
      <c r="J5846" s="343"/>
      <c r="K5846" s="343"/>
      <c r="L5846" s="343"/>
    </row>
    <row r="5847" spans="4:12" x14ac:dyDescent="0.2">
      <c r="D5847" s="341"/>
      <c r="F5847" s="343"/>
      <c r="G5847" s="343"/>
      <c r="H5847" s="343"/>
      <c r="I5847" s="343"/>
      <c r="J5847" s="343"/>
      <c r="K5847" s="343"/>
      <c r="L5847" s="343"/>
    </row>
    <row r="5848" spans="4:12" x14ac:dyDescent="0.2">
      <c r="D5848" s="341"/>
      <c r="F5848" s="343"/>
      <c r="G5848" s="343"/>
      <c r="H5848" s="343"/>
      <c r="I5848" s="343"/>
      <c r="J5848" s="343"/>
      <c r="K5848" s="343"/>
      <c r="L5848" s="343"/>
    </row>
    <row r="5849" spans="4:12" x14ac:dyDescent="0.2">
      <c r="D5849" s="341"/>
      <c r="F5849" s="343"/>
      <c r="G5849" s="343"/>
      <c r="H5849" s="343"/>
      <c r="I5849" s="343"/>
      <c r="J5849" s="343"/>
      <c r="K5849" s="343"/>
      <c r="L5849" s="343"/>
    </row>
    <row r="5850" spans="4:12" x14ac:dyDescent="0.2">
      <c r="D5850" s="341"/>
      <c r="F5850" s="343"/>
      <c r="G5850" s="343"/>
      <c r="H5850" s="343"/>
      <c r="I5850" s="343"/>
      <c r="J5850" s="343"/>
      <c r="K5850" s="343"/>
      <c r="L5850" s="343"/>
    </row>
    <row r="5851" spans="4:12" x14ac:dyDescent="0.2">
      <c r="D5851" s="341"/>
      <c r="F5851" s="343"/>
      <c r="G5851" s="343"/>
      <c r="H5851" s="343"/>
      <c r="I5851" s="343"/>
      <c r="J5851" s="343"/>
      <c r="K5851" s="343"/>
      <c r="L5851" s="343"/>
    </row>
    <row r="5852" spans="4:12" x14ac:dyDescent="0.2">
      <c r="D5852" s="341"/>
      <c r="F5852" s="343"/>
      <c r="G5852" s="343"/>
      <c r="H5852" s="343"/>
      <c r="I5852" s="343"/>
      <c r="J5852" s="343"/>
      <c r="K5852" s="343"/>
      <c r="L5852" s="343"/>
    </row>
    <row r="5853" spans="4:12" x14ac:dyDescent="0.2">
      <c r="D5853" s="341"/>
      <c r="F5853" s="343"/>
      <c r="G5853" s="343"/>
      <c r="H5853" s="343"/>
      <c r="I5853" s="343"/>
      <c r="J5853" s="343"/>
      <c r="K5853" s="343"/>
      <c r="L5853" s="343"/>
    </row>
    <row r="5854" spans="4:12" x14ac:dyDescent="0.2">
      <c r="D5854" s="341"/>
      <c r="F5854" s="343"/>
      <c r="G5854" s="343"/>
      <c r="H5854" s="343"/>
      <c r="I5854" s="343"/>
      <c r="J5854" s="343"/>
      <c r="K5854" s="343"/>
      <c r="L5854" s="343"/>
    </row>
    <row r="5855" spans="4:12" x14ac:dyDescent="0.2">
      <c r="D5855" s="341"/>
      <c r="F5855" s="343"/>
      <c r="G5855" s="343"/>
      <c r="H5855" s="343"/>
      <c r="I5855" s="343"/>
      <c r="J5855" s="343"/>
      <c r="K5855" s="343"/>
      <c r="L5855" s="343"/>
    </row>
    <row r="5856" spans="4:12" x14ac:dyDescent="0.2">
      <c r="D5856" s="341"/>
      <c r="F5856" s="343"/>
      <c r="G5856" s="343"/>
      <c r="H5856" s="343"/>
      <c r="I5856" s="343"/>
      <c r="J5856" s="343"/>
      <c r="K5856" s="343"/>
      <c r="L5856" s="343"/>
    </row>
    <row r="5857" spans="4:12" x14ac:dyDescent="0.2">
      <c r="D5857" s="341"/>
      <c r="F5857" s="343"/>
      <c r="G5857" s="343"/>
      <c r="H5857" s="343"/>
      <c r="I5857" s="343"/>
      <c r="J5857" s="343"/>
      <c r="K5857" s="343"/>
      <c r="L5857" s="343"/>
    </row>
    <row r="5858" spans="4:12" x14ac:dyDescent="0.2">
      <c r="D5858" s="341"/>
      <c r="F5858" s="343"/>
      <c r="G5858" s="343"/>
      <c r="H5858" s="343"/>
      <c r="I5858" s="343"/>
      <c r="J5858" s="343"/>
      <c r="K5858" s="343"/>
      <c r="L5858" s="343"/>
    </row>
    <row r="5859" spans="4:12" x14ac:dyDescent="0.2">
      <c r="D5859" s="341"/>
      <c r="F5859" s="343"/>
      <c r="G5859" s="343"/>
      <c r="H5859" s="343"/>
      <c r="I5859" s="343"/>
      <c r="J5859" s="343"/>
      <c r="K5859" s="343"/>
      <c r="L5859" s="343"/>
    </row>
    <row r="5860" spans="4:12" x14ac:dyDescent="0.2">
      <c r="D5860" s="341"/>
      <c r="F5860" s="343"/>
      <c r="G5860" s="343"/>
      <c r="H5860" s="343"/>
      <c r="I5860" s="343"/>
      <c r="J5860" s="343"/>
      <c r="K5860" s="343"/>
      <c r="L5860" s="343"/>
    </row>
    <row r="5861" spans="4:12" x14ac:dyDescent="0.2">
      <c r="D5861" s="341"/>
      <c r="F5861" s="343"/>
      <c r="G5861" s="343"/>
      <c r="H5861" s="343"/>
      <c r="I5861" s="343"/>
      <c r="J5861" s="343"/>
      <c r="K5861" s="343"/>
      <c r="L5861" s="343"/>
    </row>
    <row r="5862" spans="4:12" x14ac:dyDescent="0.2">
      <c r="D5862" s="341"/>
      <c r="F5862" s="343"/>
      <c r="G5862" s="343"/>
      <c r="H5862" s="343"/>
      <c r="I5862" s="343"/>
      <c r="J5862" s="343"/>
      <c r="K5862" s="343"/>
      <c r="L5862" s="343"/>
    </row>
    <row r="5863" spans="4:12" x14ac:dyDescent="0.2">
      <c r="D5863" s="341"/>
      <c r="F5863" s="343"/>
      <c r="G5863" s="343"/>
      <c r="H5863" s="343"/>
      <c r="I5863" s="343"/>
      <c r="J5863" s="343"/>
      <c r="K5863" s="343"/>
      <c r="L5863" s="343"/>
    </row>
    <row r="5864" spans="4:12" x14ac:dyDescent="0.2">
      <c r="D5864" s="341"/>
      <c r="F5864" s="343"/>
      <c r="G5864" s="343"/>
      <c r="H5864" s="343"/>
      <c r="I5864" s="343"/>
      <c r="J5864" s="343"/>
      <c r="K5864" s="343"/>
      <c r="L5864" s="343"/>
    </row>
    <row r="5865" spans="4:12" x14ac:dyDescent="0.2">
      <c r="D5865" s="341"/>
      <c r="F5865" s="343"/>
      <c r="G5865" s="343"/>
      <c r="H5865" s="343"/>
      <c r="I5865" s="343"/>
      <c r="J5865" s="343"/>
      <c r="K5865" s="343"/>
      <c r="L5865" s="343"/>
    </row>
    <row r="5866" spans="4:12" x14ac:dyDescent="0.2">
      <c r="D5866" s="341"/>
      <c r="F5866" s="343"/>
      <c r="G5866" s="343"/>
      <c r="H5866" s="343"/>
      <c r="I5866" s="343"/>
      <c r="J5866" s="343"/>
      <c r="K5866" s="343"/>
      <c r="L5866" s="343"/>
    </row>
    <row r="5867" spans="4:12" x14ac:dyDescent="0.2">
      <c r="D5867" s="341"/>
      <c r="F5867" s="343"/>
      <c r="G5867" s="343"/>
      <c r="H5867" s="343"/>
      <c r="I5867" s="343"/>
      <c r="J5867" s="343"/>
      <c r="K5867" s="343"/>
      <c r="L5867" s="343"/>
    </row>
    <row r="5868" spans="4:12" x14ac:dyDescent="0.2">
      <c r="D5868" s="341"/>
      <c r="F5868" s="343"/>
      <c r="G5868" s="343"/>
      <c r="H5868" s="343"/>
      <c r="I5868" s="343"/>
      <c r="J5868" s="343"/>
      <c r="K5868" s="343"/>
      <c r="L5868" s="343"/>
    </row>
    <row r="5869" spans="4:12" x14ac:dyDescent="0.2">
      <c r="D5869" s="341"/>
      <c r="F5869" s="343"/>
      <c r="G5869" s="343"/>
      <c r="H5869" s="343"/>
      <c r="I5869" s="343"/>
      <c r="J5869" s="343"/>
      <c r="K5869" s="343"/>
      <c r="L5869" s="343"/>
    </row>
    <row r="5870" spans="4:12" x14ac:dyDescent="0.2">
      <c r="D5870" s="341"/>
      <c r="F5870" s="343"/>
      <c r="G5870" s="343"/>
      <c r="H5870" s="343"/>
      <c r="I5870" s="343"/>
      <c r="J5870" s="343"/>
      <c r="K5870" s="343"/>
      <c r="L5870" s="343"/>
    </row>
    <row r="5871" spans="4:12" x14ac:dyDescent="0.2">
      <c r="D5871" s="341"/>
      <c r="F5871" s="343"/>
      <c r="G5871" s="343"/>
      <c r="H5871" s="343"/>
      <c r="I5871" s="343"/>
      <c r="J5871" s="343"/>
      <c r="K5871" s="343"/>
      <c r="L5871" s="343"/>
    </row>
    <row r="5872" spans="4:12" x14ac:dyDescent="0.2">
      <c r="D5872" s="341"/>
      <c r="F5872" s="343"/>
      <c r="G5872" s="343"/>
      <c r="H5872" s="343"/>
      <c r="I5872" s="343"/>
      <c r="J5872" s="343"/>
      <c r="K5872" s="343"/>
      <c r="L5872" s="343"/>
    </row>
    <row r="5873" spans="4:12" x14ac:dyDescent="0.2">
      <c r="D5873" s="341"/>
      <c r="F5873" s="343"/>
      <c r="G5873" s="343"/>
      <c r="H5873" s="343"/>
      <c r="I5873" s="343"/>
      <c r="J5873" s="343"/>
      <c r="K5873" s="343"/>
      <c r="L5873" s="343"/>
    </row>
    <row r="5874" spans="4:12" x14ac:dyDescent="0.2">
      <c r="D5874" s="341"/>
      <c r="F5874" s="343"/>
      <c r="G5874" s="343"/>
      <c r="H5874" s="343"/>
      <c r="I5874" s="343"/>
      <c r="J5874" s="343"/>
      <c r="K5874" s="343"/>
      <c r="L5874" s="343"/>
    </row>
    <row r="5875" spans="4:12" x14ac:dyDescent="0.2">
      <c r="D5875" s="341"/>
      <c r="F5875" s="343"/>
      <c r="G5875" s="343"/>
      <c r="H5875" s="343"/>
      <c r="I5875" s="343"/>
      <c r="J5875" s="343"/>
      <c r="K5875" s="343"/>
      <c r="L5875" s="343"/>
    </row>
    <row r="5876" spans="4:12" x14ac:dyDescent="0.2">
      <c r="D5876" s="341"/>
      <c r="F5876" s="343"/>
      <c r="G5876" s="343"/>
      <c r="H5876" s="343"/>
      <c r="I5876" s="343"/>
      <c r="J5876" s="343"/>
      <c r="K5876" s="343"/>
      <c r="L5876" s="343"/>
    </row>
    <row r="5877" spans="4:12" x14ac:dyDescent="0.2">
      <c r="D5877" s="341"/>
      <c r="F5877" s="343"/>
      <c r="G5877" s="343"/>
      <c r="H5877" s="343"/>
      <c r="I5877" s="343"/>
      <c r="J5877" s="343"/>
      <c r="K5877" s="343"/>
      <c r="L5877" s="343"/>
    </row>
    <row r="5878" spans="4:12" x14ac:dyDescent="0.2">
      <c r="D5878" s="341"/>
      <c r="F5878" s="343"/>
      <c r="G5878" s="343"/>
      <c r="H5878" s="343"/>
      <c r="I5878" s="343"/>
      <c r="J5878" s="343"/>
      <c r="K5878" s="343"/>
      <c r="L5878" s="343"/>
    </row>
    <row r="5879" spans="4:12" x14ac:dyDescent="0.2">
      <c r="D5879" s="341"/>
      <c r="F5879" s="343"/>
      <c r="G5879" s="343"/>
      <c r="H5879" s="343"/>
      <c r="I5879" s="343"/>
      <c r="J5879" s="343"/>
      <c r="K5879" s="343"/>
      <c r="L5879" s="343"/>
    </row>
    <row r="5880" spans="4:12" x14ac:dyDescent="0.2">
      <c r="D5880" s="341"/>
      <c r="F5880" s="343"/>
      <c r="G5880" s="343"/>
      <c r="H5880" s="343"/>
      <c r="I5880" s="343"/>
      <c r="J5880" s="343"/>
      <c r="K5880" s="343"/>
      <c r="L5880" s="343"/>
    </row>
    <row r="5881" spans="4:12" x14ac:dyDescent="0.2">
      <c r="D5881" s="341"/>
      <c r="F5881" s="343"/>
      <c r="G5881" s="343"/>
      <c r="H5881" s="343"/>
      <c r="I5881" s="343"/>
      <c r="J5881" s="343"/>
      <c r="K5881" s="343"/>
      <c r="L5881" s="343"/>
    </row>
    <row r="5882" spans="4:12" x14ac:dyDescent="0.2">
      <c r="D5882" s="341"/>
      <c r="F5882" s="343"/>
      <c r="G5882" s="343"/>
      <c r="H5882" s="343"/>
      <c r="I5882" s="343"/>
      <c r="J5882" s="343"/>
      <c r="K5882" s="343"/>
      <c r="L5882" s="343"/>
    </row>
    <row r="5883" spans="4:12" x14ac:dyDescent="0.2">
      <c r="D5883" s="341"/>
      <c r="F5883" s="343"/>
      <c r="G5883" s="343"/>
      <c r="H5883" s="343"/>
      <c r="I5883" s="343"/>
      <c r="J5883" s="343"/>
      <c r="K5883" s="343"/>
      <c r="L5883" s="343"/>
    </row>
    <row r="5884" spans="4:12" x14ac:dyDescent="0.2">
      <c r="D5884" s="341"/>
      <c r="F5884" s="343"/>
      <c r="G5884" s="343"/>
      <c r="H5884" s="343"/>
      <c r="I5884" s="343"/>
      <c r="J5884" s="343"/>
      <c r="K5884" s="343"/>
      <c r="L5884" s="343"/>
    </row>
    <row r="5885" spans="4:12" x14ac:dyDescent="0.2">
      <c r="D5885" s="341"/>
      <c r="F5885" s="343"/>
      <c r="G5885" s="343"/>
      <c r="H5885" s="343"/>
      <c r="I5885" s="343"/>
      <c r="J5885" s="343"/>
      <c r="K5885" s="343"/>
      <c r="L5885" s="343"/>
    </row>
    <row r="5886" spans="4:12" x14ac:dyDescent="0.2">
      <c r="D5886" s="341"/>
      <c r="F5886" s="343"/>
      <c r="G5886" s="343"/>
      <c r="H5886" s="343"/>
      <c r="I5886" s="343"/>
      <c r="J5886" s="343"/>
      <c r="K5886" s="343"/>
      <c r="L5886" s="343"/>
    </row>
    <row r="5887" spans="4:12" x14ac:dyDescent="0.2">
      <c r="D5887" s="341"/>
      <c r="F5887" s="343"/>
      <c r="G5887" s="343"/>
      <c r="H5887" s="343"/>
      <c r="I5887" s="343"/>
      <c r="J5887" s="343"/>
      <c r="K5887" s="343"/>
      <c r="L5887" s="343"/>
    </row>
    <row r="5888" spans="4:12" x14ac:dyDescent="0.2">
      <c r="D5888" s="341"/>
      <c r="F5888" s="343"/>
      <c r="G5888" s="343"/>
      <c r="H5888" s="343"/>
      <c r="I5888" s="343"/>
      <c r="J5888" s="343"/>
      <c r="K5888" s="343"/>
      <c r="L5888" s="343"/>
    </row>
    <row r="5889" spans="4:12" x14ac:dyDescent="0.2">
      <c r="D5889" s="341"/>
      <c r="F5889" s="343"/>
      <c r="G5889" s="343"/>
      <c r="H5889" s="343"/>
      <c r="I5889" s="343"/>
      <c r="J5889" s="343"/>
      <c r="K5889" s="343"/>
      <c r="L5889" s="343"/>
    </row>
    <row r="5890" spans="4:12" x14ac:dyDescent="0.2">
      <c r="D5890" s="341"/>
      <c r="F5890" s="343"/>
      <c r="G5890" s="343"/>
      <c r="H5890" s="343"/>
      <c r="I5890" s="343"/>
      <c r="J5890" s="343"/>
      <c r="K5890" s="343"/>
      <c r="L5890" s="343"/>
    </row>
    <row r="5891" spans="4:12" x14ac:dyDescent="0.2">
      <c r="D5891" s="341"/>
      <c r="F5891" s="343"/>
      <c r="G5891" s="343"/>
      <c r="H5891" s="343"/>
      <c r="I5891" s="343"/>
      <c r="J5891" s="343"/>
      <c r="K5891" s="343"/>
      <c r="L5891" s="343"/>
    </row>
    <row r="5892" spans="4:12" x14ac:dyDescent="0.2">
      <c r="D5892" s="341"/>
      <c r="F5892" s="343"/>
      <c r="G5892" s="343"/>
      <c r="H5892" s="343"/>
      <c r="I5892" s="343"/>
      <c r="J5892" s="343"/>
      <c r="K5892" s="343"/>
      <c r="L5892" s="343"/>
    </row>
    <row r="5893" spans="4:12" x14ac:dyDescent="0.2">
      <c r="D5893" s="341"/>
      <c r="F5893" s="343"/>
      <c r="G5893" s="343"/>
      <c r="H5893" s="343"/>
      <c r="I5893" s="343"/>
      <c r="J5893" s="343"/>
      <c r="K5893" s="343"/>
      <c r="L5893" s="343"/>
    </row>
    <row r="5894" spans="4:12" x14ac:dyDescent="0.2">
      <c r="D5894" s="341"/>
      <c r="F5894" s="343"/>
      <c r="G5894" s="343"/>
      <c r="H5894" s="343"/>
      <c r="I5894" s="343"/>
      <c r="J5894" s="343"/>
      <c r="K5894" s="343"/>
      <c r="L5894" s="343"/>
    </row>
    <row r="5895" spans="4:12" x14ac:dyDescent="0.2">
      <c r="D5895" s="341"/>
      <c r="F5895" s="343"/>
      <c r="G5895" s="343"/>
      <c r="H5895" s="343"/>
      <c r="I5895" s="343"/>
      <c r="J5895" s="343"/>
      <c r="K5895" s="343"/>
      <c r="L5895" s="343"/>
    </row>
    <row r="5896" spans="4:12" x14ac:dyDescent="0.2">
      <c r="D5896" s="341"/>
      <c r="F5896" s="343"/>
      <c r="G5896" s="343"/>
      <c r="H5896" s="343"/>
      <c r="I5896" s="343"/>
      <c r="J5896" s="343"/>
      <c r="K5896" s="343"/>
      <c r="L5896" s="343"/>
    </row>
    <row r="5897" spans="4:12" x14ac:dyDescent="0.2">
      <c r="D5897" s="341"/>
      <c r="F5897" s="343"/>
      <c r="G5897" s="343"/>
      <c r="H5897" s="343"/>
      <c r="I5897" s="343"/>
      <c r="J5897" s="343"/>
      <c r="K5897" s="343"/>
      <c r="L5897" s="343"/>
    </row>
    <row r="5898" spans="4:12" x14ac:dyDescent="0.2">
      <c r="D5898" s="341"/>
      <c r="F5898" s="343"/>
      <c r="G5898" s="343"/>
      <c r="H5898" s="343"/>
      <c r="I5898" s="343"/>
      <c r="J5898" s="343"/>
      <c r="K5898" s="343"/>
      <c r="L5898" s="343"/>
    </row>
    <row r="5899" spans="4:12" x14ac:dyDescent="0.2">
      <c r="D5899" s="341"/>
      <c r="F5899" s="343"/>
      <c r="G5899" s="343"/>
      <c r="H5899" s="343"/>
      <c r="I5899" s="343"/>
      <c r="J5899" s="343"/>
      <c r="K5899" s="343"/>
      <c r="L5899" s="343"/>
    </row>
    <row r="5900" spans="4:12" x14ac:dyDescent="0.2">
      <c r="D5900" s="341"/>
      <c r="F5900" s="343"/>
      <c r="G5900" s="343"/>
      <c r="H5900" s="343"/>
      <c r="I5900" s="343"/>
      <c r="J5900" s="343"/>
      <c r="K5900" s="343"/>
      <c r="L5900" s="343"/>
    </row>
    <row r="5901" spans="4:12" x14ac:dyDescent="0.2">
      <c r="D5901" s="341"/>
      <c r="F5901" s="343"/>
      <c r="G5901" s="343"/>
      <c r="H5901" s="343"/>
      <c r="I5901" s="343"/>
      <c r="J5901" s="343"/>
      <c r="K5901" s="343"/>
      <c r="L5901" s="343"/>
    </row>
    <row r="5902" spans="4:12" x14ac:dyDescent="0.2">
      <c r="D5902" s="341"/>
      <c r="F5902" s="343"/>
      <c r="G5902" s="343"/>
      <c r="H5902" s="343"/>
      <c r="I5902" s="343"/>
      <c r="J5902" s="343"/>
      <c r="K5902" s="343"/>
      <c r="L5902" s="343"/>
    </row>
    <row r="5903" spans="4:12" x14ac:dyDescent="0.2">
      <c r="D5903" s="341"/>
      <c r="F5903" s="343"/>
      <c r="G5903" s="343"/>
      <c r="H5903" s="343"/>
      <c r="I5903" s="343"/>
      <c r="J5903" s="343"/>
      <c r="K5903" s="343"/>
      <c r="L5903" s="343"/>
    </row>
    <row r="5904" spans="4:12" x14ac:dyDescent="0.2">
      <c r="D5904" s="341"/>
      <c r="F5904" s="343"/>
      <c r="G5904" s="343"/>
      <c r="H5904" s="343"/>
      <c r="I5904" s="343"/>
      <c r="J5904" s="343"/>
      <c r="K5904" s="343"/>
      <c r="L5904" s="343"/>
    </row>
    <row r="5905" spans="4:12" x14ac:dyDescent="0.2">
      <c r="D5905" s="341"/>
      <c r="F5905" s="343"/>
      <c r="G5905" s="343"/>
      <c r="H5905" s="343"/>
      <c r="I5905" s="343"/>
      <c r="J5905" s="343"/>
      <c r="K5905" s="343"/>
      <c r="L5905" s="343"/>
    </row>
    <row r="5906" spans="4:12" x14ac:dyDescent="0.2">
      <c r="D5906" s="341"/>
      <c r="F5906" s="343"/>
      <c r="G5906" s="343"/>
      <c r="H5906" s="343"/>
      <c r="I5906" s="343"/>
      <c r="J5906" s="343"/>
      <c r="K5906" s="343"/>
      <c r="L5906" s="343"/>
    </row>
    <row r="5907" spans="4:12" x14ac:dyDescent="0.2">
      <c r="D5907" s="341"/>
      <c r="F5907" s="343"/>
      <c r="G5907" s="343"/>
      <c r="H5907" s="343"/>
      <c r="I5907" s="343"/>
      <c r="J5907" s="343"/>
      <c r="K5907" s="343"/>
      <c r="L5907" s="343"/>
    </row>
    <row r="5908" spans="4:12" x14ac:dyDescent="0.2">
      <c r="D5908" s="341"/>
      <c r="F5908" s="343"/>
      <c r="G5908" s="343"/>
      <c r="H5908" s="343"/>
      <c r="I5908" s="343"/>
      <c r="J5908" s="343"/>
      <c r="K5908" s="343"/>
      <c r="L5908" s="343"/>
    </row>
    <row r="5909" spans="4:12" x14ac:dyDescent="0.2">
      <c r="D5909" s="341"/>
      <c r="F5909" s="343"/>
      <c r="G5909" s="343"/>
      <c r="H5909" s="343"/>
      <c r="I5909" s="343"/>
      <c r="J5909" s="343"/>
      <c r="K5909" s="343"/>
      <c r="L5909" s="343"/>
    </row>
    <row r="5910" spans="4:12" x14ac:dyDescent="0.2">
      <c r="D5910" s="341"/>
      <c r="F5910" s="343"/>
      <c r="G5910" s="343"/>
      <c r="H5910" s="343"/>
      <c r="I5910" s="343"/>
      <c r="J5910" s="343"/>
      <c r="K5910" s="343"/>
      <c r="L5910" s="343"/>
    </row>
    <row r="5911" spans="4:12" x14ac:dyDescent="0.2">
      <c r="D5911" s="341"/>
      <c r="F5911" s="343"/>
      <c r="G5911" s="343"/>
      <c r="H5911" s="343"/>
      <c r="I5911" s="343"/>
      <c r="J5911" s="343"/>
      <c r="K5911" s="343"/>
      <c r="L5911" s="343"/>
    </row>
    <row r="5912" spans="4:12" x14ac:dyDescent="0.2">
      <c r="D5912" s="341"/>
      <c r="F5912" s="343"/>
      <c r="G5912" s="343"/>
      <c r="H5912" s="343"/>
      <c r="I5912" s="343"/>
      <c r="J5912" s="343"/>
      <c r="K5912" s="343"/>
      <c r="L5912" s="343"/>
    </row>
    <row r="5913" spans="4:12" x14ac:dyDescent="0.2">
      <c r="D5913" s="341"/>
      <c r="F5913" s="343"/>
      <c r="G5913" s="343"/>
      <c r="H5913" s="343"/>
      <c r="I5913" s="343"/>
      <c r="J5913" s="343"/>
      <c r="K5913" s="343"/>
      <c r="L5913" s="343"/>
    </row>
    <row r="5914" spans="4:12" x14ac:dyDescent="0.2">
      <c r="D5914" s="341"/>
      <c r="F5914" s="343"/>
      <c r="G5914" s="343"/>
      <c r="H5914" s="343"/>
      <c r="I5914" s="343"/>
      <c r="J5914" s="343"/>
      <c r="K5914" s="343"/>
      <c r="L5914" s="343"/>
    </row>
    <row r="5915" spans="4:12" x14ac:dyDescent="0.2">
      <c r="D5915" s="341"/>
      <c r="F5915" s="343"/>
      <c r="G5915" s="343"/>
      <c r="H5915" s="343"/>
      <c r="I5915" s="343"/>
      <c r="J5915" s="343"/>
      <c r="K5915" s="343"/>
      <c r="L5915" s="343"/>
    </row>
    <row r="5916" spans="4:12" x14ac:dyDescent="0.2">
      <c r="D5916" s="341"/>
      <c r="F5916" s="343"/>
      <c r="G5916" s="343"/>
      <c r="H5916" s="343"/>
      <c r="I5916" s="343"/>
      <c r="J5916" s="343"/>
      <c r="K5916" s="343"/>
      <c r="L5916" s="343"/>
    </row>
    <row r="5917" spans="4:12" x14ac:dyDescent="0.2">
      <c r="D5917" s="341"/>
      <c r="F5917" s="343"/>
      <c r="G5917" s="343"/>
      <c r="H5917" s="343"/>
      <c r="I5917" s="343"/>
      <c r="J5917" s="343"/>
      <c r="K5917" s="343"/>
      <c r="L5917" s="343"/>
    </row>
    <row r="5918" spans="4:12" x14ac:dyDescent="0.2">
      <c r="D5918" s="341"/>
      <c r="F5918" s="343"/>
      <c r="G5918" s="343"/>
      <c r="H5918" s="343"/>
      <c r="I5918" s="343"/>
      <c r="J5918" s="343"/>
      <c r="K5918" s="343"/>
      <c r="L5918" s="343"/>
    </row>
    <row r="5919" spans="4:12" x14ac:dyDescent="0.2">
      <c r="D5919" s="341"/>
      <c r="F5919" s="343"/>
      <c r="G5919" s="343"/>
      <c r="H5919" s="343"/>
      <c r="I5919" s="343"/>
      <c r="J5919" s="343"/>
      <c r="K5919" s="343"/>
      <c r="L5919" s="343"/>
    </row>
    <row r="5920" spans="4:12" x14ac:dyDescent="0.2">
      <c r="D5920" s="341"/>
      <c r="F5920" s="343"/>
      <c r="G5920" s="343"/>
      <c r="H5920" s="343"/>
      <c r="I5920" s="343"/>
      <c r="J5920" s="343"/>
      <c r="K5920" s="343"/>
      <c r="L5920" s="343"/>
    </row>
    <row r="5921" spans="4:12" x14ac:dyDescent="0.2">
      <c r="D5921" s="341"/>
      <c r="F5921" s="343"/>
      <c r="G5921" s="343"/>
      <c r="H5921" s="343"/>
      <c r="I5921" s="343"/>
      <c r="J5921" s="343"/>
      <c r="K5921" s="343"/>
      <c r="L5921" s="343"/>
    </row>
    <row r="5922" spans="4:12" x14ac:dyDescent="0.2">
      <c r="D5922" s="341"/>
      <c r="F5922" s="343"/>
      <c r="G5922" s="343"/>
      <c r="H5922" s="343"/>
      <c r="I5922" s="343"/>
      <c r="J5922" s="343"/>
      <c r="K5922" s="343"/>
      <c r="L5922" s="343"/>
    </row>
    <row r="5923" spans="4:12" x14ac:dyDescent="0.2">
      <c r="D5923" s="341"/>
      <c r="F5923" s="343"/>
      <c r="G5923" s="343"/>
      <c r="H5923" s="343"/>
      <c r="I5923" s="343"/>
      <c r="J5923" s="343"/>
      <c r="K5923" s="343"/>
      <c r="L5923" s="343"/>
    </row>
    <row r="5924" spans="4:12" x14ac:dyDescent="0.2">
      <c r="D5924" s="341"/>
      <c r="F5924" s="343"/>
      <c r="G5924" s="343"/>
      <c r="H5924" s="343"/>
      <c r="I5924" s="343"/>
      <c r="J5924" s="343"/>
      <c r="K5924" s="343"/>
      <c r="L5924" s="343"/>
    </row>
    <row r="5925" spans="4:12" x14ac:dyDescent="0.2">
      <c r="D5925" s="341"/>
      <c r="F5925" s="343"/>
      <c r="G5925" s="343"/>
      <c r="H5925" s="343"/>
      <c r="I5925" s="343"/>
      <c r="J5925" s="343"/>
      <c r="K5925" s="343"/>
      <c r="L5925" s="343"/>
    </row>
    <row r="5926" spans="4:12" x14ac:dyDescent="0.2">
      <c r="D5926" s="341"/>
      <c r="F5926" s="343"/>
      <c r="G5926" s="343"/>
      <c r="H5926" s="343"/>
      <c r="I5926" s="343"/>
      <c r="J5926" s="343"/>
      <c r="K5926" s="343"/>
      <c r="L5926" s="343"/>
    </row>
    <row r="5927" spans="4:12" x14ac:dyDescent="0.2">
      <c r="D5927" s="341"/>
      <c r="F5927" s="343"/>
      <c r="G5927" s="343"/>
      <c r="H5927" s="343"/>
      <c r="I5927" s="343"/>
      <c r="J5927" s="343"/>
      <c r="K5927" s="343"/>
      <c r="L5927" s="343"/>
    </row>
    <row r="5928" spans="4:12" x14ac:dyDescent="0.2">
      <c r="D5928" s="341"/>
      <c r="F5928" s="343"/>
      <c r="G5928" s="343"/>
      <c r="H5928" s="343"/>
      <c r="I5928" s="343"/>
      <c r="J5928" s="343"/>
      <c r="K5928" s="343"/>
      <c r="L5928" s="343"/>
    </row>
    <row r="5929" spans="4:12" x14ac:dyDescent="0.2">
      <c r="D5929" s="341"/>
      <c r="F5929" s="343"/>
      <c r="G5929" s="343"/>
      <c r="H5929" s="343"/>
      <c r="I5929" s="343"/>
      <c r="J5929" s="343"/>
      <c r="K5929" s="343"/>
      <c r="L5929" s="343"/>
    </row>
    <row r="5930" spans="4:12" x14ac:dyDescent="0.2">
      <c r="D5930" s="341"/>
      <c r="F5930" s="343"/>
      <c r="G5930" s="343"/>
      <c r="H5930" s="343"/>
      <c r="I5930" s="343"/>
      <c r="J5930" s="343"/>
      <c r="K5930" s="343"/>
      <c r="L5930" s="343"/>
    </row>
    <row r="5931" spans="4:12" x14ac:dyDescent="0.2">
      <c r="D5931" s="341"/>
      <c r="F5931" s="343"/>
      <c r="G5931" s="343"/>
      <c r="H5931" s="343"/>
      <c r="I5931" s="343"/>
      <c r="J5931" s="343"/>
      <c r="K5931" s="343"/>
      <c r="L5931" s="343"/>
    </row>
    <row r="5932" spans="4:12" x14ac:dyDescent="0.2">
      <c r="D5932" s="341"/>
      <c r="F5932" s="343"/>
      <c r="G5932" s="343"/>
      <c r="H5932" s="343"/>
      <c r="I5932" s="343"/>
      <c r="J5932" s="343"/>
      <c r="K5932" s="343"/>
      <c r="L5932" s="343"/>
    </row>
    <row r="5933" spans="4:12" x14ac:dyDescent="0.2">
      <c r="D5933" s="341"/>
      <c r="F5933" s="343"/>
      <c r="G5933" s="343"/>
      <c r="H5933" s="343"/>
      <c r="I5933" s="343"/>
      <c r="J5933" s="343"/>
      <c r="K5933" s="343"/>
      <c r="L5933" s="343"/>
    </row>
    <row r="5934" spans="4:12" x14ac:dyDescent="0.2">
      <c r="D5934" s="341"/>
      <c r="F5934" s="343"/>
      <c r="G5934" s="343"/>
      <c r="H5934" s="343"/>
      <c r="I5934" s="343"/>
      <c r="J5934" s="343"/>
      <c r="K5934" s="343"/>
      <c r="L5934" s="343"/>
    </row>
    <row r="5935" spans="4:12" x14ac:dyDescent="0.2">
      <c r="D5935" s="341"/>
      <c r="F5935" s="343"/>
      <c r="G5935" s="343"/>
      <c r="H5935" s="343"/>
      <c r="I5935" s="343"/>
      <c r="J5935" s="343"/>
      <c r="K5935" s="343"/>
      <c r="L5935" s="343"/>
    </row>
    <row r="5936" spans="4:12" x14ac:dyDescent="0.2">
      <c r="D5936" s="341"/>
      <c r="F5936" s="343"/>
      <c r="G5936" s="343"/>
      <c r="H5936" s="343"/>
      <c r="I5936" s="343"/>
      <c r="J5936" s="343"/>
      <c r="K5936" s="343"/>
      <c r="L5936" s="343"/>
    </row>
    <row r="5937" spans="4:12" x14ac:dyDescent="0.2">
      <c r="D5937" s="341"/>
      <c r="F5937" s="343"/>
      <c r="G5937" s="343"/>
      <c r="H5937" s="343"/>
      <c r="I5937" s="343"/>
      <c r="J5937" s="343"/>
      <c r="K5937" s="343"/>
      <c r="L5937" s="343"/>
    </row>
    <row r="5938" spans="4:12" x14ac:dyDescent="0.2">
      <c r="D5938" s="341"/>
      <c r="F5938" s="343"/>
      <c r="G5938" s="343"/>
      <c r="H5938" s="343"/>
      <c r="I5938" s="343"/>
      <c r="J5938" s="343"/>
      <c r="K5938" s="343"/>
      <c r="L5938" s="343"/>
    </row>
    <row r="5939" spans="4:12" x14ac:dyDescent="0.2">
      <c r="D5939" s="341"/>
      <c r="F5939" s="343"/>
      <c r="G5939" s="343"/>
      <c r="H5939" s="343"/>
      <c r="I5939" s="343"/>
      <c r="J5939" s="343"/>
      <c r="K5939" s="343"/>
      <c r="L5939" s="343"/>
    </row>
    <row r="5940" spans="4:12" x14ac:dyDescent="0.2">
      <c r="D5940" s="341"/>
      <c r="F5940" s="343"/>
      <c r="G5940" s="343"/>
      <c r="H5940" s="343"/>
      <c r="I5940" s="343"/>
      <c r="J5940" s="343"/>
      <c r="K5940" s="343"/>
      <c r="L5940" s="343"/>
    </row>
    <row r="5941" spans="4:12" x14ac:dyDescent="0.2">
      <c r="D5941" s="341"/>
      <c r="F5941" s="343"/>
      <c r="G5941" s="343"/>
      <c r="H5941" s="343"/>
      <c r="I5941" s="343"/>
      <c r="J5941" s="343"/>
      <c r="K5941" s="343"/>
      <c r="L5941" s="343"/>
    </row>
    <row r="5942" spans="4:12" x14ac:dyDescent="0.2">
      <c r="D5942" s="341"/>
      <c r="F5942" s="343"/>
      <c r="G5942" s="343"/>
      <c r="H5942" s="343"/>
      <c r="I5942" s="343"/>
      <c r="J5942" s="343"/>
      <c r="K5942" s="343"/>
      <c r="L5942" s="343"/>
    </row>
    <row r="5943" spans="4:12" x14ac:dyDescent="0.2">
      <c r="D5943" s="341"/>
      <c r="F5943" s="343"/>
      <c r="G5943" s="343"/>
      <c r="H5943" s="343"/>
      <c r="I5943" s="343"/>
      <c r="J5943" s="343"/>
      <c r="K5943" s="343"/>
      <c r="L5943" s="343"/>
    </row>
    <row r="5944" spans="4:12" x14ac:dyDescent="0.2">
      <c r="D5944" s="341"/>
      <c r="F5944" s="343"/>
      <c r="G5944" s="343"/>
      <c r="H5944" s="343"/>
      <c r="I5944" s="343"/>
      <c r="J5944" s="343"/>
      <c r="K5944" s="343"/>
      <c r="L5944" s="343"/>
    </row>
    <row r="5945" spans="4:12" x14ac:dyDescent="0.2">
      <c r="D5945" s="341"/>
      <c r="F5945" s="343"/>
      <c r="G5945" s="343"/>
      <c r="H5945" s="343"/>
      <c r="I5945" s="343"/>
      <c r="J5945" s="343"/>
      <c r="K5945" s="343"/>
      <c r="L5945" s="343"/>
    </row>
    <row r="5946" spans="4:12" x14ac:dyDescent="0.2">
      <c r="D5946" s="341"/>
      <c r="F5946" s="343"/>
      <c r="G5946" s="343"/>
      <c r="H5946" s="343"/>
      <c r="I5946" s="343"/>
      <c r="J5946" s="343"/>
      <c r="K5946" s="343"/>
      <c r="L5946" s="343"/>
    </row>
    <row r="5947" spans="4:12" x14ac:dyDescent="0.2">
      <c r="D5947" s="341"/>
      <c r="F5947" s="343"/>
      <c r="G5947" s="343"/>
      <c r="H5947" s="343"/>
      <c r="I5947" s="343"/>
      <c r="J5947" s="343"/>
      <c r="K5947" s="343"/>
      <c r="L5947" s="343"/>
    </row>
    <row r="5948" spans="4:12" x14ac:dyDescent="0.2">
      <c r="D5948" s="341"/>
      <c r="F5948" s="343"/>
      <c r="G5948" s="343"/>
      <c r="H5948" s="343"/>
      <c r="I5948" s="343"/>
      <c r="J5948" s="343"/>
      <c r="K5948" s="343"/>
      <c r="L5948" s="343"/>
    </row>
    <row r="5949" spans="4:12" x14ac:dyDescent="0.2">
      <c r="D5949" s="341"/>
      <c r="F5949" s="343"/>
      <c r="G5949" s="343"/>
      <c r="H5949" s="343"/>
      <c r="I5949" s="343"/>
      <c r="J5949" s="343"/>
      <c r="K5949" s="343"/>
      <c r="L5949" s="343"/>
    </row>
    <row r="5950" spans="4:12" x14ac:dyDescent="0.2">
      <c r="D5950" s="341"/>
      <c r="F5950" s="343"/>
      <c r="G5950" s="343"/>
      <c r="H5950" s="343"/>
      <c r="I5950" s="343"/>
      <c r="J5950" s="343"/>
      <c r="K5950" s="343"/>
      <c r="L5950" s="343"/>
    </row>
    <row r="5951" spans="4:12" x14ac:dyDescent="0.2">
      <c r="D5951" s="341"/>
      <c r="F5951" s="343"/>
      <c r="G5951" s="343"/>
      <c r="H5951" s="343"/>
      <c r="I5951" s="343"/>
      <c r="J5951" s="343"/>
      <c r="K5951" s="343"/>
      <c r="L5951" s="343"/>
    </row>
    <row r="5952" spans="4:12" x14ac:dyDescent="0.2">
      <c r="D5952" s="341"/>
      <c r="F5952" s="343"/>
      <c r="G5952" s="343"/>
      <c r="H5952" s="343"/>
      <c r="I5952" s="343"/>
      <c r="J5952" s="343"/>
      <c r="K5952" s="343"/>
      <c r="L5952" s="343"/>
    </row>
    <row r="5953" spans="4:12" x14ac:dyDescent="0.2">
      <c r="D5953" s="341"/>
      <c r="F5953" s="343"/>
      <c r="G5953" s="343"/>
      <c r="H5953" s="343"/>
      <c r="I5953" s="343"/>
      <c r="J5953" s="343"/>
      <c r="K5953" s="343"/>
      <c r="L5953" s="343"/>
    </row>
    <row r="5954" spans="4:12" x14ac:dyDescent="0.2">
      <c r="D5954" s="341"/>
      <c r="F5954" s="343"/>
      <c r="G5954" s="343"/>
      <c r="H5954" s="343"/>
      <c r="I5954" s="343"/>
      <c r="J5954" s="343"/>
      <c r="K5954" s="343"/>
      <c r="L5954" s="343"/>
    </row>
    <row r="5955" spans="4:12" x14ac:dyDescent="0.2">
      <c r="D5955" s="341"/>
      <c r="F5955" s="343"/>
      <c r="G5955" s="343"/>
      <c r="H5955" s="343"/>
      <c r="I5955" s="343"/>
      <c r="J5955" s="343"/>
      <c r="K5955" s="343"/>
      <c r="L5955" s="343"/>
    </row>
    <row r="5956" spans="4:12" x14ac:dyDescent="0.2">
      <c r="D5956" s="341"/>
      <c r="F5956" s="343"/>
      <c r="G5956" s="343"/>
      <c r="H5956" s="343"/>
      <c r="I5956" s="343"/>
      <c r="J5956" s="343"/>
      <c r="K5956" s="343"/>
      <c r="L5956" s="343"/>
    </row>
    <row r="5957" spans="4:12" x14ac:dyDescent="0.2">
      <c r="D5957" s="341"/>
      <c r="F5957" s="343"/>
      <c r="G5957" s="343"/>
      <c r="H5957" s="343"/>
      <c r="I5957" s="343"/>
      <c r="J5957" s="343"/>
      <c r="K5957" s="343"/>
      <c r="L5957" s="343"/>
    </row>
    <row r="5958" spans="4:12" x14ac:dyDescent="0.2">
      <c r="D5958" s="341"/>
      <c r="F5958" s="343"/>
      <c r="G5958" s="343"/>
      <c r="H5958" s="343"/>
      <c r="I5958" s="343"/>
      <c r="J5958" s="343"/>
      <c r="K5958" s="343"/>
      <c r="L5958" s="343"/>
    </row>
    <row r="5959" spans="4:12" x14ac:dyDescent="0.2">
      <c r="D5959" s="341"/>
      <c r="F5959" s="343"/>
      <c r="G5959" s="343"/>
      <c r="H5959" s="343"/>
      <c r="I5959" s="343"/>
      <c r="J5959" s="343"/>
      <c r="K5959" s="343"/>
      <c r="L5959" s="343"/>
    </row>
    <row r="5960" spans="4:12" x14ac:dyDescent="0.2">
      <c r="D5960" s="341"/>
      <c r="F5960" s="343"/>
      <c r="G5960" s="343"/>
      <c r="H5960" s="343"/>
      <c r="I5960" s="343"/>
      <c r="J5960" s="343"/>
      <c r="K5960" s="343"/>
      <c r="L5960" s="343"/>
    </row>
    <row r="5961" spans="4:12" x14ac:dyDescent="0.2">
      <c r="D5961" s="341"/>
      <c r="F5961" s="343"/>
      <c r="G5961" s="343"/>
      <c r="H5961" s="343"/>
      <c r="I5961" s="343"/>
      <c r="J5961" s="343"/>
      <c r="K5961" s="343"/>
      <c r="L5961" s="343"/>
    </row>
    <row r="5962" spans="4:12" x14ac:dyDescent="0.2">
      <c r="D5962" s="341"/>
      <c r="F5962" s="343"/>
      <c r="G5962" s="343"/>
      <c r="H5962" s="343"/>
      <c r="I5962" s="343"/>
      <c r="J5962" s="343"/>
      <c r="K5962" s="343"/>
      <c r="L5962" s="343"/>
    </row>
    <row r="5963" spans="4:12" x14ac:dyDescent="0.2">
      <c r="D5963" s="341"/>
      <c r="F5963" s="343"/>
      <c r="G5963" s="343"/>
      <c r="H5963" s="343"/>
      <c r="I5963" s="343"/>
      <c r="J5963" s="343"/>
      <c r="K5963" s="343"/>
      <c r="L5963" s="343"/>
    </row>
    <row r="5964" spans="4:12" x14ac:dyDescent="0.2">
      <c r="D5964" s="341"/>
      <c r="F5964" s="343"/>
      <c r="G5964" s="343"/>
      <c r="H5964" s="343"/>
      <c r="I5964" s="343"/>
      <c r="J5964" s="343"/>
      <c r="K5964" s="343"/>
      <c r="L5964" s="343"/>
    </row>
    <row r="5965" spans="4:12" x14ac:dyDescent="0.2">
      <c r="D5965" s="341"/>
      <c r="F5965" s="343"/>
      <c r="G5965" s="343"/>
      <c r="H5965" s="343"/>
      <c r="I5965" s="343"/>
      <c r="J5965" s="343"/>
      <c r="K5965" s="343"/>
      <c r="L5965" s="343"/>
    </row>
    <row r="5966" spans="4:12" x14ac:dyDescent="0.2">
      <c r="D5966" s="341"/>
      <c r="F5966" s="343"/>
      <c r="G5966" s="343"/>
      <c r="H5966" s="343"/>
      <c r="I5966" s="343"/>
      <c r="J5966" s="343"/>
      <c r="K5966" s="343"/>
      <c r="L5966" s="343"/>
    </row>
    <row r="5967" spans="4:12" x14ac:dyDescent="0.2">
      <c r="D5967" s="341"/>
      <c r="F5967" s="343"/>
      <c r="G5967" s="343"/>
      <c r="H5967" s="343"/>
      <c r="I5967" s="343"/>
      <c r="J5967" s="343"/>
      <c r="K5967" s="343"/>
      <c r="L5967" s="343"/>
    </row>
    <row r="5968" spans="4:12" x14ac:dyDescent="0.2">
      <c r="D5968" s="341"/>
      <c r="F5968" s="343"/>
      <c r="G5968" s="343"/>
      <c r="H5968" s="343"/>
      <c r="I5968" s="343"/>
      <c r="J5968" s="343"/>
      <c r="K5968" s="343"/>
      <c r="L5968" s="343"/>
    </row>
    <row r="5969" spans="4:12" x14ac:dyDescent="0.2">
      <c r="D5969" s="341"/>
      <c r="F5969" s="343"/>
      <c r="G5969" s="343"/>
      <c r="H5969" s="343"/>
      <c r="I5969" s="343"/>
      <c r="J5969" s="343"/>
      <c r="K5969" s="343"/>
      <c r="L5969" s="343"/>
    </row>
    <row r="5970" spans="4:12" x14ac:dyDescent="0.2">
      <c r="D5970" s="341"/>
      <c r="F5970" s="343"/>
      <c r="G5970" s="343"/>
      <c r="H5970" s="343"/>
      <c r="I5970" s="343"/>
      <c r="J5970" s="343"/>
      <c r="K5970" s="343"/>
      <c r="L5970" s="343"/>
    </row>
    <row r="5971" spans="4:12" x14ac:dyDescent="0.2">
      <c r="D5971" s="341"/>
      <c r="F5971" s="343"/>
      <c r="G5971" s="343"/>
      <c r="H5971" s="343"/>
      <c r="I5971" s="343"/>
      <c r="J5971" s="343"/>
      <c r="K5971" s="343"/>
      <c r="L5971" s="343"/>
    </row>
    <row r="5972" spans="4:12" x14ac:dyDescent="0.2">
      <c r="D5972" s="341"/>
      <c r="F5972" s="343"/>
      <c r="G5972" s="343"/>
      <c r="H5972" s="343"/>
      <c r="I5972" s="343"/>
      <c r="J5972" s="343"/>
      <c r="K5972" s="343"/>
      <c r="L5972" s="343"/>
    </row>
    <row r="5973" spans="4:12" x14ac:dyDescent="0.2">
      <c r="D5973" s="341"/>
      <c r="F5973" s="343"/>
      <c r="G5973" s="343"/>
      <c r="H5973" s="343"/>
      <c r="I5973" s="343"/>
      <c r="J5973" s="343"/>
      <c r="K5973" s="343"/>
      <c r="L5973" s="343"/>
    </row>
    <row r="5974" spans="4:12" x14ac:dyDescent="0.2">
      <c r="D5974" s="341"/>
      <c r="F5974" s="343"/>
      <c r="G5974" s="343"/>
      <c r="H5974" s="343"/>
      <c r="I5974" s="343"/>
      <c r="J5974" s="343"/>
      <c r="K5974" s="343"/>
      <c r="L5974" s="343"/>
    </row>
    <row r="5975" spans="4:12" x14ac:dyDescent="0.2">
      <c r="D5975" s="341"/>
      <c r="F5975" s="343"/>
      <c r="G5975" s="343"/>
      <c r="H5975" s="343"/>
      <c r="I5975" s="343"/>
      <c r="J5975" s="343"/>
      <c r="K5975" s="343"/>
      <c r="L5975" s="343"/>
    </row>
    <row r="5976" spans="4:12" x14ac:dyDescent="0.2">
      <c r="D5976" s="341"/>
      <c r="F5976" s="343"/>
      <c r="G5976" s="343"/>
      <c r="H5976" s="343"/>
      <c r="I5976" s="343"/>
      <c r="J5976" s="343"/>
      <c r="K5976" s="343"/>
      <c r="L5976" s="343"/>
    </row>
    <row r="5977" spans="4:12" x14ac:dyDescent="0.2">
      <c r="D5977" s="341"/>
      <c r="F5977" s="343"/>
      <c r="G5977" s="343"/>
      <c r="H5977" s="343"/>
      <c r="I5977" s="343"/>
      <c r="J5977" s="343"/>
      <c r="K5977" s="343"/>
      <c r="L5977" s="343"/>
    </row>
    <row r="5978" spans="4:12" x14ac:dyDescent="0.2">
      <c r="D5978" s="341"/>
      <c r="F5978" s="343"/>
      <c r="G5978" s="343"/>
      <c r="H5978" s="343"/>
      <c r="I5978" s="343"/>
      <c r="J5978" s="343"/>
      <c r="K5978" s="343"/>
      <c r="L5978" s="343"/>
    </row>
    <row r="5979" spans="4:12" x14ac:dyDescent="0.2">
      <c r="D5979" s="341"/>
      <c r="F5979" s="343"/>
      <c r="G5979" s="343"/>
      <c r="H5979" s="343"/>
      <c r="I5979" s="343"/>
      <c r="J5979" s="343"/>
      <c r="K5979" s="343"/>
      <c r="L5979" s="343"/>
    </row>
    <row r="5980" spans="4:12" x14ac:dyDescent="0.2">
      <c r="D5980" s="341"/>
      <c r="F5980" s="343"/>
      <c r="G5980" s="343"/>
      <c r="H5980" s="343"/>
      <c r="I5980" s="343"/>
      <c r="J5980" s="343"/>
      <c r="K5980" s="343"/>
      <c r="L5980" s="343"/>
    </row>
    <row r="5981" spans="4:12" x14ac:dyDescent="0.2">
      <c r="D5981" s="341"/>
      <c r="F5981" s="343"/>
      <c r="G5981" s="343"/>
      <c r="H5981" s="343"/>
      <c r="I5981" s="343"/>
      <c r="J5981" s="343"/>
      <c r="K5981" s="343"/>
      <c r="L5981" s="343"/>
    </row>
    <row r="5982" spans="4:12" x14ac:dyDescent="0.2">
      <c r="D5982" s="341"/>
      <c r="F5982" s="343"/>
      <c r="G5982" s="343"/>
      <c r="H5982" s="343"/>
      <c r="I5982" s="343"/>
      <c r="J5982" s="343"/>
      <c r="K5982" s="343"/>
      <c r="L5982" s="343"/>
    </row>
    <row r="5983" spans="4:12" x14ac:dyDescent="0.2">
      <c r="D5983" s="341"/>
      <c r="F5983" s="343"/>
      <c r="G5983" s="343"/>
      <c r="H5983" s="343"/>
      <c r="I5983" s="343"/>
      <c r="J5983" s="343"/>
      <c r="K5983" s="343"/>
      <c r="L5983" s="343"/>
    </row>
    <row r="5984" spans="4:12" x14ac:dyDescent="0.2">
      <c r="D5984" s="341"/>
      <c r="F5984" s="343"/>
      <c r="G5984" s="343"/>
      <c r="H5984" s="343"/>
      <c r="I5984" s="343"/>
      <c r="J5984" s="343"/>
      <c r="K5984" s="343"/>
      <c r="L5984" s="343"/>
    </row>
    <row r="5985" spans="4:12" x14ac:dyDescent="0.2">
      <c r="D5985" s="341"/>
      <c r="F5985" s="343"/>
      <c r="G5985" s="343"/>
      <c r="H5985" s="343"/>
      <c r="I5985" s="343"/>
      <c r="J5985" s="343"/>
      <c r="K5985" s="343"/>
      <c r="L5985" s="343"/>
    </row>
    <row r="5986" spans="4:12" x14ac:dyDescent="0.2">
      <c r="D5986" s="341"/>
      <c r="F5986" s="343"/>
      <c r="G5986" s="343"/>
      <c r="H5986" s="343"/>
      <c r="I5986" s="343"/>
      <c r="J5986" s="343"/>
      <c r="K5986" s="343"/>
      <c r="L5986" s="343"/>
    </row>
    <row r="5987" spans="4:12" x14ac:dyDescent="0.2">
      <c r="D5987" s="341"/>
      <c r="F5987" s="343"/>
      <c r="G5987" s="343"/>
      <c r="H5987" s="343"/>
      <c r="I5987" s="343"/>
      <c r="J5987" s="343"/>
      <c r="K5987" s="343"/>
      <c r="L5987" s="343"/>
    </row>
    <row r="5988" spans="4:12" x14ac:dyDescent="0.2">
      <c r="D5988" s="341"/>
      <c r="F5988" s="343"/>
      <c r="G5988" s="343"/>
      <c r="H5988" s="343"/>
      <c r="I5988" s="343"/>
      <c r="J5988" s="343"/>
      <c r="K5988" s="343"/>
      <c r="L5988" s="343"/>
    </row>
    <row r="5989" spans="4:12" x14ac:dyDescent="0.2">
      <c r="D5989" s="341"/>
      <c r="F5989" s="343"/>
      <c r="G5989" s="343"/>
      <c r="H5989" s="343"/>
      <c r="I5989" s="343"/>
      <c r="J5989" s="343"/>
      <c r="K5989" s="343"/>
      <c r="L5989" s="343"/>
    </row>
    <row r="5990" spans="4:12" x14ac:dyDescent="0.2">
      <c r="D5990" s="341"/>
      <c r="F5990" s="343"/>
      <c r="G5990" s="343"/>
      <c r="H5990" s="343"/>
      <c r="I5990" s="343"/>
      <c r="J5990" s="343"/>
      <c r="K5990" s="343"/>
      <c r="L5990" s="343"/>
    </row>
    <row r="5991" spans="4:12" x14ac:dyDescent="0.2">
      <c r="D5991" s="341"/>
      <c r="F5991" s="343"/>
      <c r="G5991" s="343"/>
      <c r="H5991" s="343"/>
      <c r="I5991" s="343"/>
      <c r="J5991" s="343"/>
      <c r="K5991" s="343"/>
      <c r="L5991" s="343"/>
    </row>
    <row r="5992" spans="4:12" x14ac:dyDescent="0.2">
      <c r="D5992" s="341"/>
      <c r="F5992" s="343"/>
      <c r="G5992" s="343"/>
      <c r="H5992" s="343"/>
      <c r="I5992" s="343"/>
      <c r="J5992" s="343"/>
      <c r="K5992" s="343"/>
      <c r="L5992" s="343"/>
    </row>
    <row r="5993" spans="4:12" x14ac:dyDescent="0.2">
      <c r="D5993" s="341"/>
      <c r="F5993" s="343"/>
      <c r="G5993" s="343"/>
      <c r="H5993" s="343"/>
      <c r="I5993" s="343"/>
      <c r="J5993" s="343"/>
      <c r="K5993" s="343"/>
      <c r="L5993" s="343"/>
    </row>
    <row r="5994" spans="4:12" x14ac:dyDescent="0.2">
      <c r="D5994" s="341"/>
      <c r="F5994" s="343"/>
      <c r="G5994" s="343"/>
      <c r="H5994" s="343"/>
      <c r="I5994" s="343"/>
      <c r="J5994" s="343"/>
      <c r="K5994" s="343"/>
      <c r="L5994" s="343"/>
    </row>
    <row r="5995" spans="4:12" x14ac:dyDescent="0.2">
      <c r="D5995" s="341"/>
      <c r="F5995" s="343"/>
      <c r="G5995" s="343"/>
      <c r="H5995" s="343"/>
      <c r="I5995" s="343"/>
      <c r="J5995" s="343"/>
      <c r="K5995" s="343"/>
      <c r="L5995" s="343"/>
    </row>
    <row r="5996" spans="4:12" x14ac:dyDescent="0.2">
      <c r="D5996" s="341"/>
      <c r="F5996" s="343"/>
      <c r="G5996" s="343"/>
      <c r="H5996" s="343"/>
      <c r="I5996" s="343"/>
      <c r="J5996" s="343"/>
      <c r="K5996" s="343"/>
      <c r="L5996" s="343"/>
    </row>
    <row r="5997" spans="4:12" x14ac:dyDescent="0.2">
      <c r="D5997" s="341"/>
      <c r="F5997" s="343"/>
      <c r="G5997" s="343"/>
      <c r="H5997" s="343"/>
      <c r="I5997" s="343"/>
      <c r="J5997" s="343"/>
      <c r="K5997" s="343"/>
      <c r="L5997" s="343"/>
    </row>
    <row r="5998" spans="4:12" x14ac:dyDescent="0.2">
      <c r="D5998" s="341"/>
      <c r="F5998" s="343"/>
      <c r="G5998" s="343"/>
      <c r="H5998" s="343"/>
      <c r="I5998" s="343"/>
      <c r="J5998" s="343"/>
      <c r="K5998" s="343"/>
      <c r="L5998" s="343"/>
    </row>
    <row r="5999" spans="4:12" x14ac:dyDescent="0.2">
      <c r="D5999" s="341"/>
      <c r="F5999" s="343"/>
      <c r="G5999" s="343"/>
      <c r="H5999" s="343"/>
      <c r="I5999" s="343"/>
      <c r="J5999" s="343"/>
      <c r="K5999" s="343"/>
      <c r="L5999" s="343"/>
    </row>
    <row r="6000" spans="4:12" x14ac:dyDescent="0.2">
      <c r="D6000" s="341"/>
      <c r="F6000" s="343"/>
      <c r="G6000" s="343"/>
      <c r="H6000" s="343"/>
      <c r="I6000" s="343"/>
      <c r="J6000" s="343"/>
      <c r="K6000" s="343"/>
      <c r="L6000" s="343"/>
    </row>
    <row r="6001" spans="4:12" x14ac:dyDescent="0.2">
      <c r="D6001" s="341"/>
      <c r="F6001" s="343"/>
      <c r="G6001" s="343"/>
      <c r="H6001" s="343"/>
      <c r="I6001" s="343"/>
      <c r="J6001" s="343"/>
      <c r="K6001" s="343"/>
      <c r="L6001" s="343"/>
    </row>
    <row r="6002" spans="4:12" x14ac:dyDescent="0.2">
      <c r="D6002" s="341"/>
      <c r="F6002" s="343"/>
      <c r="G6002" s="343"/>
      <c r="H6002" s="343"/>
      <c r="I6002" s="343"/>
      <c r="J6002" s="343"/>
      <c r="K6002" s="343"/>
      <c r="L6002" s="343"/>
    </row>
    <row r="6003" spans="4:12" x14ac:dyDescent="0.2">
      <c r="D6003" s="341"/>
      <c r="F6003" s="343"/>
      <c r="G6003" s="343"/>
      <c r="H6003" s="343"/>
      <c r="I6003" s="343"/>
      <c r="J6003" s="343"/>
      <c r="K6003" s="343"/>
      <c r="L6003" s="343"/>
    </row>
    <row r="6004" spans="4:12" x14ac:dyDescent="0.2">
      <c r="D6004" s="341"/>
      <c r="F6004" s="343"/>
      <c r="G6004" s="343"/>
      <c r="H6004" s="343"/>
      <c r="I6004" s="343"/>
      <c r="J6004" s="343"/>
      <c r="K6004" s="343"/>
      <c r="L6004" s="343"/>
    </row>
    <row r="6005" spans="4:12" x14ac:dyDescent="0.2">
      <c r="D6005" s="341"/>
      <c r="F6005" s="343"/>
      <c r="G6005" s="343"/>
      <c r="H6005" s="343"/>
      <c r="I6005" s="343"/>
      <c r="J6005" s="343"/>
      <c r="K6005" s="343"/>
      <c r="L6005" s="343"/>
    </row>
    <row r="6006" spans="4:12" x14ac:dyDescent="0.2">
      <c r="D6006" s="341"/>
      <c r="F6006" s="343"/>
      <c r="G6006" s="343"/>
      <c r="H6006" s="343"/>
      <c r="I6006" s="343"/>
      <c r="J6006" s="343"/>
      <c r="K6006" s="343"/>
      <c r="L6006" s="343"/>
    </row>
    <row r="6007" spans="4:12" x14ac:dyDescent="0.2">
      <c r="D6007" s="341"/>
      <c r="F6007" s="343"/>
      <c r="G6007" s="343"/>
      <c r="H6007" s="343"/>
      <c r="I6007" s="343"/>
      <c r="J6007" s="343"/>
      <c r="K6007" s="343"/>
      <c r="L6007" s="343"/>
    </row>
    <row r="6008" spans="4:12" x14ac:dyDescent="0.2">
      <c r="D6008" s="341"/>
      <c r="F6008" s="343"/>
      <c r="G6008" s="343"/>
      <c r="H6008" s="343"/>
      <c r="I6008" s="343"/>
      <c r="J6008" s="343"/>
      <c r="K6008" s="343"/>
      <c r="L6008" s="343"/>
    </row>
    <row r="6009" spans="4:12" x14ac:dyDescent="0.2">
      <c r="D6009" s="341"/>
      <c r="F6009" s="343"/>
      <c r="G6009" s="343"/>
      <c r="H6009" s="343"/>
      <c r="I6009" s="343"/>
      <c r="J6009" s="343"/>
      <c r="K6009" s="343"/>
      <c r="L6009" s="343"/>
    </row>
    <row r="6010" spans="4:12" x14ac:dyDescent="0.2">
      <c r="D6010" s="341"/>
      <c r="F6010" s="343"/>
      <c r="G6010" s="343"/>
      <c r="H6010" s="343"/>
      <c r="I6010" s="343"/>
      <c r="J6010" s="343"/>
      <c r="K6010" s="343"/>
      <c r="L6010" s="343"/>
    </row>
    <row r="6011" spans="4:12" x14ac:dyDescent="0.2">
      <c r="D6011" s="341"/>
      <c r="F6011" s="343"/>
      <c r="G6011" s="343"/>
      <c r="H6011" s="343"/>
      <c r="I6011" s="343"/>
      <c r="J6011" s="343"/>
      <c r="K6011" s="343"/>
      <c r="L6011" s="343"/>
    </row>
    <row r="6012" spans="4:12" x14ac:dyDescent="0.2">
      <c r="D6012" s="341"/>
      <c r="F6012" s="343"/>
      <c r="G6012" s="343"/>
      <c r="H6012" s="343"/>
      <c r="I6012" s="343"/>
      <c r="J6012" s="343"/>
      <c r="K6012" s="343"/>
      <c r="L6012" s="343"/>
    </row>
    <row r="6013" spans="4:12" x14ac:dyDescent="0.2">
      <c r="D6013" s="341"/>
      <c r="F6013" s="343"/>
      <c r="G6013" s="343"/>
      <c r="H6013" s="343"/>
      <c r="I6013" s="343"/>
      <c r="J6013" s="343"/>
      <c r="K6013" s="343"/>
      <c r="L6013" s="343"/>
    </row>
    <row r="6014" spans="4:12" x14ac:dyDescent="0.2">
      <c r="D6014" s="341"/>
      <c r="F6014" s="343"/>
      <c r="G6014" s="343"/>
      <c r="H6014" s="343"/>
      <c r="I6014" s="343"/>
      <c r="J6014" s="343"/>
      <c r="K6014" s="343"/>
      <c r="L6014" s="343"/>
    </row>
    <row r="6015" spans="4:12" x14ac:dyDescent="0.2">
      <c r="D6015" s="341"/>
      <c r="F6015" s="343"/>
      <c r="G6015" s="343"/>
      <c r="H6015" s="343"/>
      <c r="I6015" s="343"/>
      <c r="J6015" s="343"/>
      <c r="K6015" s="343"/>
      <c r="L6015" s="343"/>
    </row>
    <row r="6016" spans="4:12" x14ac:dyDescent="0.2">
      <c r="D6016" s="341"/>
      <c r="F6016" s="343"/>
      <c r="G6016" s="343"/>
      <c r="H6016" s="343"/>
      <c r="I6016" s="343"/>
      <c r="J6016" s="343"/>
      <c r="K6016" s="343"/>
      <c r="L6016" s="343"/>
    </row>
    <row r="6017" spans="4:12" x14ac:dyDescent="0.2">
      <c r="D6017" s="341"/>
      <c r="F6017" s="343"/>
      <c r="G6017" s="343"/>
      <c r="H6017" s="343"/>
      <c r="I6017" s="343"/>
      <c r="J6017" s="343"/>
      <c r="K6017" s="343"/>
      <c r="L6017" s="343"/>
    </row>
    <row r="6018" spans="4:12" x14ac:dyDescent="0.2">
      <c r="D6018" s="341"/>
      <c r="F6018" s="343"/>
      <c r="G6018" s="343"/>
      <c r="H6018" s="343"/>
      <c r="I6018" s="343"/>
      <c r="J6018" s="343"/>
      <c r="K6018" s="343"/>
      <c r="L6018" s="343"/>
    </row>
    <row r="6019" spans="4:12" x14ac:dyDescent="0.2">
      <c r="D6019" s="341"/>
      <c r="F6019" s="343"/>
      <c r="G6019" s="343"/>
      <c r="H6019" s="343"/>
      <c r="I6019" s="343"/>
      <c r="J6019" s="343"/>
      <c r="K6019" s="343"/>
      <c r="L6019" s="343"/>
    </row>
    <row r="6020" spans="4:12" x14ac:dyDescent="0.2">
      <c r="D6020" s="341"/>
      <c r="F6020" s="343"/>
      <c r="G6020" s="343"/>
      <c r="H6020" s="343"/>
      <c r="I6020" s="343"/>
      <c r="J6020" s="343"/>
      <c r="K6020" s="343"/>
      <c r="L6020" s="343"/>
    </row>
    <row r="6021" spans="4:12" x14ac:dyDescent="0.2">
      <c r="D6021" s="341"/>
      <c r="F6021" s="343"/>
      <c r="G6021" s="343"/>
      <c r="H6021" s="343"/>
      <c r="I6021" s="343"/>
      <c r="J6021" s="343"/>
      <c r="K6021" s="343"/>
      <c r="L6021" s="343"/>
    </row>
    <row r="6022" spans="4:12" x14ac:dyDescent="0.2">
      <c r="D6022" s="341"/>
      <c r="F6022" s="343"/>
      <c r="G6022" s="343"/>
      <c r="H6022" s="343"/>
      <c r="I6022" s="343"/>
      <c r="J6022" s="343"/>
      <c r="K6022" s="343"/>
      <c r="L6022" s="343"/>
    </row>
    <row r="6023" spans="4:12" x14ac:dyDescent="0.2">
      <c r="D6023" s="341"/>
      <c r="F6023" s="343"/>
      <c r="G6023" s="343"/>
      <c r="H6023" s="343"/>
      <c r="I6023" s="343"/>
      <c r="J6023" s="343"/>
      <c r="K6023" s="343"/>
      <c r="L6023" s="343"/>
    </row>
    <row r="6024" spans="4:12" x14ac:dyDescent="0.2">
      <c r="D6024" s="341"/>
      <c r="F6024" s="343"/>
      <c r="G6024" s="343"/>
      <c r="H6024" s="343"/>
      <c r="I6024" s="343"/>
      <c r="J6024" s="343"/>
      <c r="K6024" s="343"/>
      <c r="L6024" s="343"/>
    </row>
    <row r="6025" spans="4:12" x14ac:dyDescent="0.2">
      <c r="D6025" s="341"/>
      <c r="F6025" s="343"/>
      <c r="G6025" s="343"/>
      <c r="H6025" s="343"/>
      <c r="I6025" s="343"/>
      <c r="J6025" s="343"/>
      <c r="K6025" s="343"/>
      <c r="L6025" s="343"/>
    </row>
    <row r="6026" spans="4:12" x14ac:dyDescent="0.2">
      <c r="D6026" s="341"/>
      <c r="F6026" s="343"/>
      <c r="G6026" s="343"/>
      <c r="H6026" s="343"/>
      <c r="I6026" s="343"/>
      <c r="J6026" s="343"/>
      <c r="K6026" s="343"/>
      <c r="L6026" s="343"/>
    </row>
    <row r="6027" spans="4:12" x14ac:dyDescent="0.2">
      <c r="D6027" s="341"/>
      <c r="F6027" s="343"/>
      <c r="G6027" s="343"/>
      <c r="H6027" s="343"/>
      <c r="I6027" s="343"/>
      <c r="J6027" s="343"/>
      <c r="K6027" s="343"/>
      <c r="L6027" s="343"/>
    </row>
    <row r="6028" spans="4:12" x14ac:dyDescent="0.2">
      <c r="D6028" s="341"/>
      <c r="F6028" s="343"/>
      <c r="G6028" s="343"/>
      <c r="H6028" s="343"/>
      <c r="I6028" s="343"/>
      <c r="J6028" s="343"/>
      <c r="K6028" s="343"/>
      <c r="L6028" s="343"/>
    </row>
    <row r="6029" spans="4:12" x14ac:dyDescent="0.2">
      <c r="D6029" s="341"/>
      <c r="F6029" s="343"/>
      <c r="G6029" s="343"/>
      <c r="H6029" s="343"/>
      <c r="I6029" s="343"/>
      <c r="J6029" s="343"/>
      <c r="K6029" s="343"/>
      <c r="L6029" s="343"/>
    </row>
    <row r="6030" spans="4:12" x14ac:dyDescent="0.2">
      <c r="D6030" s="341"/>
      <c r="F6030" s="343"/>
      <c r="G6030" s="343"/>
      <c r="H6030" s="343"/>
      <c r="I6030" s="343"/>
      <c r="J6030" s="343"/>
      <c r="K6030" s="343"/>
      <c r="L6030" s="343"/>
    </row>
    <row r="6031" spans="4:12" x14ac:dyDescent="0.2">
      <c r="D6031" s="341"/>
      <c r="F6031" s="343"/>
      <c r="G6031" s="343"/>
      <c r="H6031" s="343"/>
      <c r="I6031" s="343"/>
      <c r="J6031" s="343"/>
      <c r="K6031" s="343"/>
      <c r="L6031" s="343"/>
    </row>
    <row r="6032" spans="4:12" x14ac:dyDescent="0.2">
      <c r="D6032" s="341"/>
      <c r="F6032" s="343"/>
      <c r="G6032" s="343"/>
      <c r="H6032" s="343"/>
      <c r="I6032" s="343"/>
      <c r="J6032" s="343"/>
      <c r="K6032" s="343"/>
      <c r="L6032" s="343"/>
    </row>
    <row r="6033" spans="4:12" x14ac:dyDescent="0.2">
      <c r="D6033" s="341"/>
      <c r="F6033" s="343"/>
      <c r="G6033" s="343"/>
      <c r="H6033" s="343"/>
      <c r="I6033" s="343"/>
      <c r="J6033" s="343"/>
      <c r="K6033" s="343"/>
      <c r="L6033" s="343"/>
    </row>
    <row r="6034" spans="4:12" x14ac:dyDescent="0.2">
      <c r="D6034" s="341"/>
      <c r="F6034" s="343"/>
      <c r="G6034" s="343"/>
      <c r="H6034" s="343"/>
      <c r="I6034" s="343"/>
      <c r="J6034" s="343"/>
      <c r="K6034" s="343"/>
      <c r="L6034" s="343"/>
    </row>
    <row r="6035" spans="4:12" x14ac:dyDescent="0.2">
      <c r="D6035" s="341"/>
      <c r="F6035" s="343"/>
      <c r="G6035" s="343"/>
      <c r="H6035" s="343"/>
      <c r="I6035" s="343"/>
      <c r="J6035" s="343"/>
      <c r="K6035" s="343"/>
      <c r="L6035" s="343"/>
    </row>
    <row r="6036" spans="4:12" x14ac:dyDescent="0.2">
      <c r="D6036" s="341"/>
      <c r="F6036" s="343"/>
      <c r="G6036" s="343"/>
      <c r="H6036" s="343"/>
      <c r="I6036" s="343"/>
      <c r="J6036" s="343"/>
      <c r="K6036" s="343"/>
      <c r="L6036" s="343"/>
    </row>
    <row r="6037" spans="4:12" x14ac:dyDescent="0.2">
      <c r="D6037" s="341"/>
      <c r="F6037" s="343"/>
      <c r="G6037" s="343"/>
      <c r="H6037" s="343"/>
      <c r="I6037" s="343"/>
      <c r="J6037" s="343"/>
      <c r="K6037" s="343"/>
      <c r="L6037" s="343"/>
    </row>
    <row r="6038" spans="4:12" x14ac:dyDescent="0.2">
      <c r="D6038" s="341"/>
      <c r="F6038" s="343"/>
      <c r="G6038" s="343"/>
      <c r="H6038" s="343"/>
      <c r="I6038" s="343"/>
      <c r="J6038" s="343"/>
      <c r="K6038" s="343"/>
      <c r="L6038" s="343"/>
    </row>
    <row r="6039" spans="4:12" x14ac:dyDescent="0.2">
      <c r="D6039" s="341"/>
      <c r="F6039" s="343"/>
      <c r="G6039" s="343"/>
      <c r="H6039" s="343"/>
      <c r="I6039" s="343"/>
      <c r="J6039" s="343"/>
      <c r="K6039" s="343"/>
      <c r="L6039" s="343"/>
    </row>
    <row r="6040" spans="4:12" x14ac:dyDescent="0.2">
      <c r="D6040" s="341"/>
      <c r="F6040" s="343"/>
      <c r="G6040" s="343"/>
      <c r="H6040" s="343"/>
      <c r="I6040" s="343"/>
      <c r="J6040" s="343"/>
      <c r="K6040" s="343"/>
      <c r="L6040" s="343"/>
    </row>
    <row r="6041" spans="4:12" x14ac:dyDescent="0.2">
      <c r="D6041" s="341"/>
      <c r="F6041" s="343"/>
      <c r="G6041" s="343"/>
      <c r="H6041" s="343"/>
      <c r="I6041" s="343"/>
      <c r="J6041" s="343"/>
      <c r="K6041" s="343"/>
      <c r="L6041" s="343"/>
    </row>
    <row r="6042" spans="4:12" x14ac:dyDescent="0.2">
      <c r="D6042" s="341"/>
      <c r="F6042" s="343"/>
      <c r="G6042" s="343"/>
      <c r="H6042" s="343"/>
      <c r="I6042" s="343"/>
      <c r="J6042" s="343"/>
      <c r="K6042" s="343"/>
      <c r="L6042" s="343"/>
    </row>
    <row r="6043" spans="4:12" x14ac:dyDescent="0.2">
      <c r="D6043" s="341"/>
      <c r="F6043" s="343"/>
      <c r="G6043" s="343"/>
      <c r="H6043" s="343"/>
      <c r="I6043" s="343"/>
      <c r="J6043" s="343"/>
      <c r="K6043" s="343"/>
      <c r="L6043" s="343"/>
    </row>
    <row r="6044" spans="4:12" x14ac:dyDescent="0.2">
      <c r="D6044" s="341"/>
      <c r="F6044" s="343"/>
      <c r="G6044" s="343"/>
      <c r="H6044" s="343"/>
      <c r="I6044" s="343"/>
      <c r="J6044" s="343"/>
      <c r="K6044" s="343"/>
      <c r="L6044" s="343"/>
    </row>
    <row r="6045" spans="4:12" x14ac:dyDescent="0.2">
      <c r="D6045" s="341"/>
      <c r="F6045" s="343"/>
      <c r="G6045" s="343"/>
      <c r="H6045" s="343"/>
      <c r="I6045" s="343"/>
      <c r="J6045" s="343"/>
      <c r="K6045" s="343"/>
      <c r="L6045" s="343"/>
    </row>
    <row r="6046" spans="4:12" x14ac:dyDescent="0.2">
      <c r="D6046" s="341"/>
      <c r="F6046" s="343"/>
      <c r="G6046" s="343"/>
      <c r="H6046" s="343"/>
      <c r="I6046" s="343"/>
      <c r="J6046" s="343"/>
      <c r="K6046" s="343"/>
      <c r="L6046" s="343"/>
    </row>
    <row r="6047" spans="4:12" x14ac:dyDescent="0.2">
      <c r="D6047" s="341"/>
      <c r="F6047" s="343"/>
      <c r="G6047" s="343"/>
      <c r="H6047" s="343"/>
      <c r="I6047" s="343"/>
      <c r="J6047" s="343"/>
      <c r="K6047" s="343"/>
      <c r="L6047" s="343"/>
    </row>
    <row r="6048" spans="4:12" x14ac:dyDescent="0.2">
      <c r="D6048" s="341"/>
      <c r="F6048" s="343"/>
      <c r="G6048" s="343"/>
      <c r="H6048" s="343"/>
      <c r="I6048" s="343"/>
      <c r="J6048" s="343"/>
      <c r="K6048" s="343"/>
      <c r="L6048" s="343"/>
    </row>
    <row r="6049" spans="4:12" x14ac:dyDescent="0.2">
      <c r="D6049" s="341"/>
      <c r="F6049" s="343"/>
      <c r="G6049" s="343"/>
      <c r="H6049" s="343"/>
      <c r="I6049" s="343"/>
      <c r="J6049" s="343"/>
      <c r="K6049" s="343"/>
      <c r="L6049" s="343"/>
    </row>
    <row r="6050" spans="4:12" x14ac:dyDescent="0.2">
      <c r="D6050" s="341"/>
      <c r="F6050" s="343"/>
      <c r="G6050" s="343"/>
      <c r="H6050" s="343"/>
      <c r="I6050" s="343"/>
      <c r="J6050" s="343"/>
      <c r="K6050" s="343"/>
      <c r="L6050" s="343"/>
    </row>
    <row r="6051" spans="4:12" x14ac:dyDescent="0.2">
      <c r="D6051" s="341"/>
      <c r="F6051" s="343"/>
      <c r="G6051" s="343"/>
      <c r="H6051" s="343"/>
      <c r="I6051" s="343"/>
      <c r="J6051" s="343"/>
      <c r="K6051" s="343"/>
      <c r="L6051" s="343"/>
    </row>
    <row r="6052" spans="4:12" x14ac:dyDescent="0.2">
      <c r="D6052" s="341"/>
      <c r="F6052" s="343"/>
      <c r="G6052" s="343"/>
      <c r="H6052" s="343"/>
      <c r="I6052" s="343"/>
      <c r="J6052" s="343"/>
      <c r="K6052" s="343"/>
      <c r="L6052" s="343"/>
    </row>
    <row r="6053" spans="4:12" x14ac:dyDescent="0.2">
      <c r="D6053" s="341"/>
      <c r="F6053" s="343"/>
      <c r="G6053" s="343"/>
      <c r="H6053" s="343"/>
      <c r="I6053" s="343"/>
      <c r="J6053" s="343"/>
      <c r="K6053" s="343"/>
      <c r="L6053" s="343"/>
    </row>
    <row r="6054" spans="4:12" x14ac:dyDescent="0.2">
      <c r="D6054" s="341"/>
      <c r="F6054" s="343"/>
      <c r="G6054" s="343"/>
      <c r="H6054" s="343"/>
      <c r="I6054" s="343"/>
      <c r="J6054" s="343"/>
      <c r="K6054" s="343"/>
      <c r="L6054" s="343"/>
    </row>
    <row r="6055" spans="4:12" x14ac:dyDescent="0.2">
      <c r="D6055" s="341"/>
      <c r="F6055" s="343"/>
      <c r="G6055" s="343"/>
      <c r="H6055" s="343"/>
      <c r="I6055" s="343"/>
      <c r="J6055" s="343"/>
      <c r="K6055" s="343"/>
      <c r="L6055" s="343"/>
    </row>
    <row r="6056" spans="4:12" x14ac:dyDescent="0.2">
      <c r="D6056" s="341"/>
      <c r="F6056" s="343"/>
      <c r="G6056" s="343"/>
      <c r="H6056" s="343"/>
      <c r="I6056" s="343"/>
      <c r="J6056" s="343"/>
      <c r="K6056" s="343"/>
      <c r="L6056" s="343"/>
    </row>
    <row r="6057" spans="4:12" x14ac:dyDescent="0.2">
      <c r="D6057" s="341"/>
      <c r="F6057" s="343"/>
      <c r="G6057" s="343"/>
      <c r="H6057" s="343"/>
      <c r="I6057" s="343"/>
      <c r="J6057" s="343"/>
      <c r="K6057" s="343"/>
      <c r="L6057" s="343"/>
    </row>
    <row r="6058" spans="4:12" x14ac:dyDescent="0.2">
      <c r="D6058" s="341"/>
      <c r="F6058" s="343"/>
      <c r="G6058" s="343"/>
      <c r="H6058" s="343"/>
      <c r="I6058" s="343"/>
      <c r="J6058" s="343"/>
      <c r="K6058" s="343"/>
      <c r="L6058" s="343"/>
    </row>
    <row r="6059" spans="4:12" x14ac:dyDescent="0.2">
      <c r="D6059" s="341"/>
      <c r="F6059" s="343"/>
      <c r="G6059" s="343"/>
      <c r="H6059" s="343"/>
      <c r="I6059" s="343"/>
      <c r="J6059" s="343"/>
      <c r="K6059" s="343"/>
      <c r="L6059" s="343"/>
    </row>
    <row r="6060" spans="4:12" x14ac:dyDescent="0.2">
      <c r="D6060" s="341"/>
      <c r="F6060" s="343"/>
      <c r="G6060" s="343"/>
      <c r="H6060" s="343"/>
      <c r="I6060" s="343"/>
      <c r="J6060" s="343"/>
      <c r="K6060" s="343"/>
      <c r="L6060" s="343"/>
    </row>
    <row r="6061" spans="4:12" x14ac:dyDescent="0.2">
      <c r="D6061" s="341"/>
      <c r="F6061" s="343"/>
      <c r="G6061" s="343"/>
      <c r="H6061" s="343"/>
      <c r="I6061" s="343"/>
      <c r="J6061" s="343"/>
      <c r="K6061" s="343"/>
      <c r="L6061" s="343"/>
    </row>
    <row r="6062" spans="4:12" x14ac:dyDescent="0.2">
      <c r="D6062" s="341"/>
      <c r="F6062" s="343"/>
      <c r="G6062" s="343"/>
      <c r="H6062" s="343"/>
      <c r="I6062" s="343"/>
      <c r="J6062" s="343"/>
      <c r="K6062" s="343"/>
      <c r="L6062" s="343"/>
    </row>
    <row r="6063" spans="4:12" x14ac:dyDescent="0.2">
      <c r="D6063" s="341"/>
      <c r="F6063" s="343"/>
      <c r="G6063" s="343"/>
      <c r="H6063" s="343"/>
      <c r="I6063" s="343"/>
      <c r="J6063" s="343"/>
      <c r="K6063" s="343"/>
      <c r="L6063" s="343"/>
    </row>
    <row r="6064" spans="4:12" x14ac:dyDescent="0.2">
      <c r="D6064" s="341"/>
      <c r="F6064" s="343"/>
      <c r="G6064" s="343"/>
      <c r="H6064" s="343"/>
      <c r="I6064" s="343"/>
      <c r="J6064" s="343"/>
      <c r="K6064" s="343"/>
      <c r="L6064" s="343"/>
    </row>
    <row r="6065" spans="4:12" x14ac:dyDescent="0.2">
      <c r="D6065" s="341"/>
      <c r="F6065" s="343"/>
      <c r="G6065" s="343"/>
      <c r="H6065" s="343"/>
      <c r="I6065" s="343"/>
      <c r="J6065" s="343"/>
      <c r="K6065" s="343"/>
      <c r="L6065" s="343"/>
    </row>
    <row r="6066" spans="4:12" x14ac:dyDescent="0.2">
      <c r="D6066" s="341"/>
      <c r="F6066" s="343"/>
      <c r="G6066" s="343"/>
      <c r="H6066" s="343"/>
      <c r="I6066" s="343"/>
      <c r="J6066" s="343"/>
      <c r="K6066" s="343"/>
      <c r="L6066" s="343"/>
    </row>
    <row r="6067" spans="4:12" x14ac:dyDescent="0.2">
      <c r="D6067" s="341"/>
      <c r="F6067" s="343"/>
      <c r="G6067" s="343"/>
      <c r="H6067" s="343"/>
      <c r="I6067" s="343"/>
      <c r="J6067" s="343"/>
      <c r="K6067" s="343"/>
      <c r="L6067" s="343"/>
    </row>
    <row r="6068" spans="4:12" x14ac:dyDescent="0.2">
      <c r="D6068" s="341"/>
      <c r="F6068" s="343"/>
      <c r="G6068" s="343"/>
      <c r="H6068" s="343"/>
      <c r="I6068" s="343"/>
      <c r="J6068" s="343"/>
      <c r="K6068" s="343"/>
      <c r="L6068" s="343"/>
    </row>
    <row r="6069" spans="4:12" x14ac:dyDescent="0.2">
      <c r="D6069" s="341"/>
      <c r="F6069" s="343"/>
      <c r="G6069" s="343"/>
      <c r="H6069" s="343"/>
      <c r="I6069" s="343"/>
      <c r="J6069" s="343"/>
      <c r="K6069" s="343"/>
      <c r="L6069" s="343"/>
    </row>
    <row r="6070" spans="4:12" x14ac:dyDescent="0.2">
      <c r="D6070" s="341"/>
      <c r="F6070" s="343"/>
      <c r="G6070" s="343"/>
      <c r="H6070" s="343"/>
      <c r="I6070" s="343"/>
      <c r="J6070" s="343"/>
      <c r="K6070" s="343"/>
      <c r="L6070" s="343"/>
    </row>
    <row r="6071" spans="4:12" x14ac:dyDescent="0.2">
      <c r="D6071" s="341"/>
      <c r="F6071" s="343"/>
      <c r="G6071" s="343"/>
      <c r="H6071" s="343"/>
      <c r="I6071" s="343"/>
      <c r="J6071" s="343"/>
      <c r="K6071" s="343"/>
      <c r="L6071" s="343"/>
    </row>
    <row r="6072" spans="4:12" x14ac:dyDescent="0.2">
      <c r="D6072" s="341"/>
      <c r="F6072" s="343"/>
      <c r="G6072" s="343"/>
      <c r="H6072" s="343"/>
      <c r="I6072" s="343"/>
      <c r="J6072" s="343"/>
      <c r="K6072" s="343"/>
      <c r="L6072" s="343"/>
    </row>
    <row r="6073" spans="4:12" x14ac:dyDescent="0.2">
      <c r="D6073" s="341"/>
      <c r="F6073" s="343"/>
      <c r="G6073" s="343"/>
      <c r="H6073" s="343"/>
      <c r="I6073" s="343"/>
      <c r="J6073" s="343"/>
      <c r="K6073" s="343"/>
      <c r="L6073" s="343"/>
    </row>
    <row r="6074" spans="4:12" x14ac:dyDescent="0.2">
      <c r="D6074" s="341"/>
      <c r="F6074" s="343"/>
      <c r="G6074" s="343"/>
      <c r="H6074" s="343"/>
      <c r="I6074" s="343"/>
      <c r="J6074" s="343"/>
      <c r="K6074" s="343"/>
      <c r="L6074" s="343"/>
    </row>
    <row r="6075" spans="4:12" x14ac:dyDescent="0.2">
      <c r="D6075" s="341"/>
      <c r="F6075" s="343"/>
      <c r="G6075" s="343"/>
      <c r="H6075" s="343"/>
      <c r="I6075" s="343"/>
      <c r="J6075" s="343"/>
      <c r="K6075" s="343"/>
      <c r="L6075" s="343"/>
    </row>
    <row r="6076" spans="4:12" x14ac:dyDescent="0.2">
      <c r="D6076" s="341"/>
      <c r="F6076" s="343"/>
      <c r="G6076" s="343"/>
      <c r="H6076" s="343"/>
      <c r="I6076" s="343"/>
      <c r="J6076" s="343"/>
      <c r="K6076" s="343"/>
      <c r="L6076" s="343"/>
    </row>
    <row r="6077" spans="4:12" x14ac:dyDescent="0.2">
      <c r="D6077" s="341"/>
      <c r="F6077" s="343"/>
      <c r="G6077" s="343"/>
      <c r="H6077" s="343"/>
      <c r="I6077" s="343"/>
      <c r="J6077" s="343"/>
      <c r="K6077" s="343"/>
      <c r="L6077" s="343"/>
    </row>
    <row r="6078" spans="4:12" x14ac:dyDescent="0.2">
      <c r="D6078" s="341"/>
      <c r="F6078" s="343"/>
      <c r="G6078" s="343"/>
      <c r="H6078" s="343"/>
      <c r="I6078" s="343"/>
      <c r="J6078" s="343"/>
      <c r="K6078" s="343"/>
      <c r="L6078" s="343"/>
    </row>
    <row r="6079" spans="4:12" x14ac:dyDescent="0.2">
      <c r="D6079" s="341"/>
      <c r="F6079" s="343"/>
      <c r="G6079" s="343"/>
      <c r="H6079" s="343"/>
      <c r="I6079" s="343"/>
      <c r="J6079" s="343"/>
      <c r="K6079" s="343"/>
      <c r="L6079" s="343"/>
    </row>
    <row r="6080" spans="4:12" x14ac:dyDescent="0.2">
      <c r="D6080" s="341"/>
      <c r="F6080" s="343"/>
      <c r="G6080" s="343"/>
      <c r="H6080" s="343"/>
      <c r="I6080" s="343"/>
      <c r="J6080" s="343"/>
      <c r="K6080" s="343"/>
      <c r="L6080" s="343"/>
    </row>
    <row r="6081" spans="4:12" x14ac:dyDescent="0.2">
      <c r="D6081" s="341"/>
      <c r="F6081" s="343"/>
      <c r="G6081" s="343"/>
      <c r="H6081" s="343"/>
      <c r="I6081" s="343"/>
      <c r="J6081" s="343"/>
      <c r="K6081" s="343"/>
      <c r="L6081" s="343"/>
    </row>
    <row r="6082" spans="4:12" x14ac:dyDescent="0.2">
      <c r="D6082" s="341"/>
      <c r="F6082" s="343"/>
      <c r="G6082" s="343"/>
      <c r="H6082" s="343"/>
      <c r="I6082" s="343"/>
      <c r="J6082" s="343"/>
      <c r="K6082" s="343"/>
      <c r="L6082" s="343"/>
    </row>
    <row r="6083" spans="4:12" x14ac:dyDescent="0.2">
      <c r="D6083" s="341"/>
      <c r="F6083" s="343"/>
      <c r="G6083" s="343"/>
      <c r="H6083" s="343"/>
      <c r="I6083" s="343"/>
      <c r="J6083" s="343"/>
      <c r="K6083" s="343"/>
      <c r="L6083" s="343"/>
    </row>
    <row r="6084" spans="4:12" x14ac:dyDescent="0.2">
      <c r="D6084" s="341"/>
      <c r="F6084" s="343"/>
      <c r="G6084" s="343"/>
      <c r="H6084" s="343"/>
      <c r="I6084" s="343"/>
      <c r="J6084" s="343"/>
      <c r="K6084" s="343"/>
      <c r="L6084" s="343"/>
    </row>
    <row r="6085" spans="4:12" x14ac:dyDescent="0.2">
      <c r="D6085" s="341"/>
      <c r="F6085" s="343"/>
      <c r="G6085" s="343"/>
      <c r="H6085" s="343"/>
      <c r="I6085" s="343"/>
      <c r="J6085" s="343"/>
      <c r="K6085" s="343"/>
      <c r="L6085" s="343"/>
    </row>
    <row r="6086" spans="4:12" x14ac:dyDescent="0.2">
      <c r="D6086" s="341"/>
      <c r="F6086" s="343"/>
      <c r="G6086" s="343"/>
      <c r="H6086" s="343"/>
      <c r="I6086" s="343"/>
      <c r="J6086" s="343"/>
      <c r="K6086" s="343"/>
      <c r="L6086" s="343"/>
    </row>
    <row r="6087" spans="4:12" x14ac:dyDescent="0.2">
      <c r="D6087" s="341"/>
      <c r="F6087" s="343"/>
      <c r="G6087" s="343"/>
      <c r="H6087" s="343"/>
      <c r="I6087" s="343"/>
      <c r="J6087" s="343"/>
      <c r="K6087" s="343"/>
      <c r="L6087" s="343"/>
    </row>
    <row r="6088" spans="4:12" x14ac:dyDescent="0.2">
      <c r="D6088" s="341"/>
      <c r="F6088" s="343"/>
      <c r="G6088" s="343"/>
      <c r="H6088" s="343"/>
      <c r="I6088" s="343"/>
      <c r="J6088" s="343"/>
      <c r="K6088" s="343"/>
      <c r="L6088" s="343"/>
    </row>
    <row r="6089" spans="4:12" x14ac:dyDescent="0.2">
      <c r="D6089" s="341"/>
      <c r="F6089" s="343"/>
      <c r="G6089" s="343"/>
      <c r="H6089" s="343"/>
      <c r="I6089" s="343"/>
      <c r="J6089" s="343"/>
      <c r="K6089" s="343"/>
      <c r="L6089" s="343"/>
    </row>
    <row r="6090" spans="4:12" x14ac:dyDescent="0.2">
      <c r="D6090" s="341"/>
      <c r="F6090" s="343"/>
      <c r="G6090" s="343"/>
      <c r="H6090" s="343"/>
      <c r="I6090" s="343"/>
      <c r="J6090" s="343"/>
      <c r="K6090" s="343"/>
      <c r="L6090" s="343"/>
    </row>
    <row r="6091" spans="4:12" x14ac:dyDescent="0.2">
      <c r="D6091" s="341"/>
      <c r="F6091" s="343"/>
      <c r="G6091" s="343"/>
      <c r="H6091" s="343"/>
      <c r="I6091" s="343"/>
      <c r="J6091" s="343"/>
      <c r="K6091" s="343"/>
      <c r="L6091" s="343"/>
    </row>
    <row r="6092" spans="4:12" x14ac:dyDescent="0.2">
      <c r="D6092" s="341"/>
      <c r="F6092" s="343"/>
      <c r="G6092" s="343"/>
      <c r="H6092" s="343"/>
      <c r="I6092" s="343"/>
      <c r="J6092" s="343"/>
      <c r="K6092" s="343"/>
      <c r="L6092" s="343"/>
    </row>
    <row r="6093" spans="4:12" x14ac:dyDescent="0.2">
      <c r="D6093" s="341"/>
      <c r="F6093" s="343"/>
      <c r="G6093" s="343"/>
      <c r="H6093" s="343"/>
      <c r="I6093" s="343"/>
      <c r="J6093" s="343"/>
      <c r="K6093" s="343"/>
      <c r="L6093" s="343"/>
    </row>
    <row r="6094" spans="4:12" x14ac:dyDescent="0.2">
      <c r="D6094" s="341"/>
      <c r="F6094" s="343"/>
      <c r="G6094" s="343"/>
      <c r="H6094" s="343"/>
      <c r="I6094" s="343"/>
      <c r="J6094" s="343"/>
      <c r="K6094" s="343"/>
      <c r="L6094" s="343"/>
    </row>
    <row r="6095" spans="4:12" x14ac:dyDescent="0.2">
      <c r="D6095" s="341"/>
      <c r="F6095" s="343"/>
      <c r="G6095" s="343"/>
      <c r="H6095" s="343"/>
      <c r="I6095" s="343"/>
      <c r="J6095" s="343"/>
      <c r="K6095" s="343"/>
      <c r="L6095" s="343"/>
    </row>
    <row r="6096" spans="4:12" x14ac:dyDescent="0.2">
      <c r="D6096" s="341"/>
      <c r="F6096" s="343"/>
      <c r="G6096" s="343"/>
      <c r="H6096" s="343"/>
      <c r="I6096" s="343"/>
      <c r="J6096" s="343"/>
      <c r="K6096" s="343"/>
      <c r="L6096" s="343"/>
    </row>
    <row r="6097" spans="4:12" x14ac:dyDescent="0.2">
      <c r="D6097" s="341"/>
      <c r="F6097" s="343"/>
      <c r="G6097" s="343"/>
      <c r="H6097" s="343"/>
      <c r="I6097" s="343"/>
      <c r="J6097" s="343"/>
      <c r="K6097" s="343"/>
      <c r="L6097" s="343"/>
    </row>
    <row r="6098" spans="4:12" x14ac:dyDescent="0.2">
      <c r="D6098" s="341"/>
      <c r="F6098" s="343"/>
      <c r="G6098" s="343"/>
      <c r="H6098" s="343"/>
      <c r="I6098" s="343"/>
      <c r="J6098" s="343"/>
      <c r="K6098" s="343"/>
      <c r="L6098" s="343"/>
    </row>
    <row r="6099" spans="4:12" x14ac:dyDescent="0.2">
      <c r="D6099" s="341"/>
      <c r="F6099" s="343"/>
      <c r="G6099" s="343"/>
      <c r="H6099" s="343"/>
      <c r="I6099" s="343"/>
      <c r="J6099" s="343"/>
      <c r="K6099" s="343"/>
      <c r="L6099" s="343"/>
    </row>
    <row r="6100" spans="4:12" x14ac:dyDescent="0.2">
      <c r="D6100" s="341"/>
      <c r="F6100" s="343"/>
      <c r="G6100" s="343"/>
      <c r="H6100" s="343"/>
      <c r="I6100" s="343"/>
      <c r="J6100" s="343"/>
      <c r="K6100" s="343"/>
      <c r="L6100" s="343"/>
    </row>
    <row r="6101" spans="4:12" x14ac:dyDescent="0.2">
      <c r="D6101" s="341"/>
      <c r="F6101" s="343"/>
      <c r="G6101" s="343"/>
      <c r="H6101" s="343"/>
      <c r="I6101" s="343"/>
      <c r="J6101" s="343"/>
      <c r="K6101" s="343"/>
      <c r="L6101" s="343"/>
    </row>
    <row r="6102" spans="4:12" x14ac:dyDescent="0.2">
      <c r="D6102" s="341"/>
      <c r="F6102" s="343"/>
      <c r="G6102" s="343"/>
      <c r="H6102" s="343"/>
      <c r="I6102" s="343"/>
      <c r="J6102" s="343"/>
      <c r="K6102" s="343"/>
      <c r="L6102" s="343"/>
    </row>
    <row r="6103" spans="4:12" x14ac:dyDescent="0.2">
      <c r="D6103" s="341"/>
      <c r="F6103" s="343"/>
      <c r="G6103" s="343"/>
      <c r="H6103" s="343"/>
      <c r="I6103" s="343"/>
      <c r="J6103" s="343"/>
      <c r="K6103" s="343"/>
      <c r="L6103" s="343"/>
    </row>
    <row r="6104" spans="4:12" x14ac:dyDescent="0.2">
      <c r="D6104" s="341"/>
      <c r="F6104" s="343"/>
      <c r="G6104" s="343"/>
      <c r="H6104" s="343"/>
      <c r="I6104" s="343"/>
      <c r="J6104" s="343"/>
      <c r="K6104" s="343"/>
      <c r="L6104" s="343"/>
    </row>
    <row r="6105" spans="4:12" x14ac:dyDescent="0.2">
      <c r="D6105" s="341"/>
      <c r="F6105" s="343"/>
      <c r="G6105" s="343"/>
      <c r="H6105" s="343"/>
      <c r="I6105" s="343"/>
      <c r="J6105" s="343"/>
      <c r="K6105" s="343"/>
      <c r="L6105" s="343"/>
    </row>
    <row r="6106" spans="4:12" x14ac:dyDescent="0.2">
      <c r="D6106" s="341"/>
      <c r="F6106" s="343"/>
      <c r="G6106" s="343"/>
      <c r="H6106" s="343"/>
      <c r="I6106" s="343"/>
      <c r="J6106" s="343"/>
      <c r="K6106" s="343"/>
      <c r="L6106" s="343"/>
    </row>
    <row r="6107" spans="4:12" x14ac:dyDescent="0.2">
      <c r="D6107" s="341"/>
      <c r="F6107" s="343"/>
      <c r="G6107" s="343"/>
      <c r="H6107" s="343"/>
      <c r="I6107" s="343"/>
      <c r="J6107" s="343"/>
      <c r="K6107" s="343"/>
      <c r="L6107" s="343"/>
    </row>
    <row r="6108" spans="4:12" x14ac:dyDescent="0.2">
      <c r="D6108" s="341"/>
      <c r="F6108" s="343"/>
      <c r="G6108" s="343"/>
      <c r="H6108" s="343"/>
      <c r="I6108" s="343"/>
      <c r="J6108" s="343"/>
      <c r="K6108" s="343"/>
      <c r="L6108" s="343"/>
    </row>
    <row r="6109" spans="4:12" x14ac:dyDescent="0.2">
      <c r="D6109" s="341"/>
      <c r="F6109" s="343"/>
      <c r="G6109" s="343"/>
      <c r="H6109" s="343"/>
      <c r="I6109" s="343"/>
      <c r="J6109" s="343"/>
      <c r="K6109" s="343"/>
      <c r="L6109" s="343"/>
    </row>
    <row r="6110" spans="4:12" x14ac:dyDescent="0.2">
      <c r="D6110" s="341"/>
      <c r="F6110" s="343"/>
      <c r="G6110" s="343"/>
      <c r="H6110" s="343"/>
      <c r="I6110" s="343"/>
      <c r="J6110" s="343"/>
      <c r="K6110" s="343"/>
      <c r="L6110" s="343"/>
    </row>
    <row r="6111" spans="4:12" x14ac:dyDescent="0.2">
      <c r="D6111" s="341"/>
      <c r="F6111" s="343"/>
      <c r="G6111" s="343"/>
      <c r="H6111" s="343"/>
      <c r="I6111" s="343"/>
      <c r="J6111" s="343"/>
      <c r="K6111" s="343"/>
      <c r="L6111" s="343"/>
    </row>
    <row r="6112" spans="4:12" x14ac:dyDescent="0.2">
      <c r="D6112" s="341"/>
      <c r="F6112" s="343"/>
      <c r="G6112" s="343"/>
      <c r="H6112" s="343"/>
      <c r="I6112" s="343"/>
      <c r="J6112" s="343"/>
      <c r="K6112" s="343"/>
      <c r="L6112" s="343"/>
    </row>
    <row r="6113" spans="4:12" x14ac:dyDescent="0.2">
      <c r="D6113" s="341"/>
      <c r="F6113" s="343"/>
      <c r="G6113" s="343"/>
      <c r="H6113" s="343"/>
      <c r="I6113" s="343"/>
      <c r="J6113" s="343"/>
      <c r="K6113" s="343"/>
      <c r="L6113" s="343"/>
    </row>
    <row r="6114" spans="4:12" x14ac:dyDescent="0.2">
      <c r="D6114" s="341"/>
      <c r="F6114" s="343"/>
      <c r="G6114" s="343"/>
      <c r="H6114" s="343"/>
      <c r="I6114" s="343"/>
      <c r="J6114" s="343"/>
      <c r="K6114" s="343"/>
      <c r="L6114" s="343"/>
    </row>
    <row r="6115" spans="4:12" x14ac:dyDescent="0.2">
      <c r="D6115" s="341"/>
      <c r="F6115" s="343"/>
      <c r="G6115" s="343"/>
      <c r="H6115" s="343"/>
      <c r="I6115" s="343"/>
      <c r="J6115" s="343"/>
      <c r="K6115" s="343"/>
      <c r="L6115" s="343"/>
    </row>
    <row r="6116" spans="4:12" x14ac:dyDescent="0.2">
      <c r="D6116" s="341"/>
      <c r="F6116" s="343"/>
      <c r="G6116" s="343"/>
      <c r="H6116" s="343"/>
      <c r="I6116" s="343"/>
      <c r="J6116" s="343"/>
      <c r="K6116" s="343"/>
      <c r="L6116" s="343"/>
    </row>
    <row r="6117" spans="4:12" x14ac:dyDescent="0.2">
      <c r="D6117" s="341"/>
      <c r="F6117" s="343"/>
      <c r="G6117" s="343"/>
      <c r="H6117" s="343"/>
      <c r="I6117" s="343"/>
      <c r="J6117" s="343"/>
      <c r="K6117" s="343"/>
      <c r="L6117" s="343"/>
    </row>
    <row r="6118" spans="4:12" x14ac:dyDescent="0.2">
      <c r="D6118" s="341"/>
      <c r="F6118" s="343"/>
      <c r="G6118" s="343"/>
      <c r="H6118" s="343"/>
      <c r="I6118" s="343"/>
      <c r="J6118" s="343"/>
      <c r="K6118" s="343"/>
      <c r="L6118" s="343"/>
    </row>
    <row r="6119" spans="4:12" x14ac:dyDescent="0.2">
      <c r="D6119" s="341"/>
      <c r="F6119" s="343"/>
      <c r="G6119" s="343"/>
      <c r="H6119" s="343"/>
      <c r="I6119" s="343"/>
      <c r="J6119" s="343"/>
      <c r="K6119" s="343"/>
      <c r="L6119" s="343"/>
    </row>
    <row r="6120" spans="4:12" x14ac:dyDescent="0.2">
      <c r="D6120" s="341"/>
      <c r="F6120" s="343"/>
      <c r="G6120" s="343"/>
      <c r="H6120" s="343"/>
      <c r="I6120" s="343"/>
      <c r="J6120" s="343"/>
      <c r="K6120" s="343"/>
      <c r="L6120" s="343"/>
    </row>
    <row r="6121" spans="4:12" x14ac:dyDescent="0.2">
      <c r="D6121" s="341"/>
      <c r="F6121" s="343"/>
      <c r="G6121" s="343"/>
      <c r="H6121" s="343"/>
      <c r="I6121" s="343"/>
      <c r="J6121" s="343"/>
      <c r="K6121" s="343"/>
      <c r="L6121" s="343"/>
    </row>
    <row r="6122" spans="4:12" x14ac:dyDescent="0.2">
      <c r="D6122" s="341"/>
      <c r="F6122" s="343"/>
      <c r="G6122" s="343"/>
      <c r="H6122" s="343"/>
      <c r="I6122" s="343"/>
      <c r="J6122" s="343"/>
      <c r="K6122" s="343"/>
      <c r="L6122" s="343"/>
    </row>
    <row r="6123" spans="4:12" x14ac:dyDescent="0.2">
      <c r="D6123" s="341"/>
      <c r="F6123" s="343"/>
      <c r="G6123" s="343"/>
      <c r="H6123" s="343"/>
      <c r="I6123" s="343"/>
      <c r="J6123" s="343"/>
      <c r="K6123" s="343"/>
      <c r="L6123" s="343"/>
    </row>
    <row r="6124" spans="4:12" x14ac:dyDescent="0.2">
      <c r="D6124" s="341"/>
      <c r="F6124" s="343"/>
      <c r="G6124" s="343"/>
      <c r="H6124" s="343"/>
      <c r="I6124" s="343"/>
      <c r="J6124" s="343"/>
      <c r="K6124" s="343"/>
      <c r="L6124" s="343"/>
    </row>
    <row r="6125" spans="4:12" x14ac:dyDescent="0.2">
      <c r="D6125" s="341"/>
      <c r="F6125" s="343"/>
      <c r="G6125" s="343"/>
      <c r="H6125" s="343"/>
      <c r="I6125" s="343"/>
      <c r="J6125" s="343"/>
      <c r="K6125" s="343"/>
      <c r="L6125" s="343"/>
    </row>
    <row r="6126" spans="4:12" x14ac:dyDescent="0.2">
      <c r="D6126" s="341"/>
      <c r="F6126" s="343"/>
      <c r="G6126" s="343"/>
      <c r="H6126" s="343"/>
      <c r="I6126" s="343"/>
      <c r="J6126" s="343"/>
      <c r="K6126" s="343"/>
      <c r="L6126" s="343"/>
    </row>
    <row r="6127" spans="4:12" x14ac:dyDescent="0.2">
      <c r="D6127" s="341"/>
      <c r="F6127" s="343"/>
      <c r="G6127" s="343"/>
      <c r="H6127" s="343"/>
      <c r="I6127" s="343"/>
      <c r="J6127" s="343"/>
      <c r="K6127" s="343"/>
      <c r="L6127" s="343"/>
    </row>
    <row r="6128" spans="4:12" x14ac:dyDescent="0.2">
      <c r="D6128" s="341"/>
      <c r="F6128" s="343"/>
      <c r="G6128" s="343"/>
      <c r="H6128" s="343"/>
      <c r="I6128" s="343"/>
      <c r="J6128" s="343"/>
      <c r="K6128" s="343"/>
      <c r="L6128" s="343"/>
    </row>
    <row r="6129" spans="4:12" x14ac:dyDescent="0.2">
      <c r="D6129" s="341"/>
      <c r="F6129" s="343"/>
      <c r="G6129" s="343"/>
      <c r="H6129" s="343"/>
      <c r="I6129" s="343"/>
      <c r="J6129" s="343"/>
      <c r="K6129" s="343"/>
      <c r="L6129" s="343"/>
    </row>
    <row r="6130" spans="4:12" x14ac:dyDescent="0.2">
      <c r="D6130" s="341"/>
      <c r="F6130" s="343"/>
      <c r="G6130" s="343"/>
      <c r="H6130" s="343"/>
      <c r="I6130" s="343"/>
      <c r="J6130" s="343"/>
      <c r="K6130" s="343"/>
      <c r="L6130" s="343"/>
    </row>
    <row r="6131" spans="4:12" x14ac:dyDescent="0.2">
      <c r="D6131" s="341"/>
      <c r="F6131" s="343"/>
      <c r="G6131" s="343"/>
      <c r="H6131" s="343"/>
      <c r="I6131" s="343"/>
      <c r="J6131" s="343"/>
      <c r="K6131" s="343"/>
      <c r="L6131" s="343"/>
    </row>
    <row r="6132" spans="4:12" x14ac:dyDescent="0.2">
      <c r="D6132" s="341"/>
      <c r="F6132" s="343"/>
      <c r="G6132" s="343"/>
      <c r="H6132" s="343"/>
      <c r="I6132" s="343"/>
      <c r="J6132" s="343"/>
      <c r="K6132" s="343"/>
      <c r="L6132" s="343"/>
    </row>
    <row r="6133" spans="4:12" x14ac:dyDescent="0.2">
      <c r="D6133" s="341"/>
      <c r="F6133" s="343"/>
      <c r="G6133" s="343"/>
      <c r="H6133" s="343"/>
      <c r="I6133" s="343"/>
      <c r="J6133" s="343"/>
      <c r="K6133" s="343"/>
      <c r="L6133" s="343"/>
    </row>
    <row r="6134" spans="4:12" x14ac:dyDescent="0.2">
      <c r="D6134" s="341"/>
      <c r="F6134" s="343"/>
      <c r="G6134" s="343"/>
      <c r="H6134" s="343"/>
      <c r="I6134" s="343"/>
      <c r="J6134" s="343"/>
      <c r="K6134" s="343"/>
      <c r="L6134" s="343"/>
    </row>
    <row r="6135" spans="4:12" x14ac:dyDescent="0.2">
      <c r="D6135" s="341"/>
      <c r="F6135" s="343"/>
      <c r="G6135" s="343"/>
      <c r="H6135" s="343"/>
      <c r="I6135" s="343"/>
      <c r="J6135" s="343"/>
      <c r="K6135" s="343"/>
      <c r="L6135" s="343"/>
    </row>
    <row r="6136" spans="4:12" x14ac:dyDescent="0.2">
      <c r="D6136" s="341"/>
      <c r="F6136" s="343"/>
      <c r="G6136" s="343"/>
      <c r="H6136" s="343"/>
      <c r="I6136" s="343"/>
      <c r="J6136" s="343"/>
      <c r="K6136" s="343"/>
      <c r="L6136" s="343"/>
    </row>
    <row r="6137" spans="4:12" x14ac:dyDescent="0.2">
      <c r="D6137" s="341"/>
      <c r="F6137" s="343"/>
      <c r="G6137" s="343"/>
      <c r="H6137" s="343"/>
      <c r="I6137" s="343"/>
      <c r="J6137" s="343"/>
      <c r="K6137" s="343"/>
      <c r="L6137" s="343"/>
    </row>
    <row r="6138" spans="4:12" x14ac:dyDescent="0.2">
      <c r="D6138" s="341"/>
      <c r="F6138" s="343"/>
      <c r="G6138" s="343"/>
      <c r="H6138" s="343"/>
      <c r="I6138" s="343"/>
      <c r="J6138" s="343"/>
      <c r="K6138" s="343"/>
      <c r="L6138" s="343"/>
    </row>
    <row r="6139" spans="4:12" x14ac:dyDescent="0.2">
      <c r="D6139" s="341"/>
      <c r="F6139" s="343"/>
      <c r="G6139" s="343"/>
      <c r="H6139" s="343"/>
      <c r="I6139" s="343"/>
      <c r="J6139" s="343"/>
      <c r="K6139" s="343"/>
      <c r="L6139" s="343"/>
    </row>
    <row r="6140" spans="4:12" x14ac:dyDescent="0.2">
      <c r="D6140" s="341"/>
      <c r="F6140" s="343"/>
      <c r="G6140" s="343"/>
      <c r="H6140" s="343"/>
      <c r="I6140" s="343"/>
      <c r="J6140" s="343"/>
      <c r="K6140" s="343"/>
      <c r="L6140" s="343"/>
    </row>
    <row r="6141" spans="4:12" x14ac:dyDescent="0.2">
      <c r="D6141" s="341"/>
      <c r="F6141" s="343"/>
      <c r="G6141" s="343"/>
      <c r="H6141" s="343"/>
      <c r="I6141" s="343"/>
      <c r="J6141" s="343"/>
      <c r="K6141" s="343"/>
      <c r="L6141" s="343"/>
    </row>
    <row r="6142" spans="4:12" x14ac:dyDescent="0.2">
      <c r="D6142" s="341"/>
      <c r="F6142" s="343"/>
      <c r="G6142" s="343"/>
      <c r="H6142" s="343"/>
      <c r="I6142" s="343"/>
      <c r="J6142" s="343"/>
      <c r="K6142" s="343"/>
      <c r="L6142" s="343"/>
    </row>
    <row r="6143" spans="4:12" x14ac:dyDescent="0.2">
      <c r="D6143" s="341"/>
      <c r="F6143" s="343"/>
      <c r="G6143" s="343"/>
      <c r="H6143" s="343"/>
      <c r="I6143" s="343"/>
      <c r="J6143" s="343"/>
      <c r="K6143" s="343"/>
      <c r="L6143" s="343"/>
    </row>
    <row r="6144" spans="4:12" x14ac:dyDescent="0.2">
      <c r="D6144" s="341"/>
      <c r="F6144" s="343"/>
      <c r="G6144" s="343"/>
      <c r="H6144" s="343"/>
      <c r="I6144" s="343"/>
      <c r="J6144" s="343"/>
      <c r="K6144" s="343"/>
      <c r="L6144" s="343"/>
    </row>
    <row r="6145" spans="4:12" x14ac:dyDescent="0.2">
      <c r="D6145" s="341"/>
      <c r="F6145" s="343"/>
      <c r="G6145" s="343"/>
      <c r="H6145" s="343"/>
      <c r="I6145" s="343"/>
      <c r="J6145" s="343"/>
      <c r="K6145" s="343"/>
      <c r="L6145" s="343"/>
    </row>
    <row r="6146" spans="4:12" x14ac:dyDescent="0.2">
      <c r="D6146" s="341"/>
      <c r="F6146" s="343"/>
      <c r="G6146" s="343"/>
      <c r="H6146" s="343"/>
      <c r="I6146" s="343"/>
      <c r="J6146" s="343"/>
      <c r="K6146" s="343"/>
      <c r="L6146" s="343"/>
    </row>
    <row r="6147" spans="4:12" x14ac:dyDescent="0.2">
      <c r="D6147" s="341"/>
      <c r="F6147" s="343"/>
      <c r="G6147" s="343"/>
      <c r="H6147" s="343"/>
      <c r="I6147" s="343"/>
      <c r="J6147" s="343"/>
      <c r="K6147" s="343"/>
      <c r="L6147" s="343"/>
    </row>
    <row r="6148" spans="4:12" x14ac:dyDescent="0.2">
      <c r="D6148" s="341"/>
      <c r="F6148" s="343"/>
      <c r="G6148" s="343"/>
      <c r="H6148" s="343"/>
      <c r="I6148" s="343"/>
      <c r="J6148" s="343"/>
      <c r="K6148" s="343"/>
      <c r="L6148" s="343"/>
    </row>
    <row r="6149" spans="4:12" x14ac:dyDescent="0.2">
      <c r="D6149" s="341"/>
      <c r="F6149" s="343"/>
      <c r="G6149" s="343"/>
      <c r="H6149" s="343"/>
      <c r="I6149" s="343"/>
      <c r="J6149" s="343"/>
      <c r="K6149" s="343"/>
      <c r="L6149" s="343"/>
    </row>
    <row r="6150" spans="4:12" x14ac:dyDescent="0.2">
      <c r="D6150" s="341"/>
      <c r="F6150" s="343"/>
      <c r="G6150" s="343"/>
      <c r="H6150" s="343"/>
      <c r="I6150" s="343"/>
      <c r="J6150" s="343"/>
      <c r="K6150" s="343"/>
      <c r="L6150" s="343"/>
    </row>
    <row r="6151" spans="4:12" x14ac:dyDescent="0.2">
      <c r="D6151" s="341"/>
      <c r="F6151" s="343"/>
      <c r="G6151" s="343"/>
      <c r="H6151" s="343"/>
      <c r="I6151" s="343"/>
      <c r="J6151" s="343"/>
      <c r="K6151" s="343"/>
      <c r="L6151" s="343"/>
    </row>
    <row r="6152" spans="4:12" x14ac:dyDescent="0.2">
      <c r="D6152" s="341"/>
      <c r="F6152" s="343"/>
      <c r="G6152" s="343"/>
      <c r="H6152" s="343"/>
      <c r="I6152" s="343"/>
      <c r="J6152" s="343"/>
      <c r="K6152" s="343"/>
      <c r="L6152" s="343"/>
    </row>
    <row r="6153" spans="4:12" x14ac:dyDescent="0.2">
      <c r="D6153" s="341"/>
      <c r="F6153" s="343"/>
      <c r="G6153" s="343"/>
      <c r="H6153" s="343"/>
      <c r="I6153" s="343"/>
      <c r="J6153" s="343"/>
      <c r="K6153" s="343"/>
      <c r="L6153" s="343"/>
    </row>
    <row r="6154" spans="4:12" x14ac:dyDescent="0.2">
      <c r="D6154" s="341"/>
      <c r="F6154" s="343"/>
      <c r="G6154" s="343"/>
      <c r="H6154" s="343"/>
      <c r="I6154" s="343"/>
      <c r="J6154" s="343"/>
      <c r="K6154" s="343"/>
      <c r="L6154" s="343"/>
    </row>
    <row r="6155" spans="4:12" x14ac:dyDescent="0.2">
      <c r="D6155" s="341"/>
      <c r="F6155" s="343"/>
      <c r="G6155" s="343"/>
      <c r="H6155" s="343"/>
      <c r="I6155" s="343"/>
      <c r="J6155" s="343"/>
      <c r="K6155" s="343"/>
      <c r="L6155" s="343"/>
    </row>
    <row r="6156" spans="4:12" x14ac:dyDescent="0.2">
      <c r="D6156" s="341"/>
      <c r="F6156" s="343"/>
      <c r="G6156" s="343"/>
      <c r="H6156" s="343"/>
      <c r="I6156" s="343"/>
      <c r="J6156" s="343"/>
      <c r="K6156" s="343"/>
      <c r="L6156" s="343"/>
    </row>
    <row r="6157" spans="4:12" x14ac:dyDescent="0.2">
      <c r="D6157" s="341"/>
      <c r="F6157" s="343"/>
      <c r="G6157" s="343"/>
      <c r="H6157" s="343"/>
      <c r="I6157" s="343"/>
      <c r="J6157" s="343"/>
      <c r="K6157" s="343"/>
      <c r="L6157" s="343"/>
    </row>
    <row r="6158" spans="4:12" x14ac:dyDescent="0.2">
      <c r="D6158" s="341"/>
      <c r="F6158" s="343"/>
      <c r="G6158" s="343"/>
      <c r="H6158" s="343"/>
      <c r="I6158" s="343"/>
      <c r="J6158" s="343"/>
      <c r="K6158" s="343"/>
      <c r="L6158" s="343"/>
    </row>
    <row r="6159" spans="4:12" x14ac:dyDescent="0.2">
      <c r="D6159" s="341"/>
      <c r="F6159" s="343"/>
      <c r="G6159" s="343"/>
      <c r="H6159" s="343"/>
      <c r="I6159" s="343"/>
      <c r="J6159" s="343"/>
      <c r="K6159" s="343"/>
      <c r="L6159" s="343"/>
    </row>
    <row r="6160" spans="4:12" x14ac:dyDescent="0.2">
      <c r="D6160" s="341"/>
      <c r="F6160" s="343"/>
      <c r="G6160" s="343"/>
      <c r="H6160" s="343"/>
      <c r="I6160" s="343"/>
      <c r="J6160" s="343"/>
      <c r="K6160" s="343"/>
      <c r="L6160" s="343"/>
    </row>
    <row r="6161" spans="4:12" x14ac:dyDescent="0.2">
      <c r="D6161" s="341"/>
      <c r="F6161" s="343"/>
      <c r="G6161" s="343"/>
      <c r="H6161" s="343"/>
      <c r="I6161" s="343"/>
      <c r="J6161" s="343"/>
      <c r="K6161" s="343"/>
      <c r="L6161" s="343"/>
    </row>
    <row r="6162" spans="4:12" x14ac:dyDescent="0.2">
      <c r="D6162" s="341"/>
      <c r="F6162" s="343"/>
      <c r="G6162" s="343"/>
      <c r="H6162" s="343"/>
      <c r="I6162" s="343"/>
      <c r="J6162" s="343"/>
      <c r="K6162" s="343"/>
      <c r="L6162" s="343"/>
    </row>
    <row r="6163" spans="4:12" x14ac:dyDescent="0.2">
      <c r="D6163" s="341"/>
      <c r="F6163" s="343"/>
      <c r="G6163" s="343"/>
      <c r="H6163" s="343"/>
      <c r="I6163" s="343"/>
      <c r="J6163" s="343"/>
      <c r="K6163" s="343"/>
      <c r="L6163" s="343"/>
    </row>
    <row r="6164" spans="4:12" x14ac:dyDescent="0.2">
      <c r="D6164" s="341"/>
      <c r="F6164" s="343"/>
      <c r="G6164" s="343"/>
      <c r="H6164" s="343"/>
      <c r="I6164" s="343"/>
      <c r="J6164" s="343"/>
      <c r="K6164" s="343"/>
      <c r="L6164" s="343"/>
    </row>
    <row r="6165" spans="4:12" x14ac:dyDescent="0.2">
      <c r="D6165" s="341"/>
      <c r="F6165" s="343"/>
      <c r="G6165" s="343"/>
      <c r="H6165" s="343"/>
      <c r="I6165" s="343"/>
      <c r="J6165" s="343"/>
      <c r="K6165" s="343"/>
      <c r="L6165" s="343"/>
    </row>
    <row r="6166" spans="4:12" x14ac:dyDescent="0.2">
      <c r="D6166" s="341"/>
      <c r="F6166" s="343"/>
      <c r="G6166" s="343"/>
      <c r="H6166" s="343"/>
      <c r="I6166" s="343"/>
      <c r="J6166" s="343"/>
      <c r="K6166" s="343"/>
      <c r="L6166" s="343"/>
    </row>
    <row r="6167" spans="4:12" x14ac:dyDescent="0.2">
      <c r="D6167" s="341"/>
      <c r="F6167" s="343"/>
      <c r="G6167" s="343"/>
      <c r="H6167" s="343"/>
      <c r="I6167" s="343"/>
      <c r="J6167" s="343"/>
      <c r="K6167" s="343"/>
      <c r="L6167" s="343"/>
    </row>
    <row r="6168" spans="4:12" x14ac:dyDescent="0.2">
      <c r="D6168" s="341"/>
      <c r="F6168" s="343"/>
      <c r="G6168" s="343"/>
      <c r="H6168" s="343"/>
      <c r="I6168" s="343"/>
      <c r="J6168" s="343"/>
      <c r="K6168" s="343"/>
      <c r="L6168" s="343"/>
    </row>
    <row r="6169" spans="4:12" x14ac:dyDescent="0.2">
      <c r="D6169" s="341"/>
      <c r="F6169" s="343"/>
      <c r="G6169" s="343"/>
      <c r="H6169" s="343"/>
      <c r="I6169" s="343"/>
      <c r="J6169" s="343"/>
      <c r="K6169" s="343"/>
      <c r="L6169" s="343"/>
    </row>
    <row r="6170" spans="4:12" x14ac:dyDescent="0.2">
      <c r="D6170" s="341"/>
      <c r="F6170" s="343"/>
      <c r="G6170" s="343"/>
      <c r="H6170" s="343"/>
      <c r="I6170" s="343"/>
      <c r="J6170" s="343"/>
      <c r="K6170" s="343"/>
      <c r="L6170" s="343"/>
    </row>
    <row r="6171" spans="4:12" x14ac:dyDescent="0.2">
      <c r="D6171" s="341"/>
      <c r="F6171" s="343"/>
      <c r="G6171" s="343"/>
      <c r="H6171" s="343"/>
      <c r="I6171" s="343"/>
      <c r="J6171" s="343"/>
      <c r="K6171" s="343"/>
      <c r="L6171" s="343"/>
    </row>
    <row r="6172" spans="4:12" x14ac:dyDescent="0.2">
      <c r="D6172" s="341"/>
      <c r="F6172" s="343"/>
      <c r="G6172" s="343"/>
      <c r="H6172" s="343"/>
      <c r="I6172" s="343"/>
      <c r="J6172" s="343"/>
      <c r="K6172" s="343"/>
      <c r="L6172" s="343"/>
    </row>
    <row r="6173" spans="4:12" x14ac:dyDescent="0.2">
      <c r="D6173" s="341"/>
      <c r="F6173" s="343"/>
      <c r="G6173" s="343"/>
      <c r="H6173" s="343"/>
      <c r="I6173" s="343"/>
      <c r="J6173" s="343"/>
      <c r="K6173" s="343"/>
      <c r="L6173" s="343"/>
    </row>
    <row r="6174" spans="4:12" x14ac:dyDescent="0.2">
      <c r="D6174" s="341"/>
      <c r="F6174" s="343"/>
      <c r="G6174" s="343"/>
      <c r="H6174" s="343"/>
      <c r="I6174" s="343"/>
      <c r="J6174" s="343"/>
      <c r="K6174" s="343"/>
      <c r="L6174" s="343"/>
    </row>
    <row r="6175" spans="4:12" x14ac:dyDescent="0.2">
      <c r="D6175" s="341"/>
      <c r="F6175" s="343"/>
      <c r="G6175" s="343"/>
      <c r="H6175" s="343"/>
      <c r="I6175" s="343"/>
      <c r="J6175" s="343"/>
      <c r="K6175" s="343"/>
      <c r="L6175" s="343"/>
    </row>
    <row r="6176" spans="4:12" x14ac:dyDescent="0.2">
      <c r="D6176" s="341"/>
      <c r="F6176" s="343"/>
      <c r="G6176" s="343"/>
      <c r="H6176" s="343"/>
      <c r="I6176" s="343"/>
      <c r="J6176" s="343"/>
      <c r="K6176" s="343"/>
      <c r="L6176" s="343"/>
    </row>
    <row r="6177" spans="4:12" x14ac:dyDescent="0.2">
      <c r="D6177" s="341"/>
      <c r="F6177" s="343"/>
      <c r="G6177" s="343"/>
      <c r="H6177" s="343"/>
      <c r="I6177" s="343"/>
      <c r="J6177" s="343"/>
      <c r="K6177" s="343"/>
      <c r="L6177" s="343"/>
    </row>
    <row r="6178" spans="4:12" x14ac:dyDescent="0.2">
      <c r="D6178" s="341"/>
      <c r="F6178" s="343"/>
      <c r="G6178" s="343"/>
      <c r="H6178" s="343"/>
      <c r="I6178" s="343"/>
      <c r="J6178" s="343"/>
      <c r="K6178" s="343"/>
      <c r="L6178" s="343"/>
    </row>
    <row r="6179" spans="4:12" x14ac:dyDescent="0.2">
      <c r="D6179" s="341"/>
      <c r="F6179" s="343"/>
      <c r="G6179" s="343"/>
      <c r="H6179" s="343"/>
      <c r="I6179" s="343"/>
      <c r="J6179" s="343"/>
      <c r="K6179" s="343"/>
      <c r="L6179" s="343"/>
    </row>
    <row r="6180" spans="4:12" x14ac:dyDescent="0.2">
      <c r="D6180" s="341"/>
      <c r="F6180" s="343"/>
      <c r="G6180" s="343"/>
      <c r="H6180" s="343"/>
      <c r="I6180" s="343"/>
      <c r="J6180" s="343"/>
      <c r="K6180" s="343"/>
      <c r="L6180" s="343"/>
    </row>
    <row r="6181" spans="4:12" x14ac:dyDescent="0.2">
      <c r="D6181" s="341"/>
      <c r="F6181" s="343"/>
      <c r="G6181" s="343"/>
      <c r="H6181" s="343"/>
      <c r="I6181" s="343"/>
      <c r="J6181" s="343"/>
      <c r="K6181" s="343"/>
      <c r="L6181" s="343"/>
    </row>
    <row r="6182" spans="4:12" x14ac:dyDescent="0.2">
      <c r="D6182" s="341"/>
      <c r="F6182" s="343"/>
      <c r="G6182" s="343"/>
      <c r="H6182" s="343"/>
      <c r="I6182" s="343"/>
      <c r="J6182" s="343"/>
      <c r="K6182" s="343"/>
      <c r="L6182" s="343"/>
    </row>
    <row r="6183" spans="4:12" x14ac:dyDescent="0.2">
      <c r="D6183" s="341"/>
      <c r="F6183" s="343"/>
      <c r="G6183" s="343"/>
      <c r="H6183" s="343"/>
      <c r="I6183" s="343"/>
      <c r="J6183" s="343"/>
      <c r="K6183" s="343"/>
      <c r="L6183" s="343"/>
    </row>
    <row r="6184" spans="4:12" x14ac:dyDescent="0.2">
      <c r="D6184" s="341"/>
      <c r="F6184" s="343"/>
      <c r="G6184" s="343"/>
      <c r="H6184" s="343"/>
      <c r="I6184" s="343"/>
      <c r="J6184" s="343"/>
      <c r="K6184" s="343"/>
      <c r="L6184" s="343"/>
    </row>
    <row r="6185" spans="4:12" x14ac:dyDescent="0.2">
      <c r="D6185" s="341"/>
      <c r="F6185" s="343"/>
      <c r="G6185" s="343"/>
      <c r="H6185" s="343"/>
      <c r="I6185" s="343"/>
      <c r="J6185" s="343"/>
      <c r="K6185" s="343"/>
      <c r="L6185" s="343"/>
    </row>
    <row r="6186" spans="4:12" x14ac:dyDescent="0.2">
      <c r="D6186" s="341"/>
      <c r="F6186" s="343"/>
      <c r="G6186" s="343"/>
      <c r="H6186" s="343"/>
      <c r="I6186" s="343"/>
      <c r="J6186" s="343"/>
      <c r="K6186" s="343"/>
      <c r="L6186" s="343"/>
    </row>
    <row r="6187" spans="4:12" x14ac:dyDescent="0.2">
      <c r="D6187" s="341"/>
      <c r="F6187" s="343"/>
      <c r="G6187" s="343"/>
      <c r="H6187" s="343"/>
      <c r="I6187" s="343"/>
      <c r="J6187" s="343"/>
      <c r="K6187" s="343"/>
      <c r="L6187" s="343"/>
    </row>
    <row r="6188" spans="4:12" x14ac:dyDescent="0.2">
      <c r="D6188" s="341"/>
      <c r="F6188" s="343"/>
      <c r="G6188" s="343"/>
      <c r="H6188" s="343"/>
      <c r="I6188" s="343"/>
      <c r="J6188" s="343"/>
      <c r="K6188" s="343"/>
      <c r="L6188" s="343"/>
    </row>
    <row r="6189" spans="4:12" x14ac:dyDescent="0.2">
      <c r="D6189" s="341"/>
      <c r="F6189" s="343"/>
      <c r="G6189" s="343"/>
      <c r="H6189" s="343"/>
      <c r="I6189" s="343"/>
      <c r="J6189" s="343"/>
      <c r="K6189" s="343"/>
      <c r="L6189" s="343"/>
    </row>
    <row r="6190" spans="4:12" x14ac:dyDescent="0.2">
      <c r="D6190" s="341"/>
      <c r="F6190" s="343"/>
      <c r="G6190" s="343"/>
      <c r="H6190" s="343"/>
      <c r="I6190" s="343"/>
      <c r="J6190" s="343"/>
      <c r="K6190" s="343"/>
      <c r="L6190" s="343"/>
    </row>
    <row r="6191" spans="4:12" x14ac:dyDescent="0.2">
      <c r="D6191" s="341"/>
      <c r="F6191" s="343"/>
      <c r="G6191" s="343"/>
      <c r="H6191" s="343"/>
      <c r="I6191" s="343"/>
      <c r="J6191" s="343"/>
      <c r="K6191" s="343"/>
      <c r="L6191" s="343"/>
    </row>
    <row r="6192" spans="4:12" x14ac:dyDescent="0.2">
      <c r="D6192" s="341"/>
      <c r="F6192" s="343"/>
      <c r="G6192" s="343"/>
      <c r="H6192" s="343"/>
      <c r="I6192" s="343"/>
      <c r="J6192" s="343"/>
      <c r="K6192" s="343"/>
      <c r="L6192" s="343"/>
    </row>
    <row r="6193" spans="4:12" x14ac:dyDescent="0.2">
      <c r="D6193" s="341"/>
      <c r="F6193" s="343"/>
      <c r="G6193" s="343"/>
      <c r="H6193" s="343"/>
      <c r="I6193" s="343"/>
      <c r="J6193" s="343"/>
      <c r="K6193" s="343"/>
      <c r="L6193" s="343"/>
    </row>
    <row r="6194" spans="4:12" x14ac:dyDescent="0.2">
      <c r="D6194" s="341"/>
      <c r="F6194" s="343"/>
      <c r="G6194" s="343"/>
      <c r="H6194" s="343"/>
      <c r="I6194" s="343"/>
      <c r="J6194" s="343"/>
      <c r="K6194" s="343"/>
      <c r="L6194" s="343"/>
    </row>
    <row r="6195" spans="4:12" x14ac:dyDescent="0.2">
      <c r="D6195" s="341"/>
      <c r="F6195" s="343"/>
      <c r="G6195" s="343"/>
      <c r="H6195" s="343"/>
      <c r="I6195" s="343"/>
      <c r="J6195" s="343"/>
      <c r="K6195" s="343"/>
      <c r="L6195" s="343"/>
    </row>
    <row r="6196" spans="4:12" x14ac:dyDescent="0.2">
      <c r="D6196" s="341"/>
      <c r="F6196" s="343"/>
      <c r="G6196" s="343"/>
      <c r="H6196" s="343"/>
      <c r="I6196" s="343"/>
      <c r="J6196" s="343"/>
      <c r="K6196" s="343"/>
      <c r="L6196" s="343"/>
    </row>
    <row r="6197" spans="4:12" x14ac:dyDescent="0.2">
      <c r="D6197" s="341"/>
      <c r="F6197" s="343"/>
      <c r="G6197" s="343"/>
      <c r="H6197" s="343"/>
      <c r="I6197" s="343"/>
      <c r="J6197" s="343"/>
      <c r="K6197" s="343"/>
      <c r="L6197" s="343"/>
    </row>
    <row r="6198" spans="4:12" x14ac:dyDescent="0.2">
      <c r="D6198" s="341"/>
      <c r="F6198" s="343"/>
      <c r="G6198" s="343"/>
      <c r="H6198" s="343"/>
      <c r="I6198" s="343"/>
      <c r="J6198" s="343"/>
      <c r="K6198" s="343"/>
      <c r="L6198" s="343"/>
    </row>
    <row r="6199" spans="4:12" x14ac:dyDescent="0.2">
      <c r="D6199" s="341"/>
      <c r="F6199" s="343"/>
      <c r="G6199" s="343"/>
      <c r="H6199" s="343"/>
      <c r="I6199" s="343"/>
      <c r="J6199" s="343"/>
      <c r="K6199" s="343"/>
      <c r="L6199" s="343"/>
    </row>
    <row r="6200" spans="4:12" x14ac:dyDescent="0.2">
      <c r="D6200" s="341"/>
      <c r="F6200" s="343"/>
      <c r="G6200" s="343"/>
      <c r="H6200" s="343"/>
      <c r="I6200" s="343"/>
      <c r="J6200" s="343"/>
      <c r="K6200" s="343"/>
      <c r="L6200" s="343"/>
    </row>
    <row r="6201" spans="4:12" x14ac:dyDescent="0.2">
      <c r="D6201" s="341"/>
      <c r="F6201" s="343"/>
      <c r="G6201" s="343"/>
      <c r="H6201" s="343"/>
      <c r="I6201" s="343"/>
      <c r="J6201" s="343"/>
      <c r="K6201" s="343"/>
      <c r="L6201" s="343"/>
    </row>
    <row r="6202" spans="4:12" x14ac:dyDescent="0.2">
      <c r="D6202" s="341"/>
      <c r="F6202" s="343"/>
      <c r="G6202" s="343"/>
      <c r="H6202" s="343"/>
      <c r="I6202" s="343"/>
      <c r="J6202" s="343"/>
      <c r="K6202" s="343"/>
      <c r="L6202" s="343"/>
    </row>
    <row r="6203" spans="4:12" x14ac:dyDescent="0.2">
      <c r="D6203" s="341"/>
      <c r="F6203" s="343"/>
      <c r="G6203" s="343"/>
      <c r="H6203" s="343"/>
      <c r="I6203" s="343"/>
      <c r="J6203" s="343"/>
      <c r="K6203" s="343"/>
      <c r="L6203" s="343"/>
    </row>
    <row r="6204" spans="4:12" x14ac:dyDescent="0.2">
      <c r="D6204" s="341"/>
      <c r="F6204" s="343"/>
      <c r="G6204" s="343"/>
      <c r="H6204" s="343"/>
      <c r="I6204" s="343"/>
      <c r="J6204" s="343"/>
      <c r="K6204" s="343"/>
      <c r="L6204" s="343"/>
    </row>
    <row r="6205" spans="4:12" x14ac:dyDescent="0.2">
      <c r="D6205" s="341"/>
      <c r="F6205" s="343"/>
      <c r="G6205" s="343"/>
      <c r="H6205" s="343"/>
      <c r="I6205" s="343"/>
      <c r="J6205" s="343"/>
      <c r="K6205" s="343"/>
      <c r="L6205" s="343"/>
    </row>
    <row r="6206" spans="4:12" x14ac:dyDescent="0.2">
      <c r="D6206" s="341"/>
      <c r="F6206" s="343"/>
      <c r="G6206" s="343"/>
      <c r="H6206" s="343"/>
      <c r="I6206" s="343"/>
      <c r="J6206" s="343"/>
      <c r="K6206" s="343"/>
      <c r="L6206" s="343"/>
    </row>
    <row r="6207" spans="4:12" x14ac:dyDescent="0.2">
      <c r="D6207" s="341"/>
      <c r="F6207" s="343"/>
      <c r="G6207" s="343"/>
      <c r="H6207" s="343"/>
      <c r="I6207" s="343"/>
      <c r="J6207" s="343"/>
      <c r="K6207" s="343"/>
      <c r="L6207" s="343"/>
    </row>
    <row r="6208" spans="4:12" x14ac:dyDescent="0.2">
      <c r="D6208" s="341"/>
      <c r="F6208" s="343"/>
      <c r="G6208" s="343"/>
      <c r="H6208" s="343"/>
      <c r="I6208" s="343"/>
      <c r="J6208" s="343"/>
      <c r="K6208" s="343"/>
      <c r="L6208" s="343"/>
    </row>
    <row r="6209" spans="4:12" x14ac:dyDescent="0.2">
      <c r="D6209" s="341"/>
      <c r="F6209" s="343"/>
      <c r="G6209" s="343"/>
      <c r="H6209" s="343"/>
      <c r="I6209" s="343"/>
      <c r="J6209" s="343"/>
      <c r="K6209" s="343"/>
      <c r="L6209" s="343"/>
    </row>
    <row r="6210" spans="4:12" x14ac:dyDescent="0.2">
      <c r="D6210" s="341"/>
      <c r="F6210" s="343"/>
      <c r="G6210" s="343"/>
      <c r="H6210" s="343"/>
      <c r="I6210" s="343"/>
      <c r="J6210" s="343"/>
      <c r="K6210" s="343"/>
      <c r="L6210" s="343"/>
    </row>
    <row r="6211" spans="4:12" x14ac:dyDescent="0.2">
      <c r="D6211" s="341"/>
      <c r="F6211" s="343"/>
      <c r="G6211" s="343"/>
      <c r="H6211" s="343"/>
      <c r="I6211" s="343"/>
      <c r="J6211" s="343"/>
      <c r="K6211" s="343"/>
      <c r="L6211" s="343"/>
    </row>
    <row r="6212" spans="4:12" x14ac:dyDescent="0.2">
      <c r="D6212" s="341"/>
      <c r="F6212" s="343"/>
      <c r="G6212" s="343"/>
      <c r="H6212" s="343"/>
      <c r="I6212" s="343"/>
      <c r="J6212" s="343"/>
      <c r="K6212" s="343"/>
      <c r="L6212" s="343"/>
    </row>
    <row r="6213" spans="4:12" x14ac:dyDescent="0.2">
      <c r="D6213" s="341"/>
      <c r="F6213" s="343"/>
      <c r="G6213" s="343"/>
      <c r="H6213" s="343"/>
      <c r="I6213" s="343"/>
      <c r="J6213" s="343"/>
      <c r="K6213" s="343"/>
      <c r="L6213" s="343"/>
    </row>
    <row r="6214" spans="4:12" x14ac:dyDescent="0.2">
      <c r="D6214" s="341"/>
      <c r="F6214" s="343"/>
      <c r="G6214" s="343"/>
      <c r="H6214" s="343"/>
      <c r="I6214" s="343"/>
      <c r="J6214" s="343"/>
      <c r="K6214" s="343"/>
      <c r="L6214" s="343"/>
    </row>
    <row r="6215" spans="4:12" x14ac:dyDescent="0.2">
      <c r="D6215" s="341"/>
      <c r="F6215" s="343"/>
      <c r="G6215" s="343"/>
      <c r="H6215" s="343"/>
      <c r="I6215" s="343"/>
      <c r="J6215" s="343"/>
      <c r="K6215" s="343"/>
      <c r="L6215" s="343"/>
    </row>
    <row r="6216" spans="4:12" x14ac:dyDescent="0.2">
      <c r="D6216" s="341"/>
      <c r="F6216" s="343"/>
      <c r="G6216" s="343"/>
      <c r="H6216" s="343"/>
      <c r="I6216" s="343"/>
      <c r="J6216" s="343"/>
      <c r="K6216" s="343"/>
      <c r="L6216" s="343"/>
    </row>
    <row r="6217" spans="4:12" x14ac:dyDescent="0.2">
      <c r="D6217" s="341"/>
      <c r="F6217" s="343"/>
      <c r="G6217" s="343"/>
      <c r="H6217" s="343"/>
      <c r="I6217" s="343"/>
      <c r="J6217" s="343"/>
      <c r="K6217" s="343"/>
      <c r="L6217" s="343"/>
    </row>
    <row r="6218" spans="4:12" x14ac:dyDescent="0.2">
      <c r="D6218" s="341"/>
      <c r="F6218" s="343"/>
      <c r="G6218" s="343"/>
      <c r="H6218" s="343"/>
      <c r="I6218" s="343"/>
      <c r="J6218" s="343"/>
      <c r="K6218" s="343"/>
      <c r="L6218" s="343"/>
    </row>
    <row r="6219" spans="4:12" x14ac:dyDescent="0.2">
      <c r="D6219" s="341"/>
      <c r="F6219" s="343"/>
      <c r="G6219" s="343"/>
      <c r="H6219" s="343"/>
      <c r="I6219" s="343"/>
      <c r="J6219" s="343"/>
      <c r="K6219" s="343"/>
      <c r="L6219" s="343"/>
    </row>
    <row r="6220" spans="4:12" x14ac:dyDescent="0.2">
      <c r="D6220" s="341"/>
      <c r="F6220" s="343"/>
      <c r="G6220" s="343"/>
      <c r="H6220" s="343"/>
      <c r="I6220" s="343"/>
      <c r="J6220" s="343"/>
      <c r="K6220" s="343"/>
      <c r="L6220" s="343"/>
    </row>
    <row r="6221" spans="4:12" x14ac:dyDescent="0.2">
      <c r="D6221" s="341"/>
      <c r="F6221" s="343"/>
      <c r="G6221" s="343"/>
      <c r="H6221" s="343"/>
      <c r="I6221" s="343"/>
      <c r="J6221" s="343"/>
      <c r="K6221" s="343"/>
      <c r="L6221" s="343"/>
    </row>
    <row r="6222" spans="4:12" x14ac:dyDescent="0.2">
      <c r="D6222" s="341"/>
      <c r="F6222" s="343"/>
      <c r="G6222" s="343"/>
      <c r="H6222" s="343"/>
      <c r="I6222" s="343"/>
      <c r="J6222" s="343"/>
      <c r="K6222" s="343"/>
      <c r="L6222" s="343"/>
    </row>
    <row r="6223" spans="4:12" x14ac:dyDescent="0.2">
      <c r="D6223" s="341"/>
      <c r="F6223" s="343"/>
      <c r="G6223" s="343"/>
      <c r="H6223" s="343"/>
      <c r="I6223" s="343"/>
      <c r="J6223" s="343"/>
      <c r="K6223" s="343"/>
      <c r="L6223" s="343"/>
    </row>
    <row r="6224" spans="4:12" x14ac:dyDescent="0.2">
      <c r="D6224" s="341"/>
      <c r="F6224" s="343"/>
      <c r="G6224" s="343"/>
      <c r="H6224" s="343"/>
      <c r="I6224" s="343"/>
      <c r="J6224" s="343"/>
      <c r="K6224" s="343"/>
      <c r="L6224" s="343"/>
    </row>
    <row r="6225" spans="4:12" x14ac:dyDescent="0.2">
      <c r="D6225" s="341"/>
      <c r="F6225" s="343"/>
      <c r="G6225" s="343"/>
      <c r="H6225" s="343"/>
      <c r="I6225" s="343"/>
      <c r="J6225" s="343"/>
      <c r="K6225" s="343"/>
      <c r="L6225" s="343"/>
    </row>
    <row r="6226" spans="4:12" x14ac:dyDescent="0.2">
      <c r="D6226" s="341"/>
      <c r="F6226" s="343"/>
      <c r="G6226" s="343"/>
      <c r="H6226" s="343"/>
      <c r="I6226" s="343"/>
      <c r="J6226" s="343"/>
      <c r="K6226" s="343"/>
      <c r="L6226" s="343"/>
    </row>
    <row r="6227" spans="4:12" x14ac:dyDescent="0.2">
      <c r="D6227" s="341"/>
      <c r="F6227" s="343"/>
      <c r="G6227" s="343"/>
      <c r="H6227" s="343"/>
      <c r="I6227" s="343"/>
      <c r="J6227" s="343"/>
      <c r="K6227" s="343"/>
      <c r="L6227" s="343"/>
    </row>
    <row r="6228" spans="4:12" x14ac:dyDescent="0.2">
      <c r="D6228" s="341"/>
      <c r="F6228" s="343"/>
      <c r="G6228" s="343"/>
      <c r="H6228" s="343"/>
      <c r="I6228" s="343"/>
      <c r="J6228" s="343"/>
      <c r="K6228" s="343"/>
      <c r="L6228" s="343"/>
    </row>
    <row r="6229" spans="4:12" x14ac:dyDescent="0.2">
      <c r="D6229" s="341"/>
      <c r="F6229" s="343"/>
      <c r="G6229" s="343"/>
      <c r="H6229" s="343"/>
      <c r="I6229" s="343"/>
      <c r="J6229" s="343"/>
      <c r="K6229" s="343"/>
      <c r="L6229" s="343"/>
    </row>
    <row r="6230" spans="4:12" x14ac:dyDescent="0.2">
      <c r="D6230" s="341"/>
      <c r="F6230" s="343"/>
      <c r="G6230" s="343"/>
      <c r="H6230" s="343"/>
      <c r="I6230" s="343"/>
      <c r="J6230" s="343"/>
      <c r="K6230" s="343"/>
      <c r="L6230" s="343"/>
    </row>
    <row r="6231" spans="4:12" x14ac:dyDescent="0.2">
      <c r="D6231" s="341"/>
      <c r="F6231" s="343"/>
      <c r="G6231" s="343"/>
      <c r="H6231" s="343"/>
      <c r="I6231" s="343"/>
      <c r="J6231" s="343"/>
      <c r="K6231" s="343"/>
      <c r="L6231" s="343"/>
    </row>
    <row r="6232" spans="4:12" x14ac:dyDescent="0.2">
      <c r="D6232" s="341"/>
      <c r="F6232" s="343"/>
      <c r="G6232" s="343"/>
      <c r="H6232" s="343"/>
      <c r="I6232" s="343"/>
      <c r="J6232" s="343"/>
      <c r="K6232" s="343"/>
      <c r="L6232" s="343"/>
    </row>
    <row r="6233" spans="4:12" x14ac:dyDescent="0.2">
      <c r="D6233" s="341"/>
      <c r="F6233" s="343"/>
      <c r="G6233" s="343"/>
      <c r="H6233" s="343"/>
      <c r="I6233" s="343"/>
      <c r="J6233" s="343"/>
      <c r="K6233" s="343"/>
      <c r="L6233" s="343"/>
    </row>
    <row r="6234" spans="4:12" x14ac:dyDescent="0.2">
      <c r="D6234" s="341"/>
      <c r="F6234" s="343"/>
      <c r="G6234" s="343"/>
      <c r="H6234" s="343"/>
      <c r="I6234" s="343"/>
      <c r="J6234" s="343"/>
      <c r="K6234" s="343"/>
      <c r="L6234" s="343"/>
    </row>
    <row r="6235" spans="4:12" x14ac:dyDescent="0.2">
      <c r="D6235" s="341"/>
      <c r="F6235" s="343"/>
      <c r="G6235" s="343"/>
      <c r="H6235" s="343"/>
      <c r="I6235" s="343"/>
      <c r="J6235" s="343"/>
      <c r="K6235" s="343"/>
      <c r="L6235" s="343"/>
    </row>
    <row r="6236" spans="4:12" x14ac:dyDescent="0.2">
      <c r="D6236" s="341"/>
      <c r="F6236" s="343"/>
      <c r="G6236" s="343"/>
      <c r="H6236" s="343"/>
      <c r="I6236" s="343"/>
      <c r="J6236" s="343"/>
      <c r="K6236" s="343"/>
      <c r="L6236" s="343"/>
    </row>
    <row r="6237" spans="4:12" x14ac:dyDescent="0.2">
      <c r="D6237" s="341"/>
      <c r="F6237" s="343"/>
      <c r="G6237" s="343"/>
      <c r="H6237" s="343"/>
      <c r="I6237" s="343"/>
      <c r="J6237" s="343"/>
      <c r="K6237" s="343"/>
      <c r="L6237" s="343"/>
    </row>
    <row r="6238" spans="4:12" x14ac:dyDescent="0.2">
      <c r="D6238" s="341"/>
      <c r="F6238" s="343"/>
      <c r="G6238" s="343"/>
      <c r="H6238" s="343"/>
      <c r="I6238" s="343"/>
      <c r="J6238" s="343"/>
      <c r="K6238" s="343"/>
      <c r="L6238" s="343"/>
    </row>
    <row r="6239" spans="4:12" x14ac:dyDescent="0.2">
      <c r="D6239" s="341"/>
      <c r="F6239" s="343"/>
      <c r="G6239" s="343"/>
      <c r="H6239" s="343"/>
      <c r="I6239" s="343"/>
      <c r="J6239" s="343"/>
      <c r="K6239" s="343"/>
      <c r="L6239" s="343"/>
    </row>
    <row r="6240" spans="4:12" x14ac:dyDescent="0.2">
      <c r="D6240" s="341"/>
      <c r="F6240" s="343"/>
      <c r="G6240" s="343"/>
      <c r="H6240" s="343"/>
      <c r="I6240" s="343"/>
      <c r="J6240" s="343"/>
      <c r="K6240" s="343"/>
      <c r="L6240" s="343"/>
    </row>
    <row r="6241" spans="4:12" x14ac:dyDescent="0.2">
      <c r="D6241" s="341"/>
      <c r="F6241" s="343"/>
      <c r="G6241" s="343"/>
      <c r="H6241" s="343"/>
      <c r="I6241" s="343"/>
      <c r="J6241" s="343"/>
      <c r="K6241" s="343"/>
      <c r="L6241" s="343"/>
    </row>
    <row r="6242" spans="4:12" x14ac:dyDescent="0.2">
      <c r="D6242" s="341"/>
      <c r="F6242" s="343"/>
      <c r="G6242" s="343"/>
      <c r="H6242" s="343"/>
      <c r="I6242" s="343"/>
      <c r="J6242" s="343"/>
      <c r="K6242" s="343"/>
      <c r="L6242" s="343"/>
    </row>
    <row r="6243" spans="4:12" x14ac:dyDescent="0.2">
      <c r="D6243" s="341"/>
      <c r="F6243" s="343"/>
      <c r="G6243" s="343"/>
      <c r="H6243" s="343"/>
      <c r="I6243" s="343"/>
      <c r="J6243" s="343"/>
      <c r="K6243" s="343"/>
      <c r="L6243" s="343"/>
    </row>
    <row r="6244" spans="4:12" x14ac:dyDescent="0.2">
      <c r="D6244" s="341"/>
      <c r="F6244" s="343"/>
      <c r="G6244" s="343"/>
      <c r="H6244" s="343"/>
      <c r="I6244" s="343"/>
      <c r="J6244" s="343"/>
      <c r="K6244" s="343"/>
      <c r="L6244" s="343"/>
    </row>
    <row r="6245" spans="4:12" x14ac:dyDescent="0.2">
      <c r="D6245" s="341"/>
      <c r="F6245" s="343"/>
      <c r="G6245" s="343"/>
      <c r="H6245" s="343"/>
      <c r="I6245" s="343"/>
      <c r="J6245" s="343"/>
      <c r="K6245" s="343"/>
      <c r="L6245" s="343"/>
    </row>
    <row r="6246" spans="4:12" x14ac:dyDescent="0.2">
      <c r="D6246" s="341"/>
      <c r="F6246" s="343"/>
      <c r="G6246" s="343"/>
      <c r="H6246" s="343"/>
      <c r="I6246" s="343"/>
      <c r="J6246" s="343"/>
      <c r="K6246" s="343"/>
      <c r="L6246" s="343"/>
    </row>
    <row r="6247" spans="4:12" x14ac:dyDescent="0.2">
      <c r="D6247" s="341"/>
      <c r="F6247" s="343"/>
      <c r="G6247" s="343"/>
      <c r="H6247" s="343"/>
      <c r="I6247" s="343"/>
      <c r="J6247" s="343"/>
      <c r="K6247" s="343"/>
      <c r="L6247" s="343"/>
    </row>
    <row r="6248" spans="4:12" x14ac:dyDescent="0.2">
      <c r="D6248" s="341"/>
      <c r="F6248" s="343"/>
      <c r="G6248" s="343"/>
      <c r="H6248" s="343"/>
      <c r="I6248" s="343"/>
      <c r="J6248" s="343"/>
      <c r="K6248" s="343"/>
      <c r="L6248" s="343"/>
    </row>
    <row r="6249" spans="4:12" x14ac:dyDescent="0.2">
      <c r="D6249" s="341"/>
      <c r="F6249" s="343"/>
      <c r="G6249" s="343"/>
      <c r="H6249" s="343"/>
      <c r="I6249" s="343"/>
      <c r="J6249" s="343"/>
      <c r="K6249" s="343"/>
      <c r="L6249" s="343"/>
    </row>
    <row r="6250" spans="4:12" x14ac:dyDescent="0.2">
      <c r="D6250" s="341"/>
      <c r="F6250" s="343"/>
      <c r="G6250" s="343"/>
      <c r="H6250" s="343"/>
      <c r="I6250" s="343"/>
      <c r="J6250" s="343"/>
      <c r="K6250" s="343"/>
      <c r="L6250" s="343"/>
    </row>
    <row r="6251" spans="4:12" x14ac:dyDescent="0.2">
      <c r="D6251" s="341"/>
      <c r="F6251" s="343"/>
      <c r="G6251" s="343"/>
      <c r="H6251" s="343"/>
      <c r="I6251" s="343"/>
      <c r="J6251" s="343"/>
      <c r="K6251" s="343"/>
      <c r="L6251" s="343"/>
    </row>
    <row r="6252" spans="4:12" x14ac:dyDescent="0.2">
      <c r="D6252" s="341"/>
      <c r="F6252" s="343"/>
      <c r="G6252" s="343"/>
      <c r="H6252" s="343"/>
      <c r="I6252" s="343"/>
      <c r="J6252" s="343"/>
      <c r="K6252" s="343"/>
      <c r="L6252" s="343"/>
    </row>
    <row r="6253" spans="4:12" x14ac:dyDescent="0.2">
      <c r="D6253" s="341"/>
      <c r="F6253" s="343"/>
      <c r="G6253" s="343"/>
      <c r="H6253" s="343"/>
      <c r="I6253" s="343"/>
      <c r="J6253" s="343"/>
      <c r="K6253" s="343"/>
      <c r="L6253" s="343"/>
    </row>
    <row r="6254" spans="4:12" x14ac:dyDescent="0.2">
      <c r="D6254" s="341"/>
      <c r="F6254" s="343"/>
      <c r="G6254" s="343"/>
      <c r="H6254" s="343"/>
      <c r="I6254" s="343"/>
      <c r="J6254" s="343"/>
      <c r="K6254" s="343"/>
      <c r="L6254" s="343"/>
    </row>
    <row r="6255" spans="4:12" x14ac:dyDescent="0.2">
      <c r="D6255" s="341"/>
      <c r="F6255" s="343"/>
      <c r="G6255" s="343"/>
      <c r="H6255" s="343"/>
      <c r="I6255" s="343"/>
      <c r="J6255" s="343"/>
      <c r="K6255" s="343"/>
      <c r="L6255" s="343"/>
    </row>
    <row r="6256" spans="4:12" x14ac:dyDescent="0.2">
      <c r="D6256" s="341"/>
      <c r="F6256" s="343"/>
      <c r="G6256" s="343"/>
      <c r="H6256" s="343"/>
      <c r="I6256" s="343"/>
      <c r="J6256" s="343"/>
      <c r="K6256" s="343"/>
      <c r="L6256" s="343"/>
    </row>
    <row r="6257" spans="4:12" x14ac:dyDescent="0.2">
      <c r="D6257" s="341"/>
      <c r="F6257" s="343"/>
      <c r="G6257" s="343"/>
      <c r="H6257" s="343"/>
      <c r="I6257" s="343"/>
      <c r="J6257" s="343"/>
      <c r="K6257" s="343"/>
      <c r="L6257" s="343"/>
    </row>
    <row r="6258" spans="4:12" x14ac:dyDescent="0.2">
      <c r="D6258" s="341"/>
      <c r="F6258" s="343"/>
      <c r="G6258" s="343"/>
      <c r="H6258" s="343"/>
      <c r="I6258" s="343"/>
      <c r="J6258" s="343"/>
      <c r="K6258" s="343"/>
      <c r="L6258" s="343"/>
    </row>
    <row r="6259" spans="4:12" x14ac:dyDescent="0.2">
      <c r="D6259" s="341"/>
      <c r="F6259" s="343"/>
      <c r="G6259" s="343"/>
      <c r="H6259" s="343"/>
      <c r="I6259" s="343"/>
      <c r="J6259" s="343"/>
      <c r="K6259" s="343"/>
      <c r="L6259" s="343"/>
    </row>
    <row r="6260" spans="4:12" x14ac:dyDescent="0.2">
      <c r="D6260" s="341"/>
      <c r="F6260" s="343"/>
      <c r="G6260" s="343"/>
      <c r="H6260" s="343"/>
      <c r="I6260" s="343"/>
      <c r="J6260" s="343"/>
      <c r="K6260" s="343"/>
      <c r="L6260" s="343"/>
    </row>
    <row r="6261" spans="4:12" x14ac:dyDescent="0.2">
      <c r="D6261" s="341"/>
      <c r="F6261" s="343"/>
      <c r="G6261" s="343"/>
      <c r="H6261" s="343"/>
      <c r="I6261" s="343"/>
      <c r="J6261" s="343"/>
      <c r="K6261" s="343"/>
      <c r="L6261" s="343"/>
    </row>
    <row r="6262" spans="4:12" x14ac:dyDescent="0.2">
      <c r="D6262" s="341"/>
      <c r="F6262" s="343"/>
      <c r="G6262" s="343"/>
      <c r="H6262" s="343"/>
      <c r="I6262" s="343"/>
      <c r="J6262" s="343"/>
      <c r="K6262" s="343"/>
      <c r="L6262" s="343"/>
    </row>
    <row r="6263" spans="4:12" x14ac:dyDescent="0.2">
      <c r="D6263" s="341"/>
      <c r="F6263" s="343"/>
      <c r="G6263" s="343"/>
      <c r="H6263" s="343"/>
      <c r="I6263" s="343"/>
      <c r="J6263" s="343"/>
      <c r="K6263" s="343"/>
      <c r="L6263" s="343"/>
    </row>
    <row r="6264" spans="4:12" x14ac:dyDescent="0.2">
      <c r="D6264" s="341"/>
      <c r="F6264" s="343"/>
      <c r="G6264" s="343"/>
      <c r="H6264" s="343"/>
      <c r="I6264" s="343"/>
      <c r="J6264" s="343"/>
      <c r="K6264" s="343"/>
      <c r="L6264" s="343"/>
    </row>
    <row r="6265" spans="4:12" x14ac:dyDescent="0.2">
      <c r="D6265" s="341"/>
      <c r="F6265" s="343"/>
      <c r="G6265" s="343"/>
      <c r="H6265" s="343"/>
      <c r="I6265" s="343"/>
      <c r="J6265" s="343"/>
      <c r="K6265" s="343"/>
      <c r="L6265" s="343"/>
    </row>
    <row r="6266" spans="4:12" x14ac:dyDescent="0.2">
      <c r="D6266" s="341"/>
      <c r="F6266" s="343"/>
      <c r="G6266" s="343"/>
      <c r="H6266" s="343"/>
      <c r="I6266" s="343"/>
      <c r="J6266" s="343"/>
      <c r="K6266" s="343"/>
      <c r="L6266" s="343"/>
    </row>
    <row r="6267" spans="4:12" x14ac:dyDescent="0.2">
      <c r="D6267" s="341"/>
      <c r="F6267" s="343"/>
      <c r="G6267" s="343"/>
      <c r="H6267" s="343"/>
      <c r="I6267" s="343"/>
      <c r="J6267" s="343"/>
      <c r="K6267" s="343"/>
      <c r="L6267" s="343"/>
    </row>
    <row r="6268" spans="4:12" x14ac:dyDescent="0.2">
      <c r="D6268" s="341"/>
      <c r="F6268" s="343"/>
      <c r="G6268" s="343"/>
      <c r="H6268" s="343"/>
      <c r="I6268" s="343"/>
      <c r="J6268" s="343"/>
      <c r="K6268" s="343"/>
      <c r="L6268" s="343"/>
    </row>
    <row r="6269" spans="4:12" x14ac:dyDescent="0.2">
      <c r="D6269" s="341"/>
      <c r="F6269" s="343"/>
      <c r="G6269" s="343"/>
      <c r="H6269" s="343"/>
      <c r="I6269" s="343"/>
      <c r="J6269" s="343"/>
      <c r="K6269" s="343"/>
      <c r="L6269" s="343"/>
    </row>
    <row r="6270" spans="4:12" x14ac:dyDescent="0.2">
      <c r="D6270" s="341"/>
      <c r="F6270" s="343"/>
      <c r="G6270" s="343"/>
      <c r="H6270" s="343"/>
      <c r="I6270" s="343"/>
      <c r="J6270" s="343"/>
      <c r="K6270" s="343"/>
      <c r="L6270" s="343"/>
    </row>
    <row r="6271" spans="4:12" x14ac:dyDescent="0.2">
      <c r="D6271" s="341"/>
      <c r="F6271" s="343"/>
      <c r="G6271" s="343"/>
      <c r="H6271" s="343"/>
      <c r="I6271" s="343"/>
      <c r="J6271" s="343"/>
      <c r="K6271" s="343"/>
      <c r="L6271" s="343"/>
    </row>
    <row r="6272" spans="4:12" x14ac:dyDescent="0.2">
      <c r="D6272" s="341"/>
      <c r="F6272" s="343"/>
      <c r="G6272" s="343"/>
      <c r="H6272" s="343"/>
      <c r="I6272" s="343"/>
      <c r="J6272" s="343"/>
      <c r="K6272" s="343"/>
      <c r="L6272" s="343"/>
    </row>
    <row r="6273" spans="4:12" x14ac:dyDescent="0.2">
      <c r="D6273" s="341"/>
      <c r="F6273" s="343"/>
      <c r="G6273" s="343"/>
      <c r="H6273" s="343"/>
      <c r="I6273" s="343"/>
      <c r="J6273" s="343"/>
      <c r="K6273" s="343"/>
      <c r="L6273" s="343"/>
    </row>
    <row r="6274" spans="4:12" x14ac:dyDescent="0.2">
      <c r="D6274" s="341"/>
      <c r="F6274" s="343"/>
      <c r="G6274" s="343"/>
      <c r="H6274" s="343"/>
      <c r="I6274" s="343"/>
      <c r="J6274" s="343"/>
      <c r="K6274" s="343"/>
      <c r="L6274" s="343"/>
    </row>
    <row r="6275" spans="4:12" x14ac:dyDescent="0.2">
      <c r="D6275" s="341"/>
      <c r="F6275" s="343"/>
      <c r="G6275" s="343"/>
      <c r="H6275" s="343"/>
      <c r="I6275" s="343"/>
      <c r="J6275" s="343"/>
      <c r="K6275" s="343"/>
      <c r="L6275" s="343"/>
    </row>
    <row r="6276" spans="4:12" x14ac:dyDescent="0.2">
      <c r="D6276" s="341"/>
      <c r="F6276" s="343"/>
      <c r="G6276" s="343"/>
      <c r="H6276" s="343"/>
      <c r="I6276" s="343"/>
      <c r="J6276" s="343"/>
      <c r="K6276" s="343"/>
      <c r="L6276" s="343"/>
    </row>
    <row r="6277" spans="4:12" x14ac:dyDescent="0.2">
      <c r="D6277" s="341"/>
      <c r="F6277" s="343"/>
      <c r="G6277" s="343"/>
      <c r="H6277" s="343"/>
      <c r="I6277" s="343"/>
      <c r="J6277" s="343"/>
      <c r="K6277" s="343"/>
      <c r="L6277" s="343"/>
    </row>
    <row r="6278" spans="4:12" x14ac:dyDescent="0.2">
      <c r="D6278" s="341"/>
      <c r="F6278" s="343"/>
      <c r="G6278" s="343"/>
      <c r="H6278" s="343"/>
      <c r="I6278" s="343"/>
      <c r="J6278" s="343"/>
      <c r="K6278" s="343"/>
      <c r="L6278" s="343"/>
    </row>
    <row r="6279" spans="4:12" x14ac:dyDescent="0.2">
      <c r="D6279" s="341"/>
      <c r="F6279" s="343"/>
      <c r="G6279" s="343"/>
      <c r="H6279" s="343"/>
      <c r="I6279" s="343"/>
      <c r="J6279" s="343"/>
      <c r="K6279" s="343"/>
      <c r="L6279" s="343"/>
    </row>
    <row r="6280" spans="4:12" x14ac:dyDescent="0.2">
      <c r="D6280" s="341"/>
      <c r="F6280" s="343"/>
      <c r="G6280" s="343"/>
      <c r="H6280" s="343"/>
      <c r="I6280" s="343"/>
      <c r="J6280" s="343"/>
      <c r="K6280" s="343"/>
      <c r="L6280" s="343"/>
    </row>
    <row r="6281" spans="4:12" x14ac:dyDescent="0.2">
      <c r="D6281" s="341"/>
      <c r="F6281" s="343"/>
      <c r="G6281" s="343"/>
      <c r="H6281" s="343"/>
      <c r="I6281" s="343"/>
      <c r="J6281" s="343"/>
      <c r="K6281" s="343"/>
      <c r="L6281" s="343"/>
    </row>
    <row r="6282" spans="4:12" x14ac:dyDescent="0.2">
      <c r="D6282" s="341"/>
      <c r="F6282" s="343"/>
      <c r="G6282" s="343"/>
      <c r="H6282" s="343"/>
      <c r="I6282" s="343"/>
      <c r="J6282" s="343"/>
      <c r="K6282" s="343"/>
      <c r="L6282" s="343"/>
    </row>
    <row r="6283" spans="4:12" x14ac:dyDescent="0.2">
      <c r="D6283" s="341"/>
      <c r="F6283" s="343"/>
      <c r="G6283" s="343"/>
      <c r="H6283" s="343"/>
      <c r="I6283" s="343"/>
      <c r="J6283" s="343"/>
      <c r="K6283" s="343"/>
      <c r="L6283" s="343"/>
    </row>
    <row r="6284" spans="4:12" x14ac:dyDescent="0.2">
      <c r="D6284" s="341"/>
      <c r="F6284" s="343"/>
      <c r="G6284" s="343"/>
      <c r="H6284" s="343"/>
      <c r="I6284" s="343"/>
      <c r="J6284" s="343"/>
      <c r="K6284" s="343"/>
      <c r="L6284" s="343"/>
    </row>
    <row r="6285" spans="4:12" x14ac:dyDescent="0.2">
      <c r="D6285" s="341"/>
      <c r="F6285" s="343"/>
      <c r="G6285" s="343"/>
      <c r="H6285" s="343"/>
      <c r="I6285" s="343"/>
      <c r="J6285" s="343"/>
      <c r="K6285" s="343"/>
      <c r="L6285" s="343"/>
    </row>
    <row r="6286" spans="4:12" x14ac:dyDescent="0.2">
      <c r="D6286" s="341"/>
      <c r="F6286" s="343"/>
      <c r="G6286" s="343"/>
      <c r="H6286" s="343"/>
      <c r="I6286" s="343"/>
      <c r="J6286" s="343"/>
      <c r="K6286" s="343"/>
      <c r="L6286" s="343"/>
    </row>
    <row r="6287" spans="4:12" x14ac:dyDescent="0.2">
      <c r="D6287" s="341"/>
      <c r="F6287" s="343"/>
      <c r="G6287" s="343"/>
      <c r="H6287" s="343"/>
      <c r="I6287" s="343"/>
      <c r="J6287" s="343"/>
      <c r="K6287" s="343"/>
      <c r="L6287" s="343"/>
    </row>
    <row r="6288" spans="4:12" x14ac:dyDescent="0.2">
      <c r="D6288" s="341"/>
      <c r="F6288" s="343"/>
      <c r="G6288" s="343"/>
      <c r="H6288" s="343"/>
      <c r="I6288" s="343"/>
      <c r="J6288" s="343"/>
      <c r="K6288" s="343"/>
      <c r="L6288" s="343"/>
    </row>
    <row r="6289" spans="4:12" x14ac:dyDescent="0.2">
      <c r="D6289" s="341"/>
      <c r="F6289" s="343"/>
      <c r="G6289" s="343"/>
      <c r="H6289" s="343"/>
      <c r="I6289" s="343"/>
      <c r="J6289" s="343"/>
      <c r="K6289" s="343"/>
      <c r="L6289" s="343"/>
    </row>
    <row r="6290" spans="4:12" x14ac:dyDescent="0.2">
      <c r="D6290" s="341"/>
      <c r="F6290" s="343"/>
      <c r="G6290" s="343"/>
      <c r="H6290" s="343"/>
      <c r="I6290" s="343"/>
      <c r="J6290" s="343"/>
      <c r="K6290" s="343"/>
      <c r="L6290" s="343"/>
    </row>
    <row r="6291" spans="4:12" x14ac:dyDescent="0.2">
      <c r="D6291" s="341"/>
      <c r="F6291" s="343"/>
      <c r="G6291" s="343"/>
      <c r="H6291" s="343"/>
      <c r="I6291" s="343"/>
      <c r="J6291" s="343"/>
      <c r="K6291" s="343"/>
      <c r="L6291" s="343"/>
    </row>
    <row r="6292" spans="4:12" x14ac:dyDescent="0.2">
      <c r="D6292" s="341"/>
      <c r="F6292" s="343"/>
      <c r="G6292" s="343"/>
      <c r="H6292" s="343"/>
      <c r="I6292" s="343"/>
      <c r="J6292" s="343"/>
      <c r="K6292" s="343"/>
      <c r="L6292" s="343"/>
    </row>
    <row r="6293" spans="4:12" x14ac:dyDescent="0.2">
      <c r="D6293" s="341"/>
      <c r="F6293" s="343"/>
      <c r="G6293" s="343"/>
      <c r="H6293" s="343"/>
      <c r="I6293" s="343"/>
      <c r="J6293" s="343"/>
      <c r="K6293" s="343"/>
      <c r="L6293" s="343"/>
    </row>
    <row r="6294" spans="4:12" x14ac:dyDescent="0.2">
      <c r="D6294" s="341"/>
      <c r="F6294" s="343"/>
      <c r="G6294" s="343"/>
      <c r="H6294" s="343"/>
      <c r="I6294" s="343"/>
      <c r="J6294" s="343"/>
      <c r="K6294" s="343"/>
      <c r="L6294" s="343"/>
    </row>
    <row r="6295" spans="4:12" x14ac:dyDescent="0.2">
      <c r="D6295" s="341"/>
      <c r="F6295" s="343"/>
      <c r="G6295" s="343"/>
      <c r="H6295" s="343"/>
      <c r="I6295" s="343"/>
      <c r="J6295" s="343"/>
      <c r="K6295" s="343"/>
      <c r="L6295" s="343"/>
    </row>
    <row r="6296" spans="4:12" x14ac:dyDescent="0.2">
      <c r="D6296" s="341"/>
      <c r="F6296" s="343"/>
      <c r="G6296" s="343"/>
      <c r="H6296" s="343"/>
      <c r="I6296" s="343"/>
      <c r="J6296" s="343"/>
      <c r="K6296" s="343"/>
      <c r="L6296" s="343"/>
    </row>
    <row r="6297" spans="4:12" x14ac:dyDescent="0.2">
      <c r="D6297" s="341"/>
      <c r="F6297" s="343"/>
      <c r="G6297" s="343"/>
      <c r="H6297" s="343"/>
      <c r="I6297" s="343"/>
      <c r="J6297" s="343"/>
      <c r="K6297" s="343"/>
      <c r="L6297" s="343"/>
    </row>
    <row r="6298" spans="4:12" x14ac:dyDescent="0.2">
      <c r="D6298" s="341"/>
      <c r="F6298" s="343"/>
      <c r="G6298" s="343"/>
      <c r="H6298" s="343"/>
      <c r="I6298" s="343"/>
      <c r="J6298" s="343"/>
      <c r="K6298" s="343"/>
      <c r="L6298" s="343"/>
    </row>
    <row r="6299" spans="4:12" x14ac:dyDescent="0.2">
      <c r="D6299" s="341"/>
      <c r="F6299" s="343"/>
      <c r="G6299" s="343"/>
      <c r="H6299" s="343"/>
      <c r="I6299" s="343"/>
      <c r="J6299" s="343"/>
      <c r="K6299" s="343"/>
      <c r="L6299" s="343"/>
    </row>
    <row r="6300" spans="4:12" x14ac:dyDescent="0.2">
      <c r="D6300" s="341"/>
      <c r="F6300" s="343"/>
      <c r="G6300" s="343"/>
      <c r="H6300" s="343"/>
      <c r="I6300" s="343"/>
      <c r="J6300" s="343"/>
      <c r="K6300" s="343"/>
      <c r="L6300" s="343"/>
    </row>
    <row r="6301" spans="4:12" x14ac:dyDescent="0.2">
      <c r="D6301" s="341"/>
      <c r="F6301" s="343"/>
      <c r="G6301" s="343"/>
      <c r="H6301" s="343"/>
      <c r="I6301" s="343"/>
      <c r="J6301" s="343"/>
      <c r="K6301" s="343"/>
      <c r="L6301" s="343"/>
    </row>
    <row r="6302" spans="4:12" x14ac:dyDescent="0.2">
      <c r="D6302" s="341"/>
      <c r="F6302" s="343"/>
      <c r="G6302" s="343"/>
      <c r="H6302" s="343"/>
      <c r="I6302" s="343"/>
      <c r="J6302" s="343"/>
      <c r="K6302" s="343"/>
      <c r="L6302" s="343"/>
    </row>
    <row r="6303" spans="4:12" x14ac:dyDescent="0.2">
      <c r="D6303" s="341"/>
      <c r="F6303" s="343"/>
      <c r="G6303" s="343"/>
      <c r="H6303" s="343"/>
      <c r="I6303" s="343"/>
      <c r="J6303" s="343"/>
      <c r="K6303" s="343"/>
      <c r="L6303" s="343"/>
    </row>
    <row r="6304" spans="4:12" x14ac:dyDescent="0.2">
      <c r="D6304" s="341"/>
      <c r="F6304" s="343"/>
      <c r="G6304" s="343"/>
      <c r="H6304" s="343"/>
      <c r="I6304" s="343"/>
      <c r="J6304" s="343"/>
      <c r="K6304" s="343"/>
      <c r="L6304" s="343"/>
    </row>
    <row r="6305" spans="4:12" x14ac:dyDescent="0.2">
      <c r="D6305" s="341"/>
      <c r="F6305" s="343"/>
      <c r="G6305" s="343"/>
      <c r="H6305" s="343"/>
      <c r="I6305" s="343"/>
      <c r="J6305" s="343"/>
      <c r="K6305" s="343"/>
      <c r="L6305" s="343"/>
    </row>
    <row r="6306" spans="4:12" x14ac:dyDescent="0.2">
      <c r="D6306" s="341"/>
      <c r="F6306" s="343"/>
      <c r="G6306" s="343"/>
      <c r="H6306" s="343"/>
      <c r="I6306" s="343"/>
      <c r="J6306" s="343"/>
      <c r="K6306" s="343"/>
      <c r="L6306" s="343"/>
    </row>
    <row r="6307" spans="4:12" x14ac:dyDescent="0.2">
      <c r="D6307" s="341"/>
      <c r="F6307" s="343"/>
      <c r="G6307" s="343"/>
      <c r="H6307" s="343"/>
      <c r="I6307" s="343"/>
      <c r="J6307" s="343"/>
      <c r="K6307" s="343"/>
      <c r="L6307" s="343"/>
    </row>
    <row r="6308" spans="4:12" x14ac:dyDescent="0.2">
      <c r="D6308" s="341"/>
      <c r="F6308" s="343"/>
      <c r="G6308" s="343"/>
      <c r="H6308" s="343"/>
      <c r="I6308" s="343"/>
      <c r="J6308" s="343"/>
      <c r="K6308" s="343"/>
      <c r="L6308" s="343"/>
    </row>
    <row r="6309" spans="4:12" x14ac:dyDescent="0.2">
      <c r="D6309" s="341"/>
      <c r="F6309" s="343"/>
      <c r="G6309" s="343"/>
      <c r="H6309" s="343"/>
      <c r="I6309" s="343"/>
      <c r="J6309" s="343"/>
      <c r="K6309" s="343"/>
      <c r="L6309" s="343"/>
    </row>
    <row r="6310" spans="4:12" x14ac:dyDescent="0.2">
      <c r="D6310" s="341"/>
      <c r="F6310" s="343"/>
      <c r="G6310" s="343"/>
      <c r="H6310" s="343"/>
      <c r="I6310" s="343"/>
      <c r="J6310" s="343"/>
      <c r="K6310" s="343"/>
      <c r="L6310" s="343"/>
    </row>
    <row r="6311" spans="4:12" x14ac:dyDescent="0.2">
      <c r="D6311" s="341"/>
      <c r="F6311" s="343"/>
      <c r="G6311" s="343"/>
      <c r="H6311" s="343"/>
      <c r="I6311" s="343"/>
      <c r="J6311" s="343"/>
      <c r="K6311" s="343"/>
      <c r="L6311" s="343"/>
    </row>
    <row r="6312" spans="4:12" x14ac:dyDescent="0.2">
      <c r="D6312" s="341"/>
      <c r="F6312" s="343"/>
      <c r="G6312" s="343"/>
      <c r="H6312" s="343"/>
      <c r="I6312" s="343"/>
      <c r="J6312" s="343"/>
      <c r="K6312" s="343"/>
      <c r="L6312" s="343"/>
    </row>
    <row r="6313" spans="4:12" x14ac:dyDescent="0.2">
      <c r="D6313" s="341"/>
      <c r="F6313" s="343"/>
      <c r="G6313" s="343"/>
      <c r="H6313" s="343"/>
      <c r="I6313" s="343"/>
      <c r="J6313" s="343"/>
      <c r="K6313" s="343"/>
      <c r="L6313" s="343"/>
    </row>
    <row r="6314" spans="4:12" x14ac:dyDescent="0.2">
      <c r="D6314" s="341"/>
      <c r="F6314" s="343"/>
      <c r="G6314" s="343"/>
      <c r="H6314" s="343"/>
      <c r="I6314" s="343"/>
      <c r="J6314" s="343"/>
      <c r="K6314" s="343"/>
      <c r="L6314" s="343"/>
    </row>
    <row r="6315" spans="4:12" x14ac:dyDescent="0.2">
      <c r="D6315" s="341"/>
      <c r="F6315" s="343"/>
      <c r="G6315" s="343"/>
      <c r="H6315" s="343"/>
      <c r="I6315" s="343"/>
      <c r="J6315" s="343"/>
      <c r="K6315" s="343"/>
      <c r="L6315" s="343"/>
    </row>
    <row r="6316" spans="4:12" x14ac:dyDescent="0.2">
      <c r="D6316" s="341"/>
      <c r="F6316" s="343"/>
      <c r="G6316" s="343"/>
      <c r="H6316" s="343"/>
      <c r="I6316" s="343"/>
      <c r="J6316" s="343"/>
      <c r="K6316" s="343"/>
      <c r="L6316" s="343"/>
    </row>
    <row r="6317" spans="4:12" x14ac:dyDescent="0.2">
      <c r="D6317" s="341"/>
      <c r="F6317" s="343"/>
      <c r="G6317" s="343"/>
      <c r="H6317" s="343"/>
      <c r="I6317" s="343"/>
      <c r="J6317" s="343"/>
      <c r="K6317" s="343"/>
      <c r="L6317" s="343"/>
    </row>
    <row r="6318" spans="4:12" x14ac:dyDescent="0.2">
      <c r="D6318" s="341"/>
      <c r="F6318" s="343"/>
      <c r="G6318" s="343"/>
      <c r="H6318" s="343"/>
      <c r="I6318" s="343"/>
      <c r="J6318" s="343"/>
      <c r="K6318" s="343"/>
      <c r="L6318" s="343"/>
    </row>
    <row r="6319" spans="4:12" x14ac:dyDescent="0.2">
      <c r="D6319" s="341"/>
      <c r="F6319" s="343"/>
      <c r="G6319" s="343"/>
      <c r="H6319" s="343"/>
      <c r="I6319" s="343"/>
      <c r="J6319" s="343"/>
      <c r="K6319" s="343"/>
      <c r="L6319" s="343"/>
    </row>
    <row r="6320" spans="4:12" x14ac:dyDescent="0.2">
      <c r="D6320" s="341"/>
      <c r="F6320" s="343"/>
      <c r="G6320" s="343"/>
      <c r="H6320" s="343"/>
      <c r="I6320" s="343"/>
      <c r="J6320" s="343"/>
      <c r="K6320" s="343"/>
      <c r="L6320" s="343"/>
    </row>
    <row r="6321" spans="4:12" x14ac:dyDescent="0.2">
      <c r="D6321" s="341"/>
      <c r="F6321" s="343"/>
      <c r="G6321" s="343"/>
      <c r="H6321" s="343"/>
      <c r="I6321" s="343"/>
      <c r="J6321" s="343"/>
      <c r="K6321" s="343"/>
      <c r="L6321" s="343"/>
    </row>
    <row r="6322" spans="4:12" x14ac:dyDescent="0.2">
      <c r="D6322" s="341"/>
      <c r="F6322" s="343"/>
      <c r="G6322" s="343"/>
      <c r="H6322" s="343"/>
      <c r="I6322" s="343"/>
      <c r="J6322" s="343"/>
      <c r="K6322" s="343"/>
      <c r="L6322" s="343"/>
    </row>
    <row r="6323" spans="4:12" x14ac:dyDescent="0.2">
      <c r="D6323" s="341"/>
      <c r="F6323" s="343"/>
      <c r="G6323" s="343"/>
      <c r="H6323" s="343"/>
      <c r="I6323" s="343"/>
      <c r="J6323" s="343"/>
      <c r="K6323" s="343"/>
      <c r="L6323" s="343"/>
    </row>
    <row r="6324" spans="4:12" x14ac:dyDescent="0.2">
      <c r="D6324" s="341"/>
      <c r="F6324" s="343"/>
      <c r="G6324" s="343"/>
      <c r="H6324" s="343"/>
      <c r="I6324" s="343"/>
      <c r="J6324" s="343"/>
      <c r="K6324" s="343"/>
      <c r="L6324" s="343"/>
    </row>
    <row r="6325" spans="4:12" x14ac:dyDescent="0.2">
      <c r="D6325" s="341"/>
      <c r="F6325" s="343"/>
      <c r="G6325" s="343"/>
      <c r="H6325" s="343"/>
      <c r="I6325" s="343"/>
      <c r="J6325" s="343"/>
      <c r="K6325" s="343"/>
      <c r="L6325" s="343"/>
    </row>
    <row r="6326" spans="4:12" x14ac:dyDescent="0.2">
      <c r="D6326" s="341"/>
      <c r="F6326" s="343"/>
      <c r="G6326" s="343"/>
      <c r="H6326" s="343"/>
      <c r="I6326" s="343"/>
      <c r="J6326" s="343"/>
      <c r="K6326" s="343"/>
      <c r="L6326" s="343"/>
    </row>
    <row r="6327" spans="4:12" x14ac:dyDescent="0.2">
      <c r="D6327" s="341"/>
      <c r="F6327" s="343"/>
      <c r="G6327" s="343"/>
      <c r="H6327" s="343"/>
      <c r="I6327" s="343"/>
      <c r="J6327" s="343"/>
      <c r="K6327" s="343"/>
      <c r="L6327" s="343"/>
    </row>
    <row r="6328" spans="4:12" x14ac:dyDescent="0.2">
      <c r="D6328" s="341"/>
      <c r="F6328" s="343"/>
      <c r="G6328" s="343"/>
      <c r="H6328" s="343"/>
      <c r="I6328" s="343"/>
      <c r="J6328" s="343"/>
      <c r="K6328" s="343"/>
      <c r="L6328" s="343"/>
    </row>
    <row r="6329" spans="4:12" x14ac:dyDescent="0.2">
      <c r="D6329" s="341"/>
      <c r="F6329" s="343"/>
      <c r="G6329" s="343"/>
      <c r="H6329" s="343"/>
      <c r="I6329" s="343"/>
      <c r="J6329" s="343"/>
      <c r="K6329" s="343"/>
      <c r="L6329" s="343"/>
    </row>
    <row r="6330" spans="4:12" x14ac:dyDescent="0.2">
      <c r="D6330" s="341"/>
      <c r="F6330" s="343"/>
      <c r="G6330" s="343"/>
      <c r="H6330" s="343"/>
      <c r="I6330" s="343"/>
      <c r="J6330" s="343"/>
      <c r="K6330" s="343"/>
      <c r="L6330" s="343"/>
    </row>
    <row r="6331" spans="4:12" x14ac:dyDescent="0.2">
      <c r="D6331" s="341"/>
      <c r="F6331" s="343"/>
      <c r="G6331" s="343"/>
      <c r="H6331" s="343"/>
      <c r="I6331" s="343"/>
      <c r="J6331" s="343"/>
      <c r="K6331" s="343"/>
      <c r="L6331" s="343"/>
    </row>
    <row r="6332" spans="4:12" x14ac:dyDescent="0.2">
      <c r="D6332" s="341"/>
      <c r="F6332" s="343"/>
      <c r="G6332" s="343"/>
      <c r="H6332" s="343"/>
      <c r="I6332" s="343"/>
      <c r="J6332" s="343"/>
      <c r="K6332" s="343"/>
      <c r="L6332" s="343"/>
    </row>
    <row r="6333" spans="4:12" x14ac:dyDescent="0.2">
      <c r="D6333" s="341"/>
      <c r="F6333" s="343"/>
      <c r="G6333" s="343"/>
      <c r="H6333" s="343"/>
      <c r="I6333" s="343"/>
      <c r="J6333" s="343"/>
      <c r="K6333" s="343"/>
      <c r="L6333" s="343"/>
    </row>
    <row r="6334" spans="4:12" x14ac:dyDescent="0.2">
      <c r="D6334" s="341"/>
      <c r="F6334" s="343"/>
      <c r="G6334" s="343"/>
      <c r="H6334" s="343"/>
      <c r="I6334" s="343"/>
      <c r="J6334" s="343"/>
      <c r="K6334" s="343"/>
      <c r="L6334" s="343"/>
    </row>
    <row r="6335" spans="4:12" x14ac:dyDescent="0.2">
      <c r="D6335" s="341"/>
      <c r="F6335" s="343"/>
      <c r="G6335" s="343"/>
      <c r="H6335" s="343"/>
      <c r="I6335" s="343"/>
      <c r="J6335" s="343"/>
      <c r="K6335" s="343"/>
      <c r="L6335" s="343"/>
    </row>
    <row r="6336" spans="4:12" x14ac:dyDescent="0.2">
      <c r="D6336" s="341"/>
      <c r="F6336" s="343"/>
      <c r="G6336" s="343"/>
      <c r="H6336" s="343"/>
      <c r="I6336" s="343"/>
      <c r="J6336" s="343"/>
      <c r="K6336" s="343"/>
      <c r="L6336" s="343"/>
    </row>
    <row r="6337" spans="4:12" x14ac:dyDescent="0.2">
      <c r="D6337" s="341"/>
      <c r="F6337" s="343"/>
      <c r="G6337" s="343"/>
      <c r="H6337" s="343"/>
      <c r="I6337" s="343"/>
      <c r="J6337" s="343"/>
      <c r="K6337" s="343"/>
      <c r="L6337" s="343"/>
    </row>
    <row r="6338" spans="4:12" x14ac:dyDescent="0.2">
      <c r="D6338" s="341"/>
      <c r="F6338" s="343"/>
      <c r="G6338" s="343"/>
      <c r="H6338" s="343"/>
      <c r="I6338" s="343"/>
      <c r="J6338" s="343"/>
      <c r="K6338" s="343"/>
      <c r="L6338" s="343"/>
    </row>
    <row r="6339" spans="4:12" x14ac:dyDescent="0.2">
      <c r="D6339" s="341"/>
      <c r="F6339" s="343"/>
      <c r="G6339" s="343"/>
      <c r="H6339" s="343"/>
      <c r="I6339" s="343"/>
      <c r="J6339" s="343"/>
      <c r="K6339" s="343"/>
      <c r="L6339" s="343"/>
    </row>
    <row r="6340" spans="4:12" x14ac:dyDescent="0.2">
      <c r="D6340" s="341"/>
      <c r="F6340" s="343"/>
      <c r="G6340" s="343"/>
      <c r="H6340" s="343"/>
      <c r="I6340" s="343"/>
      <c r="J6340" s="343"/>
      <c r="K6340" s="343"/>
      <c r="L6340" s="343"/>
    </row>
    <row r="6341" spans="4:12" x14ac:dyDescent="0.2">
      <c r="D6341" s="341"/>
      <c r="F6341" s="343"/>
      <c r="G6341" s="343"/>
      <c r="H6341" s="343"/>
      <c r="I6341" s="343"/>
      <c r="J6341" s="343"/>
      <c r="K6341" s="343"/>
      <c r="L6341" s="343"/>
    </row>
    <row r="6342" spans="4:12" x14ac:dyDescent="0.2">
      <c r="D6342" s="341"/>
      <c r="F6342" s="343"/>
      <c r="G6342" s="343"/>
      <c r="H6342" s="343"/>
      <c r="I6342" s="343"/>
      <c r="J6342" s="343"/>
      <c r="K6342" s="343"/>
      <c r="L6342" s="343"/>
    </row>
    <row r="6343" spans="4:12" x14ac:dyDescent="0.2">
      <c r="D6343" s="341"/>
      <c r="F6343" s="343"/>
      <c r="G6343" s="343"/>
      <c r="H6343" s="343"/>
      <c r="I6343" s="343"/>
      <c r="J6343" s="343"/>
      <c r="K6343" s="343"/>
      <c r="L6343" s="343"/>
    </row>
    <row r="6344" spans="4:12" x14ac:dyDescent="0.2">
      <c r="D6344" s="341"/>
      <c r="F6344" s="343"/>
      <c r="G6344" s="343"/>
      <c r="H6344" s="343"/>
      <c r="I6344" s="343"/>
      <c r="J6344" s="343"/>
      <c r="K6344" s="343"/>
      <c r="L6344" s="343"/>
    </row>
    <row r="6345" spans="4:12" x14ac:dyDescent="0.2">
      <c r="D6345" s="341"/>
      <c r="F6345" s="343"/>
      <c r="G6345" s="343"/>
      <c r="H6345" s="343"/>
      <c r="I6345" s="343"/>
      <c r="J6345" s="343"/>
      <c r="K6345" s="343"/>
      <c r="L6345" s="343"/>
    </row>
    <row r="6346" spans="4:12" x14ac:dyDescent="0.2">
      <c r="D6346" s="341"/>
      <c r="F6346" s="343"/>
      <c r="G6346" s="343"/>
      <c r="H6346" s="343"/>
      <c r="I6346" s="343"/>
      <c r="J6346" s="343"/>
      <c r="K6346" s="343"/>
      <c r="L6346" s="343"/>
    </row>
    <row r="6347" spans="4:12" x14ac:dyDescent="0.2">
      <c r="D6347" s="341"/>
      <c r="F6347" s="343"/>
      <c r="G6347" s="343"/>
      <c r="H6347" s="343"/>
      <c r="I6347" s="343"/>
      <c r="J6347" s="343"/>
      <c r="K6347" s="343"/>
      <c r="L6347" s="343"/>
    </row>
    <row r="6348" spans="4:12" x14ac:dyDescent="0.2">
      <c r="D6348" s="341"/>
      <c r="F6348" s="343"/>
      <c r="G6348" s="343"/>
      <c r="H6348" s="343"/>
      <c r="I6348" s="343"/>
      <c r="J6348" s="343"/>
      <c r="K6348" s="343"/>
      <c r="L6348" s="343"/>
    </row>
    <row r="6349" spans="4:12" x14ac:dyDescent="0.2">
      <c r="D6349" s="341"/>
      <c r="F6349" s="343"/>
      <c r="G6349" s="343"/>
      <c r="H6349" s="343"/>
      <c r="I6349" s="343"/>
      <c r="J6349" s="343"/>
      <c r="K6349" s="343"/>
      <c r="L6349" s="343"/>
    </row>
    <row r="6350" spans="4:12" x14ac:dyDescent="0.2">
      <c r="D6350" s="341"/>
      <c r="F6350" s="343"/>
      <c r="G6350" s="343"/>
      <c r="H6350" s="343"/>
      <c r="I6350" s="343"/>
      <c r="J6350" s="343"/>
      <c r="K6350" s="343"/>
      <c r="L6350" s="343"/>
    </row>
    <row r="6351" spans="4:12" x14ac:dyDescent="0.2">
      <c r="D6351" s="341"/>
      <c r="F6351" s="343"/>
      <c r="G6351" s="343"/>
      <c r="H6351" s="343"/>
      <c r="I6351" s="343"/>
      <c r="J6351" s="343"/>
      <c r="K6351" s="343"/>
      <c r="L6351" s="343"/>
    </row>
    <row r="6352" spans="4:12" x14ac:dyDescent="0.2">
      <c r="D6352" s="341"/>
      <c r="F6352" s="343"/>
      <c r="G6352" s="343"/>
      <c r="H6352" s="343"/>
      <c r="I6352" s="343"/>
      <c r="J6352" s="343"/>
      <c r="K6352" s="343"/>
      <c r="L6352" s="343"/>
    </row>
    <row r="6353" spans="4:12" x14ac:dyDescent="0.2">
      <c r="D6353" s="341"/>
      <c r="F6353" s="343"/>
      <c r="G6353" s="343"/>
      <c r="H6353" s="343"/>
      <c r="I6353" s="343"/>
      <c r="J6353" s="343"/>
      <c r="K6353" s="343"/>
      <c r="L6353" s="343"/>
    </row>
    <row r="6354" spans="4:12" x14ac:dyDescent="0.2">
      <c r="D6354" s="341"/>
      <c r="F6354" s="343"/>
      <c r="G6354" s="343"/>
      <c r="H6354" s="343"/>
      <c r="I6354" s="343"/>
      <c r="J6354" s="343"/>
      <c r="K6354" s="343"/>
      <c r="L6354" s="343"/>
    </row>
    <row r="6355" spans="4:12" x14ac:dyDescent="0.2">
      <c r="D6355" s="341"/>
      <c r="F6355" s="343"/>
      <c r="G6355" s="343"/>
      <c r="H6355" s="343"/>
      <c r="I6355" s="343"/>
      <c r="J6355" s="343"/>
      <c r="K6355" s="343"/>
      <c r="L6355" s="343"/>
    </row>
    <row r="6356" spans="4:12" x14ac:dyDescent="0.2">
      <c r="D6356" s="341"/>
      <c r="F6356" s="343"/>
      <c r="G6356" s="343"/>
      <c r="H6356" s="343"/>
      <c r="I6356" s="343"/>
      <c r="J6356" s="343"/>
      <c r="K6356" s="343"/>
      <c r="L6356" s="343"/>
    </row>
    <row r="6357" spans="4:12" x14ac:dyDescent="0.2">
      <c r="D6357" s="341"/>
      <c r="F6357" s="343"/>
      <c r="G6357" s="343"/>
      <c r="H6357" s="343"/>
      <c r="I6357" s="343"/>
      <c r="J6357" s="343"/>
      <c r="K6357" s="343"/>
      <c r="L6357" s="343"/>
    </row>
    <row r="6358" spans="4:12" x14ac:dyDescent="0.2">
      <c r="D6358" s="341"/>
      <c r="F6358" s="343"/>
      <c r="G6358" s="343"/>
      <c r="H6358" s="343"/>
      <c r="I6358" s="343"/>
      <c r="J6358" s="343"/>
      <c r="K6358" s="343"/>
      <c r="L6358" s="343"/>
    </row>
    <row r="6359" spans="4:12" x14ac:dyDescent="0.2">
      <c r="D6359" s="341"/>
      <c r="F6359" s="343"/>
      <c r="G6359" s="343"/>
      <c r="H6359" s="343"/>
      <c r="I6359" s="343"/>
      <c r="J6359" s="343"/>
      <c r="K6359" s="343"/>
      <c r="L6359" s="343"/>
    </row>
    <row r="6360" spans="4:12" x14ac:dyDescent="0.2">
      <c r="D6360" s="341"/>
      <c r="F6360" s="343"/>
      <c r="G6360" s="343"/>
      <c r="H6360" s="343"/>
      <c r="I6360" s="343"/>
      <c r="J6360" s="343"/>
      <c r="K6360" s="343"/>
      <c r="L6360" s="343"/>
    </row>
    <row r="6361" spans="4:12" x14ac:dyDescent="0.2">
      <c r="D6361" s="341"/>
      <c r="F6361" s="343"/>
      <c r="G6361" s="343"/>
      <c r="H6361" s="343"/>
      <c r="I6361" s="343"/>
      <c r="J6361" s="343"/>
      <c r="K6361" s="343"/>
      <c r="L6361" s="343"/>
    </row>
    <row r="6362" spans="4:12" x14ac:dyDescent="0.2">
      <c r="D6362" s="341"/>
      <c r="F6362" s="343"/>
      <c r="G6362" s="343"/>
      <c r="H6362" s="343"/>
      <c r="I6362" s="343"/>
      <c r="J6362" s="343"/>
      <c r="K6362" s="343"/>
      <c r="L6362" s="343"/>
    </row>
    <row r="6363" spans="4:12" x14ac:dyDescent="0.2">
      <c r="D6363" s="341"/>
      <c r="F6363" s="343"/>
      <c r="G6363" s="343"/>
      <c r="H6363" s="343"/>
      <c r="I6363" s="343"/>
      <c r="J6363" s="343"/>
      <c r="K6363" s="343"/>
      <c r="L6363" s="343"/>
    </row>
    <row r="6364" spans="4:12" x14ac:dyDescent="0.2">
      <c r="D6364" s="341"/>
      <c r="F6364" s="343"/>
      <c r="G6364" s="343"/>
      <c r="H6364" s="343"/>
      <c r="I6364" s="343"/>
      <c r="J6364" s="343"/>
      <c r="K6364" s="343"/>
      <c r="L6364" s="343"/>
    </row>
    <row r="6365" spans="4:12" x14ac:dyDescent="0.2">
      <c r="D6365" s="341"/>
      <c r="F6365" s="343"/>
      <c r="G6365" s="343"/>
      <c r="H6365" s="343"/>
      <c r="I6365" s="343"/>
      <c r="J6365" s="343"/>
      <c r="K6365" s="343"/>
      <c r="L6365" s="343"/>
    </row>
    <row r="6366" spans="4:12" x14ac:dyDescent="0.2">
      <c r="D6366" s="341"/>
      <c r="F6366" s="343"/>
      <c r="G6366" s="343"/>
      <c r="H6366" s="343"/>
      <c r="I6366" s="343"/>
      <c r="J6366" s="343"/>
      <c r="K6366" s="343"/>
      <c r="L6366" s="343"/>
    </row>
    <row r="6367" spans="4:12" x14ac:dyDescent="0.2">
      <c r="D6367" s="341"/>
      <c r="F6367" s="343"/>
      <c r="G6367" s="343"/>
      <c r="H6367" s="343"/>
      <c r="I6367" s="343"/>
      <c r="J6367" s="343"/>
      <c r="K6367" s="343"/>
      <c r="L6367" s="343"/>
    </row>
    <row r="6368" spans="4:12" x14ac:dyDescent="0.2">
      <c r="D6368" s="341"/>
      <c r="F6368" s="343"/>
      <c r="G6368" s="343"/>
      <c r="H6368" s="343"/>
      <c r="I6368" s="343"/>
      <c r="J6368" s="343"/>
      <c r="K6368" s="343"/>
      <c r="L6368" s="343"/>
    </row>
    <row r="6369" spans="4:12" x14ac:dyDescent="0.2">
      <c r="D6369" s="341"/>
      <c r="F6369" s="343"/>
      <c r="G6369" s="343"/>
      <c r="H6369" s="343"/>
      <c r="I6369" s="343"/>
      <c r="J6369" s="343"/>
      <c r="K6369" s="343"/>
      <c r="L6369" s="343"/>
    </row>
    <row r="6370" spans="4:12" x14ac:dyDescent="0.2">
      <c r="D6370" s="341"/>
      <c r="F6370" s="343"/>
      <c r="G6370" s="343"/>
      <c r="H6370" s="343"/>
      <c r="I6370" s="343"/>
      <c r="J6370" s="343"/>
      <c r="K6370" s="343"/>
      <c r="L6370" s="343"/>
    </row>
    <row r="6371" spans="4:12" x14ac:dyDescent="0.2">
      <c r="D6371" s="341"/>
      <c r="F6371" s="343"/>
      <c r="G6371" s="343"/>
      <c r="H6371" s="343"/>
      <c r="I6371" s="343"/>
      <c r="J6371" s="343"/>
      <c r="K6371" s="343"/>
      <c r="L6371" s="343"/>
    </row>
    <row r="6372" spans="4:12" x14ac:dyDescent="0.2">
      <c r="D6372" s="341"/>
      <c r="F6372" s="343"/>
      <c r="G6372" s="343"/>
      <c r="H6372" s="343"/>
      <c r="I6372" s="343"/>
      <c r="J6372" s="343"/>
      <c r="K6372" s="343"/>
      <c r="L6372" s="343"/>
    </row>
    <row r="6373" spans="4:12" x14ac:dyDescent="0.2">
      <c r="D6373" s="341"/>
      <c r="F6373" s="343"/>
      <c r="G6373" s="343"/>
      <c r="H6373" s="343"/>
      <c r="I6373" s="343"/>
      <c r="J6373" s="343"/>
      <c r="K6373" s="343"/>
      <c r="L6373" s="343"/>
    </row>
    <row r="6374" spans="4:12" x14ac:dyDescent="0.2">
      <c r="D6374" s="341"/>
      <c r="F6374" s="343"/>
      <c r="G6374" s="343"/>
      <c r="H6374" s="343"/>
      <c r="I6374" s="343"/>
      <c r="J6374" s="343"/>
      <c r="K6374" s="343"/>
      <c r="L6374" s="343"/>
    </row>
    <row r="6375" spans="4:12" x14ac:dyDescent="0.2">
      <c r="D6375" s="341"/>
      <c r="F6375" s="343"/>
      <c r="G6375" s="343"/>
      <c r="H6375" s="343"/>
      <c r="I6375" s="343"/>
      <c r="J6375" s="343"/>
      <c r="K6375" s="343"/>
      <c r="L6375" s="343"/>
    </row>
    <row r="6376" spans="4:12" x14ac:dyDescent="0.2">
      <c r="D6376" s="341"/>
      <c r="F6376" s="343"/>
      <c r="G6376" s="343"/>
      <c r="H6376" s="343"/>
      <c r="I6376" s="343"/>
      <c r="J6376" s="343"/>
      <c r="K6376" s="343"/>
      <c r="L6376" s="343"/>
    </row>
    <row r="6377" spans="4:12" x14ac:dyDescent="0.2">
      <c r="D6377" s="341"/>
      <c r="F6377" s="343"/>
      <c r="G6377" s="343"/>
      <c r="H6377" s="343"/>
      <c r="I6377" s="343"/>
      <c r="J6377" s="343"/>
      <c r="K6377" s="343"/>
      <c r="L6377" s="343"/>
    </row>
    <row r="6378" spans="4:12" x14ac:dyDescent="0.2">
      <c r="D6378" s="341"/>
      <c r="F6378" s="343"/>
      <c r="G6378" s="343"/>
      <c r="H6378" s="343"/>
      <c r="I6378" s="343"/>
      <c r="J6378" s="343"/>
      <c r="K6378" s="343"/>
      <c r="L6378" s="343"/>
    </row>
    <row r="6379" spans="4:12" x14ac:dyDescent="0.2">
      <c r="D6379" s="341"/>
      <c r="F6379" s="343"/>
      <c r="G6379" s="343"/>
      <c r="H6379" s="343"/>
      <c r="I6379" s="343"/>
      <c r="J6379" s="343"/>
      <c r="K6379" s="343"/>
      <c r="L6379" s="343"/>
    </row>
    <row r="6380" spans="4:12" x14ac:dyDescent="0.2">
      <c r="D6380" s="341"/>
      <c r="F6380" s="343"/>
      <c r="G6380" s="343"/>
      <c r="H6380" s="343"/>
      <c r="I6380" s="343"/>
      <c r="J6380" s="343"/>
      <c r="K6380" s="343"/>
      <c r="L6380" s="343"/>
    </row>
    <row r="6381" spans="4:12" x14ac:dyDescent="0.2">
      <c r="D6381" s="341"/>
      <c r="F6381" s="343"/>
      <c r="G6381" s="343"/>
      <c r="H6381" s="343"/>
      <c r="I6381" s="343"/>
      <c r="J6381" s="343"/>
      <c r="K6381" s="343"/>
      <c r="L6381" s="343"/>
    </row>
    <row r="6382" spans="4:12" x14ac:dyDescent="0.2">
      <c r="D6382" s="341"/>
      <c r="F6382" s="343"/>
      <c r="G6382" s="343"/>
      <c r="H6382" s="343"/>
      <c r="I6382" s="343"/>
      <c r="J6382" s="343"/>
      <c r="K6382" s="343"/>
      <c r="L6382" s="343"/>
    </row>
    <row r="6383" spans="4:12" x14ac:dyDescent="0.2">
      <c r="D6383" s="341"/>
      <c r="F6383" s="343"/>
      <c r="G6383" s="343"/>
      <c r="H6383" s="343"/>
      <c r="I6383" s="343"/>
      <c r="J6383" s="343"/>
      <c r="K6383" s="343"/>
      <c r="L6383" s="343"/>
    </row>
    <row r="6384" spans="4:12" x14ac:dyDescent="0.2">
      <c r="D6384" s="341"/>
      <c r="F6384" s="343"/>
      <c r="G6384" s="343"/>
      <c r="H6384" s="343"/>
      <c r="I6384" s="343"/>
      <c r="J6384" s="343"/>
      <c r="K6384" s="343"/>
      <c r="L6384" s="343"/>
    </row>
    <row r="6385" spans="4:12" x14ac:dyDescent="0.2">
      <c r="D6385" s="341"/>
      <c r="F6385" s="343"/>
      <c r="G6385" s="343"/>
      <c r="H6385" s="343"/>
      <c r="I6385" s="343"/>
      <c r="J6385" s="343"/>
      <c r="K6385" s="343"/>
      <c r="L6385" s="343"/>
    </row>
    <row r="6386" spans="4:12" x14ac:dyDescent="0.2">
      <c r="D6386" s="341"/>
      <c r="F6386" s="343"/>
      <c r="G6386" s="343"/>
      <c r="H6386" s="343"/>
      <c r="I6386" s="343"/>
      <c r="J6386" s="343"/>
      <c r="K6386" s="343"/>
      <c r="L6386" s="343"/>
    </row>
    <row r="6387" spans="4:12" x14ac:dyDescent="0.2">
      <c r="D6387" s="341"/>
      <c r="F6387" s="343"/>
      <c r="G6387" s="343"/>
      <c r="H6387" s="343"/>
      <c r="I6387" s="343"/>
      <c r="J6387" s="343"/>
      <c r="K6387" s="343"/>
      <c r="L6387" s="343"/>
    </row>
    <row r="6388" spans="4:12" x14ac:dyDescent="0.2">
      <c r="D6388" s="341"/>
      <c r="F6388" s="343"/>
      <c r="G6388" s="343"/>
      <c r="H6388" s="343"/>
      <c r="I6388" s="343"/>
      <c r="J6388" s="343"/>
      <c r="K6388" s="343"/>
      <c r="L6388" s="343"/>
    </row>
    <row r="6389" spans="4:12" x14ac:dyDescent="0.2">
      <c r="D6389" s="341"/>
      <c r="F6389" s="343"/>
      <c r="G6389" s="343"/>
      <c r="H6389" s="343"/>
      <c r="I6389" s="343"/>
      <c r="J6389" s="343"/>
      <c r="K6389" s="343"/>
      <c r="L6389" s="343"/>
    </row>
    <row r="6390" spans="4:12" x14ac:dyDescent="0.2">
      <c r="D6390" s="341"/>
      <c r="F6390" s="343"/>
      <c r="G6390" s="343"/>
      <c r="H6390" s="343"/>
      <c r="I6390" s="343"/>
      <c r="J6390" s="343"/>
      <c r="K6390" s="343"/>
      <c r="L6390" s="343"/>
    </row>
    <row r="6391" spans="4:12" x14ac:dyDescent="0.2">
      <c r="D6391" s="341"/>
      <c r="F6391" s="343"/>
      <c r="G6391" s="343"/>
      <c r="H6391" s="343"/>
      <c r="I6391" s="343"/>
      <c r="J6391" s="343"/>
      <c r="K6391" s="343"/>
      <c r="L6391" s="343"/>
    </row>
    <row r="6392" spans="4:12" x14ac:dyDescent="0.2">
      <c r="D6392" s="341"/>
      <c r="F6392" s="343"/>
      <c r="G6392" s="343"/>
      <c r="H6392" s="343"/>
      <c r="I6392" s="343"/>
      <c r="J6392" s="343"/>
      <c r="K6392" s="343"/>
      <c r="L6392" s="343"/>
    </row>
    <row r="6393" spans="4:12" x14ac:dyDescent="0.2">
      <c r="D6393" s="341"/>
      <c r="F6393" s="343"/>
      <c r="G6393" s="343"/>
      <c r="H6393" s="343"/>
      <c r="I6393" s="343"/>
      <c r="J6393" s="343"/>
      <c r="K6393" s="343"/>
      <c r="L6393" s="343"/>
    </row>
    <row r="6394" spans="4:12" x14ac:dyDescent="0.2">
      <c r="D6394" s="341"/>
      <c r="F6394" s="343"/>
      <c r="G6394" s="343"/>
      <c r="H6394" s="343"/>
      <c r="I6394" s="343"/>
      <c r="J6394" s="343"/>
      <c r="K6394" s="343"/>
      <c r="L6394" s="343"/>
    </row>
    <row r="6395" spans="4:12" x14ac:dyDescent="0.2">
      <c r="D6395" s="341"/>
      <c r="F6395" s="343"/>
      <c r="G6395" s="343"/>
      <c r="H6395" s="343"/>
      <c r="I6395" s="343"/>
      <c r="J6395" s="343"/>
      <c r="K6395" s="343"/>
      <c r="L6395" s="343"/>
    </row>
    <row r="6396" spans="4:12" x14ac:dyDescent="0.2">
      <c r="D6396" s="341"/>
      <c r="F6396" s="343"/>
      <c r="G6396" s="343"/>
      <c r="H6396" s="343"/>
      <c r="I6396" s="343"/>
      <c r="J6396" s="343"/>
      <c r="K6396" s="343"/>
      <c r="L6396" s="343"/>
    </row>
    <row r="6397" spans="4:12" x14ac:dyDescent="0.2">
      <c r="D6397" s="341"/>
      <c r="F6397" s="343"/>
      <c r="G6397" s="343"/>
      <c r="H6397" s="343"/>
      <c r="I6397" s="343"/>
      <c r="J6397" s="343"/>
      <c r="K6397" s="343"/>
      <c r="L6397" s="343"/>
    </row>
    <row r="6398" spans="4:12" x14ac:dyDescent="0.2">
      <c r="D6398" s="341"/>
      <c r="F6398" s="343"/>
      <c r="G6398" s="343"/>
      <c r="H6398" s="343"/>
      <c r="I6398" s="343"/>
      <c r="J6398" s="343"/>
      <c r="K6398" s="343"/>
      <c r="L6398" s="343"/>
    </row>
    <row r="6399" spans="4:12" x14ac:dyDescent="0.2">
      <c r="D6399" s="341"/>
      <c r="F6399" s="343"/>
      <c r="G6399" s="343"/>
      <c r="H6399" s="343"/>
      <c r="I6399" s="343"/>
      <c r="J6399" s="343"/>
      <c r="K6399" s="343"/>
      <c r="L6399" s="343"/>
    </row>
    <row r="6400" spans="4:12" x14ac:dyDescent="0.2">
      <c r="D6400" s="341"/>
      <c r="F6400" s="343"/>
      <c r="G6400" s="343"/>
      <c r="H6400" s="343"/>
      <c r="I6400" s="343"/>
      <c r="J6400" s="343"/>
      <c r="K6400" s="343"/>
      <c r="L6400" s="343"/>
    </row>
    <row r="6401" spans="4:12" x14ac:dyDescent="0.2">
      <c r="D6401" s="341"/>
      <c r="F6401" s="343"/>
      <c r="G6401" s="343"/>
      <c r="H6401" s="343"/>
      <c r="I6401" s="343"/>
      <c r="J6401" s="343"/>
      <c r="K6401" s="343"/>
      <c r="L6401" s="343"/>
    </row>
    <row r="6402" spans="4:12" x14ac:dyDescent="0.2">
      <c r="D6402" s="341"/>
      <c r="F6402" s="343"/>
      <c r="G6402" s="343"/>
      <c r="H6402" s="343"/>
      <c r="I6402" s="343"/>
      <c r="J6402" s="343"/>
      <c r="K6402" s="343"/>
      <c r="L6402" s="343"/>
    </row>
    <row r="6403" spans="4:12" x14ac:dyDescent="0.2">
      <c r="D6403" s="341"/>
      <c r="F6403" s="343"/>
      <c r="G6403" s="343"/>
      <c r="H6403" s="343"/>
      <c r="I6403" s="343"/>
      <c r="J6403" s="343"/>
      <c r="K6403" s="343"/>
      <c r="L6403" s="343"/>
    </row>
    <row r="6404" spans="4:12" x14ac:dyDescent="0.2">
      <c r="D6404" s="341"/>
      <c r="F6404" s="343"/>
      <c r="G6404" s="343"/>
      <c r="H6404" s="343"/>
      <c r="I6404" s="343"/>
      <c r="J6404" s="343"/>
      <c r="K6404" s="343"/>
      <c r="L6404" s="343"/>
    </row>
    <row r="6405" spans="4:12" x14ac:dyDescent="0.2">
      <c r="D6405" s="341"/>
      <c r="F6405" s="343"/>
      <c r="G6405" s="343"/>
      <c r="H6405" s="343"/>
      <c r="I6405" s="343"/>
      <c r="J6405" s="343"/>
      <c r="K6405" s="343"/>
      <c r="L6405" s="343"/>
    </row>
    <row r="6406" spans="4:12" x14ac:dyDescent="0.2">
      <c r="D6406" s="341"/>
      <c r="F6406" s="343"/>
      <c r="G6406" s="343"/>
      <c r="H6406" s="343"/>
      <c r="I6406" s="343"/>
      <c r="J6406" s="343"/>
      <c r="K6406" s="343"/>
      <c r="L6406" s="343"/>
    </row>
    <row r="6407" spans="4:12" x14ac:dyDescent="0.2">
      <c r="D6407" s="341"/>
      <c r="F6407" s="343"/>
      <c r="G6407" s="343"/>
      <c r="H6407" s="343"/>
      <c r="I6407" s="343"/>
      <c r="J6407" s="343"/>
      <c r="K6407" s="343"/>
      <c r="L6407" s="343"/>
    </row>
    <row r="6408" spans="4:12" x14ac:dyDescent="0.2">
      <c r="D6408" s="341"/>
      <c r="F6408" s="343"/>
      <c r="G6408" s="343"/>
      <c r="H6408" s="343"/>
      <c r="I6408" s="343"/>
      <c r="J6408" s="343"/>
      <c r="K6408" s="343"/>
      <c r="L6408" s="343"/>
    </row>
    <row r="6409" spans="4:12" x14ac:dyDescent="0.2">
      <c r="D6409" s="341"/>
      <c r="F6409" s="343"/>
      <c r="G6409" s="343"/>
      <c r="H6409" s="343"/>
      <c r="I6409" s="343"/>
      <c r="J6409" s="343"/>
      <c r="K6409" s="343"/>
      <c r="L6409" s="343"/>
    </row>
    <row r="6410" spans="4:12" x14ac:dyDescent="0.2">
      <c r="D6410" s="341"/>
      <c r="F6410" s="343"/>
      <c r="G6410" s="343"/>
      <c r="H6410" s="343"/>
      <c r="I6410" s="343"/>
      <c r="J6410" s="343"/>
      <c r="K6410" s="343"/>
      <c r="L6410" s="343"/>
    </row>
    <row r="6411" spans="4:12" x14ac:dyDescent="0.2">
      <c r="D6411" s="341"/>
      <c r="F6411" s="343"/>
      <c r="G6411" s="343"/>
      <c r="H6411" s="343"/>
      <c r="I6411" s="343"/>
      <c r="J6411" s="343"/>
      <c r="K6411" s="343"/>
      <c r="L6411" s="343"/>
    </row>
    <row r="6412" spans="4:12" x14ac:dyDescent="0.2">
      <c r="D6412" s="341"/>
      <c r="F6412" s="343"/>
      <c r="G6412" s="343"/>
      <c r="H6412" s="343"/>
      <c r="I6412" s="343"/>
      <c r="J6412" s="343"/>
      <c r="K6412" s="343"/>
      <c r="L6412" s="343"/>
    </row>
    <row r="6413" spans="4:12" x14ac:dyDescent="0.2">
      <c r="D6413" s="341"/>
      <c r="F6413" s="343"/>
      <c r="G6413" s="343"/>
      <c r="H6413" s="343"/>
      <c r="I6413" s="343"/>
      <c r="J6413" s="343"/>
      <c r="K6413" s="343"/>
      <c r="L6413" s="343"/>
    </row>
    <row r="6414" spans="4:12" x14ac:dyDescent="0.2">
      <c r="D6414" s="341"/>
      <c r="F6414" s="343"/>
      <c r="G6414" s="343"/>
      <c r="H6414" s="343"/>
      <c r="I6414" s="343"/>
      <c r="J6414" s="343"/>
      <c r="K6414" s="343"/>
      <c r="L6414" s="343"/>
    </row>
    <row r="6415" spans="4:12" x14ac:dyDescent="0.2">
      <c r="D6415" s="341"/>
      <c r="F6415" s="343"/>
      <c r="G6415" s="343"/>
      <c r="H6415" s="343"/>
      <c r="I6415" s="343"/>
      <c r="J6415" s="343"/>
      <c r="K6415" s="343"/>
      <c r="L6415" s="343"/>
    </row>
    <row r="6416" spans="4:12" x14ac:dyDescent="0.2">
      <c r="D6416" s="341"/>
      <c r="F6416" s="343"/>
      <c r="G6416" s="343"/>
      <c r="H6416" s="343"/>
      <c r="I6416" s="343"/>
      <c r="J6416" s="343"/>
      <c r="K6416" s="343"/>
      <c r="L6416" s="343"/>
    </row>
    <row r="6417" spans="4:12" x14ac:dyDescent="0.2">
      <c r="D6417" s="341"/>
      <c r="F6417" s="343"/>
      <c r="G6417" s="343"/>
      <c r="H6417" s="343"/>
      <c r="I6417" s="343"/>
      <c r="J6417" s="343"/>
      <c r="K6417" s="343"/>
      <c r="L6417" s="343"/>
    </row>
    <row r="6418" spans="4:12" x14ac:dyDescent="0.2">
      <c r="D6418" s="341"/>
      <c r="F6418" s="343"/>
      <c r="G6418" s="343"/>
      <c r="H6418" s="343"/>
      <c r="I6418" s="343"/>
      <c r="J6418" s="343"/>
      <c r="K6418" s="343"/>
      <c r="L6418" s="343"/>
    </row>
    <row r="6419" spans="4:12" x14ac:dyDescent="0.2">
      <c r="D6419" s="341"/>
      <c r="F6419" s="343"/>
      <c r="G6419" s="343"/>
      <c r="H6419" s="343"/>
      <c r="I6419" s="343"/>
      <c r="J6419" s="343"/>
      <c r="K6419" s="343"/>
      <c r="L6419" s="343"/>
    </row>
    <row r="6420" spans="4:12" x14ac:dyDescent="0.2">
      <c r="D6420" s="341"/>
      <c r="F6420" s="343"/>
      <c r="G6420" s="343"/>
      <c r="H6420" s="343"/>
      <c r="I6420" s="343"/>
      <c r="J6420" s="343"/>
      <c r="K6420" s="343"/>
      <c r="L6420" s="343"/>
    </row>
    <row r="6421" spans="4:12" x14ac:dyDescent="0.2">
      <c r="D6421" s="341"/>
      <c r="F6421" s="343"/>
      <c r="G6421" s="343"/>
      <c r="H6421" s="343"/>
      <c r="I6421" s="343"/>
      <c r="J6421" s="343"/>
      <c r="K6421" s="343"/>
      <c r="L6421" s="343"/>
    </row>
    <row r="6422" spans="4:12" x14ac:dyDescent="0.2">
      <c r="D6422" s="341"/>
      <c r="F6422" s="343"/>
      <c r="G6422" s="343"/>
      <c r="H6422" s="343"/>
      <c r="I6422" s="343"/>
      <c r="J6422" s="343"/>
      <c r="K6422" s="343"/>
      <c r="L6422" s="343"/>
    </row>
    <row r="6423" spans="4:12" x14ac:dyDescent="0.2">
      <c r="D6423" s="341"/>
      <c r="F6423" s="343"/>
      <c r="G6423" s="343"/>
      <c r="H6423" s="343"/>
      <c r="I6423" s="343"/>
      <c r="J6423" s="343"/>
      <c r="K6423" s="343"/>
      <c r="L6423" s="343"/>
    </row>
    <row r="6424" spans="4:12" x14ac:dyDescent="0.2">
      <c r="D6424" s="341"/>
      <c r="F6424" s="343"/>
      <c r="G6424" s="343"/>
      <c r="H6424" s="343"/>
      <c r="I6424" s="343"/>
      <c r="J6424" s="343"/>
      <c r="K6424" s="343"/>
      <c r="L6424" s="343"/>
    </row>
    <row r="6425" spans="4:12" x14ac:dyDescent="0.2">
      <c r="D6425" s="341"/>
      <c r="F6425" s="343"/>
      <c r="G6425" s="343"/>
      <c r="H6425" s="343"/>
      <c r="I6425" s="343"/>
      <c r="J6425" s="343"/>
      <c r="K6425" s="343"/>
      <c r="L6425" s="343"/>
    </row>
    <row r="6426" spans="4:12" x14ac:dyDescent="0.2">
      <c r="D6426" s="341"/>
      <c r="F6426" s="343"/>
      <c r="G6426" s="343"/>
      <c r="H6426" s="343"/>
      <c r="I6426" s="343"/>
      <c r="J6426" s="343"/>
      <c r="K6426" s="343"/>
      <c r="L6426" s="343"/>
    </row>
    <row r="6427" spans="4:12" x14ac:dyDescent="0.2">
      <c r="D6427" s="341"/>
      <c r="F6427" s="343"/>
      <c r="G6427" s="343"/>
      <c r="H6427" s="343"/>
      <c r="I6427" s="343"/>
      <c r="J6427" s="343"/>
      <c r="K6427" s="343"/>
      <c r="L6427" s="343"/>
    </row>
    <row r="6428" spans="4:12" x14ac:dyDescent="0.2">
      <c r="D6428" s="341"/>
      <c r="F6428" s="343"/>
      <c r="G6428" s="343"/>
      <c r="H6428" s="343"/>
      <c r="I6428" s="343"/>
      <c r="J6428" s="343"/>
      <c r="K6428" s="343"/>
      <c r="L6428" s="343"/>
    </row>
    <row r="6429" spans="4:12" x14ac:dyDescent="0.2">
      <c r="D6429" s="341"/>
      <c r="F6429" s="343"/>
      <c r="G6429" s="343"/>
      <c r="H6429" s="343"/>
      <c r="I6429" s="343"/>
      <c r="J6429" s="343"/>
      <c r="K6429" s="343"/>
      <c r="L6429" s="343"/>
    </row>
    <row r="6430" spans="4:12" x14ac:dyDescent="0.2">
      <c r="D6430" s="341"/>
      <c r="F6430" s="343"/>
      <c r="G6430" s="343"/>
      <c r="H6430" s="343"/>
      <c r="I6430" s="343"/>
      <c r="J6430" s="343"/>
      <c r="K6430" s="343"/>
      <c r="L6430" s="343"/>
    </row>
    <row r="6431" spans="4:12" x14ac:dyDescent="0.2">
      <c r="D6431" s="341"/>
      <c r="F6431" s="343"/>
      <c r="G6431" s="343"/>
      <c r="H6431" s="343"/>
      <c r="I6431" s="343"/>
      <c r="J6431" s="343"/>
      <c r="K6431" s="343"/>
      <c r="L6431" s="343"/>
    </row>
    <row r="6432" spans="4:12" x14ac:dyDescent="0.2">
      <c r="D6432" s="341"/>
      <c r="F6432" s="343"/>
      <c r="G6432" s="343"/>
      <c r="H6432" s="343"/>
      <c r="I6432" s="343"/>
      <c r="J6432" s="343"/>
      <c r="K6432" s="343"/>
      <c r="L6432" s="343"/>
    </row>
    <row r="6433" spans="4:12" x14ac:dyDescent="0.2">
      <c r="D6433" s="341"/>
      <c r="F6433" s="343"/>
      <c r="G6433" s="343"/>
      <c r="H6433" s="343"/>
      <c r="I6433" s="343"/>
      <c r="J6433" s="343"/>
      <c r="K6433" s="343"/>
      <c r="L6433" s="343"/>
    </row>
    <row r="6434" spans="4:12" x14ac:dyDescent="0.2">
      <c r="D6434" s="341"/>
      <c r="F6434" s="343"/>
      <c r="G6434" s="343"/>
      <c r="H6434" s="343"/>
      <c r="I6434" s="343"/>
      <c r="J6434" s="343"/>
      <c r="K6434" s="343"/>
      <c r="L6434" s="343"/>
    </row>
    <row r="6435" spans="4:12" x14ac:dyDescent="0.2">
      <c r="D6435" s="341"/>
      <c r="F6435" s="343"/>
      <c r="G6435" s="343"/>
      <c r="H6435" s="343"/>
      <c r="I6435" s="343"/>
      <c r="J6435" s="343"/>
      <c r="K6435" s="343"/>
      <c r="L6435" s="343"/>
    </row>
    <row r="6436" spans="4:12" x14ac:dyDescent="0.2">
      <c r="D6436" s="341"/>
      <c r="F6436" s="343"/>
      <c r="G6436" s="343"/>
      <c r="H6436" s="343"/>
      <c r="I6436" s="343"/>
      <c r="J6436" s="343"/>
      <c r="K6436" s="343"/>
      <c r="L6436" s="343"/>
    </row>
    <row r="6437" spans="4:12" x14ac:dyDescent="0.2">
      <c r="D6437" s="341"/>
      <c r="F6437" s="343"/>
      <c r="G6437" s="343"/>
      <c r="H6437" s="343"/>
      <c r="I6437" s="343"/>
      <c r="J6437" s="343"/>
      <c r="K6437" s="343"/>
      <c r="L6437" s="343"/>
    </row>
    <row r="6438" spans="4:12" x14ac:dyDescent="0.2">
      <c r="D6438" s="341"/>
      <c r="F6438" s="343"/>
      <c r="G6438" s="343"/>
      <c r="H6438" s="343"/>
      <c r="I6438" s="343"/>
      <c r="J6438" s="343"/>
      <c r="K6438" s="343"/>
      <c r="L6438" s="343"/>
    </row>
    <row r="6439" spans="4:12" x14ac:dyDescent="0.2">
      <c r="D6439" s="341"/>
      <c r="F6439" s="343"/>
      <c r="G6439" s="343"/>
      <c r="H6439" s="343"/>
      <c r="I6439" s="343"/>
      <c r="J6439" s="343"/>
      <c r="K6439" s="343"/>
      <c r="L6439" s="343"/>
    </row>
    <row r="6440" spans="4:12" x14ac:dyDescent="0.2">
      <c r="D6440" s="341"/>
      <c r="F6440" s="343"/>
      <c r="G6440" s="343"/>
      <c r="H6440" s="343"/>
      <c r="I6440" s="343"/>
      <c r="J6440" s="343"/>
      <c r="K6440" s="343"/>
      <c r="L6440" s="343"/>
    </row>
    <row r="6441" spans="4:12" x14ac:dyDescent="0.2">
      <c r="D6441" s="341"/>
      <c r="F6441" s="343"/>
      <c r="G6441" s="343"/>
      <c r="H6441" s="343"/>
      <c r="I6441" s="343"/>
      <c r="J6441" s="343"/>
      <c r="K6441" s="343"/>
      <c r="L6441" s="343"/>
    </row>
    <row r="6442" spans="4:12" x14ac:dyDescent="0.2">
      <c r="D6442" s="341"/>
      <c r="F6442" s="343"/>
      <c r="G6442" s="343"/>
      <c r="H6442" s="343"/>
      <c r="I6442" s="343"/>
      <c r="J6442" s="343"/>
      <c r="K6442" s="343"/>
      <c r="L6442" s="343"/>
    </row>
    <row r="6443" spans="4:12" x14ac:dyDescent="0.2">
      <c r="D6443" s="341"/>
      <c r="F6443" s="343"/>
      <c r="G6443" s="343"/>
      <c r="H6443" s="343"/>
      <c r="I6443" s="343"/>
      <c r="J6443" s="343"/>
      <c r="K6443" s="343"/>
      <c r="L6443" s="343"/>
    </row>
    <row r="6444" spans="4:12" x14ac:dyDescent="0.2">
      <c r="D6444" s="341"/>
      <c r="F6444" s="343"/>
      <c r="G6444" s="343"/>
      <c r="H6444" s="343"/>
      <c r="I6444" s="343"/>
      <c r="J6444" s="343"/>
      <c r="K6444" s="343"/>
      <c r="L6444" s="343"/>
    </row>
    <row r="6445" spans="4:12" x14ac:dyDescent="0.2">
      <c r="D6445" s="341"/>
      <c r="F6445" s="343"/>
      <c r="G6445" s="343"/>
      <c r="H6445" s="343"/>
      <c r="I6445" s="343"/>
      <c r="J6445" s="343"/>
      <c r="K6445" s="343"/>
      <c r="L6445" s="343"/>
    </row>
    <row r="6446" spans="4:12" x14ac:dyDescent="0.2">
      <c r="D6446" s="341"/>
      <c r="F6446" s="343"/>
      <c r="G6446" s="343"/>
      <c r="H6446" s="343"/>
      <c r="I6446" s="343"/>
      <c r="J6446" s="343"/>
      <c r="K6446" s="343"/>
      <c r="L6446" s="343"/>
    </row>
    <row r="6447" spans="4:12" x14ac:dyDescent="0.2">
      <c r="D6447" s="341"/>
      <c r="F6447" s="343"/>
      <c r="G6447" s="343"/>
      <c r="H6447" s="343"/>
      <c r="I6447" s="343"/>
      <c r="J6447" s="343"/>
      <c r="K6447" s="343"/>
      <c r="L6447" s="343"/>
    </row>
    <row r="6448" spans="4:12" x14ac:dyDescent="0.2">
      <c r="D6448" s="341"/>
      <c r="F6448" s="343"/>
      <c r="G6448" s="343"/>
      <c r="H6448" s="343"/>
      <c r="I6448" s="343"/>
      <c r="J6448" s="343"/>
      <c r="K6448" s="343"/>
      <c r="L6448" s="343"/>
    </row>
    <row r="6449" spans="4:12" x14ac:dyDescent="0.2">
      <c r="D6449" s="341"/>
      <c r="F6449" s="343"/>
      <c r="G6449" s="343"/>
      <c r="H6449" s="343"/>
      <c r="I6449" s="343"/>
      <c r="J6449" s="343"/>
      <c r="K6449" s="343"/>
      <c r="L6449" s="343"/>
    </row>
    <row r="6450" spans="4:12" x14ac:dyDescent="0.2">
      <c r="D6450" s="341"/>
      <c r="F6450" s="343"/>
      <c r="G6450" s="343"/>
      <c r="H6450" s="343"/>
      <c r="I6450" s="343"/>
      <c r="J6450" s="343"/>
      <c r="K6450" s="343"/>
      <c r="L6450" s="343"/>
    </row>
    <row r="6451" spans="4:12" x14ac:dyDescent="0.2">
      <c r="D6451" s="341"/>
      <c r="F6451" s="343"/>
      <c r="G6451" s="343"/>
      <c r="H6451" s="343"/>
      <c r="I6451" s="343"/>
      <c r="J6451" s="343"/>
      <c r="K6451" s="343"/>
      <c r="L6451" s="343"/>
    </row>
    <row r="6452" spans="4:12" x14ac:dyDescent="0.2">
      <c r="D6452" s="341"/>
      <c r="F6452" s="343"/>
      <c r="G6452" s="343"/>
      <c r="H6452" s="343"/>
      <c r="I6452" s="343"/>
      <c r="J6452" s="343"/>
      <c r="K6452" s="343"/>
      <c r="L6452" s="343"/>
    </row>
    <row r="6453" spans="4:12" x14ac:dyDescent="0.2">
      <c r="D6453" s="341"/>
      <c r="F6453" s="343"/>
      <c r="G6453" s="343"/>
      <c r="H6453" s="343"/>
      <c r="I6453" s="343"/>
      <c r="J6453" s="343"/>
      <c r="K6453" s="343"/>
      <c r="L6453" s="343"/>
    </row>
    <row r="6454" spans="4:12" x14ac:dyDescent="0.2">
      <c r="D6454" s="341"/>
      <c r="F6454" s="343"/>
      <c r="G6454" s="343"/>
      <c r="H6454" s="343"/>
      <c r="I6454" s="343"/>
      <c r="J6454" s="343"/>
      <c r="K6454" s="343"/>
      <c r="L6454" s="343"/>
    </row>
    <row r="6455" spans="4:12" x14ac:dyDescent="0.2">
      <c r="D6455" s="341"/>
      <c r="F6455" s="343"/>
      <c r="G6455" s="343"/>
      <c r="H6455" s="343"/>
      <c r="I6455" s="343"/>
      <c r="J6455" s="343"/>
      <c r="K6455" s="343"/>
      <c r="L6455" s="343"/>
    </row>
    <row r="6456" spans="4:12" x14ac:dyDescent="0.2">
      <c r="D6456" s="341"/>
      <c r="F6456" s="343"/>
      <c r="G6456" s="343"/>
      <c r="H6456" s="343"/>
      <c r="I6456" s="343"/>
      <c r="J6456" s="343"/>
      <c r="K6456" s="343"/>
      <c r="L6456" s="343"/>
    </row>
    <row r="6457" spans="4:12" x14ac:dyDescent="0.2">
      <c r="D6457" s="341"/>
      <c r="F6457" s="343"/>
      <c r="G6457" s="343"/>
      <c r="H6457" s="343"/>
      <c r="I6457" s="343"/>
      <c r="J6457" s="343"/>
      <c r="K6457" s="343"/>
      <c r="L6457" s="343"/>
    </row>
    <row r="6458" spans="4:12" x14ac:dyDescent="0.2">
      <c r="D6458" s="341"/>
      <c r="F6458" s="343"/>
      <c r="G6458" s="343"/>
      <c r="H6458" s="343"/>
      <c r="I6458" s="343"/>
      <c r="J6458" s="343"/>
      <c r="K6458" s="343"/>
      <c r="L6458" s="343"/>
    </row>
    <row r="6459" spans="4:12" x14ac:dyDescent="0.2">
      <c r="D6459" s="341"/>
      <c r="F6459" s="343"/>
      <c r="G6459" s="343"/>
      <c r="H6459" s="343"/>
      <c r="I6459" s="343"/>
      <c r="J6459" s="343"/>
      <c r="K6459" s="343"/>
      <c r="L6459" s="343"/>
    </row>
    <row r="6460" spans="4:12" x14ac:dyDescent="0.2">
      <c r="D6460" s="341"/>
      <c r="F6460" s="343"/>
      <c r="G6460" s="343"/>
      <c r="H6460" s="343"/>
      <c r="I6460" s="343"/>
      <c r="J6460" s="343"/>
      <c r="K6460" s="343"/>
      <c r="L6460" s="343"/>
    </row>
    <row r="6461" spans="4:12" x14ac:dyDescent="0.2">
      <c r="D6461" s="341"/>
      <c r="F6461" s="343"/>
      <c r="G6461" s="343"/>
      <c r="H6461" s="343"/>
      <c r="I6461" s="343"/>
      <c r="J6461" s="343"/>
      <c r="K6461" s="343"/>
      <c r="L6461" s="343"/>
    </row>
    <row r="6462" spans="4:12" x14ac:dyDescent="0.2">
      <c r="D6462" s="341"/>
      <c r="F6462" s="343"/>
      <c r="G6462" s="343"/>
      <c r="H6462" s="343"/>
      <c r="I6462" s="343"/>
      <c r="J6462" s="343"/>
      <c r="K6462" s="343"/>
      <c r="L6462" s="343"/>
    </row>
    <row r="6463" spans="4:12" x14ac:dyDescent="0.2">
      <c r="D6463" s="341"/>
      <c r="F6463" s="343"/>
      <c r="G6463" s="343"/>
      <c r="H6463" s="343"/>
      <c r="I6463" s="343"/>
      <c r="J6463" s="343"/>
      <c r="K6463" s="343"/>
      <c r="L6463" s="343"/>
    </row>
    <row r="6464" spans="4:12" x14ac:dyDescent="0.2">
      <c r="D6464" s="341"/>
      <c r="F6464" s="343"/>
      <c r="G6464" s="343"/>
      <c r="H6464" s="343"/>
      <c r="I6464" s="343"/>
      <c r="J6464" s="343"/>
      <c r="K6464" s="343"/>
      <c r="L6464" s="343"/>
    </row>
    <row r="6465" spans="4:12" x14ac:dyDescent="0.2">
      <c r="D6465" s="341"/>
      <c r="F6465" s="343"/>
      <c r="G6465" s="343"/>
      <c r="H6465" s="343"/>
      <c r="I6465" s="343"/>
      <c r="J6465" s="343"/>
      <c r="K6465" s="343"/>
      <c r="L6465" s="343"/>
    </row>
    <row r="6466" spans="4:12" x14ac:dyDescent="0.2">
      <c r="D6466" s="341"/>
      <c r="F6466" s="343"/>
      <c r="G6466" s="343"/>
      <c r="H6466" s="343"/>
      <c r="I6466" s="343"/>
      <c r="J6466" s="343"/>
      <c r="K6466" s="343"/>
      <c r="L6466" s="343"/>
    </row>
    <row r="6467" spans="4:12" x14ac:dyDescent="0.2">
      <c r="D6467" s="341"/>
      <c r="F6467" s="343"/>
      <c r="G6467" s="343"/>
      <c r="H6467" s="343"/>
      <c r="I6467" s="343"/>
      <c r="J6467" s="343"/>
      <c r="K6467" s="343"/>
      <c r="L6467" s="343"/>
    </row>
    <row r="6468" spans="4:12" x14ac:dyDescent="0.2">
      <c r="D6468" s="341"/>
      <c r="F6468" s="343"/>
      <c r="G6468" s="343"/>
      <c r="H6468" s="343"/>
      <c r="I6468" s="343"/>
      <c r="J6468" s="343"/>
      <c r="K6468" s="343"/>
      <c r="L6468" s="343"/>
    </row>
    <row r="6469" spans="4:12" x14ac:dyDescent="0.2">
      <c r="D6469" s="341"/>
      <c r="F6469" s="343"/>
      <c r="G6469" s="343"/>
      <c r="H6469" s="343"/>
      <c r="I6469" s="343"/>
      <c r="J6469" s="343"/>
      <c r="K6469" s="343"/>
      <c r="L6469" s="343"/>
    </row>
    <row r="6470" spans="4:12" x14ac:dyDescent="0.2">
      <c r="D6470" s="341"/>
      <c r="F6470" s="343"/>
      <c r="G6470" s="343"/>
      <c r="H6470" s="343"/>
      <c r="I6470" s="343"/>
      <c r="J6470" s="343"/>
      <c r="K6470" s="343"/>
      <c r="L6470" s="343"/>
    </row>
    <row r="6471" spans="4:12" x14ac:dyDescent="0.2">
      <c r="D6471" s="341"/>
      <c r="F6471" s="343"/>
      <c r="G6471" s="343"/>
      <c r="H6471" s="343"/>
      <c r="I6471" s="343"/>
      <c r="J6471" s="343"/>
      <c r="K6471" s="343"/>
      <c r="L6471" s="343"/>
    </row>
    <row r="6472" spans="4:12" x14ac:dyDescent="0.2">
      <c r="D6472" s="341"/>
      <c r="F6472" s="343"/>
      <c r="G6472" s="343"/>
      <c r="H6472" s="343"/>
      <c r="I6472" s="343"/>
      <c r="J6472" s="343"/>
      <c r="K6472" s="343"/>
      <c r="L6472" s="343"/>
    </row>
    <row r="6473" spans="4:12" x14ac:dyDescent="0.2">
      <c r="D6473" s="341"/>
      <c r="F6473" s="343"/>
      <c r="G6473" s="343"/>
      <c r="H6473" s="343"/>
      <c r="I6473" s="343"/>
      <c r="J6473" s="343"/>
      <c r="K6473" s="343"/>
      <c r="L6473" s="343"/>
    </row>
    <row r="6474" spans="4:12" x14ac:dyDescent="0.2">
      <c r="D6474" s="341"/>
      <c r="F6474" s="343"/>
      <c r="G6474" s="343"/>
      <c r="H6474" s="343"/>
      <c r="I6474" s="343"/>
      <c r="J6474" s="343"/>
      <c r="K6474" s="343"/>
      <c r="L6474" s="343"/>
    </row>
    <row r="6475" spans="4:12" x14ac:dyDescent="0.2">
      <c r="D6475" s="341"/>
      <c r="F6475" s="343"/>
      <c r="G6475" s="343"/>
      <c r="H6475" s="343"/>
      <c r="I6475" s="343"/>
      <c r="J6475" s="343"/>
      <c r="K6475" s="343"/>
      <c r="L6475" s="343"/>
    </row>
    <row r="6476" spans="4:12" x14ac:dyDescent="0.2">
      <c r="D6476" s="341"/>
      <c r="F6476" s="343"/>
      <c r="G6476" s="343"/>
      <c r="H6476" s="343"/>
      <c r="I6476" s="343"/>
      <c r="J6476" s="343"/>
      <c r="K6476" s="343"/>
      <c r="L6476" s="343"/>
    </row>
    <row r="6477" spans="4:12" x14ac:dyDescent="0.2">
      <c r="D6477" s="341"/>
      <c r="F6477" s="343"/>
      <c r="G6477" s="343"/>
      <c r="H6477" s="343"/>
      <c r="I6477" s="343"/>
      <c r="J6477" s="343"/>
      <c r="K6477" s="343"/>
      <c r="L6477" s="343"/>
    </row>
    <row r="6478" spans="4:12" x14ac:dyDescent="0.2">
      <c r="D6478" s="341"/>
      <c r="F6478" s="343"/>
      <c r="G6478" s="343"/>
      <c r="H6478" s="343"/>
      <c r="I6478" s="343"/>
      <c r="J6478" s="343"/>
      <c r="K6478" s="343"/>
      <c r="L6478" s="343"/>
    </row>
    <row r="6479" spans="4:12" x14ac:dyDescent="0.2">
      <c r="D6479" s="341"/>
      <c r="F6479" s="343"/>
      <c r="G6479" s="343"/>
      <c r="H6479" s="343"/>
      <c r="I6479" s="343"/>
      <c r="J6479" s="343"/>
      <c r="K6479" s="343"/>
      <c r="L6479" s="343"/>
    </row>
    <row r="6480" spans="4:12" x14ac:dyDescent="0.2">
      <c r="D6480" s="341"/>
      <c r="F6480" s="343"/>
      <c r="G6480" s="343"/>
      <c r="H6480" s="343"/>
      <c r="I6480" s="343"/>
      <c r="J6480" s="343"/>
      <c r="K6480" s="343"/>
      <c r="L6480" s="343"/>
    </row>
    <row r="6481" spans="4:12" x14ac:dyDescent="0.2">
      <c r="D6481" s="341"/>
      <c r="F6481" s="343"/>
      <c r="G6481" s="343"/>
      <c r="H6481" s="343"/>
      <c r="I6481" s="343"/>
      <c r="J6481" s="343"/>
      <c r="K6481" s="343"/>
      <c r="L6481" s="343"/>
    </row>
    <row r="6482" spans="4:12" x14ac:dyDescent="0.2">
      <c r="D6482" s="341"/>
      <c r="F6482" s="343"/>
      <c r="G6482" s="343"/>
      <c r="H6482" s="343"/>
      <c r="I6482" s="343"/>
      <c r="J6482" s="343"/>
      <c r="K6482" s="343"/>
      <c r="L6482" s="343"/>
    </row>
    <row r="6483" spans="4:12" x14ac:dyDescent="0.2">
      <c r="D6483" s="341"/>
      <c r="F6483" s="343"/>
      <c r="G6483" s="343"/>
      <c r="H6483" s="343"/>
      <c r="I6483" s="343"/>
      <c r="J6483" s="343"/>
      <c r="K6483" s="343"/>
      <c r="L6483" s="343"/>
    </row>
    <row r="6484" spans="4:12" x14ac:dyDescent="0.2">
      <c r="D6484" s="341"/>
      <c r="F6484" s="343"/>
      <c r="G6484" s="343"/>
      <c r="H6484" s="343"/>
      <c r="I6484" s="343"/>
      <c r="J6484" s="343"/>
      <c r="K6484" s="343"/>
      <c r="L6484" s="343"/>
    </row>
    <row r="6485" spans="4:12" x14ac:dyDescent="0.2">
      <c r="D6485" s="341"/>
      <c r="F6485" s="343"/>
      <c r="G6485" s="343"/>
      <c r="H6485" s="343"/>
      <c r="I6485" s="343"/>
      <c r="J6485" s="343"/>
      <c r="K6485" s="343"/>
      <c r="L6485" s="343"/>
    </row>
    <row r="6486" spans="4:12" x14ac:dyDescent="0.2">
      <c r="D6486" s="341"/>
      <c r="F6486" s="343"/>
      <c r="G6486" s="343"/>
      <c r="H6486" s="343"/>
      <c r="I6486" s="343"/>
      <c r="J6486" s="343"/>
      <c r="K6486" s="343"/>
      <c r="L6486" s="343"/>
    </row>
    <row r="6487" spans="4:12" x14ac:dyDescent="0.2">
      <c r="D6487" s="341"/>
      <c r="F6487" s="343"/>
      <c r="G6487" s="343"/>
      <c r="H6487" s="343"/>
      <c r="I6487" s="343"/>
      <c r="J6487" s="343"/>
      <c r="K6487" s="343"/>
      <c r="L6487" s="343"/>
    </row>
    <row r="6488" spans="4:12" x14ac:dyDescent="0.2">
      <c r="D6488" s="341"/>
      <c r="F6488" s="343"/>
      <c r="G6488" s="343"/>
      <c r="H6488" s="343"/>
      <c r="I6488" s="343"/>
      <c r="J6488" s="343"/>
      <c r="K6488" s="343"/>
      <c r="L6488" s="343"/>
    </row>
    <row r="6489" spans="4:12" x14ac:dyDescent="0.2">
      <c r="D6489" s="341"/>
      <c r="F6489" s="343"/>
      <c r="G6489" s="343"/>
      <c r="H6489" s="343"/>
      <c r="I6489" s="343"/>
      <c r="J6489" s="343"/>
      <c r="K6489" s="343"/>
      <c r="L6489" s="343"/>
    </row>
    <row r="6490" spans="4:12" x14ac:dyDescent="0.2">
      <c r="D6490" s="341"/>
      <c r="F6490" s="343"/>
      <c r="G6490" s="343"/>
      <c r="H6490" s="343"/>
      <c r="I6490" s="343"/>
      <c r="J6490" s="343"/>
      <c r="K6490" s="343"/>
      <c r="L6490" s="343"/>
    </row>
    <row r="6491" spans="4:12" x14ac:dyDescent="0.2">
      <c r="D6491" s="341"/>
      <c r="F6491" s="343"/>
      <c r="G6491" s="343"/>
      <c r="H6491" s="343"/>
      <c r="I6491" s="343"/>
      <c r="J6491" s="343"/>
      <c r="K6491" s="343"/>
      <c r="L6491" s="343"/>
    </row>
    <row r="6492" spans="4:12" x14ac:dyDescent="0.2">
      <c r="D6492" s="341"/>
      <c r="F6492" s="343"/>
      <c r="G6492" s="343"/>
      <c r="H6492" s="343"/>
      <c r="I6492" s="343"/>
      <c r="J6492" s="343"/>
      <c r="K6492" s="343"/>
      <c r="L6492" s="343"/>
    </row>
    <row r="6493" spans="4:12" x14ac:dyDescent="0.2">
      <c r="D6493" s="341"/>
      <c r="F6493" s="343"/>
      <c r="G6493" s="343"/>
      <c r="H6493" s="343"/>
      <c r="I6493" s="343"/>
      <c r="J6493" s="343"/>
      <c r="K6493" s="343"/>
      <c r="L6493" s="343"/>
    </row>
    <row r="6494" spans="4:12" x14ac:dyDescent="0.2">
      <c r="D6494" s="341"/>
      <c r="F6494" s="343"/>
      <c r="G6494" s="343"/>
      <c r="H6494" s="343"/>
      <c r="I6494" s="343"/>
      <c r="J6494" s="343"/>
      <c r="K6494" s="343"/>
      <c r="L6494" s="343"/>
    </row>
    <row r="6495" spans="4:12" x14ac:dyDescent="0.2">
      <c r="D6495" s="341"/>
      <c r="F6495" s="343"/>
      <c r="G6495" s="343"/>
      <c r="H6495" s="343"/>
      <c r="I6495" s="343"/>
      <c r="J6495" s="343"/>
      <c r="K6495" s="343"/>
      <c r="L6495" s="343"/>
    </row>
    <row r="6496" spans="4:12" x14ac:dyDescent="0.2">
      <c r="D6496" s="341"/>
      <c r="F6496" s="343"/>
      <c r="G6496" s="343"/>
      <c r="H6496" s="343"/>
      <c r="I6496" s="343"/>
      <c r="J6496" s="343"/>
      <c r="K6496" s="343"/>
      <c r="L6496" s="343"/>
    </row>
    <row r="6497" spans="4:12" x14ac:dyDescent="0.2">
      <c r="D6497" s="341"/>
      <c r="F6497" s="343"/>
      <c r="G6497" s="343"/>
      <c r="H6497" s="343"/>
      <c r="I6497" s="343"/>
      <c r="J6497" s="343"/>
      <c r="K6497" s="343"/>
      <c r="L6497" s="343"/>
    </row>
    <row r="6498" spans="4:12" x14ac:dyDescent="0.2">
      <c r="D6498" s="341"/>
      <c r="F6498" s="343"/>
      <c r="G6498" s="343"/>
      <c r="H6498" s="343"/>
      <c r="I6498" s="343"/>
      <c r="J6498" s="343"/>
      <c r="K6498" s="343"/>
      <c r="L6498" s="343"/>
    </row>
    <row r="6499" spans="4:12" x14ac:dyDescent="0.2">
      <c r="D6499" s="341"/>
      <c r="F6499" s="343"/>
      <c r="G6499" s="343"/>
      <c r="H6499" s="343"/>
      <c r="I6499" s="343"/>
      <c r="J6499" s="343"/>
      <c r="K6499" s="343"/>
      <c r="L6499" s="343"/>
    </row>
    <row r="6500" spans="4:12" x14ac:dyDescent="0.2">
      <c r="D6500" s="341"/>
      <c r="F6500" s="343"/>
      <c r="G6500" s="343"/>
      <c r="H6500" s="343"/>
      <c r="I6500" s="343"/>
      <c r="J6500" s="343"/>
      <c r="K6500" s="343"/>
      <c r="L6500" s="343"/>
    </row>
    <row r="6501" spans="4:12" x14ac:dyDescent="0.2">
      <c r="D6501" s="341"/>
      <c r="F6501" s="343"/>
      <c r="G6501" s="343"/>
      <c r="H6501" s="343"/>
      <c r="I6501" s="343"/>
      <c r="J6501" s="343"/>
      <c r="K6501" s="343"/>
      <c r="L6501" s="343"/>
    </row>
    <row r="6502" spans="4:12" x14ac:dyDescent="0.2">
      <c r="D6502" s="341"/>
      <c r="F6502" s="343"/>
      <c r="G6502" s="343"/>
      <c r="H6502" s="343"/>
      <c r="I6502" s="343"/>
      <c r="J6502" s="343"/>
      <c r="K6502" s="343"/>
      <c r="L6502" s="343"/>
    </row>
    <row r="6503" spans="4:12" x14ac:dyDescent="0.2">
      <c r="D6503" s="341"/>
      <c r="F6503" s="343"/>
      <c r="G6503" s="343"/>
      <c r="H6503" s="343"/>
      <c r="I6503" s="343"/>
      <c r="J6503" s="343"/>
      <c r="K6503" s="343"/>
      <c r="L6503" s="343"/>
    </row>
    <row r="6504" spans="4:12" x14ac:dyDescent="0.2">
      <c r="D6504" s="341"/>
      <c r="F6504" s="343"/>
      <c r="G6504" s="343"/>
      <c r="H6504" s="343"/>
      <c r="I6504" s="343"/>
      <c r="J6504" s="343"/>
      <c r="K6504" s="343"/>
      <c r="L6504" s="343"/>
    </row>
    <row r="6505" spans="4:12" x14ac:dyDescent="0.2">
      <c r="D6505" s="341"/>
      <c r="F6505" s="343"/>
      <c r="G6505" s="343"/>
      <c r="H6505" s="343"/>
      <c r="I6505" s="343"/>
      <c r="J6505" s="343"/>
      <c r="K6505" s="343"/>
      <c r="L6505" s="343"/>
    </row>
    <row r="6506" spans="4:12" x14ac:dyDescent="0.2">
      <c r="D6506" s="341"/>
      <c r="F6506" s="343"/>
      <c r="G6506" s="343"/>
      <c r="H6506" s="343"/>
      <c r="I6506" s="343"/>
      <c r="J6506" s="343"/>
      <c r="K6506" s="343"/>
      <c r="L6506" s="343"/>
    </row>
    <row r="6507" spans="4:12" x14ac:dyDescent="0.2">
      <c r="D6507" s="341"/>
      <c r="F6507" s="343"/>
      <c r="G6507" s="343"/>
      <c r="H6507" s="343"/>
      <c r="I6507" s="343"/>
      <c r="J6507" s="343"/>
      <c r="K6507" s="343"/>
      <c r="L6507" s="343"/>
    </row>
    <row r="6508" spans="4:12" x14ac:dyDescent="0.2">
      <c r="D6508" s="341"/>
      <c r="F6508" s="343"/>
      <c r="G6508" s="343"/>
      <c r="H6508" s="343"/>
      <c r="I6508" s="343"/>
      <c r="J6508" s="343"/>
      <c r="K6508" s="343"/>
      <c r="L6508" s="343"/>
    </row>
    <row r="6509" spans="4:12" x14ac:dyDescent="0.2">
      <c r="D6509" s="341"/>
      <c r="F6509" s="343"/>
      <c r="G6509" s="343"/>
      <c r="H6509" s="343"/>
      <c r="I6509" s="343"/>
      <c r="J6509" s="343"/>
      <c r="K6509" s="343"/>
      <c r="L6509" s="343"/>
    </row>
    <row r="6510" spans="4:12" x14ac:dyDescent="0.2">
      <c r="D6510" s="341"/>
      <c r="F6510" s="343"/>
      <c r="G6510" s="343"/>
      <c r="H6510" s="343"/>
      <c r="I6510" s="343"/>
      <c r="J6510" s="343"/>
      <c r="K6510" s="343"/>
      <c r="L6510" s="343"/>
    </row>
    <row r="6511" spans="4:12" x14ac:dyDescent="0.2">
      <c r="D6511" s="341"/>
      <c r="F6511" s="343"/>
      <c r="G6511" s="343"/>
      <c r="H6511" s="343"/>
      <c r="I6511" s="343"/>
      <c r="J6511" s="343"/>
      <c r="K6511" s="343"/>
      <c r="L6511" s="343"/>
    </row>
    <row r="6512" spans="4:12" x14ac:dyDescent="0.2">
      <c r="D6512" s="341"/>
      <c r="F6512" s="343"/>
      <c r="G6512" s="343"/>
      <c r="H6512" s="343"/>
      <c r="I6512" s="343"/>
      <c r="J6512" s="343"/>
      <c r="K6512" s="343"/>
      <c r="L6512" s="343"/>
    </row>
    <row r="6513" spans="4:12" x14ac:dyDescent="0.2">
      <c r="D6513" s="341"/>
      <c r="F6513" s="343"/>
      <c r="G6513" s="343"/>
      <c r="H6513" s="343"/>
      <c r="I6513" s="343"/>
      <c r="J6513" s="343"/>
      <c r="K6513" s="343"/>
      <c r="L6513" s="343"/>
    </row>
    <row r="6514" spans="4:12" x14ac:dyDescent="0.2">
      <c r="D6514" s="341"/>
      <c r="F6514" s="343"/>
      <c r="G6514" s="343"/>
      <c r="H6514" s="343"/>
      <c r="I6514" s="343"/>
      <c r="J6514" s="343"/>
      <c r="K6514" s="343"/>
      <c r="L6514" s="343"/>
    </row>
    <row r="6515" spans="4:12" x14ac:dyDescent="0.2">
      <c r="D6515" s="341"/>
      <c r="F6515" s="343"/>
      <c r="G6515" s="343"/>
      <c r="H6515" s="343"/>
      <c r="I6515" s="343"/>
      <c r="J6515" s="343"/>
      <c r="K6515" s="343"/>
      <c r="L6515" s="343"/>
    </row>
    <row r="6516" spans="4:12" x14ac:dyDescent="0.2">
      <c r="D6516" s="341"/>
      <c r="F6516" s="343"/>
      <c r="G6516" s="343"/>
      <c r="H6516" s="343"/>
      <c r="I6516" s="343"/>
      <c r="J6516" s="343"/>
      <c r="K6516" s="343"/>
      <c r="L6516" s="343"/>
    </row>
    <row r="6517" spans="4:12" x14ac:dyDescent="0.2">
      <c r="D6517" s="341"/>
      <c r="F6517" s="343"/>
      <c r="G6517" s="343"/>
      <c r="H6517" s="343"/>
      <c r="I6517" s="343"/>
      <c r="J6517" s="343"/>
      <c r="K6517" s="343"/>
      <c r="L6517" s="343"/>
    </row>
    <row r="6518" spans="4:12" x14ac:dyDescent="0.2">
      <c r="D6518" s="341"/>
      <c r="F6518" s="343"/>
      <c r="G6518" s="343"/>
      <c r="H6518" s="343"/>
      <c r="I6518" s="343"/>
      <c r="J6518" s="343"/>
      <c r="K6518" s="343"/>
      <c r="L6518" s="343"/>
    </row>
    <row r="6519" spans="4:12" x14ac:dyDescent="0.2">
      <c r="D6519" s="341"/>
      <c r="F6519" s="343"/>
      <c r="G6519" s="343"/>
      <c r="H6519" s="343"/>
      <c r="I6519" s="343"/>
      <c r="J6519" s="343"/>
      <c r="K6519" s="343"/>
      <c r="L6519" s="343"/>
    </row>
    <row r="6520" spans="4:12" x14ac:dyDescent="0.2">
      <c r="D6520" s="341"/>
      <c r="F6520" s="343"/>
      <c r="G6520" s="343"/>
      <c r="H6520" s="343"/>
      <c r="I6520" s="343"/>
      <c r="J6520" s="343"/>
      <c r="K6520" s="343"/>
      <c r="L6520" s="343"/>
    </row>
    <row r="6521" spans="4:12" x14ac:dyDescent="0.2">
      <c r="D6521" s="341"/>
      <c r="F6521" s="343"/>
      <c r="G6521" s="343"/>
      <c r="H6521" s="343"/>
      <c r="I6521" s="343"/>
      <c r="J6521" s="343"/>
      <c r="K6521" s="343"/>
      <c r="L6521" s="343"/>
    </row>
    <row r="6522" spans="4:12" x14ac:dyDescent="0.2">
      <c r="D6522" s="341"/>
      <c r="F6522" s="343"/>
      <c r="G6522" s="343"/>
      <c r="H6522" s="343"/>
      <c r="I6522" s="343"/>
      <c r="J6522" s="343"/>
      <c r="K6522" s="343"/>
      <c r="L6522" s="343"/>
    </row>
    <row r="6523" spans="4:12" x14ac:dyDescent="0.2">
      <c r="D6523" s="341"/>
      <c r="F6523" s="343"/>
      <c r="G6523" s="343"/>
      <c r="H6523" s="343"/>
      <c r="I6523" s="343"/>
      <c r="J6523" s="343"/>
      <c r="K6523" s="343"/>
      <c r="L6523" s="343"/>
    </row>
    <row r="6524" spans="4:12" x14ac:dyDescent="0.2">
      <c r="D6524" s="341"/>
      <c r="F6524" s="343"/>
      <c r="G6524" s="343"/>
      <c r="H6524" s="343"/>
      <c r="I6524" s="343"/>
      <c r="J6524" s="343"/>
      <c r="K6524" s="343"/>
      <c r="L6524" s="343"/>
    </row>
    <row r="6525" spans="4:12" x14ac:dyDescent="0.2">
      <c r="D6525" s="341"/>
      <c r="F6525" s="343"/>
      <c r="G6525" s="343"/>
      <c r="H6525" s="343"/>
      <c r="I6525" s="343"/>
      <c r="J6525" s="343"/>
      <c r="K6525" s="343"/>
      <c r="L6525" s="343"/>
    </row>
    <row r="6526" spans="4:12" x14ac:dyDescent="0.2">
      <c r="D6526" s="341"/>
      <c r="F6526" s="343"/>
      <c r="G6526" s="343"/>
      <c r="H6526" s="343"/>
      <c r="I6526" s="343"/>
      <c r="J6526" s="343"/>
      <c r="K6526" s="343"/>
      <c r="L6526" s="343"/>
    </row>
    <row r="6527" spans="4:12" x14ac:dyDescent="0.2">
      <c r="D6527" s="341"/>
      <c r="F6527" s="343"/>
      <c r="G6527" s="343"/>
      <c r="H6527" s="343"/>
      <c r="I6527" s="343"/>
      <c r="J6527" s="343"/>
      <c r="K6527" s="343"/>
      <c r="L6527" s="343"/>
    </row>
    <row r="6528" spans="4:12" x14ac:dyDescent="0.2">
      <c r="D6528" s="341"/>
      <c r="F6528" s="343"/>
      <c r="G6528" s="343"/>
      <c r="H6528" s="343"/>
      <c r="I6528" s="343"/>
      <c r="J6528" s="343"/>
      <c r="K6528" s="343"/>
      <c r="L6528" s="343"/>
    </row>
    <row r="6529" spans="4:12" x14ac:dyDescent="0.2">
      <c r="D6529" s="341"/>
      <c r="F6529" s="343"/>
      <c r="G6529" s="343"/>
      <c r="H6529" s="343"/>
      <c r="I6529" s="343"/>
      <c r="J6529" s="343"/>
      <c r="K6529" s="343"/>
      <c r="L6529" s="343"/>
    </row>
    <row r="6530" spans="4:12" x14ac:dyDescent="0.2">
      <c r="D6530" s="341"/>
      <c r="F6530" s="343"/>
      <c r="G6530" s="343"/>
      <c r="H6530" s="343"/>
      <c r="I6530" s="343"/>
      <c r="J6530" s="343"/>
      <c r="K6530" s="343"/>
      <c r="L6530" s="343"/>
    </row>
    <row r="6531" spans="4:12" x14ac:dyDescent="0.2">
      <c r="D6531" s="341"/>
      <c r="F6531" s="343"/>
      <c r="G6531" s="343"/>
      <c r="H6531" s="343"/>
      <c r="I6531" s="343"/>
      <c r="J6531" s="343"/>
      <c r="K6531" s="343"/>
      <c r="L6531" s="343"/>
    </row>
    <row r="6532" spans="4:12" x14ac:dyDescent="0.2">
      <c r="D6532" s="341"/>
      <c r="F6532" s="343"/>
      <c r="G6532" s="343"/>
      <c r="H6532" s="343"/>
      <c r="I6532" s="343"/>
      <c r="J6532" s="343"/>
      <c r="K6532" s="343"/>
      <c r="L6532" s="343"/>
    </row>
    <row r="6533" spans="4:12" x14ac:dyDescent="0.2">
      <c r="D6533" s="341"/>
      <c r="F6533" s="343"/>
      <c r="G6533" s="343"/>
      <c r="H6533" s="343"/>
      <c r="I6533" s="343"/>
      <c r="J6533" s="343"/>
      <c r="K6533" s="343"/>
      <c r="L6533" s="343"/>
    </row>
    <row r="6534" spans="4:12" x14ac:dyDescent="0.2">
      <c r="D6534" s="341"/>
      <c r="F6534" s="343"/>
      <c r="G6534" s="343"/>
      <c r="H6534" s="343"/>
      <c r="I6534" s="343"/>
      <c r="J6534" s="343"/>
      <c r="K6534" s="343"/>
      <c r="L6534" s="343"/>
    </row>
    <row r="6535" spans="4:12" x14ac:dyDescent="0.2">
      <c r="D6535" s="341"/>
      <c r="F6535" s="343"/>
      <c r="G6535" s="343"/>
      <c r="H6535" s="343"/>
      <c r="I6535" s="343"/>
      <c r="J6535" s="343"/>
      <c r="K6535" s="343"/>
      <c r="L6535" s="343"/>
    </row>
    <row r="6536" spans="4:12" x14ac:dyDescent="0.2">
      <c r="D6536" s="341"/>
      <c r="F6536" s="343"/>
      <c r="G6536" s="343"/>
      <c r="H6536" s="343"/>
      <c r="I6536" s="343"/>
      <c r="J6536" s="343"/>
      <c r="K6536" s="343"/>
      <c r="L6536" s="343"/>
    </row>
    <row r="6537" spans="4:12" x14ac:dyDescent="0.2">
      <c r="D6537" s="341"/>
      <c r="F6537" s="343"/>
      <c r="G6537" s="343"/>
      <c r="H6537" s="343"/>
      <c r="I6537" s="343"/>
      <c r="J6537" s="343"/>
      <c r="K6537" s="343"/>
      <c r="L6537" s="343"/>
    </row>
    <row r="6538" spans="4:12" x14ac:dyDescent="0.2">
      <c r="D6538" s="341"/>
      <c r="F6538" s="343"/>
      <c r="G6538" s="343"/>
      <c r="H6538" s="343"/>
      <c r="I6538" s="343"/>
      <c r="J6538" s="343"/>
      <c r="K6538" s="343"/>
      <c r="L6538" s="343"/>
    </row>
    <row r="6539" spans="4:12" x14ac:dyDescent="0.2">
      <c r="D6539" s="341"/>
      <c r="F6539" s="343"/>
      <c r="G6539" s="343"/>
      <c r="H6539" s="343"/>
      <c r="I6539" s="343"/>
      <c r="J6539" s="343"/>
      <c r="K6539" s="343"/>
      <c r="L6539" s="343"/>
    </row>
    <row r="6540" spans="4:12" x14ac:dyDescent="0.2">
      <c r="D6540" s="341"/>
      <c r="F6540" s="343"/>
      <c r="G6540" s="343"/>
      <c r="H6540" s="343"/>
      <c r="I6540" s="343"/>
      <c r="J6540" s="343"/>
      <c r="K6540" s="343"/>
      <c r="L6540" s="343"/>
    </row>
    <row r="6541" spans="4:12" x14ac:dyDescent="0.2">
      <c r="D6541" s="341"/>
      <c r="F6541" s="343"/>
      <c r="G6541" s="343"/>
      <c r="H6541" s="343"/>
      <c r="I6541" s="343"/>
      <c r="J6541" s="343"/>
      <c r="K6541" s="343"/>
      <c r="L6541" s="343"/>
    </row>
    <row r="6542" spans="4:12" x14ac:dyDescent="0.2">
      <c r="D6542" s="341"/>
      <c r="F6542" s="343"/>
      <c r="G6542" s="343"/>
      <c r="H6542" s="343"/>
      <c r="I6542" s="343"/>
      <c r="J6542" s="343"/>
      <c r="K6542" s="343"/>
      <c r="L6542" s="343"/>
    </row>
    <row r="6543" spans="4:12" x14ac:dyDescent="0.2">
      <c r="D6543" s="341"/>
      <c r="F6543" s="343"/>
      <c r="G6543" s="343"/>
      <c r="H6543" s="343"/>
      <c r="I6543" s="343"/>
      <c r="J6543" s="343"/>
      <c r="K6543" s="343"/>
      <c r="L6543" s="343"/>
    </row>
    <row r="6544" spans="4:12" x14ac:dyDescent="0.2">
      <c r="D6544" s="341"/>
      <c r="F6544" s="343"/>
      <c r="G6544" s="343"/>
      <c r="H6544" s="343"/>
      <c r="I6544" s="343"/>
      <c r="J6544" s="343"/>
      <c r="K6544" s="343"/>
      <c r="L6544" s="343"/>
    </row>
    <row r="6545" spans="4:12" x14ac:dyDescent="0.2">
      <c r="D6545" s="341"/>
      <c r="F6545" s="343"/>
      <c r="G6545" s="343"/>
      <c r="H6545" s="343"/>
      <c r="I6545" s="343"/>
      <c r="J6545" s="343"/>
      <c r="K6545" s="343"/>
      <c r="L6545" s="343"/>
    </row>
    <row r="6546" spans="4:12" x14ac:dyDescent="0.2">
      <c r="D6546" s="341"/>
      <c r="F6546" s="343"/>
      <c r="G6546" s="343"/>
      <c r="H6546" s="343"/>
      <c r="I6546" s="343"/>
      <c r="J6546" s="343"/>
      <c r="K6546" s="343"/>
      <c r="L6546" s="343"/>
    </row>
    <row r="6547" spans="4:12" x14ac:dyDescent="0.2">
      <c r="D6547" s="341"/>
      <c r="F6547" s="343"/>
      <c r="G6547" s="343"/>
      <c r="H6547" s="343"/>
      <c r="I6547" s="343"/>
      <c r="J6547" s="343"/>
      <c r="K6547" s="343"/>
      <c r="L6547" s="343"/>
    </row>
    <row r="6548" spans="4:12" x14ac:dyDescent="0.2">
      <c r="D6548" s="341"/>
      <c r="F6548" s="343"/>
      <c r="G6548" s="343"/>
      <c r="H6548" s="343"/>
      <c r="I6548" s="343"/>
      <c r="J6548" s="343"/>
      <c r="K6548" s="343"/>
      <c r="L6548" s="343"/>
    </row>
    <row r="6549" spans="4:12" x14ac:dyDescent="0.2">
      <c r="D6549" s="341"/>
      <c r="F6549" s="343"/>
      <c r="G6549" s="343"/>
      <c r="H6549" s="343"/>
      <c r="I6549" s="343"/>
      <c r="J6549" s="343"/>
      <c r="K6549" s="343"/>
      <c r="L6549" s="343"/>
    </row>
    <row r="6550" spans="4:12" x14ac:dyDescent="0.2">
      <c r="D6550" s="341"/>
      <c r="F6550" s="343"/>
      <c r="G6550" s="343"/>
      <c r="H6550" s="343"/>
      <c r="I6550" s="343"/>
      <c r="J6550" s="343"/>
      <c r="K6550" s="343"/>
      <c r="L6550" s="343"/>
    </row>
    <row r="6551" spans="4:12" x14ac:dyDescent="0.2">
      <c r="D6551" s="341"/>
      <c r="F6551" s="343"/>
      <c r="G6551" s="343"/>
      <c r="H6551" s="343"/>
      <c r="I6551" s="343"/>
      <c r="J6551" s="343"/>
      <c r="K6551" s="343"/>
      <c r="L6551" s="343"/>
    </row>
    <row r="6552" spans="4:12" x14ac:dyDescent="0.2">
      <c r="D6552" s="341"/>
      <c r="F6552" s="343"/>
      <c r="G6552" s="343"/>
      <c r="H6552" s="343"/>
      <c r="I6552" s="343"/>
      <c r="J6552" s="343"/>
      <c r="K6552" s="343"/>
      <c r="L6552" s="343"/>
    </row>
    <row r="6553" spans="4:12" x14ac:dyDescent="0.2">
      <c r="D6553" s="341"/>
      <c r="F6553" s="343"/>
      <c r="G6553" s="343"/>
      <c r="H6553" s="343"/>
      <c r="I6553" s="343"/>
      <c r="J6553" s="343"/>
      <c r="K6553" s="343"/>
      <c r="L6553" s="343"/>
    </row>
    <row r="6554" spans="4:12" x14ac:dyDescent="0.2">
      <c r="D6554" s="341"/>
      <c r="F6554" s="343"/>
      <c r="G6554" s="343"/>
      <c r="H6554" s="343"/>
      <c r="I6554" s="343"/>
      <c r="J6554" s="343"/>
      <c r="K6554" s="343"/>
      <c r="L6554" s="343"/>
    </row>
    <row r="6555" spans="4:12" x14ac:dyDescent="0.2">
      <c r="D6555" s="341"/>
      <c r="F6555" s="343"/>
      <c r="G6555" s="343"/>
      <c r="H6555" s="343"/>
      <c r="I6555" s="343"/>
      <c r="J6555" s="343"/>
      <c r="K6555" s="343"/>
      <c r="L6555" s="343"/>
    </row>
    <row r="6556" spans="4:12" x14ac:dyDescent="0.2">
      <c r="D6556" s="341"/>
      <c r="F6556" s="343"/>
      <c r="G6556" s="343"/>
      <c r="H6556" s="343"/>
      <c r="I6556" s="343"/>
      <c r="J6556" s="343"/>
      <c r="K6556" s="343"/>
      <c r="L6556" s="343"/>
    </row>
    <row r="6557" spans="4:12" x14ac:dyDescent="0.2">
      <c r="D6557" s="341"/>
      <c r="F6557" s="343"/>
      <c r="G6557" s="343"/>
      <c r="H6557" s="343"/>
      <c r="I6557" s="343"/>
      <c r="J6557" s="343"/>
      <c r="K6557" s="343"/>
      <c r="L6557" s="343"/>
    </row>
    <row r="6558" spans="4:12" x14ac:dyDescent="0.2">
      <c r="D6558" s="341"/>
      <c r="F6558" s="343"/>
      <c r="G6558" s="343"/>
      <c r="H6558" s="343"/>
      <c r="I6558" s="343"/>
      <c r="J6558" s="343"/>
      <c r="K6558" s="343"/>
      <c r="L6558" s="343"/>
    </row>
    <row r="6559" spans="4:12" x14ac:dyDescent="0.2">
      <c r="D6559" s="341"/>
      <c r="F6559" s="343"/>
      <c r="G6559" s="343"/>
      <c r="H6559" s="343"/>
      <c r="I6559" s="343"/>
      <c r="J6559" s="343"/>
      <c r="K6559" s="343"/>
      <c r="L6559" s="343"/>
    </row>
    <row r="6560" spans="4:12" x14ac:dyDescent="0.2">
      <c r="D6560" s="341"/>
      <c r="F6560" s="343"/>
      <c r="G6560" s="343"/>
      <c r="H6560" s="343"/>
      <c r="I6560" s="343"/>
      <c r="J6560" s="343"/>
      <c r="K6560" s="343"/>
      <c r="L6560" s="343"/>
    </row>
    <row r="6561" spans="4:12" x14ac:dyDescent="0.2">
      <c r="D6561" s="341"/>
      <c r="F6561" s="343"/>
      <c r="G6561" s="343"/>
      <c r="H6561" s="343"/>
      <c r="I6561" s="343"/>
      <c r="J6561" s="343"/>
      <c r="K6561" s="343"/>
      <c r="L6561" s="343"/>
    </row>
    <row r="6562" spans="4:12" x14ac:dyDescent="0.2">
      <c r="D6562" s="341"/>
      <c r="F6562" s="343"/>
      <c r="G6562" s="343"/>
      <c r="H6562" s="343"/>
      <c r="I6562" s="343"/>
      <c r="J6562" s="343"/>
      <c r="K6562" s="343"/>
      <c r="L6562" s="343"/>
    </row>
    <row r="6563" spans="4:12" x14ac:dyDescent="0.2">
      <c r="D6563" s="341"/>
      <c r="F6563" s="343"/>
      <c r="G6563" s="343"/>
      <c r="H6563" s="343"/>
      <c r="I6563" s="343"/>
      <c r="J6563" s="343"/>
      <c r="K6563" s="343"/>
      <c r="L6563" s="343"/>
    </row>
    <row r="6564" spans="4:12" x14ac:dyDescent="0.2">
      <c r="D6564" s="341"/>
      <c r="F6564" s="343"/>
      <c r="G6564" s="343"/>
      <c r="H6564" s="343"/>
      <c r="I6564" s="343"/>
      <c r="J6564" s="343"/>
      <c r="K6564" s="343"/>
      <c r="L6564" s="343"/>
    </row>
    <row r="6565" spans="4:12" x14ac:dyDescent="0.2">
      <c r="D6565" s="341"/>
      <c r="F6565" s="343"/>
      <c r="G6565" s="343"/>
      <c r="H6565" s="343"/>
      <c r="I6565" s="343"/>
      <c r="J6565" s="343"/>
      <c r="K6565" s="343"/>
      <c r="L6565" s="343"/>
    </row>
    <row r="6566" spans="4:12" x14ac:dyDescent="0.2">
      <c r="D6566" s="341"/>
      <c r="F6566" s="343"/>
      <c r="G6566" s="343"/>
      <c r="H6566" s="343"/>
      <c r="I6566" s="343"/>
      <c r="J6566" s="343"/>
      <c r="K6566" s="343"/>
      <c r="L6566" s="343"/>
    </row>
    <row r="6567" spans="4:12" x14ac:dyDescent="0.2">
      <c r="D6567" s="341"/>
      <c r="F6567" s="343"/>
      <c r="G6567" s="343"/>
      <c r="H6567" s="343"/>
      <c r="I6567" s="343"/>
      <c r="J6567" s="343"/>
      <c r="K6567" s="343"/>
      <c r="L6567" s="343"/>
    </row>
    <row r="6568" spans="4:12" x14ac:dyDescent="0.2">
      <c r="D6568" s="341"/>
      <c r="F6568" s="343"/>
      <c r="G6568" s="343"/>
      <c r="H6568" s="343"/>
      <c r="I6568" s="343"/>
      <c r="J6568" s="343"/>
      <c r="K6568" s="343"/>
      <c r="L6568" s="343"/>
    </row>
    <row r="6569" spans="4:12" x14ac:dyDescent="0.2">
      <c r="D6569" s="341"/>
      <c r="F6569" s="343"/>
      <c r="G6569" s="343"/>
      <c r="H6569" s="343"/>
      <c r="I6569" s="343"/>
      <c r="J6569" s="343"/>
      <c r="K6569" s="343"/>
      <c r="L6569" s="343"/>
    </row>
    <row r="6570" spans="4:12" x14ac:dyDescent="0.2">
      <c r="D6570" s="341"/>
      <c r="F6570" s="343"/>
      <c r="G6570" s="343"/>
      <c r="H6570" s="343"/>
      <c r="I6570" s="343"/>
      <c r="J6570" s="343"/>
      <c r="K6570" s="343"/>
      <c r="L6570" s="343"/>
    </row>
    <row r="6571" spans="4:12" x14ac:dyDescent="0.2">
      <c r="D6571" s="341"/>
      <c r="F6571" s="343"/>
      <c r="G6571" s="343"/>
      <c r="H6571" s="343"/>
      <c r="I6571" s="343"/>
      <c r="J6571" s="343"/>
      <c r="K6571" s="343"/>
      <c r="L6571" s="343"/>
    </row>
    <row r="6572" spans="4:12" x14ac:dyDescent="0.2">
      <c r="D6572" s="341"/>
      <c r="F6572" s="343"/>
      <c r="G6572" s="343"/>
      <c r="H6572" s="343"/>
      <c r="I6572" s="343"/>
      <c r="J6572" s="343"/>
      <c r="K6572" s="343"/>
      <c r="L6572" s="343"/>
    </row>
    <row r="6573" spans="4:12" x14ac:dyDescent="0.2">
      <c r="D6573" s="341"/>
      <c r="F6573" s="343"/>
      <c r="G6573" s="343"/>
      <c r="H6573" s="343"/>
      <c r="I6573" s="343"/>
      <c r="J6573" s="343"/>
      <c r="K6573" s="343"/>
      <c r="L6573" s="343"/>
    </row>
    <row r="6574" spans="4:12" x14ac:dyDescent="0.2">
      <c r="D6574" s="341"/>
      <c r="F6574" s="343"/>
      <c r="G6574" s="343"/>
      <c r="H6574" s="343"/>
      <c r="I6574" s="343"/>
      <c r="J6574" s="343"/>
      <c r="K6574" s="343"/>
      <c r="L6574" s="343"/>
    </row>
    <row r="6575" spans="4:12" x14ac:dyDescent="0.2">
      <c r="D6575" s="341"/>
      <c r="F6575" s="343"/>
      <c r="G6575" s="343"/>
      <c r="H6575" s="343"/>
      <c r="I6575" s="343"/>
      <c r="J6575" s="343"/>
      <c r="K6575" s="343"/>
      <c r="L6575" s="343"/>
    </row>
    <row r="6576" spans="4:12" x14ac:dyDescent="0.2">
      <c r="D6576" s="341"/>
      <c r="F6576" s="343"/>
      <c r="G6576" s="343"/>
      <c r="H6576" s="343"/>
      <c r="I6576" s="343"/>
      <c r="J6576" s="343"/>
      <c r="K6576" s="343"/>
      <c r="L6576" s="343"/>
    </row>
    <row r="6577" spans="4:12" x14ac:dyDescent="0.2">
      <c r="D6577" s="341"/>
      <c r="F6577" s="343"/>
      <c r="G6577" s="343"/>
      <c r="H6577" s="343"/>
      <c r="I6577" s="343"/>
      <c r="J6577" s="343"/>
      <c r="K6577" s="343"/>
      <c r="L6577" s="343"/>
    </row>
    <row r="6578" spans="4:12" x14ac:dyDescent="0.2">
      <c r="D6578" s="341"/>
      <c r="F6578" s="343"/>
      <c r="G6578" s="343"/>
      <c r="H6578" s="343"/>
      <c r="I6578" s="343"/>
      <c r="J6578" s="343"/>
      <c r="K6578" s="343"/>
      <c r="L6578" s="343"/>
    </row>
    <row r="6579" spans="4:12" x14ac:dyDescent="0.2">
      <c r="D6579" s="341"/>
      <c r="F6579" s="343"/>
      <c r="G6579" s="343"/>
      <c r="H6579" s="343"/>
      <c r="I6579" s="343"/>
      <c r="J6579" s="343"/>
      <c r="K6579" s="343"/>
      <c r="L6579" s="343"/>
    </row>
    <row r="6580" spans="4:12" x14ac:dyDescent="0.2">
      <c r="D6580" s="341"/>
      <c r="F6580" s="343"/>
      <c r="G6580" s="343"/>
      <c r="H6580" s="343"/>
      <c r="I6580" s="343"/>
      <c r="J6580" s="343"/>
      <c r="K6580" s="343"/>
      <c r="L6580" s="343"/>
    </row>
    <row r="6581" spans="4:12" x14ac:dyDescent="0.2">
      <c r="D6581" s="341"/>
      <c r="F6581" s="343"/>
      <c r="G6581" s="343"/>
      <c r="H6581" s="343"/>
      <c r="I6581" s="343"/>
      <c r="J6581" s="343"/>
      <c r="K6581" s="343"/>
      <c r="L6581" s="343"/>
    </row>
    <row r="6582" spans="4:12" x14ac:dyDescent="0.2">
      <c r="D6582" s="341"/>
      <c r="F6582" s="343"/>
      <c r="G6582" s="343"/>
      <c r="H6582" s="343"/>
      <c r="I6582" s="343"/>
      <c r="J6582" s="343"/>
      <c r="K6582" s="343"/>
      <c r="L6582" s="343"/>
    </row>
    <row r="6583" spans="4:12" x14ac:dyDescent="0.2">
      <c r="D6583" s="341"/>
      <c r="F6583" s="343"/>
      <c r="G6583" s="343"/>
      <c r="H6583" s="343"/>
      <c r="I6583" s="343"/>
      <c r="J6583" s="343"/>
      <c r="K6583" s="343"/>
      <c r="L6583" s="343"/>
    </row>
    <row r="6584" spans="4:12" x14ac:dyDescent="0.2">
      <c r="D6584" s="341"/>
      <c r="F6584" s="343"/>
      <c r="G6584" s="343"/>
      <c r="H6584" s="343"/>
      <c r="I6584" s="343"/>
      <c r="J6584" s="343"/>
      <c r="K6584" s="343"/>
      <c r="L6584" s="343"/>
    </row>
    <row r="6585" spans="4:12" x14ac:dyDescent="0.2">
      <c r="D6585" s="341"/>
      <c r="F6585" s="343"/>
      <c r="G6585" s="343"/>
      <c r="H6585" s="343"/>
      <c r="I6585" s="343"/>
      <c r="J6585" s="343"/>
      <c r="K6585" s="343"/>
      <c r="L6585" s="343"/>
    </row>
    <row r="6586" spans="4:12" x14ac:dyDescent="0.2">
      <c r="D6586" s="341"/>
      <c r="F6586" s="343"/>
      <c r="G6586" s="343"/>
      <c r="H6586" s="343"/>
      <c r="I6586" s="343"/>
      <c r="J6586" s="343"/>
      <c r="K6586" s="343"/>
      <c r="L6586" s="343"/>
    </row>
    <row r="6587" spans="4:12" x14ac:dyDescent="0.2">
      <c r="D6587" s="341"/>
      <c r="F6587" s="343"/>
      <c r="G6587" s="343"/>
      <c r="H6587" s="343"/>
      <c r="I6587" s="343"/>
      <c r="J6587" s="343"/>
      <c r="K6587" s="343"/>
      <c r="L6587" s="343"/>
    </row>
    <row r="6588" spans="4:12" x14ac:dyDescent="0.2">
      <c r="D6588" s="341"/>
      <c r="F6588" s="343"/>
      <c r="G6588" s="343"/>
      <c r="H6588" s="343"/>
      <c r="I6588" s="343"/>
      <c r="J6588" s="343"/>
      <c r="K6588" s="343"/>
      <c r="L6588" s="343"/>
    </row>
    <row r="6589" spans="4:12" x14ac:dyDescent="0.2">
      <c r="D6589" s="341"/>
      <c r="F6589" s="343"/>
      <c r="G6589" s="343"/>
      <c r="H6589" s="343"/>
      <c r="I6589" s="343"/>
      <c r="J6589" s="343"/>
      <c r="K6589" s="343"/>
      <c r="L6589" s="343"/>
    </row>
    <row r="6590" spans="4:12" x14ac:dyDescent="0.2">
      <c r="D6590" s="341"/>
      <c r="F6590" s="343"/>
      <c r="G6590" s="343"/>
      <c r="H6590" s="343"/>
      <c r="I6590" s="343"/>
      <c r="J6590" s="343"/>
      <c r="K6590" s="343"/>
      <c r="L6590" s="343"/>
    </row>
    <row r="6591" spans="4:12" x14ac:dyDescent="0.2">
      <c r="D6591" s="341"/>
      <c r="F6591" s="343"/>
      <c r="G6591" s="343"/>
      <c r="H6591" s="343"/>
      <c r="I6591" s="343"/>
      <c r="J6591" s="343"/>
      <c r="K6591" s="343"/>
      <c r="L6591" s="343"/>
    </row>
    <row r="6592" spans="4:12" x14ac:dyDescent="0.2">
      <c r="D6592" s="341"/>
      <c r="F6592" s="343"/>
      <c r="G6592" s="343"/>
      <c r="H6592" s="343"/>
      <c r="I6592" s="343"/>
      <c r="J6592" s="343"/>
      <c r="K6592" s="343"/>
      <c r="L6592" s="343"/>
    </row>
    <row r="6593" spans="4:12" x14ac:dyDescent="0.2">
      <c r="D6593" s="341"/>
      <c r="F6593" s="343"/>
      <c r="G6593" s="343"/>
      <c r="H6593" s="343"/>
      <c r="I6593" s="343"/>
      <c r="J6593" s="343"/>
      <c r="K6593" s="343"/>
      <c r="L6593" s="343"/>
    </row>
    <row r="6594" spans="4:12" x14ac:dyDescent="0.2">
      <c r="D6594" s="341"/>
      <c r="F6594" s="343"/>
      <c r="G6594" s="343"/>
      <c r="H6594" s="343"/>
      <c r="I6594" s="343"/>
      <c r="J6594" s="343"/>
      <c r="K6594" s="343"/>
      <c r="L6594" s="343"/>
    </row>
    <row r="6595" spans="4:12" x14ac:dyDescent="0.2">
      <c r="D6595" s="341"/>
      <c r="F6595" s="343"/>
      <c r="G6595" s="343"/>
      <c r="H6595" s="343"/>
      <c r="I6595" s="343"/>
      <c r="J6595" s="343"/>
      <c r="K6595" s="343"/>
      <c r="L6595" s="343"/>
    </row>
    <row r="6596" spans="4:12" x14ac:dyDescent="0.2">
      <c r="D6596" s="341"/>
      <c r="F6596" s="343"/>
      <c r="G6596" s="343"/>
      <c r="H6596" s="343"/>
      <c r="I6596" s="343"/>
      <c r="J6596" s="343"/>
      <c r="K6596" s="343"/>
      <c r="L6596" s="343"/>
    </row>
    <row r="6597" spans="4:12" x14ac:dyDescent="0.2">
      <c r="D6597" s="341"/>
      <c r="F6597" s="343"/>
      <c r="G6597" s="343"/>
      <c r="H6597" s="343"/>
      <c r="I6597" s="343"/>
      <c r="J6597" s="343"/>
      <c r="K6597" s="343"/>
      <c r="L6597" s="343"/>
    </row>
    <row r="6598" spans="4:12" x14ac:dyDescent="0.2">
      <c r="D6598" s="341"/>
      <c r="F6598" s="343"/>
      <c r="G6598" s="343"/>
      <c r="H6598" s="343"/>
      <c r="I6598" s="343"/>
      <c r="J6598" s="343"/>
      <c r="K6598" s="343"/>
      <c r="L6598" s="343"/>
    </row>
    <row r="6599" spans="4:12" x14ac:dyDescent="0.2">
      <c r="D6599" s="341"/>
      <c r="F6599" s="343"/>
      <c r="G6599" s="343"/>
      <c r="H6599" s="343"/>
      <c r="I6599" s="343"/>
      <c r="J6599" s="343"/>
      <c r="K6599" s="343"/>
      <c r="L6599" s="343"/>
    </row>
    <row r="6600" spans="4:12" x14ac:dyDescent="0.2">
      <c r="D6600" s="341"/>
      <c r="F6600" s="343"/>
      <c r="G6600" s="343"/>
      <c r="H6600" s="343"/>
      <c r="I6600" s="343"/>
      <c r="J6600" s="343"/>
      <c r="K6600" s="343"/>
      <c r="L6600" s="343"/>
    </row>
    <row r="6601" spans="4:12" x14ac:dyDescent="0.2">
      <c r="D6601" s="341"/>
      <c r="F6601" s="343"/>
      <c r="G6601" s="343"/>
      <c r="H6601" s="343"/>
      <c r="I6601" s="343"/>
      <c r="J6601" s="343"/>
      <c r="K6601" s="343"/>
      <c r="L6601" s="343"/>
    </row>
    <row r="6602" spans="4:12" x14ac:dyDescent="0.2">
      <c r="D6602" s="341"/>
      <c r="F6602" s="343"/>
      <c r="G6602" s="343"/>
      <c r="H6602" s="343"/>
      <c r="I6602" s="343"/>
      <c r="J6602" s="343"/>
      <c r="K6602" s="343"/>
      <c r="L6602" s="343"/>
    </row>
    <row r="6603" spans="4:12" x14ac:dyDescent="0.2">
      <c r="D6603" s="341"/>
      <c r="F6603" s="343"/>
      <c r="G6603" s="343"/>
      <c r="H6603" s="343"/>
      <c r="I6603" s="343"/>
      <c r="J6603" s="343"/>
      <c r="K6603" s="343"/>
      <c r="L6603" s="343"/>
    </row>
    <row r="6604" spans="4:12" x14ac:dyDescent="0.2">
      <c r="D6604" s="341"/>
      <c r="F6604" s="343"/>
      <c r="G6604" s="343"/>
      <c r="H6604" s="343"/>
      <c r="I6604" s="343"/>
      <c r="J6604" s="343"/>
      <c r="K6604" s="343"/>
      <c r="L6604" s="343"/>
    </row>
    <row r="6605" spans="4:12" x14ac:dyDescent="0.2">
      <c r="D6605" s="341"/>
      <c r="F6605" s="343"/>
      <c r="G6605" s="343"/>
      <c r="H6605" s="343"/>
      <c r="I6605" s="343"/>
      <c r="J6605" s="343"/>
      <c r="K6605" s="343"/>
      <c r="L6605" s="343"/>
    </row>
    <row r="6606" spans="4:12" x14ac:dyDescent="0.2">
      <c r="D6606" s="341"/>
      <c r="F6606" s="343"/>
      <c r="G6606" s="343"/>
      <c r="H6606" s="343"/>
      <c r="I6606" s="343"/>
      <c r="J6606" s="343"/>
      <c r="K6606" s="343"/>
      <c r="L6606" s="343"/>
    </row>
    <row r="6607" spans="4:12" x14ac:dyDescent="0.2">
      <c r="D6607" s="341"/>
      <c r="F6607" s="343"/>
      <c r="G6607" s="343"/>
      <c r="H6607" s="343"/>
      <c r="I6607" s="343"/>
      <c r="J6607" s="343"/>
      <c r="K6607" s="343"/>
      <c r="L6607" s="343"/>
    </row>
    <row r="6608" spans="4:12" x14ac:dyDescent="0.2">
      <c r="D6608" s="341"/>
      <c r="F6608" s="343"/>
      <c r="G6608" s="343"/>
      <c r="H6608" s="343"/>
      <c r="I6608" s="343"/>
      <c r="J6608" s="343"/>
      <c r="K6608" s="343"/>
      <c r="L6608" s="343"/>
    </row>
    <row r="6609" spans="4:12" x14ac:dyDescent="0.2">
      <c r="D6609" s="341"/>
      <c r="F6609" s="343"/>
      <c r="G6609" s="343"/>
      <c r="H6609" s="343"/>
      <c r="I6609" s="343"/>
      <c r="J6609" s="343"/>
      <c r="K6609" s="343"/>
      <c r="L6609" s="343"/>
    </row>
    <row r="6610" spans="4:12" x14ac:dyDescent="0.2">
      <c r="D6610" s="341"/>
      <c r="F6610" s="343"/>
      <c r="G6610" s="343"/>
      <c r="H6610" s="343"/>
      <c r="I6610" s="343"/>
      <c r="J6610" s="343"/>
      <c r="K6610" s="343"/>
      <c r="L6610" s="343"/>
    </row>
    <row r="6611" spans="4:12" x14ac:dyDescent="0.2">
      <c r="D6611" s="341"/>
      <c r="F6611" s="343"/>
      <c r="G6611" s="343"/>
      <c r="H6611" s="343"/>
      <c r="I6611" s="343"/>
      <c r="J6611" s="343"/>
      <c r="K6611" s="343"/>
      <c r="L6611" s="343"/>
    </row>
    <row r="6612" spans="4:12" x14ac:dyDescent="0.2">
      <c r="D6612" s="341"/>
      <c r="F6612" s="343"/>
      <c r="G6612" s="343"/>
      <c r="H6612" s="343"/>
      <c r="I6612" s="343"/>
      <c r="J6612" s="343"/>
      <c r="K6612" s="343"/>
      <c r="L6612" s="343"/>
    </row>
    <row r="6613" spans="4:12" x14ac:dyDescent="0.2">
      <c r="D6613" s="341"/>
      <c r="F6613" s="343"/>
      <c r="G6613" s="343"/>
      <c r="H6613" s="343"/>
      <c r="I6613" s="343"/>
      <c r="J6613" s="343"/>
      <c r="K6613" s="343"/>
      <c r="L6613" s="343"/>
    </row>
    <row r="6614" spans="4:12" x14ac:dyDescent="0.2">
      <c r="D6614" s="341"/>
      <c r="F6614" s="343"/>
      <c r="G6614" s="343"/>
      <c r="H6614" s="343"/>
      <c r="I6614" s="343"/>
      <c r="J6614" s="343"/>
      <c r="K6614" s="343"/>
      <c r="L6614" s="343"/>
    </row>
    <row r="6615" spans="4:12" x14ac:dyDescent="0.2">
      <c r="D6615" s="341"/>
      <c r="F6615" s="343"/>
      <c r="G6615" s="343"/>
      <c r="H6615" s="343"/>
      <c r="I6615" s="343"/>
      <c r="J6615" s="343"/>
      <c r="K6615" s="343"/>
      <c r="L6615" s="343"/>
    </row>
    <row r="6616" spans="4:12" x14ac:dyDescent="0.2">
      <c r="D6616" s="341"/>
      <c r="F6616" s="343"/>
      <c r="G6616" s="343"/>
      <c r="H6616" s="343"/>
      <c r="I6616" s="343"/>
      <c r="J6616" s="343"/>
      <c r="K6616" s="343"/>
      <c r="L6616" s="343"/>
    </row>
    <row r="6617" spans="4:12" x14ac:dyDescent="0.2">
      <c r="D6617" s="341"/>
      <c r="F6617" s="343"/>
      <c r="G6617" s="343"/>
      <c r="H6617" s="343"/>
      <c r="I6617" s="343"/>
      <c r="J6617" s="343"/>
      <c r="K6617" s="343"/>
      <c r="L6617" s="343"/>
    </row>
    <row r="6618" spans="4:12" x14ac:dyDescent="0.2">
      <c r="D6618" s="341"/>
      <c r="F6618" s="343"/>
      <c r="G6618" s="343"/>
      <c r="H6618" s="343"/>
      <c r="I6618" s="343"/>
      <c r="J6618" s="343"/>
      <c r="K6618" s="343"/>
      <c r="L6618" s="343"/>
    </row>
    <row r="6619" spans="4:12" x14ac:dyDescent="0.2">
      <c r="D6619" s="341"/>
      <c r="F6619" s="343"/>
      <c r="G6619" s="343"/>
      <c r="H6619" s="343"/>
      <c r="I6619" s="343"/>
      <c r="J6619" s="343"/>
      <c r="K6619" s="343"/>
      <c r="L6619" s="343"/>
    </row>
    <row r="6620" spans="4:12" x14ac:dyDescent="0.2">
      <c r="D6620" s="341"/>
      <c r="F6620" s="343"/>
      <c r="G6620" s="343"/>
      <c r="H6620" s="343"/>
      <c r="I6620" s="343"/>
      <c r="J6620" s="343"/>
      <c r="K6620" s="343"/>
      <c r="L6620" s="343"/>
    </row>
    <row r="6621" spans="4:12" x14ac:dyDescent="0.2">
      <c r="D6621" s="341"/>
      <c r="F6621" s="343"/>
      <c r="G6621" s="343"/>
      <c r="H6621" s="343"/>
      <c r="I6621" s="343"/>
      <c r="J6621" s="343"/>
      <c r="K6621" s="343"/>
      <c r="L6621" s="343"/>
    </row>
    <row r="6622" spans="4:12" x14ac:dyDescent="0.2">
      <c r="D6622" s="341"/>
      <c r="F6622" s="343"/>
      <c r="G6622" s="343"/>
      <c r="H6622" s="343"/>
      <c r="I6622" s="343"/>
      <c r="J6622" s="343"/>
      <c r="K6622" s="343"/>
      <c r="L6622" s="343"/>
    </row>
    <row r="6623" spans="4:12" x14ac:dyDescent="0.2">
      <c r="D6623" s="341"/>
      <c r="F6623" s="343"/>
      <c r="G6623" s="343"/>
      <c r="H6623" s="343"/>
      <c r="I6623" s="343"/>
      <c r="J6623" s="343"/>
      <c r="K6623" s="343"/>
      <c r="L6623" s="343"/>
    </row>
    <row r="6624" spans="4:12" x14ac:dyDescent="0.2">
      <c r="D6624" s="341"/>
      <c r="F6624" s="343"/>
      <c r="G6624" s="343"/>
      <c r="H6624" s="343"/>
      <c r="I6624" s="343"/>
      <c r="J6624" s="343"/>
      <c r="K6624" s="343"/>
      <c r="L6624" s="343"/>
    </row>
    <row r="6625" spans="4:12" x14ac:dyDescent="0.2">
      <c r="D6625" s="341"/>
      <c r="F6625" s="343"/>
      <c r="G6625" s="343"/>
      <c r="H6625" s="343"/>
      <c r="I6625" s="343"/>
      <c r="J6625" s="343"/>
      <c r="K6625" s="343"/>
      <c r="L6625" s="343"/>
    </row>
    <row r="6626" spans="4:12" x14ac:dyDescent="0.2">
      <c r="D6626" s="341"/>
      <c r="F6626" s="343"/>
      <c r="G6626" s="343"/>
      <c r="H6626" s="343"/>
      <c r="I6626" s="343"/>
      <c r="J6626" s="343"/>
      <c r="K6626" s="343"/>
      <c r="L6626" s="343"/>
    </row>
    <row r="6627" spans="4:12" x14ac:dyDescent="0.2">
      <c r="D6627" s="341"/>
      <c r="F6627" s="343"/>
      <c r="G6627" s="343"/>
      <c r="H6627" s="343"/>
      <c r="I6627" s="343"/>
      <c r="J6627" s="343"/>
      <c r="K6627" s="343"/>
      <c r="L6627" s="343"/>
    </row>
    <row r="6628" spans="4:12" x14ac:dyDescent="0.2">
      <c r="D6628" s="341"/>
      <c r="F6628" s="343"/>
      <c r="G6628" s="343"/>
      <c r="H6628" s="343"/>
      <c r="I6628" s="343"/>
      <c r="J6628" s="343"/>
      <c r="K6628" s="343"/>
      <c r="L6628" s="343"/>
    </row>
    <row r="6629" spans="4:12" x14ac:dyDescent="0.2">
      <c r="D6629" s="341"/>
      <c r="F6629" s="343"/>
      <c r="G6629" s="343"/>
      <c r="H6629" s="343"/>
      <c r="I6629" s="343"/>
      <c r="J6629" s="343"/>
      <c r="K6629" s="343"/>
      <c r="L6629" s="343"/>
    </row>
    <row r="6630" spans="4:12" x14ac:dyDescent="0.2">
      <c r="D6630" s="341"/>
      <c r="F6630" s="343"/>
      <c r="G6630" s="343"/>
      <c r="H6630" s="343"/>
      <c r="I6630" s="343"/>
      <c r="J6630" s="343"/>
      <c r="K6630" s="343"/>
      <c r="L6630" s="343"/>
    </row>
    <row r="6631" spans="4:12" x14ac:dyDescent="0.2">
      <c r="D6631" s="341"/>
      <c r="F6631" s="343"/>
      <c r="G6631" s="343"/>
      <c r="H6631" s="343"/>
      <c r="I6631" s="343"/>
      <c r="J6631" s="343"/>
      <c r="K6631" s="343"/>
      <c r="L6631" s="343"/>
    </row>
    <row r="6632" spans="4:12" x14ac:dyDescent="0.2">
      <c r="D6632" s="341"/>
      <c r="F6632" s="343"/>
      <c r="G6632" s="343"/>
      <c r="H6632" s="343"/>
      <c r="I6632" s="343"/>
      <c r="J6632" s="343"/>
      <c r="K6632" s="343"/>
      <c r="L6632" s="343"/>
    </row>
    <row r="6633" spans="4:12" x14ac:dyDescent="0.2">
      <c r="D6633" s="341"/>
      <c r="F6633" s="343"/>
      <c r="G6633" s="343"/>
      <c r="H6633" s="343"/>
      <c r="I6633" s="343"/>
      <c r="J6633" s="343"/>
      <c r="K6633" s="343"/>
      <c r="L6633" s="343"/>
    </row>
    <row r="6634" spans="4:12" x14ac:dyDescent="0.2">
      <c r="D6634" s="341"/>
      <c r="F6634" s="343"/>
      <c r="G6634" s="343"/>
      <c r="H6634" s="343"/>
      <c r="I6634" s="343"/>
      <c r="J6634" s="343"/>
      <c r="K6634" s="343"/>
      <c r="L6634" s="343"/>
    </row>
    <row r="6635" spans="4:12" x14ac:dyDescent="0.2">
      <c r="D6635" s="341"/>
      <c r="F6635" s="343"/>
      <c r="G6635" s="343"/>
      <c r="H6635" s="343"/>
      <c r="I6635" s="343"/>
      <c r="J6635" s="343"/>
      <c r="K6635" s="343"/>
      <c r="L6635" s="343"/>
    </row>
    <row r="6636" spans="4:12" x14ac:dyDescent="0.2">
      <c r="D6636" s="341"/>
      <c r="F6636" s="343"/>
      <c r="G6636" s="343"/>
      <c r="H6636" s="343"/>
      <c r="I6636" s="343"/>
      <c r="J6636" s="343"/>
      <c r="K6636" s="343"/>
      <c r="L6636" s="343"/>
    </row>
    <row r="6637" spans="4:12" x14ac:dyDescent="0.2">
      <c r="D6637" s="341"/>
      <c r="F6637" s="343"/>
      <c r="G6637" s="343"/>
      <c r="H6637" s="343"/>
      <c r="I6637" s="343"/>
      <c r="J6637" s="343"/>
      <c r="K6637" s="343"/>
      <c r="L6637" s="343"/>
    </row>
    <row r="6638" spans="4:12" x14ac:dyDescent="0.2">
      <c r="D6638" s="341"/>
      <c r="F6638" s="343"/>
      <c r="G6638" s="343"/>
      <c r="H6638" s="343"/>
      <c r="I6638" s="343"/>
      <c r="J6638" s="343"/>
      <c r="K6638" s="343"/>
      <c r="L6638" s="343"/>
    </row>
    <row r="6639" spans="4:12" x14ac:dyDescent="0.2">
      <c r="D6639" s="341"/>
      <c r="F6639" s="343"/>
      <c r="G6639" s="343"/>
      <c r="H6639" s="343"/>
      <c r="I6639" s="343"/>
      <c r="J6639" s="343"/>
      <c r="K6639" s="343"/>
      <c r="L6639" s="343"/>
    </row>
    <row r="6640" spans="4:12" x14ac:dyDescent="0.2">
      <c r="D6640" s="341"/>
      <c r="F6640" s="343"/>
      <c r="G6640" s="343"/>
      <c r="H6640" s="343"/>
      <c r="I6640" s="343"/>
      <c r="J6640" s="343"/>
      <c r="K6640" s="343"/>
      <c r="L6640" s="343"/>
    </row>
    <row r="6641" spans="4:12" x14ac:dyDescent="0.2">
      <c r="D6641" s="341"/>
      <c r="F6641" s="343"/>
      <c r="G6641" s="343"/>
      <c r="H6641" s="343"/>
      <c r="I6641" s="343"/>
      <c r="J6641" s="343"/>
      <c r="K6641" s="343"/>
      <c r="L6641" s="343"/>
    </row>
    <row r="6642" spans="4:12" x14ac:dyDescent="0.2">
      <c r="D6642" s="341"/>
      <c r="F6642" s="343"/>
      <c r="G6642" s="343"/>
      <c r="H6642" s="343"/>
      <c r="I6642" s="343"/>
      <c r="J6642" s="343"/>
      <c r="K6642" s="343"/>
      <c r="L6642" s="343"/>
    </row>
    <row r="6643" spans="4:12" x14ac:dyDescent="0.2">
      <c r="D6643" s="341"/>
      <c r="F6643" s="343"/>
      <c r="G6643" s="343"/>
      <c r="H6643" s="343"/>
      <c r="I6643" s="343"/>
      <c r="J6643" s="343"/>
      <c r="K6643" s="343"/>
      <c r="L6643" s="343"/>
    </row>
    <row r="6644" spans="4:12" x14ac:dyDescent="0.2">
      <c r="D6644" s="341"/>
      <c r="F6644" s="343"/>
      <c r="G6644" s="343"/>
      <c r="H6644" s="343"/>
      <c r="I6644" s="343"/>
      <c r="J6644" s="343"/>
      <c r="K6644" s="343"/>
      <c r="L6644" s="343"/>
    </row>
    <row r="6645" spans="4:12" x14ac:dyDescent="0.2">
      <c r="D6645" s="341"/>
      <c r="F6645" s="343"/>
      <c r="G6645" s="343"/>
      <c r="H6645" s="343"/>
      <c r="I6645" s="343"/>
      <c r="J6645" s="343"/>
      <c r="K6645" s="343"/>
      <c r="L6645" s="343"/>
    </row>
    <row r="6646" spans="4:12" x14ac:dyDescent="0.2">
      <c r="D6646" s="341"/>
      <c r="F6646" s="343"/>
      <c r="G6646" s="343"/>
      <c r="H6646" s="343"/>
      <c r="I6646" s="343"/>
      <c r="J6646" s="343"/>
      <c r="K6646" s="343"/>
      <c r="L6646" s="343"/>
    </row>
    <row r="6647" spans="4:12" x14ac:dyDescent="0.2">
      <c r="D6647" s="341"/>
      <c r="F6647" s="343"/>
      <c r="G6647" s="343"/>
      <c r="H6647" s="343"/>
      <c r="I6647" s="343"/>
      <c r="J6647" s="343"/>
      <c r="K6647" s="343"/>
      <c r="L6647" s="343"/>
    </row>
    <row r="6648" spans="4:12" x14ac:dyDescent="0.2">
      <c r="D6648" s="341"/>
      <c r="F6648" s="343"/>
      <c r="G6648" s="343"/>
      <c r="H6648" s="343"/>
      <c r="I6648" s="343"/>
      <c r="J6648" s="343"/>
      <c r="K6648" s="343"/>
      <c r="L6648" s="343"/>
    </row>
    <row r="6649" spans="4:12" x14ac:dyDescent="0.2">
      <c r="D6649" s="341"/>
      <c r="F6649" s="343"/>
      <c r="G6649" s="343"/>
      <c r="H6649" s="343"/>
      <c r="I6649" s="343"/>
      <c r="J6649" s="343"/>
      <c r="K6649" s="343"/>
      <c r="L6649" s="343"/>
    </row>
    <row r="6650" spans="4:12" x14ac:dyDescent="0.2">
      <c r="D6650" s="341"/>
      <c r="F6650" s="343"/>
      <c r="G6650" s="343"/>
      <c r="H6650" s="343"/>
      <c r="I6650" s="343"/>
      <c r="J6650" s="343"/>
      <c r="K6650" s="343"/>
      <c r="L6650" s="343"/>
    </row>
    <row r="6651" spans="4:12" x14ac:dyDescent="0.2">
      <c r="D6651" s="341"/>
      <c r="F6651" s="343"/>
      <c r="G6651" s="343"/>
      <c r="H6651" s="343"/>
      <c r="I6651" s="343"/>
      <c r="J6651" s="343"/>
      <c r="K6651" s="343"/>
      <c r="L6651" s="343"/>
    </row>
    <row r="6652" spans="4:12" x14ac:dyDescent="0.2">
      <c r="D6652" s="341"/>
      <c r="F6652" s="343"/>
      <c r="G6652" s="343"/>
      <c r="H6652" s="343"/>
      <c r="I6652" s="343"/>
      <c r="J6652" s="343"/>
      <c r="K6652" s="343"/>
      <c r="L6652" s="343"/>
    </row>
    <row r="6653" spans="4:12" x14ac:dyDescent="0.2">
      <c r="D6653" s="341"/>
      <c r="F6653" s="343"/>
      <c r="G6653" s="343"/>
      <c r="H6653" s="343"/>
      <c r="I6653" s="343"/>
      <c r="J6653" s="343"/>
      <c r="K6653" s="343"/>
      <c r="L6653" s="343"/>
    </row>
    <row r="6654" spans="4:12" x14ac:dyDescent="0.2">
      <c r="D6654" s="341"/>
      <c r="F6654" s="343"/>
      <c r="G6654" s="343"/>
      <c r="H6654" s="343"/>
      <c r="I6654" s="343"/>
      <c r="J6654" s="343"/>
      <c r="K6654" s="343"/>
      <c r="L6654" s="343"/>
    </row>
    <row r="6655" spans="4:12" x14ac:dyDescent="0.2">
      <c r="D6655" s="341"/>
      <c r="F6655" s="343"/>
      <c r="G6655" s="343"/>
      <c r="H6655" s="343"/>
      <c r="I6655" s="343"/>
      <c r="J6655" s="343"/>
      <c r="K6655" s="343"/>
      <c r="L6655" s="343"/>
    </row>
    <row r="6656" spans="4:12" x14ac:dyDescent="0.2">
      <c r="D6656" s="341"/>
      <c r="F6656" s="343"/>
      <c r="G6656" s="343"/>
      <c r="H6656" s="343"/>
      <c r="I6656" s="343"/>
      <c r="J6656" s="343"/>
      <c r="K6656" s="343"/>
      <c r="L6656" s="343"/>
    </row>
    <row r="6657" spans="4:12" x14ac:dyDescent="0.2">
      <c r="D6657" s="341"/>
      <c r="F6657" s="343"/>
      <c r="G6657" s="343"/>
      <c r="H6657" s="343"/>
      <c r="I6657" s="343"/>
      <c r="J6657" s="343"/>
      <c r="K6657" s="343"/>
      <c r="L6657" s="343"/>
    </row>
    <row r="6658" spans="4:12" x14ac:dyDescent="0.2">
      <c r="D6658" s="341"/>
      <c r="F6658" s="343"/>
      <c r="G6658" s="343"/>
      <c r="H6658" s="343"/>
      <c r="I6658" s="343"/>
      <c r="J6658" s="343"/>
      <c r="K6658" s="343"/>
      <c r="L6658" s="343"/>
    </row>
    <row r="6659" spans="4:12" x14ac:dyDescent="0.2">
      <c r="D6659" s="341"/>
      <c r="F6659" s="343"/>
      <c r="G6659" s="343"/>
      <c r="H6659" s="343"/>
      <c r="I6659" s="343"/>
      <c r="J6659" s="343"/>
      <c r="K6659" s="343"/>
      <c r="L6659" s="343"/>
    </row>
    <row r="6660" spans="4:12" x14ac:dyDescent="0.2">
      <c r="D6660" s="341"/>
      <c r="F6660" s="343"/>
      <c r="G6660" s="343"/>
      <c r="H6660" s="343"/>
      <c r="I6660" s="343"/>
      <c r="J6660" s="343"/>
      <c r="K6660" s="343"/>
      <c r="L6660" s="343"/>
    </row>
    <row r="6661" spans="4:12" x14ac:dyDescent="0.2">
      <c r="D6661" s="341"/>
      <c r="F6661" s="343"/>
      <c r="G6661" s="343"/>
      <c r="H6661" s="343"/>
      <c r="I6661" s="343"/>
      <c r="J6661" s="343"/>
      <c r="K6661" s="343"/>
      <c r="L6661" s="343"/>
    </row>
    <row r="6662" spans="4:12" x14ac:dyDescent="0.2">
      <c r="D6662" s="341"/>
      <c r="F6662" s="343"/>
      <c r="G6662" s="343"/>
      <c r="H6662" s="343"/>
      <c r="I6662" s="343"/>
      <c r="J6662" s="343"/>
      <c r="K6662" s="343"/>
      <c r="L6662" s="343"/>
    </row>
    <row r="6663" spans="4:12" x14ac:dyDescent="0.2">
      <c r="D6663" s="341"/>
      <c r="F6663" s="343"/>
      <c r="G6663" s="343"/>
      <c r="H6663" s="343"/>
      <c r="I6663" s="343"/>
      <c r="J6663" s="343"/>
      <c r="K6663" s="343"/>
      <c r="L6663" s="343"/>
    </row>
    <row r="6664" spans="4:12" x14ac:dyDescent="0.2">
      <c r="D6664" s="341"/>
      <c r="F6664" s="343"/>
      <c r="G6664" s="343"/>
      <c r="H6664" s="343"/>
      <c r="I6664" s="343"/>
      <c r="J6664" s="343"/>
      <c r="K6664" s="343"/>
      <c r="L6664" s="343"/>
    </row>
    <row r="6665" spans="4:12" x14ac:dyDescent="0.2">
      <c r="D6665" s="341"/>
      <c r="F6665" s="343"/>
      <c r="G6665" s="343"/>
      <c r="H6665" s="343"/>
      <c r="I6665" s="343"/>
      <c r="J6665" s="343"/>
      <c r="K6665" s="343"/>
      <c r="L6665" s="343"/>
    </row>
    <row r="6666" spans="4:12" x14ac:dyDescent="0.2">
      <c r="D6666" s="341"/>
      <c r="F6666" s="343"/>
      <c r="G6666" s="343"/>
      <c r="H6666" s="343"/>
      <c r="I6666" s="343"/>
      <c r="J6666" s="343"/>
      <c r="K6666" s="343"/>
      <c r="L6666" s="343"/>
    </row>
    <row r="6667" spans="4:12" x14ac:dyDescent="0.2">
      <c r="D6667" s="341"/>
      <c r="F6667" s="343"/>
      <c r="G6667" s="343"/>
      <c r="H6667" s="343"/>
      <c r="I6667" s="343"/>
      <c r="J6667" s="343"/>
      <c r="K6667" s="343"/>
      <c r="L6667" s="343"/>
    </row>
    <row r="6668" spans="4:12" x14ac:dyDescent="0.2">
      <c r="D6668" s="341"/>
      <c r="F6668" s="343"/>
      <c r="G6668" s="343"/>
      <c r="H6668" s="343"/>
      <c r="I6668" s="343"/>
      <c r="J6668" s="343"/>
      <c r="K6668" s="343"/>
      <c r="L6668" s="343"/>
    </row>
    <row r="6669" spans="4:12" x14ac:dyDescent="0.2">
      <c r="D6669" s="341"/>
      <c r="F6669" s="343"/>
      <c r="G6669" s="343"/>
      <c r="H6669" s="343"/>
      <c r="I6669" s="343"/>
      <c r="J6669" s="343"/>
      <c r="K6669" s="343"/>
      <c r="L6669" s="343"/>
    </row>
    <row r="6670" spans="4:12" x14ac:dyDescent="0.2">
      <c r="D6670" s="341"/>
      <c r="F6670" s="343"/>
      <c r="G6670" s="343"/>
      <c r="H6670" s="343"/>
      <c r="I6670" s="343"/>
      <c r="J6670" s="343"/>
      <c r="K6670" s="343"/>
      <c r="L6670" s="343"/>
    </row>
    <row r="6671" spans="4:12" x14ac:dyDescent="0.2">
      <c r="D6671" s="341"/>
      <c r="F6671" s="343"/>
      <c r="G6671" s="343"/>
      <c r="H6671" s="343"/>
      <c r="I6671" s="343"/>
      <c r="J6671" s="343"/>
      <c r="K6671" s="343"/>
      <c r="L6671" s="343"/>
    </row>
    <row r="6672" spans="4:12" x14ac:dyDescent="0.2">
      <c r="D6672" s="341"/>
      <c r="F6672" s="343"/>
      <c r="G6672" s="343"/>
      <c r="H6672" s="343"/>
      <c r="I6672" s="343"/>
      <c r="J6672" s="343"/>
      <c r="K6672" s="343"/>
      <c r="L6672" s="343"/>
    </row>
    <row r="6673" spans="4:12" x14ac:dyDescent="0.2">
      <c r="D6673" s="341"/>
      <c r="F6673" s="343"/>
      <c r="G6673" s="343"/>
      <c r="H6673" s="343"/>
      <c r="I6673" s="343"/>
      <c r="J6673" s="343"/>
      <c r="K6673" s="343"/>
      <c r="L6673" s="343"/>
    </row>
    <row r="6674" spans="4:12" x14ac:dyDescent="0.2">
      <c r="D6674" s="341"/>
      <c r="F6674" s="343"/>
      <c r="G6674" s="343"/>
      <c r="H6674" s="343"/>
      <c r="I6674" s="343"/>
      <c r="J6674" s="343"/>
      <c r="K6674" s="343"/>
      <c r="L6674" s="343"/>
    </row>
    <row r="6675" spans="4:12" x14ac:dyDescent="0.2">
      <c r="D6675" s="341"/>
      <c r="F6675" s="343"/>
      <c r="G6675" s="343"/>
      <c r="H6675" s="343"/>
      <c r="I6675" s="343"/>
      <c r="J6675" s="343"/>
      <c r="K6675" s="343"/>
      <c r="L6675" s="343"/>
    </row>
    <row r="6676" spans="4:12" x14ac:dyDescent="0.2">
      <c r="D6676" s="341"/>
      <c r="F6676" s="343"/>
      <c r="G6676" s="343"/>
      <c r="H6676" s="343"/>
      <c r="I6676" s="343"/>
      <c r="J6676" s="343"/>
      <c r="K6676" s="343"/>
      <c r="L6676" s="343"/>
    </row>
    <row r="6677" spans="4:12" x14ac:dyDescent="0.2">
      <c r="D6677" s="341"/>
      <c r="F6677" s="343"/>
      <c r="G6677" s="343"/>
      <c r="H6677" s="343"/>
      <c r="I6677" s="343"/>
      <c r="J6677" s="343"/>
      <c r="K6677" s="343"/>
      <c r="L6677" s="343"/>
    </row>
    <row r="6678" spans="4:12" x14ac:dyDescent="0.2">
      <c r="D6678" s="341"/>
      <c r="F6678" s="343"/>
      <c r="G6678" s="343"/>
      <c r="H6678" s="343"/>
      <c r="I6678" s="343"/>
      <c r="J6678" s="343"/>
      <c r="K6678" s="343"/>
      <c r="L6678" s="343"/>
    </row>
    <row r="6679" spans="4:12" x14ac:dyDescent="0.2">
      <c r="D6679" s="341"/>
      <c r="F6679" s="343"/>
      <c r="G6679" s="343"/>
      <c r="H6679" s="343"/>
      <c r="I6679" s="343"/>
      <c r="J6679" s="343"/>
      <c r="K6679" s="343"/>
      <c r="L6679" s="343"/>
    </row>
    <row r="6680" spans="4:12" x14ac:dyDescent="0.2">
      <c r="D6680" s="341"/>
      <c r="F6680" s="343"/>
      <c r="G6680" s="343"/>
      <c r="H6680" s="343"/>
      <c r="I6680" s="343"/>
      <c r="J6680" s="343"/>
      <c r="K6680" s="343"/>
      <c r="L6680" s="343"/>
    </row>
    <row r="6681" spans="4:12" x14ac:dyDescent="0.2">
      <c r="D6681" s="341"/>
      <c r="F6681" s="343"/>
      <c r="G6681" s="343"/>
      <c r="H6681" s="343"/>
      <c r="I6681" s="343"/>
      <c r="J6681" s="343"/>
      <c r="K6681" s="343"/>
      <c r="L6681" s="343"/>
    </row>
    <row r="6682" spans="4:12" x14ac:dyDescent="0.2">
      <c r="D6682" s="341"/>
      <c r="F6682" s="343"/>
      <c r="G6682" s="343"/>
      <c r="H6682" s="343"/>
      <c r="I6682" s="343"/>
      <c r="J6682" s="343"/>
      <c r="K6682" s="343"/>
      <c r="L6682" s="343"/>
    </row>
    <row r="6683" spans="4:12" x14ac:dyDescent="0.2">
      <c r="D6683" s="341"/>
      <c r="F6683" s="343"/>
      <c r="G6683" s="343"/>
      <c r="H6683" s="343"/>
      <c r="I6683" s="343"/>
      <c r="J6683" s="343"/>
      <c r="K6683" s="343"/>
      <c r="L6683" s="343"/>
    </row>
    <row r="6684" spans="4:12" x14ac:dyDescent="0.2">
      <c r="D6684" s="341"/>
      <c r="F6684" s="343"/>
      <c r="G6684" s="343"/>
      <c r="H6684" s="343"/>
      <c r="I6684" s="343"/>
      <c r="J6684" s="343"/>
      <c r="K6684" s="343"/>
      <c r="L6684" s="343"/>
    </row>
    <row r="6685" spans="4:12" x14ac:dyDescent="0.2">
      <c r="D6685" s="341"/>
      <c r="F6685" s="343"/>
      <c r="G6685" s="343"/>
      <c r="H6685" s="343"/>
      <c r="I6685" s="343"/>
      <c r="J6685" s="343"/>
      <c r="K6685" s="343"/>
      <c r="L6685" s="343"/>
    </row>
    <row r="6686" spans="4:12" x14ac:dyDescent="0.2">
      <c r="D6686" s="341"/>
      <c r="F6686" s="343"/>
      <c r="G6686" s="343"/>
      <c r="H6686" s="343"/>
      <c r="I6686" s="343"/>
      <c r="J6686" s="343"/>
      <c r="K6686" s="343"/>
      <c r="L6686" s="343"/>
    </row>
    <row r="6687" spans="4:12" x14ac:dyDescent="0.2">
      <c r="D6687" s="341"/>
      <c r="F6687" s="343"/>
      <c r="G6687" s="343"/>
      <c r="H6687" s="343"/>
      <c r="I6687" s="343"/>
      <c r="J6687" s="343"/>
      <c r="K6687" s="343"/>
      <c r="L6687" s="343"/>
    </row>
    <row r="6688" spans="4:12" x14ac:dyDescent="0.2">
      <c r="D6688" s="341"/>
      <c r="F6688" s="343"/>
      <c r="G6688" s="343"/>
      <c r="H6688" s="343"/>
      <c r="I6688" s="343"/>
      <c r="J6688" s="343"/>
      <c r="K6688" s="343"/>
      <c r="L6688" s="343"/>
    </row>
    <row r="6689" spans="4:12" x14ac:dyDescent="0.2">
      <c r="D6689" s="341"/>
      <c r="F6689" s="343"/>
      <c r="G6689" s="343"/>
      <c r="H6689" s="343"/>
      <c r="I6689" s="343"/>
      <c r="J6689" s="343"/>
      <c r="K6689" s="343"/>
      <c r="L6689" s="343"/>
    </row>
    <row r="6690" spans="4:12" x14ac:dyDescent="0.2">
      <c r="D6690" s="341"/>
      <c r="F6690" s="343"/>
      <c r="G6690" s="343"/>
      <c r="H6690" s="343"/>
      <c r="I6690" s="343"/>
      <c r="J6690" s="343"/>
      <c r="K6690" s="343"/>
      <c r="L6690" s="343"/>
    </row>
    <row r="6691" spans="4:12" x14ac:dyDescent="0.2">
      <c r="D6691" s="341"/>
      <c r="F6691" s="343"/>
      <c r="G6691" s="343"/>
      <c r="H6691" s="343"/>
      <c r="I6691" s="343"/>
      <c r="J6691" s="343"/>
      <c r="K6691" s="343"/>
      <c r="L6691" s="343"/>
    </row>
    <row r="6692" spans="4:12" x14ac:dyDescent="0.2">
      <c r="D6692" s="341"/>
      <c r="F6692" s="343"/>
      <c r="G6692" s="343"/>
      <c r="H6692" s="343"/>
      <c r="I6692" s="343"/>
      <c r="J6692" s="343"/>
      <c r="K6692" s="343"/>
      <c r="L6692" s="343"/>
    </row>
    <row r="6693" spans="4:12" x14ac:dyDescent="0.2">
      <c r="D6693" s="341"/>
      <c r="F6693" s="343"/>
      <c r="G6693" s="343"/>
      <c r="H6693" s="343"/>
      <c r="I6693" s="343"/>
      <c r="J6693" s="343"/>
      <c r="K6693" s="343"/>
      <c r="L6693" s="343"/>
    </row>
    <row r="6694" spans="4:12" x14ac:dyDescent="0.2">
      <c r="D6694" s="341"/>
      <c r="F6694" s="343"/>
      <c r="G6694" s="343"/>
      <c r="H6694" s="343"/>
      <c r="I6694" s="343"/>
      <c r="J6694" s="343"/>
      <c r="K6694" s="343"/>
      <c r="L6694" s="343"/>
    </row>
    <row r="6695" spans="4:12" x14ac:dyDescent="0.2">
      <c r="D6695" s="341"/>
      <c r="F6695" s="343"/>
      <c r="G6695" s="343"/>
      <c r="H6695" s="343"/>
      <c r="I6695" s="343"/>
      <c r="J6695" s="343"/>
      <c r="K6695" s="343"/>
      <c r="L6695" s="343"/>
    </row>
    <row r="6696" spans="4:12" x14ac:dyDescent="0.2">
      <c r="D6696" s="341"/>
      <c r="F6696" s="343"/>
      <c r="G6696" s="343"/>
      <c r="H6696" s="343"/>
      <c r="I6696" s="343"/>
      <c r="J6696" s="343"/>
      <c r="K6696" s="343"/>
      <c r="L6696" s="343"/>
    </row>
    <row r="6697" spans="4:12" x14ac:dyDescent="0.2">
      <c r="D6697" s="341"/>
      <c r="F6697" s="343"/>
      <c r="G6697" s="343"/>
      <c r="H6697" s="343"/>
      <c r="I6697" s="343"/>
      <c r="J6697" s="343"/>
      <c r="K6697" s="343"/>
      <c r="L6697" s="343"/>
    </row>
    <row r="6698" spans="4:12" x14ac:dyDescent="0.2">
      <c r="D6698" s="341"/>
      <c r="F6698" s="343"/>
      <c r="G6698" s="343"/>
      <c r="H6698" s="343"/>
      <c r="I6698" s="343"/>
      <c r="J6698" s="343"/>
      <c r="K6698" s="343"/>
      <c r="L6698" s="343"/>
    </row>
    <row r="6699" spans="4:12" x14ac:dyDescent="0.2">
      <c r="D6699" s="341"/>
      <c r="F6699" s="343"/>
      <c r="G6699" s="343"/>
      <c r="H6699" s="343"/>
      <c r="I6699" s="343"/>
      <c r="J6699" s="343"/>
      <c r="K6699" s="343"/>
      <c r="L6699" s="343"/>
    </row>
    <row r="6700" spans="4:12" x14ac:dyDescent="0.2">
      <c r="D6700" s="341"/>
      <c r="F6700" s="343"/>
      <c r="G6700" s="343"/>
      <c r="H6700" s="343"/>
      <c r="I6700" s="343"/>
      <c r="J6700" s="343"/>
      <c r="K6700" s="343"/>
      <c r="L6700" s="343"/>
    </row>
    <row r="6701" spans="4:12" x14ac:dyDescent="0.2">
      <c r="D6701" s="341"/>
      <c r="F6701" s="343"/>
      <c r="G6701" s="343"/>
      <c r="H6701" s="343"/>
      <c r="I6701" s="343"/>
      <c r="J6701" s="343"/>
      <c r="K6701" s="343"/>
      <c r="L6701" s="343"/>
    </row>
    <row r="6702" spans="4:12" x14ac:dyDescent="0.2">
      <c r="D6702" s="341"/>
      <c r="F6702" s="343"/>
      <c r="G6702" s="343"/>
      <c r="H6702" s="343"/>
      <c r="I6702" s="343"/>
      <c r="J6702" s="343"/>
      <c r="K6702" s="343"/>
      <c r="L6702" s="343"/>
    </row>
    <row r="6703" spans="4:12" x14ac:dyDescent="0.2">
      <c r="D6703" s="341"/>
      <c r="F6703" s="343"/>
      <c r="G6703" s="343"/>
      <c r="H6703" s="343"/>
      <c r="I6703" s="343"/>
      <c r="J6703" s="343"/>
      <c r="K6703" s="343"/>
      <c r="L6703" s="343"/>
    </row>
    <row r="6704" spans="4:12" x14ac:dyDescent="0.2">
      <c r="D6704" s="341"/>
      <c r="F6704" s="343"/>
      <c r="G6704" s="343"/>
      <c r="H6704" s="343"/>
      <c r="I6704" s="343"/>
      <c r="J6704" s="343"/>
      <c r="K6704" s="343"/>
      <c r="L6704" s="343"/>
    </row>
    <row r="6705" spans="4:12" x14ac:dyDescent="0.2">
      <c r="D6705" s="341"/>
      <c r="F6705" s="343"/>
      <c r="G6705" s="343"/>
      <c r="H6705" s="343"/>
      <c r="I6705" s="343"/>
      <c r="J6705" s="343"/>
      <c r="K6705" s="343"/>
      <c r="L6705" s="343"/>
    </row>
    <row r="6706" spans="4:12" x14ac:dyDescent="0.2">
      <c r="D6706" s="341"/>
      <c r="F6706" s="343"/>
      <c r="G6706" s="343"/>
      <c r="H6706" s="343"/>
      <c r="I6706" s="343"/>
      <c r="J6706" s="343"/>
      <c r="K6706" s="343"/>
      <c r="L6706" s="343"/>
    </row>
    <row r="6707" spans="4:12" x14ac:dyDescent="0.2">
      <c r="D6707" s="341"/>
      <c r="F6707" s="343"/>
      <c r="G6707" s="343"/>
      <c r="H6707" s="343"/>
      <c r="I6707" s="343"/>
      <c r="J6707" s="343"/>
      <c r="K6707" s="343"/>
      <c r="L6707" s="343"/>
    </row>
    <row r="6708" spans="4:12" x14ac:dyDescent="0.2">
      <c r="D6708" s="341"/>
      <c r="F6708" s="343"/>
      <c r="G6708" s="343"/>
      <c r="H6708" s="343"/>
      <c r="I6708" s="343"/>
      <c r="J6708" s="343"/>
      <c r="K6708" s="343"/>
      <c r="L6708" s="343"/>
    </row>
    <row r="6709" spans="4:12" x14ac:dyDescent="0.2">
      <c r="D6709" s="341"/>
      <c r="F6709" s="343"/>
      <c r="G6709" s="343"/>
      <c r="H6709" s="343"/>
      <c r="I6709" s="343"/>
      <c r="J6709" s="343"/>
      <c r="K6709" s="343"/>
      <c r="L6709" s="343"/>
    </row>
    <row r="6710" spans="4:12" x14ac:dyDescent="0.2">
      <c r="D6710" s="341"/>
      <c r="F6710" s="343"/>
      <c r="G6710" s="343"/>
      <c r="H6710" s="343"/>
      <c r="I6710" s="343"/>
      <c r="J6710" s="343"/>
      <c r="K6710" s="343"/>
      <c r="L6710" s="343"/>
    </row>
    <row r="6711" spans="4:12" x14ac:dyDescent="0.2">
      <c r="D6711" s="341"/>
      <c r="F6711" s="343"/>
      <c r="G6711" s="343"/>
      <c r="H6711" s="343"/>
      <c r="I6711" s="343"/>
      <c r="J6711" s="343"/>
      <c r="K6711" s="343"/>
      <c r="L6711" s="343"/>
    </row>
    <row r="6712" spans="4:12" x14ac:dyDescent="0.2">
      <c r="D6712" s="341"/>
      <c r="F6712" s="343"/>
      <c r="G6712" s="343"/>
      <c r="H6712" s="343"/>
      <c r="I6712" s="343"/>
      <c r="J6712" s="343"/>
      <c r="K6712" s="343"/>
      <c r="L6712" s="343"/>
    </row>
    <row r="6713" spans="4:12" x14ac:dyDescent="0.2">
      <c r="D6713" s="341"/>
      <c r="F6713" s="343"/>
      <c r="G6713" s="343"/>
      <c r="H6713" s="343"/>
      <c r="I6713" s="343"/>
      <c r="J6713" s="343"/>
      <c r="K6713" s="343"/>
      <c r="L6713" s="343"/>
    </row>
    <row r="6714" spans="4:12" x14ac:dyDescent="0.2">
      <c r="D6714" s="341"/>
      <c r="F6714" s="343"/>
      <c r="G6714" s="343"/>
      <c r="H6714" s="343"/>
      <c r="I6714" s="343"/>
      <c r="J6714" s="343"/>
      <c r="K6714" s="343"/>
      <c r="L6714" s="343"/>
    </row>
    <row r="6715" spans="4:12" x14ac:dyDescent="0.2">
      <c r="D6715" s="341"/>
      <c r="F6715" s="343"/>
      <c r="G6715" s="343"/>
      <c r="H6715" s="343"/>
      <c r="I6715" s="343"/>
      <c r="J6715" s="343"/>
      <c r="K6715" s="343"/>
      <c r="L6715" s="343"/>
    </row>
    <row r="6716" spans="4:12" x14ac:dyDescent="0.2">
      <c r="D6716" s="341"/>
      <c r="F6716" s="343"/>
      <c r="G6716" s="343"/>
      <c r="H6716" s="343"/>
      <c r="I6716" s="343"/>
      <c r="J6716" s="343"/>
      <c r="K6716" s="343"/>
      <c r="L6716" s="343"/>
    </row>
    <row r="6717" spans="4:12" x14ac:dyDescent="0.2">
      <c r="D6717" s="341"/>
      <c r="F6717" s="343"/>
      <c r="G6717" s="343"/>
      <c r="H6717" s="343"/>
      <c r="I6717" s="343"/>
      <c r="J6717" s="343"/>
      <c r="K6717" s="343"/>
      <c r="L6717" s="343"/>
    </row>
    <row r="6718" spans="4:12" x14ac:dyDescent="0.2">
      <c r="D6718" s="341"/>
      <c r="F6718" s="343"/>
      <c r="G6718" s="343"/>
      <c r="H6718" s="343"/>
      <c r="I6718" s="343"/>
      <c r="J6718" s="343"/>
      <c r="K6718" s="343"/>
      <c r="L6718" s="343"/>
    </row>
    <row r="6719" spans="4:12" x14ac:dyDescent="0.2">
      <c r="D6719" s="341"/>
      <c r="F6719" s="343"/>
      <c r="G6719" s="343"/>
      <c r="H6719" s="343"/>
      <c r="I6719" s="343"/>
      <c r="J6719" s="343"/>
      <c r="K6719" s="343"/>
      <c r="L6719" s="343"/>
    </row>
    <row r="6720" spans="4:12" x14ac:dyDescent="0.2">
      <c r="D6720" s="341"/>
      <c r="F6720" s="343"/>
      <c r="G6720" s="343"/>
      <c r="H6720" s="343"/>
      <c r="I6720" s="343"/>
      <c r="J6720" s="343"/>
      <c r="K6720" s="343"/>
      <c r="L6720" s="343"/>
    </row>
    <row r="6721" spans="4:12" x14ac:dyDescent="0.2">
      <c r="D6721" s="341"/>
      <c r="F6721" s="343"/>
      <c r="G6721" s="343"/>
      <c r="H6721" s="343"/>
      <c r="I6721" s="343"/>
      <c r="J6721" s="343"/>
      <c r="K6721" s="343"/>
      <c r="L6721" s="343"/>
    </row>
    <row r="6722" spans="4:12" x14ac:dyDescent="0.2">
      <c r="D6722" s="341"/>
      <c r="F6722" s="343"/>
      <c r="G6722" s="343"/>
      <c r="H6722" s="343"/>
      <c r="I6722" s="343"/>
      <c r="J6722" s="343"/>
      <c r="K6722" s="343"/>
      <c r="L6722" s="343"/>
    </row>
    <row r="6723" spans="4:12" x14ac:dyDescent="0.2">
      <c r="D6723" s="341"/>
      <c r="F6723" s="343"/>
      <c r="G6723" s="343"/>
      <c r="H6723" s="343"/>
      <c r="I6723" s="343"/>
      <c r="J6723" s="343"/>
      <c r="K6723" s="343"/>
      <c r="L6723" s="343"/>
    </row>
    <row r="6724" spans="4:12" x14ac:dyDescent="0.2">
      <c r="D6724" s="341"/>
      <c r="F6724" s="343"/>
      <c r="G6724" s="343"/>
      <c r="H6724" s="343"/>
      <c r="I6724" s="343"/>
      <c r="J6724" s="343"/>
      <c r="K6724" s="343"/>
      <c r="L6724" s="343"/>
    </row>
    <row r="6725" spans="4:12" x14ac:dyDescent="0.2">
      <c r="D6725" s="341"/>
      <c r="F6725" s="343"/>
      <c r="G6725" s="343"/>
      <c r="H6725" s="343"/>
      <c r="I6725" s="343"/>
      <c r="J6725" s="343"/>
      <c r="K6725" s="343"/>
      <c r="L6725" s="343"/>
    </row>
    <row r="6726" spans="4:12" x14ac:dyDescent="0.2">
      <c r="D6726" s="341"/>
      <c r="F6726" s="343"/>
      <c r="G6726" s="343"/>
      <c r="H6726" s="343"/>
      <c r="I6726" s="343"/>
      <c r="J6726" s="343"/>
      <c r="K6726" s="343"/>
      <c r="L6726" s="343"/>
    </row>
    <row r="6727" spans="4:12" x14ac:dyDescent="0.2">
      <c r="D6727" s="341"/>
      <c r="F6727" s="343"/>
      <c r="G6727" s="343"/>
      <c r="H6727" s="343"/>
      <c r="I6727" s="343"/>
      <c r="J6727" s="343"/>
      <c r="K6727" s="343"/>
      <c r="L6727" s="343"/>
    </row>
    <row r="6728" spans="4:12" x14ac:dyDescent="0.2">
      <c r="D6728" s="341"/>
      <c r="F6728" s="343"/>
      <c r="G6728" s="343"/>
      <c r="H6728" s="343"/>
      <c r="I6728" s="343"/>
      <c r="J6728" s="343"/>
      <c r="K6728" s="343"/>
      <c r="L6728" s="343"/>
    </row>
    <row r="6729" spans="4:12" x14ac:dyDescent="0.2">
      <c r="D6729" s="341"/>
      <c r="F6729" s="343"/>
      <c r="G6729" s="343"/>
      <c r="H6729" s="343"/>
      <c r="I6729" s="343"/>
      <c r="J6729" s="343"/>
      <c r="K6729" s="343"/>
      <c r="L6729" s="343"/>
    </row>
    <row r="6730" spans="4:12" x14ac:dyDescent="0.2">
      <c r="D6730" s="341"/>
      <c r="F6730" s="343"/>
      <c r="G6730" s="343"/>
      <c r="H6730" s="343"/>
      <c r="I6730" s="343"/>
      <c r="J6730" s="343"/>
      <c r="K6730" s="343"/>
      <c r="L6730" s="343"/>
    </row>
    <row r="6731" spans="4:12" x14ac:dyDescent="0.2">
      <c r="D6731" s="341"/>
      <c r="F6731" s="343"/>
      <c r="G6731" s="343"/>
      <c r="H6731" s="343"/>
      <c r="I6731" s="343"/>
      <c r="J6731" s="343"/>
      <c r="K6731" s="343"/>
      <c r="L6731" s="343"/>
    </row>
    <row r="6732" spans="4:12" x14ac:dyDescent="0.2">
      <c r="D6732" s="341"/>
      <c r="F6732" s="343"/>
      <c r="G6732" s="343"/>
      <c r="H6732" s="343"/>
      <c r="I6732" s="343"/>
      <c r="J6732" s="343"/>
      <c r="K6732" s="343"/>
      <c r="L6732" s="343"/>
    </row>
    <row r="6733" spans="4:12" x14ac:dyDescent="0.2">
      <c r="D6733" s="341"/>
      <c r="F6733" s="343"/>
      <c r="G6733" s="343"/>
      <c r="H6733" s="343"/>
      <c r="I6733" s="343"/>
      <c r="J6733" s="343"/>
      <c r="K6733" s="343"/>
      <c r="L6733" s="343"/>
    </row>
    <row r="6734" spans="4:12" x14ac:dyDescent="0.2">
      <c r="D6734" s="341"/>
      <c r="F6734" s="343"/>
      <c r="G6734" s="343"/>
      <c r="H6734" s="343"/>
      <c r="I6734" s="343"/>
      <c r="J6734" s="343"/>
      <c r="K6734" s="343"/>
      <c r="L6734" s="343"/>
    </row>
    <row r="6735" spans="4:12" x14ac:dyDescent="0.2">
      <c r="D6735" s="341"/>
      <c r="F6735" s="343"/>
      <c r="G6735" s="343"/>
      <c r="H6735" s="343"/>
      <c r="I6735" s="343"/>
      <c r="J6735" s="343"/>
      <c r="K6735" s="343"/>
      <c r="L6735" s="343"/>
    </row>
    <row r="6736" spans="4:12" x14ac:dyDescent="0.2">
      <c r="D6736" s="341"/>
      <c r="F6736" s="343"/>
      <c r="G6736" s="343"/>
      <c r="H6736" s="343"/>
      <c r="I6736" s="343"/>
      <c r="J6736" s="343"/>
      <c r="K6736" s="343"/>
      <c r="L6736" s="343"/>
    </row>
    <row r="6737" spans="4:12" x14ac:dyDescent="0.2">
      <c r="D6737" s="341"/>
      <c r="F6737" s="343"/>
      <c r="G6737" s="343"/>
      <c r="H6737" s="343"/>
      <c r="I6737" s="343"/>
      <c r="J6737" s="343"/>
      <c r="K6737" s="343"/>
      <c r="L6737" s="343"/>
    </row>
    <row r="6738" spans="4:12" x14ac:dyDescent="0.2">
      <c r="D6738" s="341"/>
      <c r="F6738" s="343"/>
      <c r="G6738" s="343"/>
      <c r="H6738" s="343"/>
      <c r="I6738" s="343"/>
      <c r="J6738" s="343"/>
      <c r="K6738" s="343"/>
      <c r="L6738" s="343"/>
    </row>
    <row r="6739" spans="4:12" x14ac:dyDescent="0.2">
      <c r="D6739" s="341"/>
      <c r="F6739" s="343"/>
      <c r="G6739" s="343"/>
      <c r="H6739" s="343"/>
      <c r="I6739" s="343"/>
      <c r="J6739" s="343"/>
      <c r="K6739" s="343"/>
      <c r="L6739" s="343"/>
    </row>
    <row r="6740" spans="4:12" x14ac:dyDescent="0.2">
      <c r="D6740" s="341"/>
      <c r="F6740" s="343"/>
      <c r="G6740" s="343"/>
      <c r="H6740" s="343"/>
      <c r="I6740" s="343"/>
      <c r="J6740" s="343"/>
      <c r="K6740" s="343"/>
      <c r="L6740" s="343"/>
    </row>
    <row r="6741" spans="4:12" x14ac:dyDescent="0.2">
      <c r="D6741" s="341"/>
      <c r="F6741" s="343"/>
      <c r="G6741" s="343"/>
      <c r="H6741" s="343"/>
      <c r="I6741" s="343"/>
      <c r="J6741" s="343"/>
      <c r="K6741" s="343"/>
      <c r="L6741" s="343"/>
    </row>
    <row r="6742" spans="4:12" x14ac:dyDescent="0.2">
      <c r="D6742" s="341"/>
      <c r="F6742" s="343"/>
      <c r="G6742" s="343"/>
      <c r="H6742" s="343"/>
      <c r="I6742" s="343"/>
      <c r="J6742" s="343"/>
      <c r="K6742" s="343"/>
      <c r="L6742" s="343"/>
    </row>
    <row r="6743" spans="4:12" x14ac:dyDescent="0.2">
      <c r="D6743" s="341"/>
      <c r="F6743" s="343"/>
      <c r="G6743" s="343"/>
      <c r="H6743" s="343"/>
      <c r="I6743" s="343"/>
      <c r="J6743" s="343"/>
      <c r="K6743" s="343"/>
      <c r="L6743" s="343"/>
    </row>
    <row r="6744" spans="4:12" x14ac:dyDescent="0.2">
      <c r="D6744" s="341"/>
      <c r="F6744" s="343"/>
      <c r="G6744" s="343"/>
      <c r="H6744" s="343"/>
      <c r="I6744" s="343"/>
      <c r="J6744" s="343"/>
      <c r="K6744" s="343"/>
      <c r="L6744" s="343"/>
    </row>
    <row r="6745" spans="4:12" x14ac:dyDescent="0.2">
      <c r="D6745" s="341"/>
      <c r="F6745" s="343"/>
      <c r="G6745" s="343"/>
      <c r="H6745" s="343"/>
      <c r="I6745" s="343"/>
      <c r="J6745" s="343"/>
      <c r="K6745" s="343"/>
      <c r="L6745" s="343"/>
    </row>
    <row r="6746" spans="4:12" x14ac:dyDescent="0.2">
      <c r="D6746" s="341"/>
      <c r="F6746" s="343"/>
      <c r="G6746" s="343"/>
      <c r="H6746" s="343"/>
      <c r="I6746" s="343"/>
      <c r="J6746" s="343"/>
      <c r="K6746" s="343"/>
      <c r="L6746" s="343"/>
    </row>
    <row r="6747" spans="4:12" x14ac:dyDescent="0.2">
      <c r="D6747" s="341"/>
      <c r="F6747" s="343"/>
      <c r="G6747" s="343"/>
      <c r="H6747" s="343"/>
      <c r="I6747" s="343"/>
      <c r="J6747" s="343"/>
      <c r="K6747" s="343"/>
      <c r="L6747" s="343"/>
    </row>
    <row r="6748" spans="4:12" x14ac:dyDescent="0.2">
      <c r="D6748" s="341"/>
      <c r="F6748" s="343"/>
      <c r="G6748" s="343"/>
      <c r="H6748" s="343"/>
      <c r="I6748" s="343"/>
      <c r="J6748" s="343"/>
      <c r="K6748" s="343"/>
      <c r="L6748" s="343"/>
    </row>
    <row r="6749" spans="4:12" x14ac:dyDescent="0.2">
      <c r="D6749" s="341"/>
      <c r="F6749" s="343"/>
      <c r="G6749" s="343"/>
      <c r="H6749" s="343"/>
      <c r="I6749" s="343"/>
      <c r="J6749" s="343"/>
      <c r="K6749" s="343"/>
      <c r="L6749" s="343"/>
    </row>
    <row r="6750" spans="4:12" x14ac:dyDescent="0.2">
      <c r="D6750" s="341"/>
      <c r="F6750" s="343"/>
      <c r="G6750" s="343"/>
      <c r="H6750" s="343"/>
      <c r="I6750" s="343"/>
      <c r="J6750" s="343"/>
      <c r="K6750" s="343"/>
      <c r="L6750" s="343"/>
    </row>
    <row r="6751" spans="4:12" x14ac:dyDescent="0.2">
      <c r="D6751" s="341"/>
      <c r="F6751" s="343"/>
      <c r="G6751" s="343"/>
      <c r="H6751" s="343"/>
      <c r="I6751" s="343"/>
      <c r="J6751" s="343"/>
      <c r="K6751" s="343"/>
      <c r="L6751" s="343"/>
    </row>
    <row r="6752" spans="4:12" x14ac:dyDescent="0.2">
      <c r="D6752" s="341"/>
      <c r="F6752" s="343"/>
      <c r="G6752" s="343"/>
      <c r="H6752" s="343"/>
      <c r="I6752" s="343"/>
      <c r="J6752" s="343"/>
      <c r="K6752" s="343"/>
      <c r="L6752" s="343"/>
    </row>
    <row r="6753" spans="4:12" x14ac:dyDescent="0.2">
      <c r="D6753" s="341"/>
      <c r="F6753" s="343"/>
      <c r="G6753" s="343"/>
      <c r="H6753" s="343"/>
      <c r="I6753" s="343"/>
      <c r="J6753" s="343"/>
      <c r="K6753" s="343"/>
      <c r="L6753" s="343"/>
    </row>
    <row r="6754" spans="4:12" x14ac:dyDescent="0.2">
      <c r="D6754" s="341"/>
      <c r="F6754" s="343"/>
      <c r="G6754" s="343"/>
      <c r="H6754" s="343"/>
      <c r="I6754" s="343"/>
      <c r="J6754" s="343"/>
      <c r="K6754" s="343"/>
      <c r="L6754" s="343"/>
    </row>
    <row r="6755" spans="4:12" x14ac:dyDescent="0.2">
      <c r="D6755" s="341"/>
      <c r="F6755" s="343"/>
      <c r="G6755" s="343"/>
      <c r="H6755" s="343"/>
      <c r="I6755" s="343"/>
      <c r="J6755" s="343"/>
      <c r="K6755" s="343"/>
      <c r="L6755" s="343"/>
    </row>
    <row r="6756" spans="4:12" x14ac:dyDescent="0.2">
      <c r="D6756" s="341"/>
      <c r="F6756" s="343"/>
      <c r="G6756" s="343"/>
      <c r="H6756" s="343"/>
      <c r="I6756" s="343"/>
      <c r="J6756" s="343"/>
      <c r="K6756" s="343"/>
      <c r="L6756" s="343"/>
    </row>
    <row r="6757" spans="4:12" x14ac:dyDescent="0.2">
      <c r="D6757" s="341"/>
      <c r="F6757" s="343"/>
      <c r="G6757" s="343"/>
      <c r="H6757" s="343"/>
      <c r="I6757" s="343"/>
      <c r="J6757" s="343"/>
      <c r="K6757" s="343"/>
      <c r="L6757" s="343"/>
    </row>
    <row r="6758" spans="4:12" x14ac:dyDescent="0.2">
      <c r="D6758" s="341"/>
      <c r="F6758" s="343"/>
      <c r="G6758" s="343"/>
      <c r="H6758" s="343"/>
      <c r="I6758" s="343"/>
      <c r="J6758" s="343"/>
      <c r="K6758" s="343"/>
      <c r="L6758" s="343"/>
    </row>
    <row r="6759" spans="4:12" x14ac:dyDescent="0.2">
      <c r="D6759" s="341"/>
      <c r="F6759" s="343"/>
      <c r="G6759" s="343"/>
      <c r="H6759" s="343"/>
      <c r="I6759" s="343"/>
      <c r="J6759" s="343"/>
      <c r="K6759" s="343"/>
      <c r="L6759" s="343"/>
    </row>
    <row r="6760" spans="4:12" x14ac:dyDescent="0.2">
      <c r="D6760" s="341"/>
      <c r="F6760" s="343"/>
      <c r="G6760" s="343"/>
      <c r="H6760" s="343"/>
      <c r="I6760" s="343"/>
      <c r="J6760" s="343"/>
      <c r="K6760" s="343"/>
      <c r="L6760" s="343"/>
    </row>
    <row r="6761" spans="4:12" x14ac:dyDescent="0.2">
      <c r="D6761" s="341"/>
      <c r="F6761" s="343"/>
      <c r="G6761" s="343"/>
      <c r="H6761" s="343"/>
      <c r="I6761" s="343"/>
      <c r="J6761" s="343"/>
      <c r="K6761" s="343"/>
      <c r="L6761" s="343"/>
    </row>
    <row r="6762" spans="4:12" x14ac:dyDescent="0.2">
      <c r="D6762" s="341"/>
      <c r="F6762" s="343"/>
      <c r="G6762" s="343"/>
      <c r="H6762" s="343"/>
      <c r="I6762" s="343"/>
      <c r="J6762" s="343"/>
      <c r="K6762" s="343"/>
      <c r="L6762" s="343"/>
    </row>
    <row r="6763" spans="4:12" x14ac:dyDescent="0.2">
      <c r="D6763" s="341"/>
      <c r="F6763" s="343"/>
      <c r="G6763" s="343"/>
      <c r="H6763" s="343"/>
      <c r="I6763" s="343"/>
      <c r="J6763" s="343"/>
      <c r="K6763" s="343"/>
      <c r="L6763" s="343"/>
    </row>
    <row r="6764" spans="4:12" x14ac:dyDescent="0.2">
      <c r="D6764" s="341"/>
      <c r="F6764" s="343"/>
      <c r="G6764" s="343"/>
      <c r="H6764" s="343"/>
      <c r="I6764" s="343"/>
      <c r="J6764" s="343"/>
      <c r="K6764" s="343"/>
      <c r="L6764" s="343"/>
    </row>
    <row r="6765" spans="4:12" x14ac:dyDescent="0.2">
      <c r="D6765" s="341"/>
      <c r="F6765" s="343"/>
      <c r="G6765" s="343"/>
      <c r="H6765" s="343"/>
      <c r="I6765" s="343"/>
      <c r="J6765" s="343"/>
      <c r="K6765" s="343"/>
      <c r="L6765" s="343"/>
    </row>
    <row r="6766" spans="4:12" x14ac:dyDescent="0.2">
      <c r="D6766" s="341"/>
      <c r="F6766" s="343"/>
      <c r="G6766" s="343"/>
      <c r="H6766" s="343"/>
      <c r="I6766" s="343"/>
      <c r="J6766" s="343"/>
      <c r="K6766" s="343"/>
      <c r="L6766" s="343"/>
    </row>
    <row r="6767" spans="4:12" x14ac:dyDescent="0.2">
      <c r="D6767" s="341"/>
      <c r="F6767" s="343"/>
      <c r="G6767" s="343"/>
      <c r="H6767" s="343"/>
      <c r="I6767" s="343"/>
      <c r="J6767" s="343"/>
      <c r="K6767" s="343"/>
      <c r="L6767" s="343"/>
    </row>
    <row r="6768" spans="4:12" x14ac:dyDescent="0.2">
      <c r="D6768" s="341"/>
      <c r="F6768" s="343"/>
      <c r="G6768" s="343"/>
      <c r="H6768" s="343"/>
      <c r="I6768" s="343"/>
      <c r="J6768" s="343"/>
      <c r="K6768" s="343"/>
      <c r="L6768" s="343"/>
    </row>
    <row r="6769" spans="4:12" x14ac:dyDescent="0.2">
      <c r="D6769" s="341"/>
      <c r="F6769" s="343"/>
      <c r="G6769" s="343"/>
      <c r="H6769" s="343"/>
      <c r="I6769" s="343"/>
      <c r="J6769" s="343"/>
      <c r="K6769" s="343"/>
      <c r="L6769" s="343"/>
    </row>
    <row r="6770" spans="4:12" x14ac:dyDescent="0.2">
      <c r="D6770" s="341"/>
      <c r="F6770" s="343"/>
      <c r="G6770" s="343"/>
      <c r="H6770" s="343"/>
      <c r="I6770" s="343"/>
      <c r="J6770" s="343"/>
      <c r="K6770" s="343"/>
      <c r="L6770" s="343"/>
    </row>
    <row r="6771" spans="4:12" x14ac:dyDescent="0.2">
      <c r="D6771" s="341"/>
      <c r="F6771" s="343"/>
      <c r="G6771" s="343"/>
      <c r="H6771" s="343"/>
      <c r="I6771" s="343"/>
      <c r="J6771" s="343"/>
      <c r="K6771" s="343"/>
      <c r="L6771" s="343"/>
    </row>
    <row r="6772" spans="4:12" x14ac:dyDescent="0.2">
      <c r="D6772" s="341"/>
      <c r="F6772" s="343"/>
      <c r="G6772" s="343"/>
      <c r="H6772" s="343"/>
      <c r="I6772" s="343"/>
      <c r="J6772" s="343"/>
      <c r="K6772" s="343"/>
      <c r="L6772" s="343"/>
    </row>
    <row r="6773" spans="4:12" x14ac:dyDescent="0.2">
      <c r="D6773" s="341"/>
      <c r="F6773" s="343"/>
      <c r="G6773" s="343"/>
      <c r="H6773" s="343"/>
      <c r="I6773" s="343"/>
      <c r="J6773" s="343"/>
      <c r="K6773" s="343"/>
      <c r="L6773" s="343"/>
    </row>
    <row r="6774" spans="4:12" x14ac:dyDescent="0.2">
      <c r="D6774" s="341"/>
      <c r="F6774" s="343"/>
      <c r="G6774" s="343"/>
      <c r="H6774" s="343"/>
      <c r="I6774" s="343"/>
      <c r="J6774" s="343"/>
      <c r="K6774" s="343"/>
      <c r="L6774" s="343"/>
    </row>
    <row r="6775" spans="4:12" x14ac:dyDescent="0.2">
      <c r="D6775" s="341"/>
      <c r="F6775" s="343"/>
      <c r="G6775" s="343"/>
      <c r="H6775" s="343"/>
      <c r="I6775" s="343"/>
      <c r="J6775" s="343"/>
      <c r="K6775" s="343"/>
      <c r="L6775" s="343"/>
    </row>
    <row r="6776" spans="4:12" x14ac:dyDescent="0.2">
      <c r="D6776" s="341"/>
      <c r="F6776" s="343"/>
      <c r="G6776" s="343"/>
      <c r="H6776" s="343"/>
      <c r="I6776" s="343"/>
      <c r="J6776" s="343"/>
      <c r="K6776" s="343"/>
      <c r="L6776" s="343"/>
    </row>
    <row r="6777" spans="4:12" x14ac:dyDescent="0.2">
      <c r="D6777" s="341"/>
      <c r="F6777" s="343"/>
      <c r="G6777" s="343"/>
      <c r="H6777" s="343"/>
      <c r="I6777" s="343"/>
      <c r="J6777" s="343"/>
      <c r="K6777" s="343"/>
      <c r="L6777" s="343"/>
    </row>
    <row r="6778" spans="4:12" x14ac:dyDescent="0.2">
      <c r="D6778" s="341"/>
      <c r="F6778" s="343"/>
      <c r="G6778" s="343"/>
      <c r="H6778" s="343"/>
      <c r="I6778" s="343"/>
      <c r="J6778" s="343"/>
      <c r="K6778" s="343"/>
      <c r="L6778" s="343"/>
    </row>
    <row r="6779" spans="4:12" x14ac:dyDescent="0.2">
      <c r="D6779" s="341"/>
      <c r="F6779" s="343"/>
      <c r="G6779" s="343"/>
      <c r="H6779" s="343"/>
      <c r="I6779" s="343"/>
      <c r="J6779" s="343"/>
      <c r="K6779" s="343"/>
      <c r="L6779" s="343"/>
    </row>
    <row r="6780" spans="4:12" x14ac:dyDescent="0.2">
      <c r="D6780" s="341"/>
      <c r="F6780" s="343"/>
      <c r="G6780" s="343"/>
      <c r="H6780" s="343"/>
      <c r="I6780" s="343"/>
      <c r="J6780" s="343"/>
      <c r="K6780" s="343"/>
      <c r="L6780" s="343"/>
    </row>
    <row r="6781" spans="4:12" x14ac:dyDescent="0.2">
      <c r="D6781" s="341"/>
      <c r="F6781" s="343"/>
      <c r="G6781" s="343"/>
      <c r="H6781" s="343"/>
      <c r="I6781" s="343"/>
      <c r="J6781" s="343"/>
      <c r="K6781" s="343"/>
      <c r="L6781" s="343"/>
    </row>
    <row r="6782" spans="4:12" x14ac:dyDescent="0.2">
      <c r="D6782" s="341"/>
      <c r="F6782" s="343"/>
      <c r="G6782" s="343"/>
      <c r="H6782" s="343"/>
      <c r="I6782" s="343"/>
      <c r="J6782" s="343"/>
      <c r="K6782" s="343"/>
      <c r="L6782" s="343"/>
    </row>
    <row r="6783" spans="4:12" x14ac:dyDescent="0.2">
      <c r="D6783" s="341"/>
      <c r="F6783" s="343"/>
      <c r="G6783" s="343"/>
      <c r="H6783" s="343"/>
      <c r="I6783" s="343"/>
      <c r="J6783" s="343"/>
      <c r="K6783" s="343"/>
      <c r="L6783" s="343"/>
    </row>
    <row r="6784" spans="4:12" x14ac:dyDescent="0.2">
      <c r="D6784" s="341"/>
      <c r="F6784" s="343"/>
      <c r="G6784" s="343"/>
      <c r="H6784" s="343"/>
      <c r="I6784" s="343"/>
      <c r="J6784" s="343"/>
      <c r="K6784" s="343"/>
      <c r="L6784" s="343"/>
    </row>
    <row r="6785" spans="4:12" x14ac:dyDescent="0.2">
      <c r="D6785" s="341"/>
      <c r="F6785" s="343"/>
      <c r="G6785" s="343"/>
      <c r="H6785" s="343"/>
      <c r="I6785" s="343"/>
      <c r="J6785" s="343"/>
      <c r="K6785" s="343"/>
      <c r="L6785" s="343"/>
    </row>
    <row r="6786" spans="4:12" x14ac:dyDescent="0.2">
      <c r="D6786" s="341"/>
      <c r="F6786" s="343"/>
      <c r="G6786" s="343"/>
      <c r="H6786" s="343"/>
      <c r="I6786" s="343"/>
      <c r="J6786" s="343"/>
      <c r="K6786" s="343"/>
      <c r="L6786" s="343"/>
    </row>
    <row r="6787" spans="4:12" x14ac:dyDescent="0.2">
      <c r="D6787" s="341"/>
      <c r="F6787" s="343"/>
      <c r="G6787" s="343"/>
      <c r="H6787" s="343"/>
      <c r="I6787" s="343"/>
      <c r="J6787" s="343"/>
      <c r="K6787" s="343"/>
      <c r="L6787" s="343"/>
    </row>
    <row r="6788" spans="4:12" x14ac:dyDescent="0.2">
      <c r="D6788" s="341"/>
      <c r="F6788" s="343"/>
      <c r="G6788" s="343"/>
      <c r="H6788" s="343"/>
      <c r="I6788" s="343"/>
      <c r="J6788" s="343"/>
      <c r="K6788" s="343"/>
      <c r="L6788" s="343"/>
    </row>
    <row r="6789" spans="4:12" x14ac:dyDescent="0.2">
      <c r="D6789" s="341"/>
      <c r="F6789" s="343"/>
      <c r="G6789" s="343"/>
      <c r="H6789" s="343"/>
      <c r="I6789" s="343"/>
      <c r="J6789" s="343"/>
      <c r="K6789" s="343"/>
      <c r="L6789" s="343"/>
    </row>
    <row r="6790" spans="4:12" x14ac:dyDescent="0.2">
      <c r="D6790" s="341"/>
      <c r="F6790" s="343"/>
      <c r="G6790" s="343"/>
      <c r="H6790" s="343"/>
      <c r="I6790" s="343"/>
      <c r="J6790" s="343"/>
      <c r="K6790" s="343"/>
      <c r="L6790" s="343"/>
    </row>
    <row r="6791" spans="4:12" x14ac:dyDescent="0.2">
      <c r="D6791" s="341"/>
      <c r="F6791" s="343"/>
      <c r="G6791" s="343"/>
      <c r="H6791" s="343"/>
      <c r="I6791" s="343"/>
      <c r="J6791" s="343"/>
      <c r="K6791" s="343"/>
      <c r="L6791" s="343"/>
    </row>
    <row r="6792" spans="4:12" x14ac:dyDescent="0.2">
      <c r="D6792" s="341"/>
      <c r="F6792" s="343"/>
      <c r="G6792" s="343"/>
      <c r="H6792" s="343"/>
      <c r="I6792" s="343"/>
      <c r="J6792" s="343"/>
      <c r="K6792" s="343"/>
      <c r="L6792" s="343"/>
    </row>
    <row r="6793" spans="4:12" x14ac:dyDescent="0.2">
      <c r="D6793" s="341"/>
      <c r="F6793" s="343"/>
      <c r="G6793" s="343"/>
      <c r="H6793" s="343"/>
      <c r="I6793" s="343"/>
      <c r="J6793" s="343"/>
      <c r="K6793" s="343"/>
      <c r="L6793" s="343"/>
    </row>
    <row r="6794" spans="4:12" x14ac:dyDescent="0.2">
      <c r="D6794" s="341"/>
      <c r="F6794" s="343"/>
      <c r="G6794" s="343"/>
      <c r="H6794" s="343"/>
      <c r="I6794" s="343"/>
      <c r="J6794" s="343"/>
      <c r="K6794" s="343"/>
      <c r="L6794" s="343"/>
    </row>
    <row r="6795" spans="4:12" x14ac:dyDescent="0.2">
      <c r="D6795" s="341"/>
      <c r="F6795" s="343"/>
      <c r="G6795" s="343"/>
      <c r="H6795" s="343"/>
      <c r="I6795" s="343"/>
      <c r="J6795" s="343"/>
      <c r="K6795" s="343"/>
      <c r="L6795" s="343"/>
    </row>
    <row r="6796" spans="4:12" x14ac:dyDescent="0.2">
      <c r="D6796" s="341"/>
      <c r="F6796" s="343"/>
      <c r="G6796" s="343"/>
      <c r="H6796" s="343"/>
      <c r="I6796" s="343"/>
      <c r="J6796" s="343"/>
      <c r="K6796" s="343"/>
      <c r="L6796" s="343"/>
    </row>
    <row r="6797" spans="4:12" x14ac:dyDescent="0.2">
      <c r="D6797" s="341"/>
      <c r="F6797" s="343"/>
      <c r="G6797" s="343"/>
      <c r="H6797" s="343"/>
      <c r="I6797" s="343"/>
      <c r="J6797" s="343"/>
      <c r="K6797" s="343"/>
      <c r="L6797" s="343"/>
    </row>
    <row r="6798" spans="4:12" x14ac:dyDescent="0.2">
      <c r="D6798" s="341"/>
      <c r="F6798" s="343"/>
      <c r="G6798" s="343"/>
      <c r="H6798" s="343"/>
      <c r="I6798" s="343"/>
      <c r="J6798" s="343"/>
      <c r="K6798" s="343"/>
      <c r="L6798" s="343"/>
    </row>
    <row r="6799" spans="4:12" x14ac:dyDescent="0.2">
      <c r="D6799" s="341"/>
      <c r="F6799" s="343"/>
      <c r="G6799" s="343"/>
      <c r="H6799" s="343"/>
      <c r="I6799" s="343"/>
      <c r="J6799" s="343"/>
      <c r="K6799" s="343"/>
      <c r="L6799" s="343"/>
    </row>
    <row r="6800" spans="4:12" x14ac:dyDescent="0.2">
      <c r="D6800" s="341"/>
      <c r="F6800" s="343"/>
      <c r="G6800" s="343"/>
      <c r="H6800" s="343"/>
      <c r="I6800" s="343"/>
      <c r="J6800" s="343"/>
      <c r="K6800" s="343"/>
      <c r="L6800" s="343"/>
    </row>
    <row r="6801" spans="4:12" x14ac:dyDescent="0.2">
      <c r="D6801" s="341"/>
      <c r="F6801" s="343"/>
      <c r="G6801" s="343"/>
      <c r="H6801" s="343"/>
      <c r="I6801" s="343"/>
      <c r="J6801" s="343"/>
      <c r="K6801" s="343"/>
      <c r="L6801" s="343"/>
    </row>
    <row r="6802" spans="4:12" x14ac:dyDescent="0.2">
      <c r="D6802" s="341"/>
      <c r="F6802" s="343"/>
      <c r="G6802" s="343"/>
      <c r="H6802" s="343"/>
      <c r="I6802" s="343"/>
      <c r="J6802" s="343"/>
      <c r="K6802" s="343"/>
      <c r="L6802" s="343"/>
    </row>
    <row r="6803" spans="4:12" x14ac:dyDescent="0.2">
      <c r="D6803" s="341"/>
      <c r="F6803" s="343"/>
      <c r="G6803" s="343"/>
      <c r="H6803" s="343"/>
      <c r="I6803" s="343"/>
      <c r="J6803" s="343"/>
      <c r="K6803" s="343"/>
      <c r="L6803" s="343"/>
    </row>
    <row r="6804" spans="4:12" x14ac:dyDescent="0.2">
      <c r="D6804" s="341"/>
      <c r="F6804" s="343"/>
      <c r="G6804" s="343"/>
      <c r="H6804" s="343"/>
      <c r="I6804" s="343"/>
      <c r="J6804" s="343"/>
      <c r="K6804" s="343"/>
      <c r="L6804" s="343"/>
    </row>
    <row r="6805" spans="4:12" x14ac:dyDescent="0.2">
      <c r="D6805" s="341"/>
      <c r="F6805" s="343"/>
      <c r="G6805" s="343"/>
      <c r="H6805" s="343"/>
      <c r="I6805" s="343"/>
      <c r="J6805" s="343"/>
      <c r="K6805" s="343"/>
      <c r="L6805" s="343"/>
    </row>
    <row r="6806" spans="4:12" x14ac:dyDescent="0.2">
      <c r="D6806" s="341"/>
      <c r="F6806" s="343"/>
      <c r="G6806" s="343"/>
      <c r="H6806" s="343"/>
      <c r="I6806" s="343"/>
      <c r="J6806" s="343"/>
      <c r="K6806" s="343"/>
      <c r="L6806" s="343"/>
    </row>
    <row r="6807" spans="4:12" x14ac:dyDescent="0.2">
      <c r="D6807" s="341"/>
      <c r="F6807" s="343"/>
      <c r="G6807" s="343"/>
      <c r="H6807" s="343"/>
      <c r="I6807" s="343"/>
      <c r="J6807" s="343"/>
      <c r="K6807" s="343"/>
      <c r="L6807" s="343"/>
    </row>
    <row r="6808" spans="4:12" x14ac:dyDescent="0.2">
      <c r="D6808" s="341"/>
      <c r="F6808" s="343"/>
      <c r="G6808" s="343"/>
      <c r="H6808" s="343"/>
      <c r="I6808" s="343"/>
      <c r="J6808" s="343"/>
      <c r="K6808" s="343"/>
      <c r="L6808" s="343"/>
    </row>
    <row r="6809" spans="4:12" x14ac:dyDescent="0.2">
      <c r="D6809" s="341"/>
      <c r="F6809" s="343"/>
      <c r="G6809" s="343"/>
      <c r="H6809" s="343"/>
      <c r="I6809" s="343"/>
      <c r="J6809" s="343"/>
      <c r="K6809" s="343"/>
      <c r="L6809" s="343"/>
    </row>
    <row r="6810" spans="4:12" x14ac:dyDescent="0.2">
      <c r="D6810" s="341"/>
      <c r="F6810" s="343"/>
      <c r="G6810" s="343"/>
      <c r="H6810" s="343"/>
      <c r="I6810" s="343"/>
      <c r="J6810" s="343"/>
      <c r="K6810" s="343"/>
      <c r="L6810" s="343"/>
    </row>
    <row r="6811" spans="4:12" x14ac:dyDescent="0.2">
      <c r="D6811" s="341"/>
      <c r="F6811" s="343"/>
      <c r="G6811" s="343"/>
      <c r="H6811" s="343"/>
      <c r="I6811" s="343"/>
      <c r="J6811" s="343"/>
      <c r="K6811" s="343"/>
      <c r="L6811" s="343"/>
    </row>
    <row r="6812" spans="4:12" x14ac:dyDescent="0.2">
      <c r="D6812" s="341"/>
      <c r="F6812" s="343"/>
      <c r="G6812" s="343"/>
      <c r="H6812" s="343"/>
      <c r="I6812" s="343"/>
      <c r="J6812" s="343"/>
      <c r="K6812" s="343"/>
      <c r="L6812" s="343"/>
    </row>
    <row r="6813" spans="4:12" x14ac:dyDescent="0.2">
      <c r="D6813" s="341"/>
      <c r="F6813" s="343"/>
      <c r="G6813" s="343"/>
      <c r="H6813" s="343"/>
      <c r="I6813" s="343"/>
      <c r="J6813" s="343"/>
      <c r="K6813" s="343"/>
      <c r="L6813" s="343"/>
    </row>
    <row r="6814" spans="4:12" x14ac:dyDescent="0.2">
      <c r="D6814" s="341"/>
      <c r="F6814" s="343"/>
      <c r="G6814" s="343"/>
      <c r="H6814" s="343"/>
      <c r="I6814" s="343"/>
      <c r="J6814" s="343"/>
      <c r="K6814" s="343"/>
      <c r="L6814" s="343"/>
    </row>
    <row r="6815" spans="4:12" x14ac:dyDescent="0.2">
      <c r="D6815" s="341"/>
      <c r="F6815" s="343"/>
      <c r="G6815" s="343"/>
      <c r="H6815" s="343"/>
      <c r="I6815" s="343"/>
      <c r="J6815" s="343"/>
      <c r="K6815" s="343"/>
      <c r="L6815" s="343"/>
    </row>
    <row r="6816" spans="4:12" x14ac:dyDescent="0.2">
      <c r="D6816" s="341"/>
      <c r="F6816" s="343"/>
      <c r="G6816" s="343"/>
      <c r="H6816" s="343"/>
      <c r="I6816" s="343"/>
      <c r="J6816" s="343"/>
      <c r="K6816" s="343"/>
      <c r="L6816" s="343"/>
    </row>
    <row r="6817" spans="4:12" x14ac:dyDescent="0.2">
      <c r="D6817" s="341"/>
      <c r="F6817" s="343"/>
      <c r="G6817" s="343"/>
      <c r="H6817" s="343"/>
      <c r="I6817" s="343"/>
      <c r="J6817" s="343"/>
      <c r="K6817" s="343"/>
      <c r="L6817" s="343"/>
    </row>
    <row r="6818" spans="4:12" x14ac:dyDescent="0.2">
      <c r="D6818" s="341"/>
      <c r="F6818" s="343"/>
      <c r="G6818" s="343"/>
      <c r="H6818" s="343"/>
      <c r="I6818" s="343"/>
      <c r="J6818" s="343"/>
      <c r="K6818" s="343"/>
      <c r="L6818" s="343"/>
    </row>
    <row r="6819" spans="4:12" x14ac:dyDescent="0.2">
      <c r="D6819" s="341"/>
      <c r="F6819" s="343"/>
      <c r="G6819" s="343"/>
      <c r="H6819" s="343"/>
      <c r="I6819" s="343"/>
      <c r="J6819" s="343"/>
      <c r="K6819" s="343"/>
      <c r="L6819" s="343"/>
    </row>
    <row r="6820" spans="4:12" x14ac:dyDescent="0.2">
      <c r="D6820" s="341"/>
      <c r="F6820" s="343"/>
      <c r="G6820" s="343"/>
      <c r="H6820" s="343"/>
      <c r="I6820" s="343"/>
      <c r="J6820" s="343"/>
      <c r="K6820" s="343"/>
      <c r="L6820" s="343"/>
    </row>
    <row r="6821" spans="4:12" x14ac:dyDescent="0.2">
      <c r="D6821" s="341"/>
      <c r="F6821" s="343"/>
      <c r="G6821" s="343"/>
      <c r="H6821" s="343"/>
      <c r="I6821" s="343"/>
      <c r="J6821" s="343"/>
      <c r="K6821" s="343"/>
      <c r="L6821" s="343"/>
    </row>
    <row r="6822" spans="4:12" x14ac:dyDescent="0.2">
      <c r="D6822" s="341"/>
      <c r="F6822" s="343"/>
      <c r="G6822" s="343"/>
      <c r="H6822" s="343"/>
      <c r="I6822" s="343"/>
      <c r="J6822" s="343"/>
      <c r="K6822" s="343"/>
      <c r="L6822" s="343"/>
    </row>
    <row r="6823" spans="4:12" x14ac:dyDescent="0.2">
      <c r="D6823" s="341"/>
      <c r="F6823" s="343"/>
      <c r="G6823" s="343"/>
      <c r="H6823" s="343"/>
      <c r="I6823" s="343"/>
      <c r="J6823" s="343"/>
      <c r="K6823" s="343"/>
      <c r="L6823" s="343"/>
    </row>
    <row r="6824" spans="4:12" x14ac:dyDescent="0.2">
      <c r="D6824" s="341"/>
      <c r="F6824" s="343"/>
      <c r="G6824" s="343"/>
      <c r="H6824" s="343"/>
      <c r="I6824" s="343"/>
      <c r="J6824" s="343"/>
      <c r="K6824" s="343"/>
      <c r="L6824" s="343"/>
    </row>
    <row r="6825" spans="4:12" x14ac:dyDescent="0.2">
      <c r="D6825" s="341"/>
      <c r="F6825" s="343"/>
      <c r="G6825" s="343"/>
      <c r="H6825" s="343"/>
      <c r="I6825" s="343"/>
      <c r="J6825" s="343"/>
      <c r="K6825" s="343"/>
      <c r="L6825" s="343"/>
    </row>
    <row r="6826" spans="4:12" x14ac:dyDescent="0.2">
      <c r="D6826" s="341"/>
      <c r="F6826" s="343"/>
      <c r="G6826" s="343"/>
      <c r="H6826" s="343"/>
      <c r="I6826" s="343"/>
      <c r="J6826" s="343"/>
      <c r="K6826" s="343"/>
      <c r="L6826" s="343"/>
    </row>
    <row r="6827" spans="4:12" x14ac:dyDescent="0.2">
      <c r="D6827" s="341"/>
      <c r="F6827" s="343"/>
      <c r="G6827" s="343"/>
      <c r="H6827" s="343"/>
      <c r="I6827" s="343"/>
      <c r="J6827" s="343"/>
      <c r="K6827" s="343"/>
      <c r="L6827" s="343"/>
    </row>
    <row r="6828" spans="4:12" x14ac:dyDescent="0.2">
      <c r="D6828" s="341"/>
      <c r="F6828" s="343"/>
      <c r="G6828" s="343"/>
      <c r="H6828" s="343"/>
      <c r="I6828" s="343"/>
      <c r="J6828" s="343"/>
      <c r="K6828" s="343"/>
      <c r="L6828" s="343"/>
    </row>
    <row r="6829" spans="4:12" x14ac:dyDescent="0.2">
      <c r="D6829" s="341"/>
      <c r="F6829" s="343"/>
      <c r="G6829" s="343"/>
      <c r="H6829" s="343"/>
      <c r="I6829" s="343"/>
      <c r="J6829" s="343"/>
      <c r="K6829" s="343"/>
      <c r="L6829" s="343"/>
    </row>
    <row r="6830" spans="4:12" x14ac:dyDescent="0.2">
      <c r="D6830" s="341"/>
      <c r="F6830" s="343"/>
      <c r="G6830" s="343"/>
      <c r="H6830" s="343"/>
      <c r="I6830" s="343"/>
      <c r="J6830" s="343"/>
      <c r="K6830" s="343"/>
      <c r="L6830" s="343"/>
    </row>
    <row r="6831" spans="4:12" x14ac:dyDescent="0.2">
      <c r="D6831" s="341"/>
      <c r="F6831" s="343"/>
      <c r="G6831" s="343"/>
      <c r="H6831" s="343"/>
      <c r="I6831" s="343"/>
      <c r="J6831" s="343"/>
      <c r="K6831" s="343"/>
      <c r="L6831" s="343"/>
    </row>
    <row r="6832" spans="4:12" x14ac:dyDescent="0.2">
      <c r="D6832" s="341"/>
      <c r="F6832" s="343"/>
      <c r="G6832" s="343"/>
      <c r="H6832" s="343"/>
      <c r="I6832" s="343"/>
      <c r="J6832" s="343"/>
      <c r="K6832" s="343"/>
      <c r="L6832" s="343"/>
    </row>
    <row r="6833" spans="4:12" x14ac:dyDescent="0.2">
      <c r="D6833" s="341"/>
      <c r="F6833" s="343"/>
      <c r="G6833" s="343"/>
      <c r="H6833" s="343"/>
      <c r="I6833" s="343"/>
      <c r="J6833" s="343"/>
      <c r="K6833" s="343"/>
      <c r="L6833" s="343"/>
    </row>
    <row r="6834" spans="4:12" x14ac:dyDescent="0.2">
      <c r="D6834" s="341"/>
      <c r="F6834" s="343"/>
      <c r="G6834" s="343"/>
      <c r="H6834" s="343"/>
      <c r="I6834" s="343"/>
      <c r="J6834" s="343"/>
      <c r="K6834" s="343"/>
      <c r="L6834" s="343"/>
    </row>
    <row r="6835" spans="4:12" x14ac:dyDescent="0.2">
      <c r="D6835" s="341"/>
      <c r="F6835" s="343"/>
      <c r="G6835" s="343"/>
      <c r="H6835" s="343"/>
      <c r="I6835" s="343"/>
      <c r="J6835" s="343"/>
      <c r="K6835" s="343"/>
      <c r="L6835" s="343"/>
    </row>
    <row r="6836" spans="4:12" x14ac:dyDescent="0.2">
      <c r="D6836" s="341"/>
      <c r="F6836" s="343"/>
      <c r="G6836" s="343"/>
      <c r="H6836" s="343"/>
      <c r="I6836" s="343"/>
      <c r="J6836" s="343"/>
      <c r="K6836" s="343"/>
      <c r="L6836" s="343"/>
    </row>
    <row r="6837" spans="4:12" x14ac:dyDescent="0.2">
      <c r="D6837" s="341"/>
      <c r="F6837" s="343"/>
      <c r="G6837" s="343"/>
      <c r="H6837" s="343"/>
      <c r="I6837" s="343"/>
      <c r="J6837" s="343"/>
      <c r="K6837" s="343"/>
      <c r="L6837" s="343"/>
    </row>
    <row r="6838" spans="4:12" x14ac:dyDescent="0.2">
      <c r="D6838" s="341"/>
      <c r="F6838" s="343"/>
      <c r="G6838" s="343"/>
      <c r="H6838" s="343"/>
      <c r="I6838" s="343"/>
      <c r="J6838" s="343"/>
      <c r="K6838" s="343"/>
      <c r="L6838" s="343"/>
    </row>
    <row r="6839" spans="4:12" x14ac:dyDescent="0.2">
      <c r="D6839" s="341"/>
      <c r="F6839" s="343"/>
      <c r="G6839" s="343"/>
      <c r="H6839" s="343"/>
      <c r="I6839" s="343"/>
      <c r="J6839" s="343"/>
      <c r="K6839" s="343"/>
      <c r="L6839" s="343"/>
    </row>
    <row r="6840" spans="4:12" x14ac:dyDescent="0.2">
      <c r="D6840" s="341"/>
      <c r="F6840" s="343"/>
      <c r="G6840" s="343"/>
      <c r="H6840" s="343"/>
      <c r="I6840" s="343"/>
      <c r="J6840" s="343"/>
      <c r="K6840" s="343"/>
      <c r="L6840" s="343"/>
    </row>
    <row r="6841" spans="4:12" x14ac:dyDescent="0.2">
      <c r="D6841" s="341"/>
      <c r="F6841" s="343"/>
      <c r="G6841" s="343"/>
      <c r="H6841" s="343"/>
      <c r="I6841" s="343"/>
      <c r="J6841" s="343"/>
      <c r="K6841" s="343"/>
      <c r="L6841" s="343"/>
    </row>
    <row r="6842" spans="4:12" x14ac:dyDescent="0.2">
      <c r="D6842" s="341"/>
      <c r="F6842" s="343"/>
      <c r="G6842" s="343"/>
      <c r="H6842" s="343"/>
      <c r="I6842" s="343"/>
      <c r="J6842" s="343"/>
      <c r="K6842" s="343"/>
      <c r="L6842" s="343"/>
    </row>
    <row r="6843" spans="4:12" x14ac:dyDescent="0.2">
      <c r="D6843" s="341"/>
      <c r="F6843" s="343"/>
      <c r="G6843" s="343"/>
      <c r="H6843" s="343"/>
      <c r="I6843" s="343"/>
      <c r="J6843" s="343"/>
      <c r="K6843" s="343"/>
      <c r="L6843" s="343"/>
    </row>
    <row r="6844" spans="4:12" x14ac:dyDescent="0.2">
      <c r="D6844" s="341"/>
      <c r="F6844" s="343"/>
      <c r="G6844" s="343"/>
      <c r="H6844" s="343"/>
      <c r="I6844" s="343"/>
      <c r="J6844" s="343"/>
      <c r="K6844" s="343"/>
      <c r="L6844" s="343"/>
    </row>
    <row r="6845" spans="4:12" x14ac:dyDescent="0.2">
      <c r="D6845" s="341"/>
      <c r="F6845" s="343"/>
      <c r="G6845" s="343"/>
      <c r="H6845" s="343"/>
      <c r="I6845" s="343"/>
      <c r="J6845" s="343"/>
      <c r="K6845" s="343"/>
      <c r="L6845" s="343"/>
    </row>
    <row r="6846" spans="4:12" x14ac:dyDescent="0.2">
      <c r="D6846" s="341"/>
      <c r="F6846" s="343"/>
      <c r="G6846" s="343"/>
      <c r="H6846" s="343"/>
      <c r="I6846" s="343"/>
      <c r="J6846" s="343"/>
      <c r="K6846" s="343"/>
      <c r="L6846" s="343"/>
    </row>
    <row r="6847" spans="4:12" x14ac:dyDescent="0.2">
      <c r="D6847" s="341"/>
      <c r="F6847" s="343"/>
      <c r="G6847" s="343"/>
      <c r="H6847" s="343"/>
      <c r="I6847" s="343"/>
      <c r="J6847" s="343"/>
      <c r="K6847" s="343"/>
      <c r="L6847" s="343"/>
    </row>
    <row r="6848" spans="4:12" x14ac:dyDescent="0.2">
      <c r="D6848" s="341"/>
      <c r="F6848" s="343"/>
      <c r="G6848" s="343"/>
      <c r="H6848" s="343"/>
      <c r="I6848" s="343"/>
      <c r="J6848" s="343"/>
      <c r="K6848" s="343"/>
      <c r="L6848" s="343"/>
    </row>
    <row r="6849" spans="4:12" x14ac:dyDescent="0.2">
      <c r="D6849" s="341"/>
      <c r="F6849" s="343"/>
      <c r="G6849" s="343"/>
      <c r="H6849" s="343"/>
      <c r="I6849" s="343"/>
      <c r="J6849" s="343"/>
      <c r="K6849" s="343"/>
      <c r="L6849" s="343"/>
    </row>
    <row r="6850" spans="4:12" x14ac:dyDescent="0.2">
      <c r="D6850" s="341"/>
      <c r="F6850" s="343"/>
      <c r="G6850" s="343"/>
      <c r="H6850" s="343"/>
      <c r="I6850" s="343"/>
      <c r="J6850" s="343"/>
      <c r="K6850" s="343"/>
      <c r="L6850" s="343"/>
    </row>
    <row r="6851" spans="4:12" x14ac:dyDescent="0.2">
      <c r="D6851" s="341"/>
      <c r="F6851" s="343"/>
      <c r="G6851" s="343"/>
      <c r="H6851" s="343"/>
      <c r="I6851" s="343"/>
      <c r="J6851" s="343"/>
      <c r="K6851" s="343"/>
      <c r="L6851" s="343"/>
    </row>
    <row r="6852" spans="4:12" x14ac:dyDescent="0.2">
      <c r="D6852" s="341"/>
      <c r="F6852" s="343"/>
      <c r="G6852" s="343"/>
      <c r="H6852" s="343"/>
      <c r="I6852" s="343"/>
      <c r="J6852" s="343"/>
      <c r="K6852" s="343"/>
      <c r="L6852" s="343"/>
    </row>
    <row r="6853" spans="4:12" x14ac:dyDescent="0.2">
      <c r="D6853" s="341"/>
      <c r="F6853" s="343"/>
      <c r="G6853" s="343"/>
      <c r="H6853" s="343"/>
      <c r="I6853" s="343"/>
      <c r="J6853" s="343"/>
      <c r="K6853" s="343"/>
      <c r="L6853" s="343"/>
    </row>
    <row r="6854" spans="4:12" x14ac:dyDescent="0.2">
      <c r="D6854" s="341"/>
      <c r="F6854" s="343"/>
      <c r="G6854" s="343"/>
      <c r="H6854" s="343"/>
      <c r="I6854" s="343"/>
      <c r="J6854" s="343"/>
      <c r="K6854" s="343"/>
      <c r="L6854" s="343"/>
    </row>
    <row r="6855" spans="4:12" x14ac:dyDescent="0.2">
      <c r="D6855" s="341"/>
      <c r="F6855" s="343"/>
      <c r="G6855" s="343"/>
      <c r="H6855" s="343"/>
      <c r="I6855" s="343"/>
      <c r="J6855" s="343"/>
      <c r="K6855" s="343"/>
      <c r="L6855" s="343"/>
    </row>
    <row r="6856" spans="4:12" x14ac:dyDescent="0.2">
      <c r="D6856" s="341"/>
      <c r="F6856" s="343"/>
      <c r="G6856" s="343"/>
      <c r="H6856" s="343"/>
      <c r="I6856" s="343"/>
      <c r="J6856" s="343"/>
      <c r="K6856" s="343"/>
      <c r="L6856" s="343"/>
    </row>
    <row r="6857" spans="4:12" x14ac:dyDescent="0.2">
      <c r="D6857" s="341"/>
      <c r="F6857" s="343"/>
      <c r="G6857" s="343"/>
      <c r="H6857" s="343"/>
      <c r="I6857" s="343"/>
      <c r="J6857" s="343"/>
      <c r="K6857" s="343"/>
      <c r="L6857" s="343"/>
    </row>
    <row r="6858" spans="4:12" x14ac:dyDescent="0.2">
      <c r="D6858" s="341"/>
      <c r="F6858" s="343"/>
      <c r="G6858" s="343"/>
      <c r="H6858" s="343"/>
      <c r="I6858" s="343"/>
      <c r="J6858" s="343"/>
      <c r="K6858" s="343"/>
      <c r="L6858" s="343"/>
    </row>
    <row r="6859" spans="4:12" x14ac:dyDescent="0.2">
      <c r="D6859" s="341"/>
      <c r="F6859" s="343"/>
      <c r="G6859" s="343"/>
      <c r="H6859" s="343"/>
      <c r="I6859" s="343"/>
      <c r="J6859" s="343"/>
      <c r="K6859" s="343"/>
      <c r="L6859" s="343"/>
    </row>
    <row r="6860" spans="4:12" x14ac:dyDescent="0.2">
      <c r="D6860" s="341"/>
      <c r="F6860" s="343"/>
      <c r="G6860" s="343"/>
      <c r="H6860" s="343"/>
      <c r="I6860" s="343"/>
      <c r="J6860" s="343"/>
      <c r="K6860" s="343"/>
      <c r="L6860" s="343"/>
    </row>
    <row r="6861" spans="4:12" x14ac:dyDescent="0.2">
      <c r="D6861" s="341"/>
      <c r="F6861" s="343"/>
      <c r="G6861" s="343"/>
      <c r="H6861" s="343"/>
      <c r="I6861" s="343"/>
      <c r="J6861" s="343"/>
      <c r="K6861" s="343"/>
      <c r="L6861" s="343"/>
    </row>
    <row r="6862" spans="4:12" x14ac:dyDescent="0.2">
      <c r="D6862" s="341"/>
      <c r="F6862" s="343"/>
      <c r="G6862" s="343"/>
      <c r="H6862" s="343"/>
      <c r="I6862" s="343"/>
      <c r="J6862" s="343"/>
      <c r="K6862" s="343"/>
      <c r="L6862" s="343"/>
    </row>
    <row r="6863" spans="4:12" x14ac:dyDescent="0.2">
      <c r="D6863" s="341"/>
      <c r="F6863" s="343"/>
      <c r="G6863" s="343"/>
      <c r="H6863" s="343"/>
      <c r="I6863" s="343"/>
      <c r="J6863" s="343"/>
      <c r="K6863" s="343"/>
      <c r="L6863" s="343"/>
    </row>
    <row r="6864" spans="4:12" x14ac:dyDescent="0.2">
      <c r="D6864" s="341"/>
      <c r="F6864" s="343"/>
      <c r="G6864" s="343"/>
      <c r="H6864" s="343"/>
      <c r="I6864" s="343"/>
      <c r="J6864" s="343"/>
      <c r="K6864" s="343"/>
      <c r="L6864" s="343"/>
    </row>
    <row r="6865" spans="4:12" x14ac:dyDescent="0.2">
      <c r="D6865" s="341"/>
      <c r="F6865" s="343"/>
      <c r="G6865" s="343"/>
      <c r="H6865" s="343"/>
      <c r="I6865" s="343"/>
      <c r="J6865" s="343"/>
      <c r="K6865" s="343"/>
      <c r="L6865" s="343"/>
    </row>
    <row r="6866" spans="4:12" x14ac:dyDescent="0.2">
      <c r="D6866" s="341"/>
      <c r="F6866" s="343"/>
      <c r="G6866" s="343"/>
      <c r="H6866" s="343"/>
      <c r="I6866" s="343"/>
      <c r="J6866" s="343"/>
      <c r="K6866" s="343"/>
      <c r="L6866" s="343"/>
    </row>
    <row r="6867" spans="4:12" x14ac:dyDescent="0.2">
      <c r="D6867" s="341"/>
      <c r="F6867" s="343"/>
      <c r="G6867" s="343"/>
      <c r="H6867" s="343"/>
      <c r="I6867" s="343"/>
      <c r="J6867" s="343"/>
      <c r="K6867" s="343"/>
      <c r="L6867" s="343"/>
    </row>
    <row r="6868" spans="4:12" x14ac:dyDescent="0.2">
      <c r="D6868" s="341"/>
      <c r="F6868" s="343"/>
      <c r="G6868" s="343"/>
      <c r="H6868" s="343"/>
      <c r="I6868" s="343"/>
      <c r="J6868" s="343"/>
      <c r="K6868" s="343"/>
      <c r="L6868" s="343"/>
    </row>
    <row r="6869" spans="4:12" x14ac:dyDescent="0.2">
      <c r="D6869" s="341"/>
      <c r="F6869" s="343"/>
      <c r="G6869" s="343"/>
      <c r="H6869" s="343"/>
      <c r="I6869" s="343"/>
      <c r="J6869" s="343"/>
      <c r="K6869" s="343"/>
      <c r="L6869" s="343"/>
    </row>
    <row r="6870" spans="4:12" x14ac:dyDescent="0.2">
      <c r="D6870" s="341"/>
      <c r="F6870" s="343"/>
      <c r="G6870" s="343"/>
      <c r="H6870" s="343"/>
      <c r="I6870" s="343"/>
      <c r="J6870" s="343"/>
      <c r="K6870" s="343"/>
      <c r="L6870" s="343"/>
    </row>
    <row r="6871" spans="4:12" x14ac:dyDescent="0.2">
      <c r="D6871" s="341"/>
      <c r="F6871" s="343"/>
      <c r="G6871" s="343"/>
      <c r="H6871" s="343"/>
      <c r="I6871" s="343"/>
      <c r="J6871" s="343"/>
      <c r="K6871" s="343"/>
      <c r="L6871" s="343"/>
    </row>
    <row r="6872" spans="4:12" x14ac:dyDescent="0.2">
      <c r="D6872" s="341"/>
      <c r="F6872" s="343"/>
      <c r="G6872" s="343"/>
      <c r="H6872" s="343"/>
      <c r="I6872" s="343"/>
      <c r="J6872" s="343"/>
      <c r="K6872" s="343"/>
      <c r="L6872" s="343"/>
    </row>
    <row r="6873" spans="4:12" x14ac:dyDescent="0.2">
      <c r="D6873" s="341"/>
      <c r="F6873" s="343"/>
      <c r="G6873" s="343"/>
      <c r="H6873" s="343"/>
      <c r="I6873" s="343"/>
      <c r="J6873" s="343"/>
      <c r="K6873" s="343"/>
      <c r="L6873" s="343"/>
    </row>
    <row r="6874" spans="4:12" x14ac:dyDescent="0.2">
      <c r="D6874" s="341"/>
      <c r="F6874" s="343"/>
      <c r="G6874" s="343"/>
      <c r="H6874" s="343"/>
      <c r="I6874" s="343"/>
      <c r="J6874" s="343"/>
      <c r="K6874" s="343"/>
      <c r="L6874" s="343"/>
    </row>
    <row r="6875" spans="4:12" x14ac:dyDescent="0.2">
      <c r="D6875" s="341"/>
      <c r="F6875" s="343"/>
      <c r="G6875" s="343"/>
      <c r="H6875" s="343"/>
      <c r="I6875" s="343"/>
      <c r="J6875" s="343"/>
      <c r="K6875" s="343"/>
      <c r="L6875" s="343"/>
    </row>
    <row r="6876" spans="4:12" x14ac:dyDescent="0.2">
      <c r="D6876" s="341"/>
      <c r="F6876" s="343"/>
      <c r="G6876" s="343"/>
      <c r="H6876" s="343"/>
      <c r="I6876" s="343"/>
      <c r="J6876" s="343"/>
      <c r="K6876" s="343"/>
      <c r="L6876" s="343"/>
    </row>
    <row r="6877" spans="4:12" x14ac:dyDescent="0.2">
      <c r="D6877" s="341"/>
      <c r="F6877" s="343"/>
      <c r="G6877" s="343"/>
      <c r="H6877" s="343"/>
      <c r="I6877" s="343"/>
      <c r="J6877" s="343"/>
      <c r="K6877" s="343"/>
      <c r="L6877" s="343"/>
    </row>
    <row r="6878" spans="4:12" x14ac:dyDescent="0.2">
      <c r="D6878" s="341"/>
      <c r="F6878" s="343"/>
      <c r="G6878" s="343"/>
      <c r="H6878" s="343"/>
      <c r="I6878" s="343"/>
      <c r="J6878" s="343"/>
      <c r="K6878" s="343"/>
      <c r="L6878" s="343"/>
    </row>
    <row r="6879" spans="4:12" x14ac:dyDescent="0.2">
      <c r="D6879" s="341"/>
      <c r="F6879" s="343"/>
      <c r="G6879" s="343"/>
      <c r="H6879" s="343"/>
      <c r="I6879" s="343"/>
      <c r="J6879" s="343"/>
      <c r="K6879" s="343"/>
      <c r="L6879" s="343"/>
    </row>
    <row r="6880" spans="4:12" x14ac:dyDescent="0.2">
      <c r="D6880" s="341"/>
      <c r="F6880" s="343"/>
      <c r="G6880" s="343"/>
      <c r="H6880" s="343"/>
      <c r="I6880" s="343"/>
      <c r="J6880" s="343"/>
      <c r="K6880" s="343"/>
      <c r="L6880" s="343"/>
    </row>
    <row r="6881" spans="4:12" x14ac:dyDescent="0.2">
      <c r="D6881" s="341"/>
      <c r="F6881" s="343"/>
      <c r="G6881" s="343"/>
      <c r="H6881" s="343"/>
      <c r="I6881" s="343"/>
      <c r="J6881" s="343"/>
      <c r="K6881" s="343"/>
      <c r="L6881" s="343"/>
    </row>
    <row r="6882" spans="4:12" x14ac:dyDescent="0.2">
      <c r="D6882" s="341"/>
      <c r="F6882" s="343"/>
      <c r="G6882" s="343"/>
      <c r="H6882" s="343"/>
      <c r="I6882" s="343"/>
      <c r="J6882" s="343"/>
      <c r="K6882" s="343"/>
      <c r="L6882" s="343"/>
    </row>
    <row r="6883" spans="4:12" x14ac:dyDescent="0.2">
      <c r="D6883" s="341"/>
      <c r="F6883" s="343"/>
      <c r="G6883" s="343"/>
      <c r="H6883" s="343"/>
      <c r="I6883" s="343"/>
      <c r="J6883" s="343"/>
      <c r="K6883" s="343"/>
      <c r="L6883" s="343"/>
    </row>
    <row r="6884" spans="4:12" x14ac:dyDescent="0.2">
      <c r="D6884" s="341"/>
      <c r="F6884" s="343"/>
      <c r="G6884" s="343"/>
      <c r="H6884" s="343"/>
      <c r="I6884" s="343"/>
      <c r="J6884" s="343"/>
      <c r="K6884" s="343"/>
      <c r="L6884" s="343"/>
    </row>
    <row r="6885" spans="4:12" x14ac:dyDescent="0.2">
      <c r="D6885" s="341"/>
      <c r="F6885" s="343"/>
      <c r="G6885" s="343"/>
      <c r="H6885" s="343"/>
      <c r="I6885" s="343"/>
      <c r="J6885" s="343"/>
      <c r="K6885" s="343"/>
      <c r="L6885" s="343"/>
    </row>
    <row r="6886" spans="4:12" x14ac:dyDescent="0.2">
      <c r="D6886" s="341"/>
      <c r="F6886" s="343"/>
      <c r="G6886" s="343"/>
      <c r="H6886" s="343"/>
      <c r="I6886" s="343"/>
      <c r="J6886" s="343"/>
      <c r="K6886" s="343"/>
      <c r="L6886" s="343"/>
    </row>
    <row r="6887" spans="4:12" x14ac:dyDescent="0.2">
      <c r="D6887" s="341"/>
      <c r="F6887" s="343"/>
      <c r="G6887" s="343"/>
      <c r="H6887" s="343"/>
      <c r="I6887" s="343"/>
      <c r="J6887" s="343"/>
      <c r="K6887" s="343"/>
      <c r="L6887" s="343"/>
    </row>
    <row r="6888" spans="4:12" x14ac:dyDescent="0.2">
      <c r="D6888" s="341"/>
      <c r="F6888" s="343"/>
      <c r="G6888" s="343"/>
      <c r="H6888" s="343"/>
      <c r="I6888" s="343"/>
      <c r="J6888" s="343"/>
      <c r="K6888" s="343"/>
      <c r="L6888" s="343"/>
    </row>
    <row r="6889" spans="4:12" x14ac:dyDescent="0.2">
      <c r="D6889" s="341"/>
      <c r="F6889" s="343"/>
      <c r="G6889" s="343"/>
      <c r="H6889" s="343"/>
      <c r="I6889" s="343"/>
      <c r="J6889" s="343"/>
      <c r="K6889" s="343"/>
      <c r="L6889" s="343"/>
    </row>
    <row r="6890" spans="4:12" x14ac:dyDescent="0.2">
      <c r="D6890" s="341"/>
      <c r="F6890" s="343"/>
      <c r="G6890" s="343"/>
      <c r="H6890" s="343"/>
      <c r="I6890" s="343"/>
      <c r="J6890" s="343"/>
      <c r="K6890" s="343"/>
      <c r="L6890" s="343"/>
    </row>
    <row r="6891" spans="4:12" x14ac:dyDescent="0.2">
      <c r="D6891" s="341"/>
      <c r="F6891" s="343"/>
      <c r="G6891" s="343"/>
      <c r="H6891" s="343"/>
      <c r="I6891" s="343"/>
      <c r="J6891" s="343"/>
      <c r="K6891" s="343"/>
      <c r="L6891" s="343"/>
    </row>
    <row r="6892" spans="4:12" x14ac:dyDescent="0.2">
      <c r="D6892" s="341"/>
      <c r="F6892" s="343"/>
      <c r="G6892" s="343"/>
      <c r="H6892" s="343"/>
      <c r="I6892" s="343"/>
      <c r="J6892" s="343"/>
      <c r="K6892" s="343"/>
      <c r="L6892" s="343"/>
    </row>
    <row r="6893" spans="4:12" x14ac:dyDescent="0.2">
      <c r="D6893" s="341"/>
      <c r="F6893" s="343"/>
      <c r="G6893" s="343"/>
      <c r="H6893" s="343"/>
      <c r="I6893" s="343"/>
      <c r="J6893" s="343"/>
      <c r="K6893" s="343"/>
      <c r="L6893" s="343"/>
    </row>
    <row r="6894" spans="4:12" x14ac:dyDescent="0.2">
      <c r="D6894" s="341"/>
      <c r="F6894" s="343"/>
      <c r="G6894" s="343"/>
      <c r="H6894" s="343"/>
      <c r="I6894" s="343"/>
      <c r="J6894" s="343"/>
      <c r="K6894" s="343"/>
      <c r="L6894" s="343"/>
    </row>
    <row r="6895" spans="4:12" x14ac:dyDescent="0.2">
      <c r="D6895" s="341"/>
      <c r="F6895" s="343"/>
      <c r="G6895" s="343"/>
      <c r="H6895" s="343"/>
      <c r="I6895" s="343"/>
      <c r="J6895" s="343"/>
      <c r="K6895" s="343"/>
      <c r="L6895" s="343"/>
    </row>
    <row r="6896" spans="4:12" x14ac:dyDescent="0.2">
      <c r="D6896" s="341"/>
      <c r="F6896" s="343"/>
      <c r="G6896" s="343"/>
      <c r="H6896" s="343"/>
      <c r="I6896" s="343"/>
      <c r="J6896" s="343"/>
      <c r="K6896" s="343"/>
      <c r="L6896" s="343"/>
    </row>
    <row r="6897" spans="4:12" x14ac:dyDescent="0.2">
      <c r="D6897" s="341"/>
      <c r="F6897" s="343"/>
      <c r="G6897" s="343"/>
      <c r="H6897" s="343"/>
      <c r="I6897" s="343"/>
      <c r="J6897" s="343"/>
      <c r="K6897" s="343"/>
      <c r="L6897" s="343"/>
    </row>
    <row r="6898" spans="4:12" x14ac:dyDescent="0.2">
      <c r="D6898" s="341"/>
      <c r="F6898" s="343"/>
      <c r="G6898" s="343"/>
      <c r="H6898" s="343"/>
      <c r="I6898" s="343"/>
      <c r="J6898" s="343"/>
      <c r="K6898" s="343"/>
      <c r="L6898" s="343"/>
    </row>
    <row r="6899" spans="4:12" x14ac:dyDescent="0.2">
      <c r="D6899" s="341"/>
      <c r="F6899" s="343"/>
      <c r="G6899" s="343"/>
      <c r="H6899" s="343"/>
      <c r="I6899" s="343"/>
      <c r="J6899" s="343"/>
      <c r="K6899" s="343"/>
      <c r="L6899" s="343"/>
    </row>
    <row r="6900" spans="4:12" x14ac:dyDescent="0.2">
      <c r="D6900" s="341"/>
      <c r="F6900" s="343"/>
      <c r="G6900" s="343"/>
      <c r="H6900" s="343"/>
      <c r="I6900" s="343"/>
      <c r="J6900" s="343"/>
      <c r="K6900" s="343"/>
      <c r="L6900" s="343"/>
    </row>
    <row r="6901" spans="4:12" x14ac:dyDescent="0.2">
      <c r="D6901" s="341"/>
      <c r="F6901" s="343"/>
      <c r="G6901" s="343"/>
      <c r="H6901" s="343"/>
      <c r="I6901" s="343"/>
      <c r="J6901" s="343"/>
      <c r="K6901" s="343"/>
      <c r="L6901" s="343"/>
    </row>
    <row r="6902" spans="4:12" x14ac:dyDescent="0.2">
      <c r="D6902" s="341"/>
      <c r="F6902" s="343"/>
      <c r="G6902" s="343"/>
      <c r="H6902" s="343"/>
      <c r="I6902" s="343"/>
      <c r="J6902" s="343"/>
      <c r="K6902" s="343"/>
      <c r="L6902" s="343"/>
    </row>
    <row r="6903" spans="4:12" x14ac:dyDescent="0.2">
      <c r="D6903" s="341"/>
      <c r="F6903" s="343"/>
      <c r="G6903" s="343"/>
      <c r="H6903" s="343"/>
      <c r="I6903" s="343"/>
      <c r="J6903" s="343"/>
      <c r="K6903" s="343"/>
      <c r="L6903" s="343"/>
    </row>
    <row r="6904" spans="4:12" x14ac:dyDescent="0.2">
      <c r="D6904" s="341"/>
      <c r="F6904" s="343"/>
      <c r="G6904" s="343"/>
      <c r="H6904" s="343"/>
      <c r="I6904" s="343"/>
      <c r="J6904" s="343"/>
      <c r="K6904" s="343"/>
      <c r="L6904" s="343"/>
    </row>
    <row r="6905" spans="4:12" x14ac:dyDescent="0.2">
      <c r="D6905" s="341"/>
      <c r="F6905" s="343"/>
      <c r="G6905" s="343"/>
      <c r="H6905" s="343"/>
      <c r="I6905" s="343"/>
      <c r="J6905" s="343"/>
      <c r="K6905" s="343"/>
      <c r="L6905" s="343"/>
    </row>
    <row r="6906" spans="4:12" x14ac:dyDescent="0.2">
      <c r="D6906" s="341"/>
      <c r="F6906" s="343"/>
      <c r="G6906" s="343"/>
      <c r="H6906" s="343"/>
      <c r="I6906" s="343"/>
      <c r="J6906" s="343"/>
      <c r="K6906" s="343"/>
      <c r="L6906" s="343"/>
    </row>
    <row r="6907" spans="4:12" x14ac:dyDescent="0.2">
      <c r="D6907" s="341"/>
      <c r="F6907" s="343"/>
      <c r="G6907" s="343"/>
      <c r="H6907" s="343"/>
      <c r="I6907" s="343"/>
      <c r="J6907" s="343"/>
      <c r="K6907" s="343"/>
      <c r="L6907" s="343"/>
    </row>
    <row r="6908" spans="4:12" x14ac:dyDescent="0.2">
      <c r="D6908" s="341"/>
      <c r="F6908" s="343"/>
      <c r="G6908" s="343"/>
      <c r="H6908" s="343"/>
      <c r="I6908" s="343"/>
      <c r="J6908" s="343"/>
      <c r="K6908" s="343"/>
      <c r="L6908" s="343"/>
    </row>
    <row r="6909" spans="4:12" x14ac:dyDescent="0.2">
      <c r="D6909" s="341"/>
      <c r="F6909" s="343"/>
      <c r="G6909" s="343"/>
      <c r="H6909" s="343"/>
      <c r="I6909" s="343"/>
      <c r="J6909" s="343"/>
      <c r="K6909" s="343"/>
      <c r="L6909" s="343"/>
    </row>
    <row r="6910" spans="4:12" x14ac:dyDescent="0.2">
      <c r="D6910" s="341"/>
      <c r="F6910" s="343"/>
      <c r="G6910" s="343"/>
      <c r="H6910" s="343"/>
      <c r="I6910" s="343"/>
      <c r="J6910" s="343"/>
      <c r="K6910" s="343"/>
      <c r="L6910" s="343"/>
    </row>
    <row r="6911" spans="4:12" x14ac:dyDescent="0.2">
      <c r="D6911" s="341"/>
      <c r="F6911" s="343"/>
      <c r="G6911" s="343"/>
      <c r="H6911" s="343"/>
      <c r="I6911" s="343"/>
      <c r="J6911" s="343"/>
      <c r="K6911" s="343"/>
      <c r="L6911" s="343"/>
    </row>
    <row r="6912" spans="4:12" x14ac:dyDescent="0.2">
      <c r="D6912" s="341"/>
      <c r="F6912" s="343"/>
      <c r="G6912" s="343"/>
      <c r="H6912" s="343"/>
      <c r="I6912" s="343"/>
      <c r="J6912" s="343"/>
      <c r="K6912" s="343"/>
      <c r="L6912" s="343"/>
    </row>
    <row r="6913" spans="4:12" x14ac:dyDescent="0.2">
      <c r="D6913" s="341"/>
      <c r="F6913" s="343"/>
      <c r="G6913" s="343"/>
      <c r="H6913" s="343"/>
      <c r="I6913" s="343"/>
      <c r="J6913" s="343"/>
      <c r="K6913" s="343"/>
      <c r="L6913" s="343"/>
    </row>
    <row r="6914" spans="4:12" x14ac:dyDescent="0.2">
      <c r="D6914" s="341"/>
      <c r="F6914" s="343"/>
      <c r="G6914" s="343"/>
      <c r="H6914" s="343"/>
      <c r="I6914" s="343"/>
      <c r="J6914" s="343"/>
      <c r="K6914" s="343"/>
      <c r="L6914" s="343"/>
    </row>
    <row r="6915" spans="4:12" x14ac:dyDescent="0.2">
      <c r="D6915" s="341"/>
      <c r="F6915" s="343"/>
      <c r="G6915" s="343"/>
      <c r="H6915" s="343"/>
      <c r="I6915" s="343"/>
      <c r="J6915" s="343"/>
      <c r="K6915" s="343"/>
      <c r="L6915" s="343"/>
    </row>
    <row r="6916" spans="4:12" x14ac:dyDescent="0.2">
      <c r="D6916" s="341"/>
      <c r="F6916" s="343"/>
      <c r="G6916" s="343"/>
      <c r="H6916" s="343"/>
      <c r="I6916" s="343"/>
      <c r="J6916" s="343"/>
      <c r="K6916" s="343"/>
      <c r="L6916" s="343"/>
    </row>
    <row r="6917" spans="4:12" x14ac:dyDescent="0.2">
      <c r="D6917" s="341"/>
      <c r="F6917" s="343"/>
      <c r="G6917" s="343"/>
      <c r="H6917" s="343"/>
      <c r="I6917" s="343"/>
      <c r="J6917" s="343"/>
      <c r="K6917" s="343"/>
      <c r="L6917" s="343"/>
    </row>
    <row r="6918" spans="4:12" x14ac:dyDescent="0.2">
      <c r="D6918" s="341"/>
      <c r="F6918" s="343"/>
      <c r="G6918" s="343"/>
      <c r="H6918" s="343"/>
      <c r="I6918" s="343"/>
      <c r="J6918" s="343"/>
      <c r="K6918" s="343"/>
      <c r="L6918" s="343"/>
    </row>
    <row r="6919" spans="4:12" x14ac:dyDescent="0.2">
      <c r="D6919" s="341"/>
      <c r="F6919" s="343"/>
      <c r="G6919" s="343"/>
      <c r="H6919" s="343"/>
      <c r="I6919" s="343"/>
      <c r="J6919" s="343"/>
      <c r="K6919" s="343"/>
      <c r="L6919" s="343"/>
    </row>
    <row r="6920" spans="4:12" x14ac:dyDescent="0.2">
      <c r="D6920" s="341"/>
      <c r="F6920" s="343"/>
      <c r="G6920" s="343"/>
      <c r="H6920" s="343"/>
      <c r="I6920" s="343"/>
      <c r="J6920" s="343"/>
      <c r="K6920" s="343"/>
      <c r="L6920" s="343"/>
    </row>
    <row r="6921" spans="4:12" x14ac:dyDescent="0.2">
      <c r="D6921" s="341"/>
      <c r="F6921" s="343"/>
      <c r="G6921" s="343"/>
      <c r="H6921" s="343"/>
      <c r="I6921" s="343"/>
      <c r="J6921" s="343"/>
      <c r="K6921" s="343"/>
      <c r="L6921" s="343"/>
    </row>
    <row r="6922" spans="4:12" x14ac:dyDescent="0.2">
      <c r="D6922" s="341"/>
      <c r="F6922" s="343"/>
      <c r="G6922" s="343"/>
      <c r="H6922" s="343"/>
      <c r="I6922" s="343"/>
      <c r="J6922" s="343"/>
      <c r="K6922" s="343"/>
      <c r="L6922" s="343"/>
    </row>
    <row r="6923" spans="4:12" x14ac:dyDescent="0.2">
      <c r="D6923" s="341"/>
      <c r="F6923" s="343"/>
      <c r="G6923" s="343"/>
      <c r="H6923" s="343"/>
      <c r="I6923" s="343"/>
      <c r="J6923" s="343"/>
      <c r="K6923" s="343"/>
      <c r="L6923" s="343"/>
    </row>
    <row r="6924" spans="4:12" x14ac:dyDescent="0.2">
      <c r="D6924" s="341"/>
      <c r="F6924" s="343"/>
      <c r="G6924" s="343"/>
      <c r="H6924" s="343"/>
      <c r="I6924" s="343"/>
      <c r="J6924" s="343"/>
      <c r="K6924" s="343"/>
      <c r="L6924" s="343"/>
    </row>
    <row r="6925" spans="4:12" x14ac:dyDescent="0.2">
      <c r="D6925" s="341"/>
      <c r="F6925" s="343"/>
      <c r="G6925" s="343"/>
      <c r="H6925" s="343"/>
      <c r="I6925" s="343"/>
      <c r="J6925" s="343"/>
      <c r="K6925" s="343"/>
      <c r="L6925" s="343"/>
    </row>
    <row r="6926" spans="4:12" x14ac:dyDescent="0.2">
      <c r="D6926" s="341"/>
      <c r="F6926" s="343"/>
      <c r="G6926" s="343"/>
      <c r="H6926" s="343"/>
      <c r="I6926" s="343"/>
      <c r="J6926" s="343"/>
      <c r="K6926" s="343"/>
      <c r="L6926" s="343"/>
    </row>
    <row r="6927" spans="4:12" x14ac:dyDescent="0.2">
      <c r="D6927" s="341"/>
      <c r="F6927" s="343"/>
      <c r="G6927" s="343"/>
      <c r="H6927" s="343"/>
      <c r="I6927" s="343"/>
      <c r="J6927" s="343"/>
      <c r="K6927" s="343"/>
      <c r="L6927" s="343"/>
    </row>
    <row r="6928" spans="4:12" x14ac:dyDescent="0.2">
      <c r="D6928" s="341"/>
      <c r="F6928" s="343"/>
      <c r="G6928" s="343"/>
      <c r="H6928" s="343"/>
      <c r="I6928" s="343"/>
      <c r="J6928" s="343"/>
      <c r="K6928" s="343"/>
      <c r="L6928" s="343"/>
    </row>
    <row r="6929" spans="4:12" x14ac:dyDescent="0.2">
      <c r="D6929" s="341"/>
      <c r="F6929" s="343"/>
      <c r="G6929" s="343"/>
      <c r="H6929" s="343"/>
      <c r="I6929" s="343"/>
      <c r="J6929" s="343"/>
      <c r="K6929" s="343"/>
      <c r="L6929" s="343"/>
    </row>
    <row r="6930" spans="4:12" x14ac:dyDescent="0.2">
      <c r="D6930" s="341"/>
      <c r="F6930" s="343"/>
      <c r="G6930" s="343"/>
      <c r="H6930" s="343"/>
      <c r="I6930" s="343"/>
      <c r="J6930" s="343"/>
      <c r="K6930" s="343"/>
      <c r="L6930" s="343"/>
    </row>
    <row r="6931" spans="4:12" x14ac:dyDescent="0.2">
      <c r="D6931" s="341"/>
      <c r="F6931" s="343"/>
      <c r="G6931" s="343"/>
      <c r="H6931" s="343"/>
      <c r="I6931" s="343"/>
      <c r="J6931" s="343"/>
      <c r="K6931" s="343"/>
      <c r="L6931" s="343"/>
    </row>
    <row r="6932" spans="4:12" x14ac:dyDescent="0.2">
      <c r="D6932" s="341"/>
      <c r="F6932" s="343"/>
      <c r="G6932" s="343"/>
      <c r="H6932" s="343"/>
      <c r="I6932" s="343"/>
      <c r="J6932" s="343"/>
      <c r="K6932" s="343"/>
      <c r="L6932" s="343"/>
    </row>
    <row r="6933" spans="4:12" x14ac:dyDescent="0.2">
      <c r="D6933" s="341"/>
      <c r="F6933" s="343"/>
      <c r="G6933" s="343"/>
      <c r="H6933" s="343"/>
      <c r="I6933" s="343"/>
      <c r="J6933" s="343"/>
      <c r="K6933" s="343"/>
      <c r="L6933" s="343"/>
    </row>
    <row r="6934" spans="4:12" x14ac:dyDescent="0.2">
      <c r="D6934" s="341"/>
      <c r="F6934" s="343"/>
      <c r="G6934" s="343"/>
      <c r="H6934" s="343"/>
      <c r="I6934" s="343"/>
      <c r="J6934" s="343"/>
      <c r="K6934" s="343"/>
      <c r="L6934" s="343"/>
    </row>
    <row r="6935" spans="4:12" x14ac:dyDescent="0.2">
      <c r="D6935" s="341"/>
      <c r="F6935" s="343"/>
      <c r="G6935" s="343"/>
      <c r="H6935" s="343"/>
      <c r="I6935" s="343"/>
      <c r="J6935" s="343"/>
      <c r="K6935" s="343"/>
      <c r="L6935" s="343"/>
    </row>
    <row r="6936" spans="4:12" x14ac:dyDescent="0.2">
      <c r="D6936" s="341"/>
      <c r="F6936" s="343"/>
      <c r="G6936" s="343"/>
      <c r="H6936" s="343"/>
      <c r="I6936" s="343"/>
      <c r="J6936" s="343"/>
      <c r="K6936" s="343"/>
      <c r="L6936" s="343"/>
    </row>
    <row r="6937" spans="4:12" x14ac:dyDescent="0.2">
      <c r="D6937" s="341"/>
      <c r="F6937" s="343"/>
      <c r="G6937" s="343"/>
      <c r="H6937" s="343"/>
      <c r="I6937" s="343"/>
      <c r="J6937" s="343"/>
      <c r="K6937" s="343"/>
      <c r="L6937" s="343"/>
    </row>
    <row r="6938" spans="4:12" x14ac:dyDescent="0.2">
      <c r="D6938" s="341"/>
      <c r="F6938" s="343"/>
      <c r="G6938" s="343"/>
      <c r="H6938" s="343"/>
      <c r="I6938" s="343"/>
      <c r="J6938" s="343"/>
      <c r="K6938" s="343"/>
      <c r="L6938" s="343"/>
    </row>
    <row r="6939" spans="4:12" x14ac:dyDescent="0.2">
      <c r="D6939" s="341"/>
      <c r="F6939" s="343"/>
      <c r="G6939" s="343"/>
      <c r="H6939" s="343"/>
      <c r="I6939" s="343"/>
      <c r="J6939" s="343"/>
      <c r="K6939" s="343"/>
      <c r="L6939" s="343"/>
    </row>
    <row r="6940" spans="4:12" x14ac:dyDescent="0.2">
      <c r="D6940" s="341"/>
      <c r="F6940" s="343"/>
      <c r="G6940" s="343"/>
      <c r="H6940" s="343"/>
      <c r="I6940" s="343"/>
      <c r="J6940" s="343"/>
      <c r="K6940" s="343"/>
      <c r="L6940" s="343"/>
    </row>
    <row r="6941" spans="4:12" x14ac:dyDescent="0.2">
      <c r="D6941" s="341"/>
      <c r="F6941" s="343"/>
      <c r="G6941" s="343"/>
      <c r="H6941" s="343"/>
      <c r="I6941" s="343"/>
      <c r="J6941" s="343"/>
      <c r="K6941" s="343"/>
      <c r="L6941" s="343"/>
    </row>
    <row r="6942" spans="4:12" x14ac:dyDescent="0.2">
      <c r="D6942" s="341"/>
      <c r="F6942" s="343"/>
      <c r="G6942" s="343"/>
      <c r="H6942" s="343"/>
      <c r="I6942" s="343"/>
      <c r="J6942" s="343"/>
      <c r="K6942" s="343"/>
      <c r="L6942" s="343"/>
    </row>
    <row r="6943" spans="4:12" x14ac:dyDescent="0.2">
      <c r="D6943" s="341"/>
      <c r="F6943" s="343"/>
      <c r="G6943" s="343"/>
      <c r="H6943" s="343"/>
      <c r="I6943" s="343"/>
      <c r="J6943" s="343"/>
      <c r="K6943" s="343"/>
      <c r="L6943" s="343"/>
    </row>
    <row r="6944" spans="4:12" x14ac:dyDescent="0.2">
      <c r="D6944" s="341"/>
      <c r="F6944" s="343"/>
      <c r="G6944" s="343"/>
      <c r="H6944" s="343"/>
      <c r="I6944" s="343"/>
      <c r="J6944" s="343"/>
      <c r="K6944" s="343"/>
      <c r="L6944" s="343"/>
    </row>
    <row r="6945" spans="4:12" x14ac:dyDescent="0.2">
      <c r="D6945" s="341"/>
      <c r="F6945" s="343"/>
      <c r="G6945" s="343"/>
      <c r="H6945" s="343"/>
      <c r="I6945" s="343"/>
      <c r="J6945" s="343"/>
      <c r="K6945" s="343"/>
      <c r="L6945" s="343"/>
    </row>
    <row r="6946" spans="4:12" x14ac:dyDescent="0.2">
      <c r="D6946" s="341"/>
      <c r="F6946" s="343"/>
      <c r="G6946" s="343"/>
      <c r="H6946" s="343"/>
      <c r="I6946" s="343"/>
      <c r="J6946" s="343"/>
      <c r="K6946" s="343"/>
      <c r="L6946" s="343"/>
    </row>
    <row r="6947" spans="4:12" x14ac:dyDescent="0.2">
      <c r="D6947" s="341"/>
      <c r="F6947" s="343"/>
      <c r="G6947" s="343"/>
      <c r="H6947" s="343"/>
      <c r="I6947" s="343"/>
      <c r="J6947" s="343"/>
      <c r="K6947" s="343"/>
      <c r="L6947" s="343"/>
    </row>
    <row r="6948" spans="4:12" x14ac:dyDescent="0.2">
      <c r="D6948" s="341"/>
      <c r="F6948" s="343"/>
      <c r="G6948" s="343"/>
      <c r="H6948" s="343"/>
      <c r="I6948" s="343"/>
      <c r="J6948" s="343"/>
      <c r="K6948" s="343"/>
      <c r="L6948" s="343"/>
    </row>
    <row r="6949" spans="4:12" x14ac:dyDescent="0.2">
      <c r="D6949" s="341"/>
      <c r="F6949" s="343"/>
      <c r="G6949" s="343"/>
      <c r="H6949" s="343"/>
      <c r="I6949" s="343"/>
      <c r="J6949" s="343"/>
      <c r="K6949" s="343"/>
      <c r="L6949" s="343"/>
    </row>
    <row r="6950" spans="4:12" x14ac:dyDescent="0.2">
      <c r="D6950" s="341"/>
      <c r="F6950" s="343"/>
      <c r="G6950" s="343"/>
      <c r="H6950" s="343"/>
      <c r="I6950" s="343"/>
      <c r="J6950" s="343"/>
      <c r="K6950" s="343"/>
      <c r="L6950" s="343"/>
    </row>
    <row r="6951" spans="4:12" x14ac:dyDescent="0.2">
      <c r="D6951" s="341"/>
      <c r="F6951" s="343"/>
      <c r="G6951" s="343"/>
      <c r="H6951" s="343"/>
      <c r="I6951" s="343"/>
      <c r="J6951" s="343"/>
      <c r="K6951" s="343"/>
      <c r="L6951" s="343"/>
    </row>
    <row r="6952" spans="4:12" x14ac:dyDescent="0.2">
      <c r="D6952" s="341"/>
      <c r="F6952" s="343"/>
      <c r="G6952" s="343"/>
      <c r="H6952" s="343"/>
      <c r="I6952" s="343"/>
      <c r="J6952" s="343"/>
      <c r="K6952" s="343"/>
      <c r="L6952" s="343"/>
    </row>
    <row r="6953" spans="4:12" x14ac:dyDescent="0.2">
      <c r="D6953" s="341"/>
      <c r="F6953" s="343"/>
      <c r="G6953" s="343"/>
      <c r="H6953" s="343"/>
      <c r="I6953" s="343"/>
      <c r="J6953" s="343"/>
      <c r="K6953" s="343"/>
      <c r="L6953" s="343"/>
    </row>
    <row r="6954" spans="4:12" x14ac:dyDescent="0.2">
      <c r="D6954" s="341"/>
      <c r="F6954" s="343"/>
      <c r="G6954" s="343"/>
      <c r="H6954" s="343"/>
      <c r="I6954" s="343"/>
      <c r="J6954" s="343"/>
      <c r="K6954" s="343"/>
      <c r="L6954" s="343"/>
    </row>
    <row r="6955" spans="4:12" x14ac:dyDescent="0.2">
      <c r="D6955" s="341"/>
      <c r="F6955" s="343"/>
      <c r="G6955" s="343"/>
      <c r="H6955" s="343"/>
      <c r="I6955" s="343"/>
      <c r="J6955" s="343"/>
      <c r="K6955" s="343"/>
      <c r="L6955" s="343"/>
    </row>
    <row r="6956" spans="4:12" x14ac:dyDescent="0.2">
      <c r="D6956" s="341"/>
      <c r="F6956" s="343"/>
      <c r="G6956" s="343"/>
      <c r="H6956" s="343"/>
      <c r="I6956" s="343"/>
      <c r="J6956" s="343"/>
      <c r="K6956" s="343"/>
      <c r="L6956" s="343"/>
    </row>
    <row r="6957" spans="4:12" x14ac:dyDescent="0.2">
      <c r="D6957" s="341"/>
      <c r="F6957" s="343"/>
      <c r="G6957" s="343"/>
      <c r="H6957" s="343"/>
      <c r="I6957" s="343"/>
      <c r="J6957" s="343"/>
      <c r="K6957" s="343"/>
      <c r="L6957" s="343"/>
    </row>
    <row r="6958" spans="4:12" x14ac:dyDescent="0.2">
      <c r="D6958" s="341"/>
      <c r="F6958" s="343"/>
      <c r="G6958" s="343"/>
      <c r="H6958" s="343"/>
      <c r="I6958" s="343"/>
      <c r="J6958" s="343"/>
      <c r="K6958" s="343"/>
      <c r="L6958" s="343"/>
    </row>
    <row r="6959" spans="4:12" x14ac:dyDescent="0.2">
      <c r="D6959" s="341"/>
      <c r="F6959" s="343"/>
      <c r="G6959" s="343"/>
      <c r="H6959" s="343"/>
      <c r="I6959" s="343"/>
      <c r="J6959" s="343"/>
      <c r="K6959" s="343"/>
      <c r="L6959" s="343"/>
    </row>
    <row r="6960" spans="4:12" x14ac:dyDescent="0.2">
      <c r="D6960" s="341"/>
      <c r="F6960" s="343"/>
      <c r="G6960" s="343"/>
      <c r="H6960" s="343"/>
      <c r="I6960" s="343"/>
      <c r="J6960" s="343"/>
      <c r="K6960" s="343"/>
      <c r="L6960" s="343"/>
    </row>
    <row r="6961" spans="4:12" x14ac:dyDescent="0.2">
      <c r="D6961" s="341"/>
      <c r="F6961" s="343"/>
      <c r="G6961" s="343"/>
      <c r="H6961" s="343"/>
      <c r="I6961" s="343"/>
      <c r="J6961" s="343"/>
      <c r="K6961" s="343"/>
      <c r="L6961" s="343"/>
    </row>
    <row r="6962" spans="4:12" x14ac:dyDescent="0.2">
      <c r="D6962" s="341"/>
      <c r="F6962" s="343"/>
      <c r="G6962" s="343"/>
      <c r="H6962" s="343"/>
      <c r="I6962" s="343"/>
      <c r="J6962" s="343"/>
      <c r="K6962" s="343"/>
      <c r="L6962" s="343"/>
    </row>
    <row r="6963" spans="4:12" x14ac:dyDescent="0.2">
      <c r="D6963" s="341"/>
      <c r="F6963" s="343"/>
      <c r="G6963" s="343"/>
      <c r="H6963" s="343"/>
      <c r="I6963" s="343"/>
      <c r="J6963" s="343"/>
      <c r="K6963" s="343"/>
      <c r="L6963" s="343"/>
    </row>
    <row r="6964" spans="4:12" x14ac:dyDescent="0.2">
      <c r="D6964" s="341"/>
      <c r="F6964" s="343"/>
      <c r="G6964" s="343"/>
      <c r="H6964" s="343"/>
      <c r="I6964" s="343"/>
      <c r="J6964" s="343"/>
      <c r="K6964" s="343"/>
      <c r="L6964" s="343"/>
    </row>
    <row r="6965" spans="4:12" x14ac:dyDescent="0.2">
      <c r="D6965" s="341"/>
      <c r="F6965" s="343"/>
      <c r="G6965" s="343"/>
      <c r="H6965" s="343"/>
      <c r="I6965" s="343"/>
      <c r="J6965" s="343"/>
      <c r="K6965" s="343"/>
      <c r="L6965" s="343"/>
    </row>
    <row r="6966" spans="4:12" x14ac:dyDescent="0.2">
      <c r="D6966" s="341"/>
      <c r="F6966" s="343"/>
      <c r="G6966" s="343"/>
      <c r="H6966" s="343"/>
      <c r="I6966" s="343"/>
      <c r="J6966" s="343"/>
      <c r="K6966" s="343"/>
      <c r="L6966" s="343"/>
    </row>
    <row r="6967" spans="4:12" x14ac:dyDescent="0.2">
      <c r="D6967" s="341"/>
      <c r="F6967" s="343"/>
      <c r="G6967" s="343"/>
      <c r="H6967" s="343"/>
      <c r="I6967" s="343"/>
      <c r="J6967" s="343"/>
      <c r="K6967" s="343"/>
      <c r="L6967" s="343"/>
    </row>
    <row r="6968" spans="4:12" x14ac:dyDescent="0.2">
      <c r="D6968" s="341"/>
      <c r="F6968" s="343"/>
      <c r="G6968" s="343"/>
      <c r="H6968" s="343"/>
      <c r="I6968" s="343"/>
      <c r="J6968" s="343"/>
      <c r="K6968" s="343"/>
      <c r="L6968" s="343"/>
    </row>
    <row r="6969" spans="4:12" x14ac:dyDescent="0.2">
      <c r="D6969" s="341"/>
      <c r="F6969" s="343"/>
      <c r="G6969" s="343"/>
      <c r="H6969" s="343"/>
      <c r="I6969" s="343"/>
      <c r="J6969" s="343"/>
      <c r="K6969" s="343"/>
      <c r="L6969" s="343"/>
    </row>
    <row r="6970" spans="4:12" x14ac:dyDescent="0.2">
      <c r="D6970" s="341"/>
      <c r="F6970" s="343"/>
      <c r="G6970" s="343"/>
      <c r="H6970" s="343"/>
      <c r="I6970" s="343"/>
      <c r="J6970" s="343"/>
      <c r="K6970" s="343"/>
      <c r="L6970" s="343"/>
    </row>
    <row r="6971" spans="4:12" x14ac:dyDescent="0.2">
      <c r="D6971" s="341"/>
      <c r="F6971" s="343"/>
      <c r="G6971" s="343"/>
      <c r="H6971" s="343"/>
      <c r="I6971" s="343"/>
      <c r="J6971" s="343"/>
      <c r="K6971" s="343"/>
      <c r="L6971" s="343"/>
    </row>
    <row r="6972" spans="4:12" x14ac:dyDescent="0.2">
      <c r="D6972" s="341"/>
      <c r="F6972" s="343"/>
      <c r="G6972" s="343"/>
      <c r="H6972" s="343"/>
      <c r="I6972" s="343"/>
      <c r="J6972" s="343"/>
      <c r="K6972" s="343"/>
      <c r="L6972" s="343"/>
    </row>
    <row r="6973" spans="4:12" x14ac:dyDescent="0.2">
      <c r="D6973" s="341"/>
      <c r="F6973" s="343"/>
      <c r="G6973" s="343"/>
      <c r="H6973" s="343"/>
      <c r="I6973" s="343"/>
      <c r="J6973" s="343"/>
      <c r="K6973" s="343"/>
      <c r="L6973" s="343"/>
    </row>
    <row r="6974" spans="4:12" x14ac:dyDescent="0.2">
      <c r="D6974" s="341"/>
      <c r="F6974" s="343"/>
      <c r="G6974" s="343"/>
      <c r="H6974" s="343"/>
      <c r="I6974" s="343"/>
      <c r="J6974" s="343"/>
      <c r="K6974" s="343"/>
      <c r="L6974" s="343"/>
    </row>
    <row r="6975" spans="4:12" x14ac:dyDescent="0.2">
      <c r="D6975" s="341"/>
      <c r="F6975" s="343"/>
      <c r="G6975" s="343"/>
      <c r="H6975" s="343"/>
      <c r="I6975" s="343"/>
      <c r="J6975" s="343"/>
      <c r="K6975" s="343"/>
      <c r="L6975" s="343"/>
    </row>
    <row r="6976" spans="4:12" x14ac:dyDescent="0.2">
      <c r="D6976" s="341"/>
      <c r="F6976" s="343"/>
      <c r="G6976" s="343"/>
      <c r="H6976" s="343"/>
      <c r="I6976" s="343"/>
      <c r="J6976" s="343"/>
      <c r="K6976" s="343"/>
      <c r="L6976" s="343"/>
    </row>
    <row r="6977" spans="4:12" x14ac:dyDescent="0.2">
      <c r="D6977" s="341"/>
      <c r="F6977" s="343"/>
      <c r="G6977" s="343"/>
      <c r="H6977" s="343"/>
      <c r="I6977" s="343"/>
      <c r="J6977" s="343"/>
      <c r="K6977" s="343"/>
      <c r="L6977" s="343"/>
    </row>
    <row r="6978" spans="4:12" x14ac:dyDescent="0.2">
      <c r="D6978" s="341"/>
      <c r="F6978" s="343"/>
      <c r="G6978" s="343"/>
      <c r="H6978" s="343"/>
      <c r="I6978" s="343"/>
      <c r="J6978" s="343"/>
      <c r="K6978" s="343"/>
      <c r="L6978" s="343"/>
    </row>
    <row r="6979" spans="4:12" x14ac:dyDescent="0.2">
      <c r="D6979" s="341"/>
      <c r="F6979" s="343"/>
      <c r="G6979" s="343"/>
      <c r="H6979" s="343"/>
      <c r="I6979" s="343"/>
      <c r="J6979" s="343"/>
      <c r="K6979" s="343"/>
      <c r="L6979" s="343"/>
    </row>
    <row r="6980" spans="4:12" x14ac:dyDescent="0.2">
      <c r="D6980" s="341"/>
      <c r="F6980" s="343"/>
      <c r="G6980" s="343"/>
      <c r="H6980" s="343"/>
      <c r="I6980" s="343"/>
      <c r="J6980" s="343"/>
      <c r="K6980" s="343"/>
      <c r="L6980" s="343"/>
    </row>
    <row r="6981" spans="4:12" x14ac:dyDescent="0.2">
      <c r="D6981" s="341"/>
      <c r="F6981" s="343"/>
      <c r="G6981" s="343"/>
      <c r="H6981" s="343"/>
      <c r="I6981" s="343"/>
      <c r="J6981" s="343"/>
      <c r="K6981" s="343"/>
      <c r="L6981" s="343"/>
    </row>
    <row r="6982" spans="4:12" x14ac:dyDescent="0.2">
      <c r="D6982" s="341"/>
      <c r="F6982" s="343"/>
      <c r="G6982" s="343"/>
      <c r="H6982" s="343"/>
      <c r="I6982" s="343"/>
      <c r="J6982" s="343"/>
      <c r="K6982" s="343"/>
      <c r="L6982" s="343"/>
    </row>
    <row r="6983" spans="4:12" x14ac:dyDescent="0.2">
      <c r="D6983" s="341"/>
      <c r="F6983" s="343"/>
      <c r="G6983" s="343"/>
      <c r="H6983" s="343"/>
      <c r="I6983" s="343"/>
      <c r="J6983" s="343"/>
      <c r="K6983" s="343"/>
      <c r="L6983" s="343"/>
    </row>
    <row r="6984" spans="4:12" x14ac:dyDescent="0.2">
      <c r="D6984" s="341"/>
      <c r="F6984" s="343"/>
      <c r="G6984" s="343"/>
      <c r="H6984" s="343"/>
      <c r="I6984" s="343"/>
      <c r="J6984" s="343"/>
      <c r="K6984" s="343"/>
      <c r="L6984" s="343"/>
    </row>
    <row r="6985" spans="4:12" x14ac:dyDescent="0.2">
      <c r="D6985" s="341"/>
      <c r="F6985" s="343"/>
      <c r="G6985" s="343"/>
      <c r="H6985" s="343"/>
      <c r="I6985" s="343"/>
      <c r="J6985" s="343"/>
      <c r="K6985" s="343"/>
      <c r="L6985" s="343"/>
    </row>
    <row r="6986" spans="4:12" x14ac:dyDescent="0.2">
      <c r="D6986" s="341"/>
      <c r="F6986" s="343"/>
      <c r="G6986" s="343"/>
      <c r="H6986" s="343"/>
      <c r="I6986" s="343"/>
      <c r="J6986" s="343"/>
      <c r="K6986" s="343"/>
      <c r="L6986" s="343"/>
    </row>
    <row r="6987" spans="4:12" x14ac:dyDescent="0.2">
      <c r="D6987" s="341"/>
      <c r="F6987" s="343"/>
      <c r="G6987" s="343"/>
      <c r="H6987" s="343"/>
      <c r="I6987" s="343"/>
      <c r="J6987" s="343"/>
      <c r="K6987" s="343"/>
      <c r="L6987" s="343"/>
    </row>
    <row r="6988" spans="4:12" x14ac:dyDescent="0.2">
      <c r="D6988" s="341"/>
      <c r="F6988" s="343"/>
      <c r="G6988" s="343"/>
      <c r="H6988" s="343"/>
      <c r="I6988" s="343"/>
      <c r="J6988" s="343"/>
      <c r="K6988" s="343"/>
      <c r="L6988" s="343"/>
    </row>
    <row r="6989" spans="4:12" x14ac:dyDescent="0.2">
      <c r="D6989" s="341"/>
      <c r="F6989" s="343"/>
      <c r="G6989" s="343"/>
      <c r="H6989" s="343"/>
      <c r="I6989" s="343"/>
      <c r="J6989" s="343"/>
      <c r="K6989" s="343"/>
      <c r="L6989" s="343"/>
    </row>
    <row r="6990" spans="4:12" x14ac:dyDescent="0.2">
      <c r="D6990" s="341"/>
      <c r="F6990" s="343"/>
      <c r="G6990" s="343"/>
      <c r="H6990" s="343"/>
      <c r="I6990" s="343"/>
      <c r="J6990" s="343"/>
      <c r="K6990" s="343"/>
      <c r="L6990" s="343"/>
    </row>
    <row r="6991" spans="4:12" x14ac:dyDescent="0.2">
      <c r="D6991" s="341"/>
      <c r="F6991" s="343"/>
      <c r="G6991" s="343"/>
      <c r="H6991" s="343"/>
      <c r="I6991" s="343"/>
      <c r="J6991" s="343"/>
      <c r="K6991" s="343"/>
      <c r="L6991" s="343"/>
    </row>
    <row r="6992" spans="4:12" x14ac:dyDescent="0.2">
      <c r="D6992" s="341"/>
      <c r="F6992" s="343"/>
      <c r="G6992" s="343"/>
      <c r="H6992" s="343"/>
      <c r="I6992" s="343"/>
      <c r="J6992" s="343"/>
      <c r="K6992" s="343"/>
      <c r="L6992" s="343"/>
    </row>
    <row r="6993" spans="4:12" x14ac:dyDescent="0.2">
      <c r="D6993" s="341"/>
      <c r="F6993" s="343"/>
      <c r="G6993" s="343"/>
      <c r="H6993" s="343"/>
      <c r="I6993" s="343"/>
      <c r="J6993" s="343"/>
      <c r="K6993" s="343"/>
      <c r="L6993" s="343"/>
    </row>
    <row r="6994" spans="4:12" x14ac:dyDescent="0.2">
      <c r="D6994" s="341"/>
      <c r="F6994" s="343"/>
      <c r="G6994" s="343"/>
      <c r="H6994" s="343"/>
      <c r="I6994" s="343"/>
      <c r="J6994" s="343"/>
      <c r="K6994" s="343"/>
      <c r="L6994" s="343"/>
    </row>
    <row r="6995" spans="4:12" x14ac:dyDescent="0.2">
      <c r="D6995" s="341"/>
      <c r="F6995" s="343"/>
      <c r="G6995" s="343"/>
      <c r="H6995" s="343"/>
      <c r="I6995" s="343"/>
      <c r="J6995" s="343"/>
      <c r="K6995" s="343"/>
      <c r="L6995" s="343"/>
    </row>
    <row r="6996" spans="4:12" x14ac:dyDescent="0.2">
      <c r="D6996" s="341"/>
      <c r="F6996" s="343"/>
      <c r="G6996" s="343"/>
      <c r="H6996" s="343"/>
      <c r="I6996" s="343"/>
      <c r="J6996" s="343"/>
      <c r="K6996" s="343"/>
      <c r="L6996" s="343"/>
    </row>
    <row r="6997" spans="4:12" x14ac:dyDescent="0.2">
      <c r="D6997" s="341"/>
      <c r="F6997" s="343"/>
      <c r="G6997" s="343"/>
      <c r="H6997" s="343"/>
      <c r="I6997" s="343"/>
      <c r="J6997" s="343"/>
      <c r="K6997" s="343"/>
      <c r="L6997" s="343"/>
    </row>
    <row r="6998" spans="4:12" x14ac:dyDescent="0.2">
      <c r="D6998" s="341"/>
      <c r="F6998" s="343"/>
      <c r="G6998" s="343"/>
      <c r="H6998" s="343"/>
      <c r="I6998" s="343"/>
      <c r="J6998" s="343"/>
      <c r="K6998" s="343"/>
      <c r="L6998" s="343"/>
    </row>
    <row r="6999" spans="4:12" x14ac:dyDescent="0.2">
      <c r="D6999" s="341"/>
      <c r="F6999" s="343"/>
      <c r="G6999" s="343"/>
      <c r="H6999" s="343"/>
      <c r="I6999" s="343"/>
      <c r="J6999" s="343"/>
      <c r="K6999" s="343"/>
      <c r="L6999" s="343"/>
    </row>
    <row r="7000" spans="4:12" x14ac:dyDescent="0.2">
      <c r="D7000" s="341"/>
      <c r="F7000" s="343"/>
      <c r="G7000" s="343"/>
      <c r="H7000" s="343"/>
      <c r="I7000" s="343"/>
      <c r="J7000" s="343"/>
      <c r="K7000" s="343"/>
      <c r="L7000" s="343"/>
    </row>
    <row r="7001" spans="4:12" x14ac:dyDescent="0.2">
      <c r="D7001" s="341"/>
      <c r="F7001" s="343"/>
      <c r="G7001" s="343"/>
      <c r="H7001" s="343"/>
      <c r="I7001" s="343"/>
      <c r="J7001" s="343"/>
      <c r="K7001" s="343"/>
      <c r="L7001" s="343"/>
    </row>
    <row r="7002" spans="4:12" x14ac:dyDescent="0.2">
      <c r="D7002" s="341"/>
      <c r="F7002" s="343"/>
      <c r="G7002" s="343"/>
      <c r="H7002" s="343"/>
      <c r="I7002" s="343"/>
      <c r="J7002" s="343"/>
      <c r="K7002" s="343"/>
      <c r="L7002" s="343"/>
    </row>
    <row r="7003" spans="4:12" x14ac:dyDescent="0.2">
      <c r="D7003" s="341"/>
      <c r="F7003" s="343"/>
      <c r="G7003" s="343"/>
      <c r="H7003" s="343"/>
      <c r="I7003" s="343"/>
      <c r="J7003" s="343"/>
      <c r="K7003" s="343"/>
      <c r="L7003" s="343"/>
    </row>
    <row r="7004" spans="4:12" x14ac:dyDescent="0.2">
      <c r="D7004" s="341"/>
      <c r="F7004" s="343"/>
      <c r="G7004" s="343"/>
      <c r="H7004" s="343"/>
      <c r="I7004" s="343"/>
      <c r="J7004" s="343"/>
      <c r="K7004" s="343"/>
      <c r="L7004" s="343"/>
    </row>
    <row r="7005" spans="4:12" x14ac:dyDescent="0.2">
      <c r="D7005" s="341"/>
      <c r="F7005" s="343"/>
      <c r="G7005" s="343"/>
      <c r="H7005" s="343"/>
      <c r="I7005" s="343"/>
      <c r="J7005" s="343"/>
      <c r="K7005" s="343"/>
      <c r="L7005" s="343"/>
    </row>
    <row r="7006" spans="4:12" x14ac:dyDescent="0.2">
      <c r="D7006" s="341"/>
      <c r="F7006" s="343"/>
      <c r="G7006" s="343"/>
      <c r="H7006" s="343"/>
      <c r="I7006" s="343"/>
      <c r="J7006" s="343"/>
      <c r="K7006" s="343"/>
      <c r="L7006" s="343"/>
    </row>
    <row r="7007" spans="4:12" x14ac:dyDescent="0.2">
      <c r="D7007" s="341"/>
      <c r="F7007" s="343"/>
      <c r="G7007" s="343"/>
      <c r="H7007" s="343"/>
      <c r="I7007" s="343"/>
      <c r="J7007" s="343"/>
      <c r="K7007" s="343"/>
      <c r="L7007" s="343"/>
    </row>
    <row r="7008" spans="4:12" x14ac:dyDescent="0.2">
      <c r="D7008" s="341"/>
      <c r="F7008" s="343"/>
      <c r="G7008" s="343"/>
      <c r="H7008" s="343"/>
      <c r="I7008" s="343"/>
      <c r="J7008" s="343"/>
      <c r="K7008" s="343"/>
      <c r="L7008" s="343"/>
    </row>
    <row r="7009" spans="4:12" x14ac:dyDescent="0.2">
      <c r="D7009" s="341"/>
      <c r="F7009" s="343"/>
      <c r="G7009" s="343"/>
      <c r="H7009" s="343"/>
      <c r="I7009" s="343"/>
      <c r="J7009" s="343"/>
      <c r="K7009" s="343"/>
      <c r="L7009" s="343"/>
    </row>
    <row r="7010" spans="4:12" x14ac:dyDescent="0.2">
      <c r="D7010" s="341"/>
      <c r="F7010" s="343"/>
      <c r="G7010" s="343"/>
      <c r="H7010" s="343"/>
      <c r="I7010" s="343"/>
      <c r="J7010" s="343"/>
      <c r="K7010" s="343"/>
      <c r="L7010" s="343"/>
    </row>
    <row r="7011" spans="4:12" x14ac:dyDescent="0.2">
      <c r="D7011" s="341"/>
      <c r="F7011" s="343"/>
      <c r="G7011" s="343"/>
      <c r="H7011" s="343"/>
      <c r="I7011" s="343"/>
      <c r="J7011" s="343"/>
      <c r="K7011" s="343"/>
      <c r="L7011" s="343"/>
    </row>
    <row r="7012" spans="4:12" x14ac:dyDescent="0.2">
      <c r="D7012" s="341"/>
      <c r="F7012" s="343"/>
      <c r="G7012" s="343"/>
      <c r="H7012" s="343"/>
      <c r="I7012" s="343"/>
      <c r="J7012" s="343"/>
      <c r="K7012" s="343"/>
      <c r="L7012" s="343"/>
    </row>
    <row r="7013" spans="4:12" x14ac:dyDescent="0.2">
      <c r="D7013" s="341"/>
      <c r="F7013" s="343"/>
      <c r="G7013" s="343"/>
      <c r="H7013" s="343"/>
      <c r="I7013" s="343"/>
      <c r="J7013" s="343"/>
      <c r="K7013" s="343"/>
      <c r="L7013" s="343"/>
    </row>
    <row r="7014" spans="4:12" x14ac:dyDescent="0.2">
      <c r="D7014" s="341"/>
      <c r="F7014" s="343"/>
      <c r="G7014" s="343"/>
      <c r="H7014" s="343"/>
      <c r="I7014" s="343"/>
      <c r="J7014" s="343"/>
      <c r="K7014" s="343"/>
      <c r="L7014" s="343"/>
    </row>
    <row r="7015" spans="4:12" x14ac:dyDescent="0.2">
      <c r="D7015" s="341"/>
      <c r="F7015" s="343"/>
      <c r="G7015" s="343"/>
      <c r="H7015" s="343"/>
      <c r="I7015" s="343"/>
      <c r="J7015" s="343"/>
      <c r="K7015" s="343"/>
      <c r="L7015" s="343"/>
    </row>
    <row r="7016" spans="4:12" x14ac:dyDescent="0.2">
      <c r="D7016" s="341"/>
      <c r="F7016" s="343"/>
      <c r="G7016" s="343"/>
      <c r="H7016" s="343"/>
      <c r="I7016" s="343"/>
      <c r="J7016" s="343"/>
      <c r="K7016" s="343"/>
      <c r="L7016" s="343"/>
    </row>
    <row r="7017" spans="4:12" x14ac:dyDescent="0.2">
      <c r="D7017" s="341"/>
      <c r="F7017" s="343"/>
      <c r="G7017" s="343"/>
      <c r="H7017" s="343"/>
      <c r="I7017" s="343"/>
      <c r="J7017" s="343"/>
      <c r="K7017" s="343"/>
      <c r="L7017" s="343"/>
    </row>
    <row r="7018" spans="4:12" x14ac:dyDescent="0.2">
      <c r="D7018" s="341"/>
      <c r="F7018" s="343"/>
      <c r="G7018" s="343"/>
      <c r="H7018" s="343"/>
      <c r="I7018" s="343"/>
      <c r="J7018" s="343"/>
      <c r="K7018" s="343"/>
      <c r="L7018" s="343"/>
    </row>
    <row r="7019" spans="4:12" x14ac:dyDescent="0.2">
      <c r="D7019" s="341"/>
      <c r="F7019" s="343"/>
      <c r="G7019" s="343"/>
      <c r="H7019" s="343"/>
      <c r="I7019" s="343"/>
      <c r="J7019" s="343"/>
      <c r="K7019" s="343"/>
      <c r="L7019" s="343"/>
    </row>
    <row r="7020" spans="4:12" x14ac:dyDescent="0.2">
      <c r="D7020" s="341"/>
      <c r="F7020" s="343"/>
      <c r="G7020" s="343"/>
      <c r="H7020" s="343"/>
      <c r="I7020" s="343"/>
      <c r="J7020" s="343"/>
      <c r="K7020" s="343"/>
      <c r="L7020" s="343"/>
    </row>
    <row r="7021" spans="4:12" x14ac:dyDescent="0.2">
      <c r="D7021" s="341"/>
      <c r="F7021" s="343"/>
      <c r="G7021" s="343"/>
      <c r="H7021" s="343"/>
      <c r="I7021" s="343"/>
      <c r="J7021" s="343"/>
      <c r="K7021" s="343"/>
      <c r="L7021" s="343"/>
    </row>
    <row r="7022" spans="4:12" x14ac:dyDescent="0.2">
      <c r="D7022" s="341"/>
      <c r="F7022" s="343"/>
      <c r="G7022" s="343"/>
      <c r="H7022" s="343"/>
      <c r="I7022" s="343"/>
      <c r="J7022" s="343"/>
      <c r="K7022" s="343"/>
      <c r="L7022" s="343"/>
    </row>
    <row r="7023" spans="4:12" x14ac:dyDescent="0.2">
      <c r="D7023" s="341"/>
      <c r="F7023" s="343"/>
      <c r="G7023" s="343"/>
      <c r="H7023" s="343"/>
      <c r="I7023" s="343"/>
      <c r="J7023" s="343"/>
      <c r="K7023" s="343"/>
      <c r="L7023" s="343"/>
    </row>
    <row r="7024" spans="4:12" x14ac:dyDescent="0.2">
      <c r="D7024" s="341"/>
      <c r="F7024" s="343"/>
      <c r="G7024" s="343"/>
      <c r="H7024" s="343"/>
      <c r="I7024" s="343"/>
      <c r="J7024" s="343"/>
      <c r="K7024" s="343"/>
      <c r="L7024" s="343"/>
    </row>
    <row r="7025" spans="4:12" x14ac:dyDescent="0.2">
      <c r="D7025" s="341"/>
      <c r="F7025" s="343"/>
      <c r="G7025" s="343"/>
      <c r="H7025" s="343"/>
      <c r="I7025" s="343"/>
      <c r="J7025" s="343"/>
      <c r="K7025" s="343"/>
      <c r="L7025" s="343"/>
    </row>
    <row r="7026" spans="4:12" x14ac:dyDescent="0.2">
      <c r="D7026" s="341"/>
      <c r="F7026" s="343"/>
      <c r="G7026" s="343"/>
      <c r="H7026" s="343"/>
      <c r="I7026" s="343"/>
      <c r="J7026" s="343"/>
      <c r="K7026" s="343"/>
      <c r="L7026" s="343"/>
    </row>
    <row r="7027" spans="4:12" x14ac:dyDescent="0.2">
      <c r="D7027" s="341"/>
      <c r="F7027" s="343"/>
      <c r="G7027" s="343"/>
      <c r="H7027" s="343"/>
      <c r="I7027" s="343"/>
      <c r="J7027" s="343"/>
      <c r="K7027" s="343"/>
      <c r="L7027" s="343"/>
    </row>
    <row r="7028" spans="4:12" x14ac:dyDescent="0.2">
      <c r="D7028" s="341"/>
      <c r="F7028" s="343"/>
      <c r="G7028" s="343"/>
      <c r="H7028" s="343"/>
      <c r="I7028" s="343"/>
      <c r="J7028" s="343"/>
      <c r="K7028" s="343"/>
      <c r="L7028" s="343"/>
    </row>
    <row r="7029" spans="4:12" x14ac:dyDescent="0.2">
      <c r="D7029" s="341"/>
      <c r="F7029" s="343"/>
      <c r="G7029" s="343"/>
      <c r="H7029" s="343"/>
      <c r="I7029" s="343"/>
      <c r="J7029" s="343"/>
      <c r="K7029" s="343"/>
      <c r="L7029" s="343"/>
    </row>
    <row r="7030" spans="4:12" x14ac:dyDescent="0.2">
      <c r="D7030" s="341"/>
      <c r="F7030" s="343"/>
      <c r="G7030" s="343"/>
      <c r="H7030" s="343"/>
      <c r="I7030" s="343"/>
      <c r="J7030" s="343"/>
      <c r="K7030" s="343"/>
      <c r="L7030" s="343"/>
    </row>
    <row r="7031" spans="4:12" x14ac:dyDescent="0.2">
      <c r="D7031" s="341"/>
      <c r="F7031" s="343"/>
      <c r="G7031" s="343"/>
      <c r="H7031" s="343"/>
      <c r="I7031" s="343"/>
      <c r="J7031" s="343"/>
      <c r="K7031" s="343"/>
      <c r="L7031" s="343"/>
    </row>
    <row r="7032" spans="4:12" x14ac:dyDescent="0.2">
      <c r="D7032" s="341"/>
      <c r="F7032" s="343"/>
      <c r="G7032" s="343"/>
      <c r="H7032" s="343"/>
      <c r="I7032" s="343"/>
      <c r="J7032" s="343"/>
      <c r="K7032" s="343"/>
      <c r="L7032" s="343"/>
    </row>
    <row r="7033" spans="4:12" x14ac:dyDescent="0.2">
      <c r="D7033" s="341"/>
      <c r="F7033" s="343"/>
      <c r="G7033" s="343"/>
      <c r="H7033" s="343"/>
      <c r="I7033" s="343"/>
      <c r="J7033" s="343"/>
      <c r="K7033" s="343"/>
      <c r="L7033" s="343"/>
    </row>
    <row r="7034" spans="4:12" x14ac:dyDescent="0.2">
      <c r="D7034" s="341"/>
      <c r="F7034" s="343"/>
      <c r="G7034" s="343"/>
      <c r="H7034" s="343"/>
      <c r="I7034" s="343"/>
      <c r="J7034" s="343"/>
      <c r="K7034" s="343"/>
      <c r="L7034" s="343"/>
    </row>
    <row r="7035" spans="4:12" x14ac:dyDescent="0.2">
      <c r="D7035" s="341"/>
      <c r="F7035" s="343"/>
      <c r="G7035" s="343"/>
      <c r="H7035" s="343"/>
      <c r="I7035" s="343"/>
      <c r="J7035" s="343"/>
      <c r="K7035" s="343"/>
      <c r="L7035" s="343"/>
    </row>
    <row r="7036" spans="4:12" x14ac:dyDescent="0.2">
      <c r="D7036" s="341"/>
      <c r="F7036" s="343"/>
      <c r="G7036" s="343"/>
      <c r="H7036" s="343"/>
      <c r="I7036" s="343"/>
      <c r="J7036" s="343"/>
      <c r="K7036" s="343"/>
      <c r="L7036" s="343"/>
    </row>
    <row r="7037" spans="4:12" x14ac:dyDescent="0.2">
      <c r="D7037" s="341"/>
      <c r="F7037" s="343"/>
      <c r="G7037" s="343"/>
      <c r="H7037" s="343"/>
      <c r="I7037" s="343"/>
      <c r="J7037" s="343"/>
      <c r="K7037" s="343"/>
      <c r="L7037" s="343"/>
    </row>
    <row r="7038" spans="4:12" x14ac:dyDescent="0.2">
      <c r="D7038" s="341"/>
      <c r="F7038" s="343"/>
      <c r="G7038" s="343"/>
      <c r="H7038" s="343"/>
      <c r="I7038" s="343"/>
      <c r="J7038" s="343"/>
      <c r="K7038" s="343"/>
      <c r="L7038" s="343"/>
    </row>
    <row r="7039" spans="4:12" x14ac:dyDescent="0.2">
      <c r="D7039" s="341"/>
      <c r="F7039" s="343"/>
      <c r="G7039" s="343"/>
      <c r="H7039" s="343"/>
      <c r="I7039" s="343"/>
      <c r="J7039" s="343"/>
      <c r="K7039" s="343"/>
      <c r="L7039" s="343"/>
    </row>
    <row r="7040" spans="4:12" x14ac:dyDescent="0.2">
      <c r="D7040" s="341"/>
      <c r="F7040" s="343"/>
      <c r="G7040" s="343"/>
      <c r="H7040" s="343"/>
      <c r="I7040" s="343"/>
      <c r="J7040" s="343"/>
      <c r="K7040" s="343"/>
      <c r="L7040" s="343"/>
    </row>
    <row r="7041" spans="4:12" x14ac:dyDescent="0.2">
      <c r="D7041" s="341"/>
      <c r="F7041" s="343"/>
      <c r="G7041" s="343"/>
      <c r="H7041" s="343"/>
      <c r="I7041" s="343"/>
      <c r="J7041" s="343"/>
      <c r="K7041" s="343"/>
      <c r="L7041" s="343"/>
    </row>
    <row r="7042" spans="4:12" x14ac:dyDescent="0.2">
      <c r="D7042" s="341"/>
      <c r="F7042" s="343"/>
      <c r="G7042" s="343"/>
      <c r="H7042" s="343"/>
      <c r="I7042" s="343"/>
      <c r="J7042" s="343"/>
      <c r="K7042" s="343"/>
      <c r="L7042" s="343"/>
    </row>
    <row r="7043" spans="4:12" x14ac:dyDescent="0.2">
      <c r="D7043" s="341"/>
      <c r="F7043" s="343"/>
      <c r="G7043" s="343"/>
      <c r="H7043" s="343"/>
      <c r="I7043" s="343"/>
      <c r="J7043" s="343"/>
      <c r="K7043" s="343"/>
      <c r="L7043" s="343"/>
    </row>
    <row r="7044" spans="4:12" x14ac:dyDescent="0.2">
      <c r="D7044" s="341"/>
      <c r="F7044" s="343"/>
      <c r="G7044" s="343"/>
      <c r="H7044" s="343"/>
      <c r="I7044" s="343"/>
      <c r="J7044" s="343"/>
      <c r="K7044" s="343"/>
      <c r="L7044" s="343"/>
    </row>
    <row r="7045" spans="4:12" x14ac:dyDescent="0.2">
      <c r="D7045" s="341"/>
      <c r="F7045" s="343"/>
      <c r="G7045" s="343"/>
      <c r="H7045" s="343"/>
      <c r="I7045" s="343"/>
      <c r="J7045" s="343"/>
      <c r="K7045" s="343"/>
      <c r="L7045" s="343"/>
    </row>
    <row r="7046" spans="4:12" x14ac:dyDescent="0.2">
      <c r="D7046" s="341"/>
      <c r="F7046" s="343"/>
      <c r="G7046" s="343"/>
      <c r="H7046" s="343"/>
      <c r="I7046" s="343"/>
      <c r="J7046" s="343"/>
      <c r="K7046" s="343"/>
      <c r="L7046" s="343"/>
    </row>
    <row r="7047" spans="4:12" x14ac:dyDescent="0.2">
      <c r="D7047" s="341"/>
      <c r="F7047" s="343"/>
      <c r="G7047" s="343"/>
      <c r="H7047" s="343"/>
      <c r="I7047" s="343"/>
      <c r="J7047" s="343"/>
      <c r="K7047" s="343"/>
      <c r="L7047" s="343"/>
    </row>
    <row r="7048" spans="4:12" x14ac:dyDescent="0.2">
      <c r="D7048" s="341"/>
      <c r="F7048" s="343"/>
      <c r="G7048" s="343"/>
      <c r="H7048" s="343"/>
      <c r="I7048" s="343"/>
      <c r="J7048" s="343"/>
      <c r="K7048" s="343"/>
      <c r="L7048" s="343"/>
    </row>
    <row r="7049" spans="4:12" x14ac:dyDescent="0.2">
      <c r="D7049" s="341"/>
      <c r="F7049" s="343"/>
      <c r="G7049" s="343"/>
      <c r="H7049" s="343"/>
      <c r="I7049" s="343"/>
      <c r="J7049" s="343"/>
      <c r="K7049" s="343"/>
      <c r="L7049" s="343"/>
    </row>
    <row r="7050" spans="4:12" x14ac:dyDescent="0.2">
      <c r="D7050" s="341"/>
      <c r="F7050" s="343"/>
      <c r="G7050" s="343"/>
      <c r="H7050" s="343"/>
      <c r="I7050" s="343"/>
      <c r="J7050" s="343"/>
      <c r="K7050" s="343"/>
      <c r="L7050" s="343"/>
    </row>
    <row r="7051" spans="4:12" x14ac:dyDescent="0.2">
      <c r="D7051" s="341"/>
      <c r="F7051" s="343"/>
      <c r="G7051" s="343"/>
      <c r="H7051" s="343"/>
      <c r="I7051" s="343"/>
      <c r="J7051" s="343"/>
      <c r="K7051" s="343"/>
      <c r="L7051" s="343"/>
    </row>
    <row r="7052" spans="4:12" x14ac:dyDescent="0.2">
      <c r="D7052" s="341"/>
      <c r="F7052" s="343"/>
      <c r="G7052" s="343"/>
      <c r="H7052" s="343"/>
      <c r="I7052" s="343"/>
      <c r="J7052" s="343"/>
      <c r="K7052" s="343"/>
      <c r="L7052" s="343"/>
    </row>
    <row r="7053" spans="4:12" x14ac:dyDescent="0.2">
      <c r="D7053" s="341"/>
      <c r="F7053" s="343"/>
      <c r="G7053" s="343"/>
      <c r="H7053" s="343"/>
      <c r="I7053" s="343"/>
      <c r="J7053" s="343"/>
      <c r="K7053" s="343"/>
      <c r="L7053" s="343"/>
    </row>
    <row r="7054" spans="4:12" x14ac:dyDescent="0.2">
      <c r="D7054" s="341"/>
      <c r="F7054" s="343"/>
      <c r="G7054" s="343"/>
      <c r="H7054" s="343"/>
      <c r="I7054" s="343"/>
      <c r="J7054" s="343"/>
      <c r="K7054" s="343"/>
      <c r="L7054" s="343"/>
    </row>
    <row r="7055" spans="4:12" x14ac:dyDescent="0.2">
      <c r="D7055" s="341"/>
      <c r="F7055" s="343"/>
      <c r="G7055" s="343"/>
      <c r="H7055" s="343"/>
      <c r="I7055" s="343"/>
      <c r="J7055" s="343"/>
      <c r="K7055" s="343"/>
      <c r="L7055" s="343"/>
    </row>
    <row r="7056" spans="4:12" x14ac:dyDescent="0.2">
      <c r="D7056" s="341"/>
      <c r="F7056" s="343"/>
      <c r="G7056" s="343"/>
      <c r="H7056" s="343"/>
      <c r="I7056" s="343"/>
      <c r="J7056" s="343"/>
      <c r="K7056" s="343"/>
      <c r="L7056" s="343"/>
    </row>
    <row r="7057" spans="4:12" x14ac:dyDescent="0.2">
      <c r="D7057" s="341"/>
      <c r="F7057" s="343"/>
      <c r="G7057" s="343"/>
      <c r="H7057" s="343"/>
      <c r="I7057" s="343"/>
      <c r="J7057" s="343"/>
      <c r="K7057" s="343"/>
      <c r="L7057" s="343"/>
    </row>
    <row r="7058" spans="4:12" x14ac:dyDescent="0.2">
      <c r="D7058" s="341"/>
      <c r="F7058" s="343"/>
      <c r="G7058" s="343"/>
      <c r="H7058" s="343"/>
      <c r="I7058" s="343"/>
      <c r="J7058" s="343"/>
      <c r="K7058" s="343"/>
      <c r="L7058" s="343"/>
    </row>
    <row r="7059" spans="4:12" x14ac:dyDescent="0.2">
      <c r="D7059" s="341"/>
      <c r="F7059" s="343"/>
      <c r="G7059" s="343"/>
      <c r="H7059" s="343"/>
      <c r="I7059" s="343"/>
      <c r="J7059" s="343"/>
      <c r="K7059" s="343"/>
      <c r="L7059" s="343"/>
    </row>
    <row r="7060" spans="4:12" x14ac:dyDescent="0.2">
      <c r="D7060" s="341"/>
      <c r="F7060" s="343"/>
      <c r="G7060" s="343"/>
      <c r="H7060" s="343"/>
      <c r="I7060" s="343"/>
      <c r="J7060" s="343"/>
      <c r="K7060" s="343"/>
      <c r="L7060" s="343"/>
    </row>
    <row r="7061" spans="4:12" x14ac:dyDescent="0.2">
      <c r="D7061" s="341"/>
      <c r="F7061" s="343"/>
      <c r="G7061" s="343"/>
      <c r="H7061" s="343"/>
      <c r="I7061" s="343"/>
      <c r="J7061" s="343"/>
      <c r="K7061" s="343"/>
      <c r="L7061" s="343"/>
    </row>
    <row r="7062" spans="4:12" x14ac:dyDescent="0.2">
      <c r="D7062" s="341"/>
      <c r="F7062" s="343"/>
      <c r="G7062" s="343"/>
      <c r="H7062" s="343"/>
      <c r="I7062" s="343"/>
      <c r="J7062" s="343"/>
      <c r="K7062" s="343"/>
      <c r="L7062" s="343"/>
    </row>
    <row r="7063" spans="4:12" x14ac:dyDescent="0.2">
      <c r="D7063" s="341"/>
      <c r="F7063" s="343"/>
      <c r="G7063" s="343"/>
      <c r="H7063" s="343"/>
      <c r="I7063" s="343"/>
      <c r="J7063" s="343"/>
      <c r="K7063" s="343"/>
      <c r="L7063" s="343"/>
    </row>
    <row r="7064" spans="4:12" x14ac:dyDescent="0.2">
      <c r="D7064" s="341"/>
      <c r="F7064" s="343"/>
      <c r="G7064" s="343"/>
      <c r="H7064" s="343"/>
      <c r="I7064" s="343"/>
      <c r="J7064" s="343"/>
      <c r="K7064" s="343"/>
      <c r="L7064" s="343"/>
    </row>
    <row r="7065" spans="4:12" x14ac:dyDescent="0.2">
      <c r="D7065" s="341"/>
      <c r="F7065" s="343"/>
      <c r="G7065" s="343"/>
      <c r="H7065" s="343"/>
      <c r="I7065" s="343"/>
      <c r="J7065" s="343"/>
      <c r="K7065" s="343"/>
      <c r="L7065" s="343"/>
    </row>
    <row r="7066" spans="4:12" x14ac:dyDescent="0.2">
      <c r="D7066" s="341"/>
      <c r="F7066" s="343"/>
      <c r="G7066" s="343"/>
      <c r="H7066" s="343"/>
      <c r="I7066" s="343"/>
      <c r="J7066" s="343"/>
      <c r="K7066" s="343"/>
      <c r="L7066" s="343"/>
    </row>
    <row r="7067" spans="4:12" x14ac:dyDescent="0.2">
      <c r="D7067" s="341"/>
      <c r="F7067" s="343"/>
      <c r="G7067" s="343"/>
      <c r="H7067" s="343"/>
      <c r="I7067" s="343"/>
      <c r="J7067" s="343"/>
      <c r="K7067" s="343"/>
      <c r="L7067" s="343"/>
    </row>
    <row r="7068" spans="4:12" x14ac:dyDescent="0.2">
      <c r="D7068" s="341"/>
      <c r="F7068" s="343"/>
      <c r="G7068" s="343"/>
      <c r="H7068" s="343"/>
      <c r="I7068" s="343"/>
      <c r="J7068" s="343"/>
      <c r="K7068" s="343"/>
      <c r="L7068" s="343"/>
    </row>
    <row r="7069" spans="4:12" x14ac:dyDescent="0.2">
      <c r="D7069" s="341"/>
      <c r="F7069" s="343"/>
      <c r="G7069" s="343"/>
      <c r="H7069" s="343"/>
      <c r="I7069" s="343"/>
      <c r="J7069" s="343"/>
      <c r="K7069" s="343"/>
      <c r="L7069" s="343"/>
    </row>
    <row r="7070" spans="4:12" x14ac:dyDescent="0.2">
      <c r="D7070" s="341"/>
      <c r="F7070" s="343"/>
      <c r="G7070" s="343"/>
      <c r="H7070" s="343"/>
      <c r="I7070" s="343"/>
      <c r="J7070" s="343"/>
      <c r="K7070" s="343"/>
      <c r="L7070" s="343"/>
    </row>
    <row r="7071" spans="4:12" x14ac:dyDescent="0.2">
      <c r="D7071" s="341"/>
      <c r="F7071" s="343"/>
      <c r="G7071" s="343"/>
      <c r="H7071" s="343"/>
      <c r="I7071" s="343"/>
      <c r="J7071" s="343"/>
      <c r="K7071" s="343"/>
      <c r="L7071" s="343"/>
    </row>
    <row r="7072" spans="4:12" x14ac:dyDescent="0.2">
      <c r="D7072" s="341"/>
      <c r="F7072" s="343"/>
      <c r="G7072" s="343"/>
      <c r="H7072" s="343"/>
      <c r="I7072" s="343"/>
      <c r="J7072" s="343"/>
      <c r="K7072" s="343"/>
      <c r="L7072" s="343"/>
    </row>
    <row r="7073" spans="4:12" x14ac:dyDescent="0.2">
      <c r="D7073" s="341"/>
      <c r="F7073" s="343"/>
      <c r="G7073" s="343"/>
      <c r="H7073" s="343"/>
      <c r="I7073" s="343"/>
      <c r="J7073" s="343"/>
      <c r="K7073" s="343"/>
      <c r="L7073" s="343"/>
    </row>
    <row r="7074" spans="4:12" x14ac:dyDescent="0.2">
      <c r="D7074" s="341"/>
      <c r="F7074" s="343"/>
      <c r="G7074" s="343"/>
      <c r="H7074" s="343"/>
      <c r="I7074" s="343"/>
      <c r="J7074" s="343"/>
      <c r="K7074" s="343"/>
      <c r="L7074" s="343"/>
    </row>
    <row r="7075" spans="4:12" x14ac:dyDescent="0.2">
      <c r="D7075" s="341"/>
      <c r="F7075" s="343"/>
      <c r="G7075" s="343"/>
      <c r="H7075" s="343"/>
      <c r="I7075" s="343"/>
      <c r="J7075" s="343"/>
      <c r="K7075" s="343"/>
      <c r="L7075" s="343"/>
    </row>
    <row r="7076" spans="4:12" x14ac:dyDescent="0.2">
      <c r="D7076" s="341"/>
      <c r="F7076" s="343"/>
      <c r="G7076" s="343"/>
      <c r="H7076" s="343"/>
      <c r="I7076" s="343"/>
      <c r="J7076" s="343"/>
      <c r="K7076" s="343"/>
      <c r="L7076" s="343"/>
    </row>
    <row r="7077" spans="4:12" x14ac:dyDescent="0.2">
      <c r="D7077" s="341"/>
      <c r="F7077" s="343"/>
      <c r="G7077" s="343"/>
      <c r="H7077" s="343"/>
      <c r="I7077" s="343"/>
      <c r="J7077" s="343"/>
      <c r="K7077" s="343"/>
      <c r="L7077" s="343"/>
    </row>
    <row r="7078" spans="4:12" x14ac:dyDescent="0.2">
      <c r="D7078" s="341"/>
      <c r="F7078" s="343"/>
      <c r="G7078" s="343"/>
      <c r="H7078" s="343"/>
      <c r="I7078" s="343"/>
      <c r="J7078" s="343"/>
      <c r="K7078" s="343"/>
      <c r="L7078" s="343"/>
    </row>
    <row r="7079" spans="4:12" x14ac:dyDescent="0.2">
      <c r="D7079" s="341"/>
      <c r="F7079" s="343"/>
      <c r="G7079" s="343"/>
      <c r="H7079" s="343"/>
      <c r="I7079" s="343"/>
      <c r="J7079" s="343"/>
      <c r="K7079" s="343"/>
      <c r="L7079" s="343"/>
    </row>
    <row r="7080" spans="4:12" x14ac:dyDescent="0.2">
      <c r="D7080" s="341"/>
      <c r="F7080" s="343"/>
      <c r="G7080" s="343"/>
      <c r="H7080" s="343"/>
      <c r="I7080" s="343"/>
      <c r="J7080" s="343"/>
      <c r="K7080" s="343"/>
      <c r="L7080" s="343"/>
    </row>
    <row r="7081" spans="4:12" x14ac:dyDescent="0.2">
      <c r="D7081" s="341"/>
      <c r="F7081" s="343"/>
      <c r="G7081" s="343"/>
      <c r="H7081" s="343"/>
      <c r="I7081" s="343"/>
      <c r="J7081" s="343"/>
      <c r="K7081" s="343"/>
      <c r="L7081" s="343"/>
    </row>
    <row r="7082" spans="4:12" x14ac:dyDescent="0.2">
      <c r="D7082" s="341"/>
      <c r="F7082" s="343"/>
      <c r="G7082" s="343"/>
      <c r="H7082" s="343"/>
      <c r="I7082" s="343"/>
      <c r="J7082" s="343"/>
      <c r="K7082" s="343"/>
      <c r="L7082" s="343"/>
    </row>
    <row r="7083" spans="4:12" x14ac:dyDescent="0.2">
      <c r="D7083" s="341"/>
      <c r="F7083" s="343"/>
      <c r="G7083" s="343"/>
      <c r="H7083" s="343"/>
      <c r="I7083" s="343"/>
      <c r="J7083" s="343"/>
      <c r="K7083" s="343"/>
      <c r="L7083" s="343"/>
    </row>
    <row r="7084" spans="4:12" x14ac:dyDescent="0.2">
      <c r="D7084" s="341"/>
      <c r="F7084" s="343"/>
      <c r="G7084" s="343"/>
      <c r="H7084" s="343"/>
      <c r="I7084" s="343"/>
      <c r="J7084" s="343"/>
      <c r="K7084" s="343"/>
      <c r="L7084" s="343"/>
    </row>
    <row r="7085" spans="4:12" x14ac:dyDescent="0.2">
      <c r="D7085" s="341"/>
      <c r="F7085" s="343"/>
      <c r="G7085" s="343"/>
      <c r="H7085" s="343"/>
      <c r="I7085" s="343"/>
      <c r="J7085" s="343"/>
      <c r="K7085" s="343"/>
      <c r="L7085" s="343"/>
    </row>
    <row r="7086" spans="4:12" x14ac:dyDescent="0.2">
      <c r="D7086" s="341"/>
      <c r="F7086" s="343"/>
      <c r="G7086" s="343"/>
      <c r="H7086" s="343"/>
      <c r="I7086" s="343"/>
      <c r="J7086" s="343"/>
      <c r="K7086" s="343"/>
      <c r="L7086" s="343"/>
    </row>
    <row r="7087" spans="4:12" x14ac:dyDescent="0.2">
      <c r="D7087" s="341"/>
      <c r="F7087" s="343"/>
      <c r="G7087" s="343"/>
      <c r="H7087" s="343"/>
      <c r="I7087" s="343"/>
      <c r="J7087" s="343"/>
      <c r="K7087" s="343"/>
      <c r="L7087" s="343"/>
    </row>
    <row r="7088" spans="4:12" x14ac:dyDescent="0.2">
      <c r="D7088" s="341"/>
      <c r="F7088" s="343"/>
      <c r="G7088" s="343"/>
      <c r="H7088" s="343"/>
      <c r="I7088" s="343"/>
      <c r="J7088" s="343"/>
      <c r="K7088" s="343"/>
      <c r="L7088" s="343"/>
    </row>
    <row r="7089" spans="4:12" x14ac:dyDescent="0.2">
      <c r="D7089" s="341"/>
      <c r="F7089" s="343"/>
      <c r="G7089" s="343"/>
      <c r="H7089" s="343"/>
      <c r="I7089" s="343"/>
      <c r="J7089" s="343"/>
      <c r="K7089" s="343"/>
      <c r="L7089" s="343"/>
    </row>
    <row r="7090" spans="4:12" x14ac:dyDescent="0.2">
      <c r="D7090" s="341"/>
      <c r="F7090" s="343"/>
      <c r="G7090" s="343"/>
      <c r="H7090" s="343"/>
      <c r="I7090" s="343"/>
      <c r="J7090" s="343"/>
      <c r="K7090" s="343"/>
      <c r="L7090" s="343"/>
    </row>
    <row r="7091" spans="4:12" x14ac:dyDescent="0.2">
      <c r="D7091" s="341"/>
      <c r="F7091" s="343"/>
      <c r="G7091" s="343"/>
      <c r="H7091" s="343"/>
      <c r="I7091" s="343"/>
      <c r="J7091" s="343"/>
      <c r="K7091" s="343"/>
      <c r="L7091" s="343"/>
    </row>
    <row r="7092" spans="4:12" x14ac:dyDescent="0.2">
      <c r="D7092" s="341"/>
      <c r="F7092" s="343"/>
      <c r="G7092" s="343"/>
      <c r="H7092" s="343"/>
      <c r="I7092" s="343"/>
      <c r="J7092" s="343"/>
      <c r="K7092" s="343"/>
      <c r="L7092" s="343"/>
    </row>
    <row r="7093" spans="4:12" x14ac:dyDescent="0.2">
      <c r="D7093" s="341"/>
      <c r="F7093" s="343"/>
      <c r="G7093" s="343"/>
      <c r="H7093" s="343"/>
      <c r="I7093" s="343"/>
      <c r="J7093" s="343"/>
      <c r="K7093" s="343"/>
      <c r="L7093" s="343"/>
    </row>
    <row r="7094" spans="4:12" x14ac:dyDescent="0.2">
      <c r="D7094" s="341"/>
      <c r="F7094" s="343"/>
      <c r="G7094" s="343"/>
      <c r="H7094" s="343"/>
      <c r="I7094" s="343"/>
      <c r="J7094" s="343"/>
      <c r="K7094" s="343"/>
      <c r="L7094" s="343"/>
    </row>
    <row r="7095" spans="4:12" x14ac:dyDescent="0.2">
      <c r="D7095" s="341"/>
      <c r="F7095" s="343"/>
      <c r="G7095" s="343"/>
      <c r="H7095" s="343"/>
      <c r="I7095" s="343"/>
      <c r="J7095" s="343"/>
      <c r="K7095" s="343"/>
      <c r="L7095" s="343"/>
    </row>
    <row r="7096" spans="4:12" x14ac:dyDescent="0.2">
      <c r="D7096" s="341"/>
      <c r="F7096" s="343"/>
      <c r="G7096" s="343"/>
      <c r="H7096" s="343"/>
      <c r="I7096" s="343"/>
      <c r="J7096" s="343"/>
      <c r="K7096" s="343"/>
      <c r="L7096" s="343"/>
    </row>
    <row r="7097" spans="4:12" x14ac:dyDescent="0.2">
      <c r="D7097" s="341"/>
      <c r="F7097" s="343"/>
      <c r="G7097" s="343"/>
      <c r="H7097" s="343"/>
      <c r="I7097" s="343"/>
      <c r="J7097" s="343"/>
      <c r="K7097" s="343"/>
      <c r="L7097" s="343"/>
    </row>
    <row r="7098" spans="4:12" x14ac:dyDescent="0.2">
      <c r="D7098" s="341"/>
      <c r="F7098" s="343"/>
      <c r="G7098" s="343"/>
      <c r="H7098" s="343"/>
      <c r="I7098" s="343"/>
      <c r="J7098" s="343"/>
      <c r="K7098" s="343"/>
      <c r="L7098" s="343"/>
    </row>
    <row r="7099" spans="4:12" x14ac:dyDescent="0.2">
      <c r="D7099" s="341"/>
      <c r="F7099" s="343"/>
      <c r="G7099" s="343"/>
      <c r="H7099" s="343"/>
      <c r="I7099" s="343"/>
      <c r="J7099" s="343"/>
      <c r="K7099" s="343"/>
      <c r="L7099" s="343"/>
    </row>
    <row r="7100" spans="4:12" x14ac:dyDescent="0.2">
      <c r="D7100" s="341"/>
      <c r="F7100" s="343"/>
      <c r="G7100" s="343"/>
      <c r="H7100" s="343"/>
      <c r="I7100" s="343"/>
      <c r="J7100" s="343"/>
      <c r="K7100" s="343"/>
      <c r="L7100" s="343"/>
    </row>
    <row r="7101" spans="4:12" x14ac:dyDescent="0.2">
      <c r="D7101" s="341"/>
      <c r="F7101" s="343"/>
      <c r="G7101" s="343"/>
      <c r="H7101" s="343"/>
      <c r="I7101" s="343"/>
      <c r="J7101" s="343"/>
      <c r="K7101" s="343"/>
      <c r="L7101" s="343"/>
    </row>
    <row r="7102" spans="4:12" x14ac:dyDescent="0.2">
      <c r="D7102" s="341"/>
      <c r="F7102" s="343"/>
      <c r="G7102" s="343"/>
      <c r="H7102" s="343"/>
      <c r="I7102" s="343"/>
      <c r="J7102" s="343"/>
      <c r="K7102" s="343"/>
      <c r="L7102" s="343"/>
    </row>
    <row r="7103" spans="4:12" x14ac:dyDescent="0.2">
      <c r="D7103" s="341"/>
      <c r="F7103" s="343"/>
      <c r="G7103" s="343"/>
      <c r="H7103" s="343"/>
      <c r="I7103" s="343"/>
      <c r="J7103" s="343"/>
      <c r="K7103" s="343"/>
      <c r="L7103" s="343"/>
    </row>
    <row r="7104" spans="4:12" x14ac:dyDescent="0.2">
      <c r="D7104" s="341"/>
      <c r="F7104" s="343"/>
      <c r="G7104" s="343"/>
      <c r="H7104" s="343"/>
      <c r="I7104" s="343"/>
      <c r="J7104" s="343"/>
      <c r="K7104" s="343"/>
      <c r="L7104" s="343"/>
    </row>
    <row r="7105" spans="4:12" x14ac:dyDescent="0.2">
      <c r="D7105" s="341"/>
      <c r="F7105" s="343"/>
      <c r="G7105" s="343"/>
      <c r="H7105" s="343"/>
      <c r="I7105" s="343"/>
      <c r="J7105" s="343"/>
      <c r="K7105" s="343"/>
      <c r="L7105" s="343"/>
    </row>
    <row r="7106" spans="4:12" x14ac:dyDescent="0.2">
      <c r="D7106" s="341"/>
      <c r="F7106" s="343"/>
      <c r="G7106" s="343"/>
      <c r="H7106" s="343"/>
      <c r="I7106" s="343"/>
      <c r="J7106" s="343"/>
      <c r="K7106" s="343"/>
      <c r="L7106" s="343"/>
    </row>
    <row r="7107" spans="4:12" x14ac:dyDescent="0.2">
      <c r="D7107" s="341"/>
      <c r="F7107" s="343"/>
      <c r="G7107" s="343"/>
      <c r="H7107" s="343"/>
      <c r="I7107" s="343"/>
      <c r="J7107" s="343"/>
      <c r="K7107" s="343"/>
      <c r="L7107" s="343"/>
    </row>
    <row r="7108" spans="4:12" x14ac:dyDescent="0.2">
      <c r="D7108" s="341"/>
      <c r="F7108" s="343"/>
      <c r="G7108" s="343"/>
      <c r="H7108" s="343"/>
      <c r="I7108" s="343"/>
      <c r="J7108" s="343"/>
      <c r="K7108" s="343"/>
      <c r="L7108" s="343"/>
    </row>
    <row r="7109" spans="4:12" x14ac:dyDescent="0.2">
      <c r="D7109" s="341"/>
      <c r="F7109" s="343"/>
      <c r="G7109" s="343"/>
      <c r="H7109" s="343"/>
      <c r="I7109" s="343"/>
      <c r="J7109" s="343"/>
      <c r="K7109" s="343"/>
      <c r="L7109" s="343"/>
    </row>
    <row r="7110" spans="4:12" x14ac:dyDescent="0.2">
      <c r="D7110" s="341"/>
      <c r="F7110" s="343"/>
      <c r="G7110" s="343"/>
      <c r="H7110" s="343"/>
      <c r="I7110" s="343"/>
      <c r="J7110" s="343"/>
      <c r="K7110" s="343"/>
      <c r="L7110" s="343"/>
    </row>
    <row r="7111" spans="4:12" x14ac:dyDescent="0.2">
      <c r="D7111" s="341"/>
      <c r="F7111" s="343"/>
      <c r="G7111" s="343"/>
      <c r="H7111" s="343"/>
      <c r="I7111" s="343"/>
      <c r="J7111" s="343"/>
      <c r="K7111" s="343"/>
      <c r="L7111" s="343"/>
    </row>
    <row r="7112" spans="4:12" x14ac:dyDescent="0.2">
      <c r="D7112" s="341"/>
      <c r="F7112" s="343"/>
      <c r="G7112" s="343"/>
      <c r="H7112" s="343"/>
      <c r="I7112" s="343"/>
      <c r="J7112" s="343"/>
      <c r="K7112" s="343"/>
      <c r="L7112" s="343"/>
    </row>
    <row r="7113" spans="4:12" x14ac:dyDescent="0.2">
      <c r="D7113" s="341"/>
      <c r="F7113" s="343"/>
      <c r="G7113" s="343"/>
      <c r="H7113" s="343"/>
      <c r="I7113" s="343"/>
      <c r="J7113" s="343"/>
      <c r="K7113" s="343"/>
      <c r="L7113" s="343"/>
    </row>
    <row r="7114" spans="4:12" x14ac:dyDescent="0.2">
      <c r="D7114" s="341"/>
      <c r="F7114" s="343"/>
      <c r="G7114" s="343"/>
      <c r="H7114" s="343"/>
      <c r="I7114" s="343"/>
      <c r="J7114" s="343"/>
      <c r="K7114" s="343"/>
      <c r="L7114" s="343"/>
    </row>
    <row r="7115" spans="4:12" x14ac:dyDescent="0.2">
      <c r="D7115" s="341"/>
      <c r="F7115" s="343"/>
      <c r="G7115" s="343"/>
      <c r="H7115" s="343"/>
      <c r="I7115" s="343"/>
      <c r="J7115" s="343"/>
      <c r="K7115" s="343"/>
      <c r="L7115" s="343"/>
    </row>
    <row r="7116" spans="4:12" x14ac:dyDescent="0.2">
      <c r="D7116" s="341"/>
      <c r="F7116" s="343"/>
      <c r="G7116" s="343"/>
      <c r="H7116" s="343"/>
      <c r="I7116" s="343"/>
      <c r="J7116" s="343"/>
      <c r="K7116" s="343"/>
      <c r="L7116" s="343"/>
    </row>
    <row r="7117" spans="4:12" x14ac:dyDescent="0.2">
      <c r="D7117" s="341"/>
      <c r="F7117" s="343"/>
      <c r="G7117" s="343"/>
      <c r="H7117" s="343"/>
      <c r="I7117" s="343"/>
      <c r="J7117" s="343"/>
      <c r="K7117" s="343"/>
      <c r="L7117" s="343"/>
    </row>
    <row r="7118" spans="4:12" x14ac:dyDescent="0.2">
      <c r="D7118" s="341"/>
      <c r="F7118" s="343"/>
      <c r="G7118" s="343"/>
      <c r="H7118" s="343"/>
      <c r="I7118" s="343"/>
      <c r="J7118" s="343"/>
      <c r="K7118" s="343"/>
      <c r="L7118" s="343"/>
    </row>
    <row r="7119" spans="4:12" x14ac:dyDescent="0.2">
      <c r="D7119" s="341"/>
      <c r="F7119" s="343"/>
      <c r="G7119" s="343"/>
      <c r="H7119" s="343"/>
      <c r="I7119" s="343"/>
      <c r="J7119" s="343"/>
      <c r="K7119" s="343"/>
      <c r="L7119" s="343"/>
    </row>
    <row r="7120" spans="4:12" x14ac:dyDescent="0.2">
      <c r="D7120" s="341"/>
      <c r="F7120" s="343"/>
      <c r="G7120" s="343"/>
      <c r="H7120" s="343"/>
      <c r="I7120" s="343"/>
      <c r="J7120" s="343"/>
      <c r="K7120" s="343"/>
      <c r="L7120" s="343"/>
    </row>
    <row r="7121" spans="4:12" x14ac:dyDescent="0.2">
      <c r="D7121" s="341"/>
      <c r="F7121" s="343"/>
      <c r="G7121" s="343"/>
      <c r="H7121" s="343"/>
      <c r="I7121" s="343"/>
      <c r="J7121" s="343"/>
      <c r="K7121" s="343"/>
      <c r="L7121" s="343"/>
    </row>
    <row r="7122" spans="4:12" x14ac:dyDescent="0.2">
      <c r="D7122" s="341"/>
      <c r="F7122" s="343"/>
      <c r="G7122" s="343"/>
      <c r="H7122" s="343"/>
      <c r="I7122" s="343"/>
      <c r="J7122" s="343"/>
      <c r="K7122" s="343"/>
      <c r="L7122" s="343"/>
    </row>
    <row r="7123" spans="4:12" x14ac:dyDescent="0.2">
      <c r="D7123" s="341"/>
      <c r="F7123" s="343"/>
      <c r="G7123" s="343"/>
      <c r="H7123" s="343"/>
      <c r="I7123" s="343"/>
      <c r="J7123" s="343"/>
      <c r="K7123" s="343"/>
      <c r="L7123" s="343"/>
    </row>
    <row r="7124" spans="4:12" x14ac:dyDescent="0.2">
      <c r="D7124" s="341"/>
      <c r="F7124" s="343"/>
      <c r="G7124" s="343"/>
      <c r="H7124" s="343"/>
      <c r="I7124" s="343"/>
      <c r="J7124" s="343"/>
      <c r="K7124" s="343"/>
      <c r="L7124" s="343"/>
    </row>
    <row r="7125" spans="4:12" x14ac:dyDescent="0.2">
      <c r="D7125" s="341"/>
      <c r="F7125" s="343"/>
      <c r="G7125" s="343"/>
      <c r="H7125" s="343"/>
      <c r="I7125" s="343"/>
      <c r="J7125" s="343"/>
      <c r="K7125" s="343"/>
      <c r="L7125" s="343"/>
    </row>
    <row r="7126" spans="4:12" x14ac:dyDescent="0.2">
      <c r="D7126" s="341"/>
      <c r="F7126" s="343"/>
      <c r="G7126" s="343"/>
      <c r="H7126" s="343"/>
      <c r="I7126" s="343"/>
      <c r="J7126" s="343"/>
      <c r="K7126" s="343"/>
      <c r="L7126" s="343"/>
    </row>
    <row r="7127" spans="4:12" x14ac:dyDescent="0.2">
      <c r="D7127" s="341"/>
      <c r="F7127" s="343"/>
      <c r="G7127" s="343"/>
      <c r="H7127" s="343"/>
      <c r="I7127" s="343"/>
      <c r="J7127" s="343"/>
      <c r="K7127" s="343"/>
      <c r="L7127" s="343"/>
    </row>
    <row r="7128" spans="4:12" x14ac:dyDescent="0.2">
      <c r="D7128" s="341"/>
      <c r="F7128" s="343"/>
      <c r="G7128" s="343"/>
      <c r="H7128" s="343"/>
      <c r="I7128" s="343"/>
      <c r="J7128" s="343"/>
      <c r="K7128" s="343"/>
      <c r="L7128" s="343"/>
    </row>
    <row r="7129" spans="4:12" x14ac:dyDescent="0.2">
      <c r="D7129" s="341"/>
      <c r="F7129" s="343"/>
      <c r="G7129" s="343"/>
      <c r="H7129" s="343"/>
      <c r="I7129" s="343"/>
      <c r="J7129" s="343"/>
      <c r="K7129" s="343"/>
      <c r="L7129" s="343"/>
    </row>
    <row r="7130" spans="4:12" x14ac:dyDescent="0.2">
      <c r="D7130" s="341"/>
      <c r="F7130" s="343"/>
      <c r="G7130" s="343"/>
      <c r="H7130" s="343"/>
      <c r="I7130" s="343"/>
      <c r="J7130" s="343"/>
      <c r="K7130" s="343"/>
      <c r="L7130" s="343"/>
    </row>
    <row r="7131" spans="4:12" x14ac:dyDescent="0.2">
      <c r="D7131" s="341"/>
      <c r="F7131" s="343"/>
      <c r="G7131" s="343"/>
      <c r="H7131" s="343"/>
      <c r="I7131" s="343"/>
      <c r="J7131" s="343"/>
      <c r="K7131" s="343"/>
      <c r="L7131" s="343"/>
    </row>
    <row r="7132" spans="4:12" x14ac:dyDescent="0.2">
      <c r="D7132" s="341"/>
      <c r="F7132" s="343"/>
      <c r="G7132" s="343"/>
      <c r="H7132" s="343"/>
      <c r="I7132" s="343"/>
      <c r="J7132" s="343"/>
      <c r="K7132" s="343"/>
      <c r="L7132" s="343"/>
    </row>
    <row r="7133" spans="4:12" x14ac:dyDescent="0.2">
      <c r="D7133" s="341"/>
      <c r="F7133" s="343"/>
      <c r="G7133" s="343"/>
      <c r="H7133" s="343"/>
      <c r="I7133" s="343"/>
      <c r="J7133" s="343"/>
      <c r="K7133" s="343"/>
      <c r="L7133" s="343"/>
    </row>
    <row r="7134" spans="4:12" x14ac:dyDescent="0.2">
      <c r="D7134" s="341"/>
      <c r="F7134" s="343"/>
      <c r="G7134" s="343"/>
      <c r="H7134" s="343"/>
      <c r="I7134" s="343"/>
      <c r="J7134" s="343"/>
      <c r="K7134" s="343"/>
      <c r="L7134" s="343"/>
    </row>
    <row r="7135" spans="4:12" x14ac:dyDescent="0.2">
      <c r="D7135" s="341"/>
      <c r="F7135" s="343"/>
      <c r="G7135" s="343"/>
      <c r="H7135" s="343"/>
      <c r="I7135" s="343"/>
      <c r="J7135" s="343"/>
      <c r="K7135" s="343"/>
      <c r="L7135" s="343"/>
    </row>
    <row r="7136" spans="4:12" x14ac:dyDescent="0.2">
      <c r="D7136" s="341"/>
      <c r="F7136" s="343"/>
      <c r="G7136" s="343"/>
      <c r="H7136" s="343"/>
      <c r="I7136" s="343"/>
      <c r="J7136" s="343"/>
      <c r="K7136" s="343"/>
      <c r="L7136" s="343"/>
    </row>
    <row r="7137" spans="4:12" x14ac:dyDescent="0.2">
      <c r="D7137" s="341"/>
      <c r="F7137" s="343"/>
      <c r="G7137" s="343"/>
      <c r="H7137" s="343"/>
      <c r="I7137" s="343"/>
      <c r="J7137" s="343"/>
      <c r="K7137" s="343"/>
      <c r="L7137" s="343"/>
    </row>
    <row r="7138" spans="4:12" x14ac:dyDescent="0.2">
      <c r="D7138" s="341"/>
      <c r="F7138" s="343"/>
      <c r="G7138" s="343"/>
      <c r="H7138" s="343"/>
      <c r="I7138" s="343"/>
      <c r="J7138" s="343"/>
      <c r="K7138" s="343"/>
      <c r="L7138" s="343"/>
    </row>
    <row r="7139" spans="4:12" x14ac:dyDescent="0.2">
      <c r="D7139" s="341"/>
      <c r="F7139" s="343"/>
      <c r="G7139" s="343"/>
      <c r="H7139" s="343"/>
      <c r="I7139" s="343"/>
      <c r="J7139" s="343"/>
      <c r="K7139" s="343"/>
      <c r="L7139" s="343"/>
    </row>
    <row r="7140" spans="4:12" x14ac:dyDescent="0.2">
      <c r="D7140" s="341"/>
      <c r="F7140" s="343"/>
      <c r="G7140" s="343"/>
      <c r="H7140" s="343"/>
      <c r="I7140" s="343"/>
      <c r="J7140" s="343"/>
      <c r="K7140" s="343"/>
      <c r="L7140" s="343"/>
    </row>
    <row r="7141" spans="4:12" x14ac:dyDescent="0.2">
      <c r="D7141" s="341"/>
      <c r="F7141" s="343"/>
      <c r="G7141" s="343"/>
      <c r="H7141" s="343"/>
      <c r="I7141" s="343"/>
      <c r="J7141" s="343"/>
      <c r="K7141" s="343"/>
      <c r="L7141" s="343"/>
    </row>
    <row r="7142" spans="4:12" x14ac:dyDescent="0.2">
      <c r="D7142" s="341"/>
      <c r="F7142" s="343"/>
      <c r="G7142" s="343"/>
      <c r="H7142" s="343"/>
      <c r="I7142" s="343"/>
      <c r="J7142" s="343"/>
      <c r="K7142" s="343"/>
      <c r="L7142" s="343"/>
    </row>
    <row r="7143" spans="4:12" x14ac:dyDescent="0.2">
      <c r="D7143" s="341"/>
      <c r="F7143" s="343"/>
      <c r="G7143" s="343"/>
      <c r="H7143" s="343"/>
      <c r="I7143" s="343"/>
      <c r="J7143" s="343"/>
      <c r="K7143" s="343"/>
      <c r="L7143" s="343"/>
    </row>
    <row r="7144" spans="4:12" x14ac:dyDescent="0.2">
      <c r="D7144" s="341"/>
      <c r="F7144" s="343"/>
      <c r="G7144" s="343"/>
      <c r="H7144" s="343"/>
      <c r="I7144" s="343"/>
      <c r="J7144" s="343"/>
      <c r="K7144" s="343"/>
      <c r="L7144" s="343"/>
    </row>
    <row r="7145" spans="4:12" x14ac:dyDescent="0.2">
      <c r="D7145" s="341"/>
      <c r="F7145" s="343"/>
      <c r="G7145" s="343"/>
      <c r="H7145" s="343"/>
      <c r="I7145" s="343"/>
      <c r="J7145" s="343"/>
      <c r="K7145" s="343"/>
      <c r="L7145" s="343"/>
    </row>
    <row r="7146" spans="4:12" x14ac:dyDescent="0.2">
      <c r="D7146" s="341"/>
      <c r="F7146" s="343"/>
      <c r="G7146" s="343"/>
      <c r="H7146" s="343"/>
      <c r="I7146" s="343"/>
      <c r="J7146" s="343"/>
      <c r="K7146" s="343"/>
      <c r="L7146" s="343"/>
    </row>
    <row r="7147" spans="4:12" x14ac:dyDescent="0.2">
      <c r="D7147" s="341"/>
      <c r="F7147" s="343"/>
      <c r="G7147" s="343"/>
      <c r="H7147" s="343"/>
      <c r="I7147" s="343"/>
      <c r="J7147" s="343"/>
      <c r="K7147" s="343"/>
      <c r="L7147" s="343"/>
    </row>
    <row r="7148" spans="4:12" x14ac:dyDescent="0.2">
      <c r="D7148" s="341"/>
      <c r="F7148" s="343"/>
      <c r="G7148" s="343"/>
      <c r="H7148" s="343"/>
      <c r="I7148" s="343"/>
      <c r="J7148" s="343"/>
      <c r="K7148" s="343"/>
      <c r="L7148" s="343"/>
    </row>
    <row r="7149" spans="4:12" x14ac:dyDescent="0.2">
      <c r="D7149" s="341"/>
      <c r="F7149" s="343"/>
      <c r="G7149" s="343"/>
      <c r="H7149" s="343"/>
      <c r="I7149" s="343"/>
      <c r="J7149" s="343"/>
      <c r="K7149" s="343"/>
      <c r="L7149" s="343"/>
    </row>
    <row r="7150" spans="4:12" x14ac:dyDescent="0.2">
      <c r="D7150" s="341"/>
      <c r="F7150" s="343"/>
      <c r="G7150" s="343"/>
      <c r="H7150" s="343"/>
      <c r="I7150" s="343"/>
      <c r="J7150" s="343"/>
      <c r="K7150" s="343"/>
      <c r="L7150" s="343"/>
    </row>
    <row r="7151" spans="4:12" x14ac:dyDescent="0.2">
      <c r="D7151" s="341"/>
      <c r="F7151" s="343"/>
      <c r="G7151" s="343"/>
      <c r="H7151" s="343"/>
      <c r="I7151" s="343"/>
      <c r="J7151" s="343"/>
      <c r="K7151" s="343"/>
      <c r="L7151" s="343"/>
    </row>
    <row r="7152" spans="4:12" x14ac:dyDescent="0.2">
      <c r="D7152" s="341"/>
      <c r="F7152" s="343"/>
      <c r="G7152" s="343"/>
      <c r="H7152" s="343"/>
      <c r="I7152" s="343"/>
      <c r="J7152" s="343"/>
      <c r="K7152" s="343"/>
      <c r="L7152" s="343"/>
    </row>
    <row r="7153" spans="4:12" x14ac:dyDescent="0.2">
      <c r="D7153" s="341"/>
      <c r="F7153" s="343"/>
      <c r="G7153" s="343"/>
      <c r="H7153" s="343"/>
      <c r="I7153" s="343"/>
      <c r="J7153" s="343"/>
      <c r="K7153" s="343"/>
      <c r="L7153" s="343"/>
    </row>
    <row r="7154" spans="4:12" x14ac:dyDescent="0.2">
      <c r="D7154" s="341"/>
      <c r="F7154" s="343"/>
      <c r="G7154" s="343"/>
      <c r="H7154" s="343"/>
      <c r="I7154" s="343"/>
      <c r="J7154" s="343"/>
      <c r="K7154" s="343"/>
      <c r="L7154" s="343"/>
    </row>
    <row r="7155" spans="4:12" x14ac:dyDescent="0.2">
      <c r="D7155" s="341"/>
      <c r="F7155" s="343"/>
      <c r="G7155" s="343"/>
      <c r="H7155" s="343"/>
      <c r="I7155" s="343"/>
      <c r="J7155" s="343"/>
      <c r="K7155" s="343"/>
      <c r="L7155" s="343"/>
    </row>
    <row r="7156" spans="4:12" x14ac:dyDescent="0.2">
      <c r="D7156" s="341"/>
      <c r="F7156" s="343"/>
      <c r="G7156" s="343"/>
      <c r="H7156" s="343"/>
      <c r="I7156" s="343"/>
      <c r="J7156" s="343"/>
      <c r="K7156" s="343"/>
      <c r="L7156" s="343"/>
    </row>
    <row r="7157" spans="4:12" x14ac:dyDescent="0.2">
      <c r="D7157" s="341"/>
      <c r="F7157" s="343"/>
      <c r="G7157" s="343"/>
      <c r="H7157" s="343"/>
      <c r="I7157" s="343"/>
      <c r="J7157" s="343"/>
      <c r="K7157" s="343"/>
      <c r="L7157" s="343"/>
    </row>
    <row r="7158" spans="4:12" x14ac:dyDescent="0.2">
      <c r="D7158" s="341"/>
      <c r="F7158" s="343"/>
      <c r="G7158" s="343"/>
      <c r="H7158" s="343"/>
      <c r="I7158" s="343"/>
      <c r="J7158" s="343"/>
      <c r="K7158" s="343"/>
      <c r="L7158" s="343"/>
    </row>
    <row r="7159" spans="4:12" x14ac:dyDescent="0.2">
      <c r="D7159" s="341"/>
      <c r="F7159" s="343"/>
      <c r="G7159" s="343"/>
      <c r="H7159" s="343"/>
      <c r="I7159" s="343"/>
      <c r="J7159" s="343"/>
      <c r="K7159" s="343"/>
      <c r="L7159" s="343"/>
    </row>
    <row r="7160" spans="4:12" x14ac:dyDescent="0.2">
      <c r="D7160" s="341"/>
      <c r="F7160" s="343"/>
      <c r="G7160" s="343"/>
      <c r="H7160" s="343"/>
      <c r="I7160" s="343"/>
      <c r="J7160" s="343"/>
      <c r="K7160" s="343"/>
      <c r="L7160" s="343"/>
    </row>
    <row r="7161" spans="4:12" x14ac:dyDescent="0.2">
      <c r="D7161" s="341"/>
      <c r="F7161" s="343"/>
      <c r="G7161" s="343"/>
      <c r="H7161" s="343"/>
      <c r="I7161" s="343"/>
      <c r="J7161" s="343"/>
      <c r="K7161" s="343"/>
      <c r="L7161" s="343"/>
    </row>
    <row r="7162" spans="4:12" x14ac:dyDescent="0.2">
      <c r="D7162" s="341"/>
      <c r="F7162" s="343"/>
      <c r="G7162" s="343"/>
      <c r="H7162" s="343"/>
      <c r="I7162" s="343"/>
      <c r="J7162" s="343"/>
      <c r="K7162" s="343"/>
      <c r="L7162" s="343"/>
    </row>
    <row r="7163" spans="4:12" x14ac:dyDescent="0.2">
      <c r="D7163" s="341"/>
      <c r="F7163" s="343"/>
      <c r="G7163" s="343"/>
      <c r="H7163" s="343"/>
      <c r="I7163" s="343"/>
      <c r="J7163" s="343"/>
      <c r="K7163" s="343"/>
      <c r="L7163" s="343"/>
    </row>
    <row r="7164" spans="4:12" x14ac:dyDescent="0.2">
      <c r="D7164" s="341"/>
      <c r="F7164" s="343"/>
      <c r="G7164" s="343"/>
      <c r="H7164" s="343"/>
      <c r="I7164" s="343"/>
      <c r="J7164" s="343"/>
      <c r="K7164" s="343"/>
      <c r="L7164" s="343"/>
    </row>
    <row r="7165" spans="4:12" x14ac:dyDescent="0.2">
      <c r="D7165" s="341"/>
      <c r="F7165" s="343"/>
      <c r="G7165" s="343"/>
      <c r="H7165" s="343"/>
      <c r="I7165" s="343"/>
      <c r="J7165" s="343"/>
      <c r="K7165" s="343"/>
      <c r="L7165" s="343"/>
    </row>
    <row r="7166" spans="4:12" x14ac:dyDescent="0.2">
      <c r="D7166" s="341"/>
      <c r="F7166" s="343"/>
      <c r="G7166" s="343"/>
      <c r="H7166" s="343"/>
      <c r="I7166" s="343"/>
      <c r="J7166" s="343"/>
      <c r="K7166" s="343"/>
      <c r="L7166" s="343"/>
    </row>
    <row r="7167" spans="4:12" x14ac:dyDescent="0.2">
      <c r="D7167" s="341"/>
      <c r="F7167" s="343"/>
      <c r="G7167" s="343"/>
      <c r="H7167" s="343"/>
      <c r="I7167" s="343"/>
      <c r="J7167" s="343"/>
      <c r="K7167" s="343"/>
      <c r="L7167" s="343"/>
    </row>
    <row r="7168" spans="4:12" x14ac:dyDescent="0.2">
      <c r="D7168" s="341"/>
      <c r="F7168" s="343"/>
      <c r="G7168" s="343"/>
      <c r="H7168" s="343"/>
      <c r="I7168" s="343"/>
      <c r="J7168" s="343"/>
      <c r="K7168" s="343"/>
      <c r="L7168" s="343"/>
    </row>
    <row r="7169" spans="4:12" x14ac:dyDescent="0.2">
      <c r="D7169" s="341"/>
      <c r="F7169" s="343"/>
      <c r="G7169" s="343"/>
      <c r="H7169" s="343"/>
      <c r="I7169" s="343"/>
      <c r="J7169" s="343"/>
      <c r="K7169" s="343"/>
      <c r="L7169" s="343"/>
    </row>
    <row r="7170" spans="4:12" x14ac:dyDescent="0.2">
      <c r="D7170" s="341"/>
      <c r="F7170" s="343"/>
      <c r="G7170" s="343"/>
      <c r="H7170" s="343"/>
      <c r="I7170" s="343"/>
      <c r="J7170" s="343"/>
      <c r="K7170" s="343"/>
      <c r="L7170" s="343"/>
    </row>
    <row r="7171" spans="4:12" x14ac:dyDescent="0.2">
      <c r="D7171" s="341"/>
      <c r="F7171" s="343"/>
      <c r="G7171" s="343"/>
      <c r="H7171" s="343"/>
      <c r="I7171" s="343"/>
      <c r="J7171" s="343"/>
      <c r="K7171" s="343"/>
      <c r="L7171" s="343"/>
    </row>
    <row r="7172" spans="4:12" x14ac:dyDescent="0.2">
      <c r="D7172" s="341"/>
      <c r="F7172" s="343"/>
      <c r="G7172" s="343"/>
      <c r="H7172" s="343"/>
      <c r="I7172" s="343"/>
      <c r="J7172" s="343"/>
      <c r="K7172" s="343"/>
      <c r="L7172" s="343"/>
    </row>
    <row r="7173" spans="4:12" x14ac:dyDescent="0.2">
      <c r="D7173" s="341"/>
      <c r="F7173" s="343"/>
      <c r="G7173" s="343"/>
      <c r="H7173" s="343"/>
      <c r="I7173" s="343"/>
      <c r="J7173" s="343"/>
      <c r="K7173" s="343"/>
      <c r="L7173" s="343"/>
    </row>
    <row r="7174" spans="4:12" x14ac:dyDescent="0.2">
      <c r="D7174" s="341"/>
      <c r="F7174" s="343"/>
      <c r="G7174" s="343"/>
      <c r="H7174" s="343"/>
      <c r="I7174" s="343"/>
      <c r="J7174" s="343"/>
      <c r="K7174" s="343"/>
      <c r="L7174" s="343"/>
    </row>
    <row r="7175" spans="4:12" x14ac:dyDescent="0.2">
      <c r="D7175" s="341"/>
      <c r="F7175" s="343"/>
      <c r="G7175" s="343"/>
      <c r="H7175" s="343"/>
      <c r="I7175" s="343"/>
      <c r="J7175" s="343"/>
      <c r="K7175" s="343"/>
      <c r="L7175" s="343"/>
    </row>
    <row r="7176" spans="4:12" x14ac:dyDescent="0.2">
      <c r="D7176" s="341"/>
      <c r="F7176" s="343"/>
      <c r="G7176" s="343"/>
      <c r="H7176" s="343"/>
      <c r="I7176" s="343"/>
      <c r="J7176" s="343"/>
      <c r="K7176" s="343"/>
      <c r="L7176" s="343"/>
    </row>
    <row r="7177" spans="4:12" x14ac:dyDescent="0.2">
      <c r="D7177" s="341"/>
      <c r="F7177" s="343"/>
      <c r="G7177" s="343"/>
      <c r="H7177" s="343"/>
      <c r="I7177" s="343"/>
      <c r="J7177" s="343"/>
      <c r="K7177" s="343"/>
      <c r="L7177" s="343"/>
    </row>
    <row r="7178" spans="4:12" x14ac:dyDescent="0.2">
      <c r="D7178" s="341"/>
      <c r="F7178" s="343"/>
      <c r="G7178" s="343"/>
      <c r="H7178" s="343"/>
      <c r="I7178" s="343"/>
      <c r="J7178" s="343"/>
      <c r="K7178" s="343"/>
      <c r="L7178" s="343"/>
    </row>
    <row r="7179" spans="4:12" x14ac:dyDescent="0.2">
      <c r="D7179" s="341"/>
      <c r="F7179" s="343"/>
      <c r="G7179" s="343"/>
      <c r="H7179" s="343"/>
      <c r="I7179" s="343"/>
      <c r="J7179" s="343"/>
      <c r="K7179" s="343"/>
      <c r="L7179" s="343"/>
    </row>
    <row r="7180" spans="4:12" x14ac:dyDescent="0.2">
      <c r="D7180" s="341"/>
      <c r="F7180" s="343"/>
      <c r="G7180" s="343"/>
      <c r="H7180" s="343"/>
      <c r="I7180" s="343"/>
      <c r="J7180" s="343"/>
      <c r="K7180" s="343"/>
      <c r="L7180" s="343"/>
    </row>
    <row r="7181" spans="4:12" x14ac:dyDescent="0.2">
      <c r="D7181" s="341"/>
      <c r="F7181" s="343"/>
      <c r="G7181" s="343"/>
      <c r="H7181" s="343"/>
      <c r="I7181" s="343"/>
      <c r="J7181" s="343"/>
      <c r="K7181" s="343"/>
      <c r="L7181" s="343"/>
    </row>
    <row r="7182" spans="4:12" x14ac:dyDescent="0.2">
      <c r="D7182" s="341"/>
      <c r="F7182" s="343"/>
      <c r="G7182" s="343"/>
      <c r="H7182" s="343"/>
      <c r="I7182" s="343"/>
      <c r="J7182" s="343"/>
      <c r="K7182" s="343"/>
      <c r="L7182" s="343"/>
    </row>
    <row r="7183" spans="4:12" x14ac:dyDescent="0.2">
      <c r="D7183" s="341"/>
      <c r="F7183" s="343"/>
      <c r="G7183" s="343"/>
      <c r="H7183" s="343"/>
      <c r="I7183" s="343"/>
      <c r="J7183" s="343"/>
      <c r="K7183" s="343"/>
      <c r="L7183" s="343"/>
    </row>
    <row r="7184" spans="4:12" x14ac:dyDescent="0.2">
      <c r="D7184" s="341"/>
      <c r="F7184" s="343"/>
      <c r="G7184" s="343"/>
      <c r="H7184" s="343"/>
      <c r="I7184" s="343"/>
      <c r="J7184" s="343"/>
      <c r="K7184" s="343"/>
      <c r="L7184" s="343"/>
    </row>
    <row r="7185" spans="4:12" x14ac:dyDescent="0.2">
      <c r="D7185" s="341"/>
      <c r="F7185" s="343"/>
      <c r="G7185" s="343"/>
      <c r="H7185" s="343"/>
      <c r="I7185" s="343"/>
      <c r="J7185" s="343"/>
      <c r="K7185" s="343"/>
      <c r="L7185" s="343"/>
    </row>
    <row r="7186" spans="4:12" x14ac:dyDescent="0.2">
      <c r="D7186" s="341"/>
      <c r="F7186" s="343"/>
      <c r="G7186" s="343"/>
      <c r="H7186" s="343"/>
      <c r="I7186" s="343"/>
      <c r="J7186" s="343"/>
      <c r="K7186" s="343"/>
      <c r="L7186" s="343"/>
    </row>
    <row r="7187" spans="4:12" x14ac:dyDescent="0.2">
      <c r="D7187" s="341"/>
      <c r="F7187" s="343"/>
      <c r="G7187" s="343"/>
      <c r="H7187" s="343"/>
      <c r="I7187" s="343"/>
      <c r="J7187" s="343"/>
      <c r="K7187" s="343"/>
      <c r="L7187" s="343"/>
    </row>
    <row r="7188" spans="4:12" x14ac:dyDescent="0.2">
      <c r="D7188" s="341"/>
      <c r="F7188" s="343"/>
      <c r="G7188" s="343"/>
      <c r="H7188" s="343"/>
      <c r="I7188" s="343"/>
      <c r="J7188" s="343"/>
      <c r="K7188" s="343"/>
      <c r="L7188" s="343"/>
    </row>
    <row r="7189" spans="4:12" x14ac:dyDescent="0.2">
      <c r="D7189" s="341"/>
      <c r="F7189" s="343"/>
      <c r="G7189" s="343"/>
      <c r="H7189" s="343"/>
      <c r="I7189" s="343"/>
      <c r="J7189" s="343"/>
      <c r="K7189" s="343"/>
      <c r="L7189" s="343"/>
    </row>
    <row r="7190" spans="4:12" x14ac:dyDescent="0.2">
      <c r="D7190" s="341"/>
      <c r="F7190" s="343"/>
      <c r="G7190" s="343"/>
      <c r="H7190" s="343"/>
      <c r="I7190" s="343"/>
      <c r="J7190" s="343"/>
      <c r="K7190" s="343"/>
      <c r="L7190" s="343"/>
    </row>
    <row r="7191" spans="4:12" x14ac:dyDescent="0.2">
      <c r="D7191" s="341"/>
      <c r="F7191" s="343"/>
      <c r="G7191" s="343"/>
      <c r="H7191" s="343"/>
      <c r="I7191" s="343"/>
      <c r="J7191" s="343"/>
      <c r="K7191" s="343"/>
      <c r="L7191" s="343"/>
    </row>
    <row r="7192" spans="4:12" x14ac:dyDescent="0.2">
      <c r="D7192" s="341"/>
      <c r="F7192" s="343"/>
      <c r="G7192" s="343"/>
      <c r="H7192" s="343"/>
      <c r="I7192" s="343"/>
      <c r="J7192" s="343"/>
      <c r="K7192" s="343"/>
      <c r="L7192" s="343"/>
    </row>
    <row r="7193" spans="4:12" x14ac:dyDescent="0.2">
      <c r="D7193" s="341"/>
      <c r="F7193" s="343"/>
      <c r="G7193" s="343"/>
      <c r="H7193" s="343"/>
      <c r="I7193" s="343"/>
      <c r="J7193" s="343"/>
      <c r="K7193" s="343"/>
      <c r="L7193" s="343"/>
    </row>
    <row r="7194" spans="4:12" x14ac:dyDescent="0.2">
      <c r="D7194" s="341"/>
      <c r="F7194" s="343"/>
      <c r="G7194" s="343"/>
      <c r="H7194" s="343"/>
      <c r="I7194" s="343"/>
      <c r="J7194" s="343"/>
      <c r="K7194" s="343"/>
      <c r="L7194" s="343"/>
    </row>
    <row r="7195" spans="4:12" x14ac:dyDescent="0.2">
      <c r="D7195" s="341"/>
      <c r="F7195" s="343"/>
      <c r="G7195" s="343"/>
      <c r="H7195" s="343"/>
      <c r="I7195" s="343"/>
      <c r="J7195" s="343"/>
      <c r="K7195" s="343"/>
      <c r="L7195" s="343"/>
    </row>
    <row r="7196" spans="4:12" x14ac:dyDescent="0.2">
      <c r="D7196" s="341"/>
      <c r="F7196" s="343"/>
      <c r="G7196" s="343"/>
      <c r="H7196" s="343"/>
      <c r="I7196" s="343"/>
      <c r="J7196" s="343"/>
      <c r="K7196" s="343"/>
      <c r="L7196" s="343"/>
    </row>
    <row r="7197" spans="4:12" x14ac:dyDescent="0.2">
      <c r="D7197" s="341"/>
      <c r="F7197" s="343"/>
      <c r="G7197" s="343"/>
      <c r="H7197" s="343"/>
      <c r="I7197" s="343"/>
      <c r="J7197" s="343"/>
      <c r="K7197" s="343"/>
      <c r="L7197" s="343"/>
    </row>
    <row r="7198" spans="4:12" x14ac:dyDescent="0.2">
      <c r="D7198" s="341"/>
      <c r="F7198" s="343"/>
      <c r="G7198" s="343"/>
      <c r="H7198" s="343"/>
      <c r="I7198" s="343"/>
      <c r="J7198" s="343"/>
      <c r="K7198" s="343"/>
      <c r="L7198" s="343"/>
    </row>
    <row r="7199" spans="4:12" x14ac:dyDescent="0.2">
      <c r="D7199" s="341"/>
      <c r="F7199" s="343"/>
      <c r="G7199" s="343"/>
      <c r="H7199" s="343"/>
      <c r="I7199" s="343"/>
      <c r="J7199" s="343"/>
      <c r="K7199" s="343"/>
      <c r="L7199" s="343"/>
    </row>
    <row r="7200" spans="4:12" x14ac:dyDescent="0.2">
      <c r="D7200" s="341"/>
      <c r="F7200" s="343"/>
      <c r="G7200" s="343"/>
      <c r="H7200" s="343"/>
      <c r="I7200" s="343"/>
      <c r="J7200" s="343"/>
      <c r="K7200" s="343"/>
      <c r="L7200" s="343"/>
    </row>
    <row r="7201" spans="4:12" x14ac:dyDescent="0.2">
      <c r="D7201" s="341"/>
      <c r="F7201" s="343"/>
      <c r="G7201" s="343"/>
      <c r="H7201" s="343"/>
      <c r="I7201" s="343"/>
      <c r="J7201" s="343"/>
      <c r="K7201" s="343"/>
      <c r="L7201" s="343"/>
    </row>
    <row r="7202" spans="4:12" x14ac:dyDescent="0.2">
      <c r="D7202" s="341"/>
      <c r="F7202" s="343"/>
      <c r="G7202" s="343"/>
      <c r="H7202" s="343"/>
      <c r="I7202" s="343"/>
      <c r="J7202" s="343"/>
      <c r="K7202" s="343"/>
      <c r="L7202" s="343"/>
    </row>
    <row r="7203" spans="4:12" x14ac:dyDescent="0.2">
      <c r="D7203" s="341"/>
      <c r="F7203" s="343"/>
      <c r="G7203" s="343"/>
      <c r="H7203" s="343"/>
      <c r="I7203" s="343"/>
      <c r="J7203" s="343"/>
      <c r="K7203" s="343"/>
      <c r="L7203" s="343"/>
    </row>
    <row r="7204" spans="4:12" x14ac:dyDescent="0.2">
      <c r="D7204" s="341"/>
      <c r="F7204" s="343"/>
      <c r="G7204" s="343"/>
      <c r="H7204" s="343"/>
      <c r="I7204" s="343"/>
      <c r="J7204" s="343"/>
      <c r="K7204" s="343"/>
      <c r="L7204" s="343"/>
    </row>
    <row r="7205" spans="4:12" x14ac:dyDescent="0.2">
      <c r="D7205" s="341"/>
      <c r="F7205" s="343"/>
      <c r="G7205" s="343"/>
      <c r="H7205" s="343"/>
      <c r="I7205" s="343"/>
      <c r="J7205" s="343"/>
      <c r="K7205" s="343"/>
      <c r="L7205" s="343"/>
    </row>
    <row r="7206" spans="4:12" x14ac:dyDescent="0.2">
      <c r="D7206" s="341"/>
      <c r="F7206" s="343"/>
      <c r="G7206" s="343"/>
      <c r="H7206" s="343"/>
      <c r="I7206" s="343"/>
      <c r="J7206" s="343"/>
      <c r="K7206" s="343"/>
      <c r="L7206" s="343"/>
    </row>
    <row r="7207" spans="4:12" x14ac:dyDescent="0.2">
      <c r="D7207" s="341"/>
      <c r="F7207" s="343"/>
      <c r="G7207" s="343"/>
      <c r="H7207" s="343"/>
      <c r="I7207" s="343"/>
      <c r="J7207" s="343"/>
      <c r="K7207" s="343"/>
      <c r="L7207" s="343"/>
    </row>
    <row r="7208" spans="4:12" x14ac:dyDescent="0.2">
      <c r="D7208" s="341"/>
      <c r="F7208" s="343"/>
      <c r="G7208" s="343"/>
      <c r="H7208" s="343"/>
      <c r="I7208" s="343"/>
      <c r="J7208" s="343"/>
      <c r="K7208" s="343"/>
      <c r="L7208" s="343"/>
    </row>
    <row r="7209" spans="4:12" x14ac:dyDescent="0.2">
      <c r="D7209" s="341"/>
      <c r="F7209" s="343"/>
      <c r="G7209" s="343"/>
      <c r="H7209" s="343"/>
      <c r="I7209" s="343"/>
      <c r="J7209" s="343"/>
      <c r="K7209" s="343"/>
      <c r="L7209" s="343"/>
    </row>
    <row r="7210" spans="4:12" x14ac:dyDescent="0.2">
      <c r="D7210" s="341"/>
      <c r="F7210" s="343"/>
      <c r="G7210" s="343"/>
      <c r="H7210" s="343"/>
      <c r="I7210" s="343"/>
      <c r="J7210" s="343"/>
      <c r="K7210" s="343"/>
      <c r="L7210" s="343"/>
    </row>
    <row r="7211" spans="4:12" x14ac:dyDescent="0.2">
      <c r="D7211" s="341"/>
      <c r="F7211" s="343"/>
      <c r="G7211" s="343"/>
      <c r="H7211" s="343"/>
      <c r="I7211" s="343"/>
      <c r="J7211" s="343"/>
      <c r="K7211" s="343"/>
      <c r="L7211" s="343"/>
    </row>
    <row r="7212" spans="4:12" x14ac:dyDescent="0.2">
      <c r="D7212" s="341"/>
      <c r="F7212" s="343"/>
      <c r="G7212" s="343"/>
      <c r="H7212" s="343"/>
      <c r="I7212" s="343"/>
      <c r="J7212" s="343"/>
      <c r="K7212" s="343"/>
      <c r="L7212" s="343"/>
    </row>
    <row r="7213" spans="4:12" x14ac:dyDescent="0.2">
      <c r="D7213" s="341"/>
      <c r="F7213" s="343"/>
      <c r="G7213" s="343"/>
      <c r="H7213" s="343"/>
      <c r="I7213" s="343"/>
      <c r="J7213" s="343"/>
      <c r="K7213" s="343"/>
      <c r="L7213" s="343"/>
    </row>
    <row r="7214" spans="4:12" x14ac:dyDescent="0.2">
      <c r="D7214" s="341"/>
      <c r="F7214" s="343"/>
      <c r="G7214" s="343"/>
      <c r="H7214" s="343"/>
      <c r="I7214" s="343"/>
      <c r="J7214" s="343"/>
      <c r="K7214" s="343"/>
      <c r="L7214" s="343"/>
    </row>
    <row r="7215" spans="4:12" x14ac:dyDescent="0.2">
      <c r="D7215" s="341"/>
      <c r="F7215" s="343"/>
      <c r="G7215" s="343"/>
      <c r="H7215" s="343"/>
      <c r="I7215" s="343"/>
      <c r="J7215" s="343"/>
      <c r="K7215" s="343"/>
      <c r="L7215" s="343"/>
    </row>
    <row r="7216" spans="4:12" x14ac:dyDescent="0.2">
      <c r="D7216" s="341"/>
      <c r="F7216" s="343"/>
      <c r="G7216" s="343"/>
      <c r="H7216" s="343"/>
      <c r="I7216" s="343"/>
      <c r="J7216" s="343"/>
      <c r="K7216" s="343"/>
      <c r="L7216" s="343"/>
    </row>
    <row r="7217" spans="4:12" x14ac:dyDescent="0.2">
      <c r="D7217" s="341"/>
      <c r="F7217" s="343"/>
      <c r="G7217" s="343"/>
      <c r="H7217" s="343"/>
      <c r="I7217" s="343"/>
      <c r="J7217" s="343"/>
      <c r="K7217" s="343"/>
      <c r="L7217" s="343"/>
    </row>
    <row r="7218" spans="4:12" x14ac:dyDescent="0.2">
      <c r="D7218" s="341"/>
      <c r="F7218" s="343"/>
      <c r="G7218" s="343"/>
      <c r="H7218" s="343"/>
      <c r="I7218" s="343"/>
      <c r="J7218" s="343"/>
      <c r="K7218" s="343"/>
      <c r="L7218" s="343"/>
    </row>
    <row r="7219" spans="4:12" x14ac:dyDescent="0.2">
      <c r="D7219" s="341"/>
      <c r="F7219" s="343"/>
      <c r="G7219" s="343"/>
      <c r="H7219" s="343"/>
      <c r="I7219" s="343"/>
      <c r="J7219" s="343"/>
      <c r="K7219" s="343"/>
      <c r="L7219" s="343"/>
    </row>
    <row r="7220" spans="4:12" x14ac:dyDescent="0.2">
      <c r="D7220" s="341"/>
      <c r="F7220" s="343"/>
      <c r="G7220" s="343"/>
      <c r="H7220" s="343"/>
      <c r="I7220" s="343"/>
      <c r="J7220" s="343"/>
      <c r="K7220" s="343"/>
      <c r="L7220" s="343"/>
    </row>
    <row r="7221" spans="4:12" x14ac:dyDescent="0.2">
      <c r="D7221" s="341"/>
      <c r="F7221" s="343"/>
      <c r="G7221" s="343"/>
      <c r="H7221" s="343"/>
      <c r="I7221" s="343"/>
      <c r="J7221" s="343"/>
      <c r="K7221" s="343"/>
      <c r="L7221" s="343"/>
    </row>
    <row r="7222" spans="4:12" x14ac:dyDescent="0.2">
      <c r="D7222" s="341"/>
      <c r="F7222" s="343"/>
      <c r="G7222" s="343"/>
      <c r="H7222" s="343"/>
      <c r="I7222" s="343"/>
      <c r="J7222" s="343"/>
      <c r="K7222" s="343"/>
      <c r="L7222" s="343"/>
    </row>
    <row r="7223" spans="4:12" x14ac:dyDescent="0.2">
      <c r="D7223" s="341"/>
      <c r="F7223" s="343"/>
      <c r="G7223" s="343"/>
      <c r="H7223" s="343"/>
      <c r="I7223" s="343"/>
      <c r="J7223" s="343"/>
      <c r="K7223" s="343"/>
      <c r="L7223" s="343"/>
    </row>
    <row r="7224" spans="4:12" x14ac:dyDescent="0.2">
      <c r="D7224" s="341"/>
      <c r="F7224" s="343"/>
      <c r="G7224" s="343"/>
      <c r="H7224" s="343"/>
      <c r="I7224" s="343"/>
      <c r="J7224" s="343"/>
      <c r="K7224" s="343"/>
      <c r="L7224" s="343"/>
    </row>
    <row r="7225" spans="4:12" x14ac:dyDescent="0.2">
      <c r="D7225" s="341"/>
      <c r="F7225" s="343"/>
      <c r="G7225" s="343"/>
      <c r="H7225" s="343"/>
      <c r="I7225" s="343"/>
      <c r="J7225" s="343"/>
      <c r="K7225" s="343"/>
      <c r="L7225" s="343"/>
    </row>
    <row r="7226" spans="4:12" x14ac:dyDescent="0.2">
      <c r="D7226" s="341"/>
      <c r="F7226" s="343"/>
      <c r="G7226" s="343"/>
      <c r="H7226" s="343"/>
      <c r="I7226" s="343"/>
      <c r="J7226" s="343"/>
      <c r="K7226" s="343"/>
      <c r="L7226" s="343"/>
    </row>
    <row r="7227" spans="4:12" x14ac:dyDescent="0.2">
      <c r="D7227" s="341"/>
      <c r="F7227" s="343"/>
      <c r="G7227" s="343"/>
      <c r="H7227" s="343"/>
      <c r="I7227" s="343"/>
      <c r="J7227" s="343"/>
      <c r="K7227" s="343"/>
      <c r="L7227" s="343"/>
    </row>
    <row r="7228" spans="4:12" x14ac:dyDescent="0.2">
      <c r="D7228" s="341"/>
      <c r="F7228" s="343"/>
      <c r="G7228" s="343"/>
      <c r="H7228" s="343"/>
      <c r="I7228" s="343"/>
      <c r="J7228" s="343"/>
      <c r="K7228" s="343"/>
      <c r="L7228" s="343"/>
    </row>
    <row r="7229" spans="4:12" x14ac:dyDescent="0.2">
      <c r="D7229" s="341"/>
      <c r="F7229" s="343"/>
      <c r="G7229" s="343"/>
      <c r="H7229" s="343"/>
      <c r="I7229" s="343"/>
      <c r="J7229" s="343"/>
      <c r="K7229" s="343"/>
      <c r="L7229" s="343"/>
    </row>
    <row r="7230" spans="4:12" x14ac:dyDescent="0.2">
      <c r="D7230" s="341"/>
      <c r="F7230" s="343"/>
      <c r="G7230" s="343"/>
      <c r="H7230" s="343"/>
      <c r="I7230" s="343"/>
      <c r="J7230" s="343"/>
      <c r="K7230" s="343"/>
      <c r="L7230" s="343"/>
    </row>
    <row r="7231" spans="4:12" x14ac:dyDescent="0.2">
      <c r="D7231" s="341"/>
      <c r="F7231" s="343"/>
      <c r="G7231" s="343"/>
      <c r="H7231" s="343"/>
      <c r="I7231" s="343"/>
      <c r="J7231" s="343"/>
      <c r="K7231" s="343"/>
      <c r="L7231" s="343"/>
    </row>
    <row r="7232" spans="4:12" x14ac:dyDescent="0.2">
      <c r="D7232" s="341"/>
      <c r="F7232" s="343"/>
      <c r="G7232" s="343"/>
      <c r="H7232" s="343"/>
      <c r="I7232" s="343"/>
      <c r="J7232" s="343"/>
      <c r="K7232" s="343"/>
      <c r="L7232" s="343"/>
    </row>
    <row r="7233" spans="4:12" x14ac:dyDescent="0.2">
      <c r="D7233" s="341"/>
      <c r="F7233" s="343"/>
      <c r="G7233" s="343"/>
      <c r="H7233" s="343"/>
      <c r="I7233" s="343"/>
      <c r="J7233" s="343"/>
      <c r="K7233" s="343"/>
      <c r="L7233" s="343"/>
    </row>
    <row r="7234" spans="4:12" x14ac:dyDescent="0.2">
      <c r="D7234" s="341"/>
      <c r="F7234" s="343"/>
      <c r="G7234" s="343"/>
      <c r="H7234" s="343"/>
      <c r="I7234" s="343"/>
      <c r="J7234" s="343"/>
      <c r="K7234" s="343"/>
      <c r="L7234" s="343"/>
    </row>
    <row r="7235" spans="4:12" x14ac:dyDescent="0.2">
      <c r="D7235" s="341"/>
      <c r="F7235" s="343"/>
      <c r="G7235" s="343"/>
      <c r="H7235" s="343"/>
      <c r="I7235" s="343"/>
      <c r="J7235" s="343"/>
      <c r="K7235" s="343"/>
      <c r="L7235" s="343"/>
    </row>
    <row r="7236" spans="4:12" x14ac:dyDescent="0.2">
      <c r="D7236" s="341"/>
      <c r="F7236" s="343"/>
      <c r="G7236" s="343"/>
      <c r="H7236" s="343"/>
      <c r="I7236" s="343"/>
      <c r="J7236" s="343"/>
      <c r="K7236" s="343"/>
      <c r="L7236" s="343"/>
    </row>
    <row r="7237" spans="4:12" x14ac:dyDescent="0.2">
      <c r="D7237" s="341"/>
      <c r="F7237" s="343"/>
      <c r="G7237" s="343"/>
      <c r="H7237" s="343"/>
      <c r="I7237" s="343"/>
      <c r="J7237" s="343"/>
      <c r="K7237" s="343"/>
      <c r="L7237" s="343"/>
    </row>
    <row r="7238" spans="4:12" x14ac:dyDescent="0.2">
      <c r="D7238" s="341"/>
      <c r="F7238" s="343"/>
      <c r="G7238" s="343"/>
      <c r="H7238" s="343"/>
      <c r="I7238" s="343"/>
      <c r="J7238" s="343"/>
      <c r="K7238" s="343"/>
      <c r="L7238" s="343"/>
    </row>
    <row r="7239" spans="4:12" x14ac:dyDescent="0.2">
      <c r="D7239" s="341"/>
      <c r="F7239" s="343"/>
      <c r="G7239" s="343"/>
      <c r="H7239" s="343"/>
      <c r="I7239" s="343"/>
      <c r="J7239" s="343"/>
      <c r="K7239" s="343"/>
      <c r="L7239" s="343"/>
    </row>
    <row r="7240" spans="4:12" x14ac:dyDescent="0.2">
      <c r="D7240" s="341"/>
      <c r="F7240" s="343"/>
      <c r="G7240" s="343"/>
      <c r="H7240" s="343"/>
      <c r="I7240" s="343"/>
      <c r="J7240" s="343"/>
      <c r="K7240" s="343"/>
      <c r="L7240" s="343"/>
    </row>
    <row r="7241" spans="4:12" x14ac:dyDescent="0.2">
      <c r="D7241" s="341"/>
      <c r="F7241" s="343"/>
      <c r="G7241" s="343"/>
      <c r="H7241" s="343"/>
      <c r="I7241" s="343"/>
      <c r="J7241" s="343"/>
      <c r="K7241" s="343"/>
      <c r="L7241" s="343"/>
    </row>
    <row r="7242" spans="4:12" x14ac:dyDescent="0.2">
      <c r="D7242" s="341"/>
      <c r="F7242" s="343"/>
      <c r="G7242" s="343"/>
      <c r="H7242" s="343"/>
      <c r="I7242" s="343"/>
      <c r="J7242" s="343"/>
      <c r="K7242" s="343"/>
      <c r="L7242" s="343"/>
    </row>
    <row r="7243" spans="4:12" x14ac:dyDescent="0.2">
      <c r="D7243" s="341"/>
      <c r="F7243" s="343"/>
      <c r="G7243" s="343"/>
      <c r="H7243" s="343"/>
      <c r="I7243" s="343"/>
      <c r="J7243" s="343"/>
      <c r="K7243" s="343"/>
      <c r="L7243" s="343"/>
    </row>
    <row r="7244" spans="4:12" x14ac:dyDescent="0.2">
      <c r="D7244" s="341"/>
      <c r="F7244" s="343"/>
      <c r="G7244" s="343"/>
      <c r="H7244" s="343"/>
      <c r="I7244" s="343"/>
      <c r="J7244" s="343"/>
      <c r="K7244" s="343"/>
      <c r="L7244" s="343"/>
    </row>
    <row r="7245" spans="4:12" x14ac:dyDescent="0.2">
      <c r="D7245" s="341"/>
      <c r="F7245" s="343"/>
      <c r="G7245" s="343"/>
      <c r="H7245" s="343"/>
      <c r="I7245" s="343"/>
      <c r="J7245" s="343"/>
      <c r="K7245" s="343"/>
      <c r="L7245" s="343"/>
    </row>
    <row r="7246" spans="4:12" x14ac:dyDescent="0.2">
      <c r="D7246" s="341"/>
      <c r="F7246" s="343"/>
      <c r="G7246" s="343"/>
      <c r="H7246" s="343"/>
      <c r="I7246" s="343"/>
      <c r="J7246" s="343"/>
      <c r="K7246" s="343"/>
      <c r="L7246" s="343"/>
    </row>
    <row r="7247" spans="4:12" x14ac:dyDescent="0.2">
      <c r="D7247" s="341"/>
      <c r="F7247" s="343"/>
      <c r="G7247" s="343"/>
      <c r="H7247" s="343"/>
      <c r="I7247" s="343"/>
      <c r="J7247" s="343"/>
      <c r="K7247" s="343"/>
      <c r="L7247" s="343"/>
    </row>
    <row r="7248" spans="4:12" x14ac:dyDescent="0.2">
      <c r="D7248" s="341"/>
      <c r="F7248" s="343"/>
      <c r="G7248" s="343"/>
      <c r="H7248" s="343"/>
      <c r="I7248" s="343"/>
      <c r="J7248" s="343"/>
      <c r="K7248" s="343"/>
      <c r="L7248" s="343"/>
    </row>
    <row r="7249" spans="4:12" x14ac:dyDescent="0.2">
      <c r="D7249" s="341"/>
      <c r="F7249" s="343"/>
      <c r="G7249" s="343"/>
      <c r="H7249" s="343"/>
      <c r="I7249" s="343"/>
      <c r="J7249" s="343"/>
      <c r="K7249" s="343"/>
      <c r="L7249" s="343"/>
    </row>
    <row r="7250" spans="4:12" x14ac:dyDescent="0.2">
      <c r="D7250" s="341"/>
      <c r="F7250" s="343"/>
      <c r="G7250" s="343"/>
      <c r="H7250" s="343"/>
      <c r="I7250" s="343"/>
      <c r="J7250" s="343"/>
      <c r="K7250" s="343"/>
      <c r="L7250" s="343"/>
    </row>
    <row r="7251" spans="4:12" x14ac:dyDescent="0.2">
      <c r="D7251" s="341"/>
      <c r="F7251" s="343"/>
      <c r="G7251" s="343"/>
      <c r="H7251" s="343"/>
      <c r="I7251" s="343"/>
      <c r="J7251" s="343"/>
      <c r="K7251" s="343"/>
      <c r="L7251" s="343"/>
    </row>
    <row r="7252" spans="4:12" x14ac:dyDescent="0.2">
      <c r="D7252" s="341"/>
      <c r="F7252" s="343"/>
      <c r="G7252" s="343"/>
      <c r="H7252" s="343"/>
      <c r="I7252" s="343"/>
      <c r="J7252" s="343"/>
      <c r="K7252" s="343"/>
      <c r="L7252" s="343"/>
    </row>
    <row r="7253" spans="4:12" x14ac:dyDescent="0.2">
      <c r="D7253" s="341"/>
      <c r="F7253" s="343"/>
      <c r="G7253" s="343"/>
      <c r="H7253" s="343"/>
      <c r="I7253" s="343"/>
      <c r="J7253" s="343"/>
      <c r="K7253" s="343"/>
      <c r="L7253" s="343"/>
    </row>
    <row r="7254" spans="4:12" x14ac:dyDescent="0.2">
      <c r="D7254" s="341"/>
      <c r="F7254" s="343"/>
      <c r="G7254" s="343"/>
      <c r="H7254" s="343"/>
      <c r="I7254" s="343"/>
      <c r="J7254" s="343"/>
      <c r="K7254" s="343"/>
      <c r="L7254" s="343"/>
    </row>
    <row r="7255" spans="4:12" x14ac:dyDescent="0.2">
      <c r="D7255" s="341"/>
      <c r="F7255" s="343"/>
      <c r="G7255" s="343"/>
      <c r="H7255" s="343"/>
      <c r="I7255" s="343"/>
      <c r="J7255" s="343"/>
      <c r="K7255" s="343"/>
      <c r="L7255" s="343"/>
    </row>
    <row r="7256" spans="4:12" x14ac:dyDescent="0.2">
      <c r="D7256" s="341"/>
      <c r="F7256" s="343"/>
      <c r="G7256" s="343"/>
      <c r="H7256" s="343"/>
      <c r="I7256" s="343"/>
      <c r="J7256" s="343"/>
      <c r="K7256" s="343"/>
      <c r="L7256" s="343"/>
    </row>
    <row r="7257" spans="4:12" x14ac:dyDescent="0.2">
      <c r="D7257" s="341"/>
      <c r="F7257" s="343"/>
      <c r="G7257" s="343"/>
      <c r="H7257" s="343"/>
      <c r="I7257" s="343"/>
      <c r="J7257" s="343"/>
      <c r="K7257" s="343"/>
      <c r="L7257" s="343"/>
    </row>
    <row r="7258" spans="4:12" x14ac:dyDescent="0.2">
      <c r="D7258" s="341"/>
      <c r="F7258" s="343"/>
      <c r="G7258" s="343"/>
      <c r="H7258" s="343"/>
      <c r="I7258" s="343"/>
      <c r="J7258" s="343"/>
      <c r="K7258" s="343"/>
      <c r="L7258" s="343"/>
    </row>
    <row r="7259" spans="4:12" x14ac:dyDescent="0.2">
      <c r="D7259" s="341"/>
      <c r="F7259" s="343"/>
      <c r="G7259" s="343"/>
      <c r="H7259" s="343"/>
      <c r="I7259" s="343"/>
      <c r="J7259" s="343"/>
      <c r="K7259" s="343"/>
      <c r="L7259" s="343"/>
    </row>
    <row r="7260" spans="4:12" x14ac:dyDescent="0.2">
      <c r="D7260" s="341"/>
      <c r="F7260" s="343"/>
      <c r="G7260" s="343"/>
      <c r="H7260" s="343"/>
      <c r="I7260" s="343"/>
      <c r="J7260" s="343"/>
      <c r="K7260" s="343"/>
      <c r="L7260" s="343"/>
    </row>
    <row r="7261" spans="4:12" x14ac:dyDescent="0.2">
      <c r="D7261" s="341"/>
      <c r="F7261" s="343"/>
      <c r="G7261" s="343"/>
      <c r="H7261" s="343"/>
      <c r="I7261" s="343"/>
      <c r="J7261" s="343"/>
      <c r="K7261" s="343"/>
      <c r="L7261" s="343"/>
    </row>
    <row r="7262" spans="4:12" x14ac:dyDescent="0.2">
      <c r="D7262" s="341"/>
      <c r="F7262" s="343"/>
      <c r="G7262" s="343"/>
      <c r="H7262" s="343"/>
      <c r="I7262" s="343"/>
      <c r="J7262" s="343"/>
      <c r="K7262" s="343"/>
      <c r="L7262" s="343"/>
    </row>
    <row r="7263" spans="4:12" x14ac:dyDescent="0.2">
      <c r="D7263" s="341"/>
      <c r="F7263" s="343"/>
      <c r="G7263" s="343"/>
      <c r="H7263" s="343"/>
      <c r="I7263" s="343"/>
      <c r="J7263" s="343"/>
      <c r="K7263" s="343"/>
      <c r="L7263" s="343"/>
    </row>
    <row r="7264" spans="4:12" x14ac:dyDescent="0.2">
      <c r="D7264" s="341"/>
      <c r="F7264" s="343"/>
      <c r="G7264" s="343"/>
      <c r="H7264" s="343"/>
      <c r="I7264" s="343"/>
      <c r="J7264" s="343"/>
      <c r="K7264" s="343"/>
      <c r="L7264" s="343"/>
    </row>
    <row r="7265" spans="4:12" x14ac:dyDescent="0.2">
      <c r="D7265" s="341"/>
      <c r="F7265" s="343"/>
      <c r="G7265" s="343"/>
      <c r="H7265" s="343"/>
      <c r="I7265" s="343"/>
      <c r="J7265" s="343"/>
      <c r="K7265" s="343"/>
      <c r="L7265" s="343"/>
    </row>
    <row r="7266" spans="4:12" x14ac:dyDescent="0.2">
      <c r="D7266" s="341"/>
      <c r="F7266" s="343"/>
      <c r="G7266" s="343"/>
      <c r="H7266" s="343"/>
      <c r="I7266" s="343"/>
      <c r="J7266" s="343"/>
      <c r="K7266" s="343"/>
      <c r="L7266" s="343"/>
    </row>
    <row r="7267" spans="4:12" x14ac:dyDescent="0.2">
      <c r="D7267" s="341"/>
      <c r="F7267" s="343"/>
      <c r="G7267" s="343"/>
      <c r="H7267" s="343"/>
      <c r="I7267" s="343"/>
      <c r="J7267" s="343"/>
      <c r="K7267" s="343"/>
      <c r="L7267" s="343"/>
    </row>
    <row r="7268" spans="4:12" x14ac:dyDescent="0.2">
      <c r="D7268" s="341"/>
      <c r="F7268" s="343"/>
      <c r="G7268" s="343"/>
      <c r="H7268" s="343"/>
      <c r="I7268" s="343"/>
      <c r="J7268" s="343"/>
      <c r="K7268" s="343"/>
      <c r="L7268" s="343"/>
    </row>
    <row r="7269" spans="4:12" x14ac:dyDescent="0.2">
      <c r="D7269" s="341"/>
      <c r="F7269" s="343"/>
      <c r="G7269" s="343"/>
      <c r="H7269" s="343"/>
      <c r="I7269" s="343"/>
      <c r="J7269" s="343"/>
      <c r="K7269" s="343"/>
      <c r="L7269" s="343"/>
    </row>
    <row r="7270" spans="4:12" x14ac:dyDescent="0.2">
      <c r="D7270" s="341"/>
      <c r="F7270" s="343"/>
      <c r="G7270" s="343"/>
      <c r="H7270" s="343"/>
      <c r="I7270" s="343"/>
      <c r="J7270" s="343"/>
      <c r="K7270" s="343"/>
      <c r="L7270" s="343"/>
    </row>
    <row r="7271" spans="4:12" x14ac:dyDescent="0.2">
      <c r="D7271" s="341"/>
      <c r="F7271" s="343"/>
      <c r="G7271" s="343"/>
      <c r="H7271" s="343"/>
      <c r="I7271" s="343"/>
      <c r="J7271" s="343"/>
      <c r="K7271" s="343"/>
      <c r="L7271" s="343"/>
    </row>
    <row r="7272" spans="4:12" x14ac:dyDescent="0.2">
      <c r="D7272" s="341"/>
      <c r="F7272" s="343"/>
      <c r="G7272" s="343"/>
      <c r="H7272" s="343"/>
      <c r="I7272" s="343"/>
      <c r="J7272" s="343"/>
      <c r="K7272" s="343"/>
      <c r="L7272" s="343"/>
    </row>
    <row r="7273" spans="4:12" x14ac:dyDescent="0.2">
      <c r="D7273" s="341"/>
      <c r="F7273" s="343"/>
      <c r="G7273" s="343"/>
      <c r="H7273" s="343"/>
      <c r="I7273" s="343"/>
      <c r="J7273" s="343"/>
      <c r="K7273" s="343"/>
      <c r="L7273" s="343"/>
    </row>
    <row r="7274" spans="4:12" x14ac:dyDescent="0.2">
      <c r="D7274" s="341"/>
      <c r="F7274" s="343"/>
      <c r="G7274" s="343"/>
      <c r="H7274" s="343"/>
      <c r="I7274" s="343"/>
      <c r="J7274" s="343"/>
      <c r="K7274" s="343"/>
      <c r="L7274" s="343"/>
    </row>
    <row r="7275" spans="4:12" x14ac:dyDescent="0.2">
      <c r="D7275" s="341"/>
      <c r="F7275" s="343"/>
      <c r="G7275" s="343"/>
      <c r="H7275" s="343"/>
      <c r="I7275" s="343"/>
      <c r="J7275" s="343"/>
      <c r="K7275" s="343"/>
      <c r="L7275" s="343"/>
    </row>
    <row r="7276" spans="4:12" x14ac:dyDescent="0.2">
      <c r="D7276" s="341"/>
      <c r="F7276" s="343"/>
      <c r="G7276" s="343"/>
      <c r="H7276" s="343"/>
      <c r="I7276" s="343"/>
      <c r="J7276" s="343"/>
      <c r="K7276" s="343"/>
      <c r="L7276" s="343"/>
    </row>
    <row r="7277" spans="4:12" x14ac:dyDescent="0.2">
      <c r="D7277" s="341"/>
      <c r="F7277" s="343"/>
      <c r="G7277" s="343"/>
      <c r="H7277" s="343"/>
      <c r="I7277" s="343"/>
      <c r="J7277" s="343"/>
      <c r="K7277" s="343"/>
      <c r="L7277" s="343"/>
    </row>
    <row r="7278" spans="4:12" x14ac:dyDescent="0.2">
      <c r="D7278" s="341"/>
      <c r="F7278" s="343"/>
      <c r="G7278" s="343"/>
      <c r="H7278" s="343"/>
      <c r="I7278" s="343"/>
      <c r="J7278" s="343"/>
      <c r="K7278" s="343"/>
      <c r="L7278" s="343"/>
    </row>
    <row r="7279" spans="4:12" x14ac:dyDescent="0.2">
      <c r="D7279" s="341"/>
      <c r="F7279" s="343"/>
      <c r="G7279" s="343"/>
      <c r="H7279" s="343"/>
      <c r="I7279" s="343"/>
      <c r="J7279" s="343"/>
      <c r="K7279" s="343"/>
      <c r="L7279" s="343"/>
    </row>
    <row r="7280" spans="4:12" x14ac:dyDescent="0.2">
      <c r="D7280" s="341"/>
      <c r="F7280" s="343"/>
      <c r="G7280" s="343"/>
      <c r="H7280" s="343"/>
      <c r="I7280" s="343"/>
      <c r="J7280" s="343"/>
      <c r="K7280" s="343"/>
      <c r="L7280" s="343"/>
    </row>
    <row r="7281" spans="4:12" x14ac:dyDescent="0.2">
      <c r="D7281" s="341"/>
      <c r="F7281" s="343"/>
      <c r="G7281" s="343"/>
      <c r="H7281" s="343"/>
      <c r="I7281" s="343"/>
      <c r="J7281" s="343"/>
      <c r="K7281" s="343"/>
      <c r="L7281" s="343"/>
    </row>
    <row r="7282" spans="4:12" x14ac:dyDescent="0.2">
      <c r="D7282" s="341"/>
      <c r="F7282" s="343"/>
      <c r="G7282" s="343"/>
      <c r="H7282" s="343"/>
      <c r="I7282" s="343"/>
      <c r="J7282" s="343"/>
      <c r="K7282" s="343"/>
      <c r="L7282" s="343"/>
    </row>
    <row r="7283" spans="4:12" x14ac:dyDescent="0.2">
      <c r="D7283" s="341"/>
      <c r="F7283" s="343"/>
      <c r="G7283" s="343"/>
      <c r="H7283" s="343"/>
      <c r="I7283" s="343"/>
      <c r="J7283" s="343"/>
      <c r="K7283" s="343"/>
      <c r="L7283" s="343"/>
    </row>
    <row r="7284" spans="4:12" x14ac:dyDescent="0.2">
      <c r="D7284" s="341"/>
      <c r="F7284" s="343"/>
      <c r="G7284" s="343"/>
      <c r="H7284" s="343"/>
      <c r="I7284" s="343"/>
      <c r="J7284" s="343"/>
      <c r="K7284" s="343"/>
      <c r="L7284" s="343"/>
    </row>
    <row r="7285" spans="4:12" x14ac:dyDescent="0.2">
      <c r="D7285" s="341"/>
      <c r="F7285" s="343"/>
      <c r="G7285" s="343"/>
      <c r="H7285" s="343"/>
      <c r="I7285" s="343"/>
      <c r="J7285" s="343"/>
      <c r="K7285" s="343"/>
      <c r="L7285" s="343"/>
    </row>
    <row r="7286" spans="4:12" x14ac:dyDescent="0.2">
      <c r="D7286" s="341"/>
      <c r="F7286" s="343"/>
      <c r="G7286" s="343"/>
      <c r="H7286" s="343"/>
      <c r="I7286" s="343"/>
      <c r="J7286" s="343"/>
      <c r="K7286" s="343"/>
      <c r="L7286" s="343"/>
    </row>
    <row r="7287" spans="4:12" x14ac:dyDescent="0.2">
      <c r="D7287" s="341"/>
      <c r="F7287" s="343"/>
      <c r="G7287" s="343"/>
      <c r="H7287" s="343"/>
      <c r="I7287" s="343"/>
      <c r="J7287" s="343"/>
      <c r="K7287" s="343"/>
      <c r="L7287" s="343"/>
    </row>
    <row r="7288" spans="4:12" x14ac:dyDescent="0.2">
      <c r="D7288" s="341"/>
      <c r="F7288" s="343"/>
      <c r="G7288" s="343"/>
      <c r="H7288" s="343"/>
      <c r="I7288" s="343"/>
      <c r="J7288" s="343"/>
      <c r="K7288" s="343"/>
      <c r="L7288" s="343"/>
    </row>
    <row r="7289" spans="4:12" x14ac:dyDescent="0.2">
      <c r="D7289" s="341"/>
      <c r="F7289" s="343"/>
      <c r="G7289" s="343"/>
      <c r="H7289" s="343"/>
      <c r="I7289" s="343"/>
      <c r="J7289" s="343"/>
      <c r="K7289" s="343"/>
      <c r="L7289" s="343"/>
    </row>
    <row r="7290" spans="4:12" x14ac:dyDescent="0.2">
      <c r="D7290" s="341"/>
      <c r="F7290" s="343"/>
      <c r="G7290" s="343"/>
      <c r="H7290" s="343"/>
      <c r="I7290" s="343"/>
      <c r="J7290" s="343"/>
      <c r="K7290" s="343"/>
      <c r="L7290" s="343"/>
    </row>
    <row r="7291" spans="4:12" x14ac:dyDescent="0.2">
      <c r="D7291" s="341"/>
      <c r="F7291" s="343"/>
      <c r="G7291" s="343"/>
      <c r="H7291" s="343"/>
      <c r="I7291" s="343"/>
      <c r="J7291" s="343"/>
      <c r="K7291" s="343"/>
      <c r="L7291" s="343"/>
    </row>
    <row r="7292" spans="4:12" x14ac:dyDescent="0.2">
      <c r="D7292" s="341"/>
      <c r="F7292" s="343"/>
      <c r="G7292" s="343"/>
      <c r="H7292" s="343"/>
      <c r="I7292" s="343"/>
      <c r="J7292" s="343"/>
      <c r="K7292" s="343"/>
      <c r="L7292" s="343"/>
    </row>
    <row r="7293" spans="4:12" x14ac:dyDescent="0.2">
      <c r="D7293" s="341"/>
      <c r="F7293" s="343"/>
      <c r="G7293" s="343"/>
      <c r="H7293" s="343"/>
      <c r="I7293" s="343"/>
      <c r="J7293" s="343"/>
      <c r="K7293" s="343"/>
      <c r="L7293" s="343"/>
    </row>
    <row r="7294" spans="4:12" x14ac:dyDescent="0.2">
      <c r="D7294" s="341"/>
      <c r="F7294" s="343"/>
      <c r="G7294" s="343"/>
      <c r="H7294" s="343"/>
      <c r="I7294" s="343"/>
      <c r="J7294" s="343"/>
      <c r="K7294" s="343"/>
      <c r="L7294" s="343"/>
    </row>
    <row r="7295" spans="4:12" x14ac:dyDescent="0.2">
      <c r="D7295" s="341"/>
      <c r="F7295" s="343"/>
      <c r="G7295" s="343"/>
      <c r="H7295" s="343"/>
      <c r="I7295" s="343"/>
      <c r="J7295" s="343"/>
      <c r="K7295" s="343"/>
      <c r="L7295" s="343"/>
    </row>
    <row r="7296" spans="4:12" x14ac:dyDescent="0.2">
      <c r="D7296" s="341"/>
      <c r="F7296" s="343"/>
      <c r="G7296" s="343"/>
      <c r="H7296" s="343"/>
      <c r="I7296" s="343"/>
      <c r="J7296" s="343"/>
      <c r="K7296" s="343"/>
      <c r="L7296" s="343"/>
    </row>
    <row r="7297" spans="4:12" x14ac:dyDescent="0.2">
      <c r="D7297" s="341"/>
      <c r="F7297" s="343"/>
      <c r="G7297" s="343"/>
      <c r="H7297" s="343"/>
      <c r="I7297" s="343"/>
      <c r="J7297" s="343"/>
      <c r="K7297" s="343"/>
      <c r="L7297" s="343"/>
    </row>
    <row r="7298" spans="4:12" x14ac:dyDescent="0.2">
      <c r="D7298" s="341"/>
      <c r="F7298" s="343"/>
      <c r="G7298" s="343"/>
      <c r="H7298" s="343"/>
      <c r="I7298" s="343"/>
      <c r="J7298" s="343"/>
      <c r="K7298" s="343"/>
      <c r="L7298" s="343"/>
    </row>
    <row r="7299" spans="4:12" x14ac:dyDescent="0.2">
      <c r="D7299" s="341"/>
      <c r="F7299" s="343"/>
      <c r="G7299" s="343"/>
      <c r="H7299" s="343"/>
      <c r="I7299" s="343"/>
      <c r="J7299" s="343"/>
      <c r="K7299" s="343"/>
      <c r="L7299" s="343"/>
    </row>
    <row r="7300" spans="4:12" x14ac:dyDescent="0.2">
      <c r="D7300" s="341"/>
      <c r="F7300" s="343"/>
      <c r="G7300" s="343"/>
      <c r="H7300" s="343"/>
      <c r="I7300" s="343"/>
      <c r="J7300" s="343"/>
      <c r="K7300" s="343"/>
      <c r="L7300" s="343"/>
    </row>
    <row r="7301" spans="4:12" x14ac:dyDescent="0.2">
      <c r="D7301" s="341"/>
      <c r="F7301" s="343"/>
      <c r="G7301" s="343"/>
      <c r="H7301" s="343"/>
      <c r="I7301" s="343"/>
      <c r="J7301" s="343"/>
      <c r="K7301" s="343"/>
      <c r="L7301" s="343"/>
    </row>
    <row r="7302" spans="4:12" x14ac:dyDescent="0.2">
      <c r="D7302" s="341"/>
      <c r="F7302" s="343"/>
      <c r="G7302" s="343"/>
      <c r="H7302" s="343"/>
      <c r="I7302" s="343"/>
      <c r="J7302" s="343"/>
      <c r="K7302" s="343"/>
      <c r="L7302" s="343"/>
    </row>
    <row r="7303" spans="4:12" x14ac:dyDescent="0.2">
      <c r="D7303" s="341"/>
      <c r="F7303" s="343"/>
      <c r="G7303" s="343"/>
      <c r="H7303" s="343"/>
      <c r="I7303" s="343"/>
      <c r="J7303" s="343"/>
      <c r="K7303" s="343"/>
      <c r="L7303" s="343"/>
    </row>
    <row r="7304" spans="4:12" x14ac:dyDescent="0.2">
      <c r="D7304" s="341"/>
      <c r="F7304" s="343"/>
      <c r="G7304" s="343"/>
      <c r="H7304" s="343"/>
      <c r="I7304" s="343"/>
      <c r="J7304" s="343"/>
      <c r="K7304" s="343"/>
      <c r="L7304" s="343"/>
    </row>
    <row r="7305" spans="4:12" x14ac:dyDescent="0.2">
      <c r="D7305" s="341"/>
      <c r="F7305" s="343"/>
      <c r="G7305" s="343"/>
      <c r="H7305" s="343"/>
      <c r="I7305" s="343"/>
      <c r="J7305" s="343"/>
      <c r="K7305" s="343"/>
      <c r="L7305" s="343"/>
    </row>
    <row r="7306" spans="4:12" x14ac:dyDescent="0.2">
      <c r="D7306" s="341"/>
      <c r="F7306" s="343"/>
      <c r="G7306" s="343"/>
      <c r="H7306" s="343"/>
      <c r="I7306" s="343"/>
      <c r="J7306" s="343"/>
      <c r="K7306" s="343"/>
      <c r="L7306" s="343"/>
    </row>
    <row r="7307" spans="4:12" x14ac:dyDescent="0.2">
      <c r="D7307" s="341"/>
      <c r="F7307" s="343"/>
      <c r="G7307" s="343"/>
      <c r="H7307" s="343"/>
      <c r="I7307" s="343"/>
      <c r="J7307" s="343"/>
      <c r="K7307" s="343"/>
      <c r="L7307" s="343"/>
    </row>
    <row r="7308" spans="4:12" x14ac:dyDescent="0.2">
      <c r="D7308" s="341"/>
      <c r="F7308" s="343"/>
      <c r="G7308" s="343"/>
      <c r="H7308" s="343"/>
      <c r="I7308" s="343"/>
      <c r="J7308" s="343"/>
      <c r="K7308" s="343"/>
      <c r="L7308" s="343"/>
    </row>
    <row r="7309" spans="4:12" x14ac:dyDescent="0.2">
      <c r="D7309" s="341"/>
      <c r="F7309" s="343"/>
      <c r="G7309" s="343"/>
      <c r="H7309" s="343"/>
      <c r="I7309" s="343"/>
      <c r="J7309" s="343"/>
      <c r="K7309" s="343"/>
      <c r="L7309" s="343"/>
    </row>
    <row r="7310" spans="4:12" x14ac:dyDescent="0.2">
      <c r="D7310" s="341"/>
      <c r="F7310" s="343"/>
      <c r="G7310" s="343"/>
      <c r="H7310" s="343"/>
      <c r="I7310" s="343"/>
      <c r="J7310" s="343"/>
      <c r="K7310" s="343"/>
      <c r="L7310" s="343"/>
    </row>
    <row r="7311" spans="4:12" x14ac:dyDescent="0.2">
      <c r="D7311" s="341"/>
      <c r="F7311" s="343"/>
      <c r="G7311" s="343"/>
      <c r="H7311" s="343"/>
      <c r="I7311" s="343"/>
      <c r="J7311" s="343"/>
      <c r="K7311" s="343"/>
      <c r="L7311" s="343"/>
    </row>
    <row r="7312" spans="4:12" x14ac:dyDescent="0.2">
      <c r="D7312" s="341"/>
      <c r="F7312" s="343"/>
      <c r="G7312" s="343"/>
      <c r="H7312" s="343"/>
      <c r="I7312" s="343"/>
      <c r="J7312" s="343"/>
      <c r="K7312" s="343"/>
      <c r="L7312" s="343"/>
    </row>
    <row r="7313" spans="4:12" x14ac:dyDescent="0.2">
      <c r="D7313" s="341"/>
      <c r="F7313" s="343"/>
      <c r="G7313" s="343"/>
      <c r="H7313" s="343"/>
      <c r="I7313" s="343"/>
      <c r="J7313" s="343"/>
      <c r="K7313" s="343"/>
      <c r="L7313" s="343"/>
    </row>
    <row r="7314" spans="4:12" x14ac:dyDescent="0.2">
      <c r="D7314" s="341"/>
      <c r="F7314" s="343"/>
      <c r="G7314" s="343"/>
      <c r="H7314" s="343"/>
      <c r="I7314" s="343"/>
      <c r="J7314" s="343"/>
      <c r="K7314" s="343"/>
      <c r="L7314" s="343"/>
    </row>
    <row r="7315" spans="4:12" x14ac:dyDescent="0.2">
      <c r="D7315" s="341"/>
      <c r="F7315" s="343"/>
      <c r="G7315" s="343"/>
      <c r="H7315" s="343"/>
      <c r="I7315" s="343"/>
      <c r="J7315" s="343"/>
      <c r="K7315" s="343"/>
      <c r="L7315" s="343"/>
    </row>
    <row r="7316" spans="4:12" x14ac:dyDescent="0.2">
      <c r="D7316" s="341"/>
      <c r="F7316" s="343"/>
      <c r="G7316" s="343"/>
      <c r="H7316" s="343"/>
      <c r="I7316" s="343"/>
      <c r="J7316" s="343"/>
      <c r="K7316" s="343"/>
      <c r="L7316" s="343"/>
    </row>
    <row r="7317" spans="4:12" x14ac:dyDescent="0.2">
      <c r="D7317" s="341"/>
      <c r="F7317" s="343"/>
      <c r="G7317" s="343"/>
      <c r="H7317" s="343"/>
      <c r="I7317" s="343"/>
      <c r="J7317" s="343"/>
      <c r="K7317" s="343"/>
      <c r="L7317" s="343"/>
    </row>
    <row r="7318" spans="4:12" x14ac:dyDescent="0.2">
      <c r="D7318" s="341"/>
      <c r="F7318" s="343"/>
      <c r="G7318" s="343"/>
      <c r="H7318" s="343"/>
      <c r="I7318" s="343"/>
      <c r="J7318" s="343"/>
      <c r="K7318" s="343"/>
      <c r="L7318" s="343"/>
    </row>
    <row r="7319" spans="4:12" x14ac:dyDescent="0.2">
      <c r="D7319" s="341"/>
      <c r="F7319" s="343"/>
      <c r="G7319" s="343"/>
      <c r="H7319" s="343"/>
      <c r="I7319" s="343"/>
      <c r="J7319" s="343"/>
      <c r="K7319" s="343"/>
      <c r="L7319" s="343"/>
    </row>
    <row r="7320" spans="4:12" x14ac:dyDescent="0.2">
      <c r="D7320" s="341"/>
      <c r="F7320" s="343"/>
      <c r="G7320" s="343"/>
      <c r="H7320" s="343"/>
      <c r="I7320" s="343"/>
      <c r="J7320" s="343"/>
      <c r="K7320" s="343"/>
      <c r="L7320" s="343"/>
    </row>
    <row r="7321" spans="4:12" x14ac:dyDescent="0.2">
      <c r="D7321" s="341"/>
      <c r="F7321" s="343"/>
      <c r="G7321" s="343"/>
      <c r="H7321" s="343"/>
      <c r="I7321" s="343"/>
      <c r="J7321" s="343"/>
      <c r="K7321" s="343"/>
      <c r="L7321" s="343"/>
    </row>
    <row r="7322" spans="4:12" x14ac:dyDescent="0.2">
      <c r="D7322" s="341"/>
      <c r="F7322" s="343"/>
      <c r="G7322" s="343"/>
      <c r="H7322" s="343"/>
      <c r="I7322" s="343"/>
      <c r="J7322" s="343"/>
      <c r="K7322" s="343"/>
      <c r="L7322" s="343"/>
    </row>
    <row r="7323" spans="4:12" x14ac:dyDescent="0.2">
      <c r="D7323" s="341"/>
      <c r="F7323" s="343"/>
      <c r="G7323" s="343"/>
      <c r="H7323" s="343"/>
      <c r="I7323" s="343"/>
      <c r="J7323" s="343"/>
      <c r="K7323" s="343"/>
      <c r="L7323" s="343"/>
    </row>
    <row r="7324" spans="4:12" x14ac:dyDescent="0.2">
      <c r="D7324" s="341"/>
      <c r="F7324" s="343"/>
      <c r="G7324" s="343"/>
      <c r="H7324" s="343"/>
      <c r="I7324" s="343"/>
      <c r="J7324" s="343"/>
      <c r="K7324" s="343"/>
      <c r="L7324" s="343"/>
    </row>
    <row r="7325" spans="4:12" x14ac:dyDescent="0.2">
      <c r="D7325" s="341"/>
      <c r="F7325" s="343"/>
      <c r="G7325" s="343"/>
      <c r="H7325" s="343"/>
      <c r="I7325" s="343"/>
      <c r="J7325" s="343"/>
      <c r="K7325" s="343"/>
      <c r="L7325" s="343"/>
    </row>
    <row r="7326" spans="4:12" x14ac:dyDescent="0.2">
      <c r="D7326" s="341"/>
      <c r="F7326" s="343"/>
      <c r="G7326" s="343"/>
      <c r="H7326" s="343"/>
      <c r="I7326" s="343"/>
      <c r="J7326" s="343"/>
      <c r="K7326" s="343"/>
      <c r="L7326" s="343"/>
    </row>
    <row r="7327" spans="4:12" x14ac:dyDescent="0.2">
      <c r="D7327" s="341"/>
      <c r="F7327" s="343"/>
      <c r="G7327" s="343"/>
      <c r="H7327" s="343"/>
      <c r="I7327" s="343"/>
      <c r="J7327" s="343"/>
      <c r="K7327" s="343"/>
      <c r="L7327" s="343"/>
    </row>
    <row r="7328" spans="4:12" x14ac:dyDescent="0.2">
      <c r="D7328" s="341"/>
      <c r="F7328" s="343"/>
      <c r="G7328" s="343"/>
      <c r="H7328" s="343"/>
      <c r="I7328" s="343"/>
      <c r="J7328" s="343"/>
      <c r="K7328" s="343"/>
      <c r="L7328" s="343"/>
    </row>
    <row r="7329" spans="4:12" x14ac:dyDescent="0.2">
      <c r="D7329" s="341"/>
      <c r="F7329" s="343"/>
      <c r="G7329" s="343"/>
      <c r="H7329" s="343"/>
      <c r="I7329" s="343"/>
      <c r="J7329" s="343"/>
      <c r="K7329" s="343"/>
      <c r="L7329" s="343"/>
    </row>
    <row r="7330" spans="4:12" x14ac:dyDescent="0.2">
      <c r="D7330" s="341"/>
      <c r="F7330" s="343"/>
      <c r="G7330" s="343"/>
      <c r="H7330" s="343"/>
      <c r="I7330" s="343"/>
      <c r="J7330" s="343"/>
      <c r="K7330" s="343"/>
      <c r="L7330" s="343"/>
    </row>
    <row r="7331" spans="4:12" x14ac:dyDescent="0.2">
      <c r="D7331" s="341"/>
      <c r="F7331" s="343"/>
      <c r="G7331" s="343"/>
      <c r="H7331" s="343"/>
      <c r="I7331" s="343"/>
      <c r="J7331" s="343"/>
      <c r="K7331" s="343"/>
      <c r="L7331" s="343"/>
    </row>
    <row r="7332" spans="4:12" x14ac:dyDescent="0.2">
      <c r="D7332" s="341"/>
      <c r="F7332" s="343"/>
      <c r="G7332" s="343"/>
      <c r="H7332" s="343"/>
      <c r="I7332" s="343"/>
      <c r="J7332" s="343"/>
      <c r="K7332" s="343"/>
      <c r="L7332" s="343"/>
    </row>
    <row r="7333" spans="4:12" x14ac:dyDescent="0.2">
      <c r="D7333" s="341"/>
      <c r="F7333" s="343"/>
      <c r="G7333" s="343"/>
      <c r="H7333" s="343"/>
      <c r="I7333" s="343"/>
      <c r="J7333" s="343"/>
      <c r="K7333" s="343"/>
      <c r="L7333" s="343"/>
    </row>
    <row r="7334" spans="4:12" x14ac:dyDescent="0.2">
      <c r="D7334" s="341"/>
      <c r="F7334" s="343"/>
      <c r="G7334" s="343"/>
      <c r="H7334" s="343"/>
      <c r="I7334" s="343"/>
      <c r="J7334" s="343"/>
      <c r="K7334" s="343"/>
      <c r="L7334" s="343"/>
    </row>
    <row r="7335" spans="4:12" x14ac:dyDescent="0.2">
      <c r="D7335" s="341"/>
      <c r="F7335" s="343"/>
      <c r="G7335" s="343"/>
      <c r="H7335" s="343"/>
      <c r="I7335" s="343"/>
      <c r="J7335" s="343"/>
      <c r="K7335" s="343"/>
      <c r="L7335" s="343"/>
    </row>
    <row r="7336" spans="4:12" x14ac:dyDescent="0.2">
      <c r="D7336" s="341"/>
      <c r="F7336" s="343"/>
      <c r="G7336" s="343"/>
      <c r="H7336" s="343"/>
      <c r="I7336" s="343"/>
      <c r="J7336" s="343"/>
      <c r="K7336" s="343"/>
      <c r="L7336" s="343"/>
    </row>
    <row r="7337" spans="4:12" x14ac:dyDescent="0.2">
      <c r="D7337" s="341"/>
      <c r="F7337" s="343"/>
      <c r="G7337" s="343"/>
      <c r="H7337" s="343"/>
      <c r="I7337" s="343"/>
      <c r="J7337" s="343"/>
      <c r="K7337" s="343"/>
      <c r="L7337" s="343"/>
    </row>
    <row r="7338" spans="4:12" x14ac:dyDescent="0.2">
      <c r="D7338" s="341"/>
      <c r="F7338" s="343"/>
      <c r="G7338" s="343"/>
      <c r="H7338" s="343"/>
      <c r="I7338" s="343"/>
      <c r="J7338" s="343"/>
      <c r="K7338" s="343"/>
      <c r="L7338" s="343"/>
    </row>
    <row r="7339" spans="4:12" x14ac:dyDescent="0.2">
      <c r="D7339" s="341"/>
      <c r="F7339" s="343"/>
      <c r="G7339" s="343"/>
      <c r="H7339" s="343"/>
      <c r="I7339" s="343"/>
      <c r="J7339" s="343"/>
      <c r="K7339" s="343"/>
      <c r="L7339" s="343"/>
    </row>
    <row r="7340" spans="4:12" x14ac:dyDescent="0.2">
      <c r="D7340" s="341"/>
      <c r="F7340" s="343"/>
      <c r="G7340" s="343"/>
      <c r="H7340" s="343"/>
      <c r="I7340" s="343"/>
      <c r="J7340" s="343"/>
      <c r="K7340" s="343"/>
      <c r="L7340" s="343"/>
    </row>
    <row r="7341" spans="4:12" x14ac:dyDescent="0.2">
      <c r="D7341" s="341"/>
      <c r="F7341" s="343"/>
      <c r="G7341" s="343"/>
      <c r="H7341" s="343"/>
      <c r="I7341" s="343"/>
      <c r="J7341" s="343"/>
      <c r="K7341" s="343"/>
      <c r="L7341" s="343"/>
    </row>
    <row r="7342" spans="4:12" x14ac:dyDescent="0.2">
      <c r="D7342" s="341"/>
      <c r="F7342" s="343"/>
      <c r="G7342" s="343"/>
      <c r="H7342" s="343"/>
      <c r="I7342" s="343"/>
      <c r="J7342" s="343"/>
      <c r="K7342" s="343"/>
      <c r="L7342" s="343"/>
    </row>
    <row r="7343" spans="4:12" x14ac:dyDescent="0.2">
      <c r="D7343" s="341"/>
      <c r="F7343" s="343"/>
      <c r="G7343" s="343"/>
      <c r="H7343" s="343"/>
      <c r="I7343" s="343"/>
      <c r="J7343" s="343"/>
      <c r="K7343" s="343"/>
      <c r="L7343" s="343"/>
    </row>
    <row r="7344" spans="4:12" x14ac:dyDescent="0.2">
      <c r="D7344" s="341"/>
      <c r="F7344" s="343"/>
      <c r="G7344" s="343"/>
      <c r="H7344" s="343"/>
      <c r="I7344" s="343"/>
      <c r="J7344" s="343"/>
      <c r="K7344" s="343"/>
      <c r="L7344" s="343"/>
    </row>
    <row r="7345" spans="4:12" x14ac:dyDescent="0.2">
      <c r="D7345" s="341"/>
      <c r="F7345" s="343"/>
      <c r="G7345" s="343"/>
      <c r="H7345" s="343"/>
      <c r="I7345" s="343"/>
      <c r="J7345" s="343"/>
      <c r="K7345" s="343"/>
      <c r="L7345" s="343"/>
    </row>
    <row r="7346" spans="4:12" x14ac:dyDescent="0.2">
      <c r="D7346" s="341"/>
      <c r="F7346" s="343"/>
      <c r="G7346" s="343"/>
      <c r="H7346" s="343"/>
      <c r="I7346" s="343"/>
      <c r="J7346" s="343"/>
      <c r="K7346" s="343"/>
      <c r="L7346" s="343"/>
    </row>
    <row r="7347" spans="4:12" x14ac:dyDescent="0.2">
      <c r="D7347" s="341"/>
      <c r="F7347" s="343"/>
      <c r="G7347" s="343"/>
      <c r="H7347" s="343"/>
      <c r="I7347" s="343"/>
      <c r="J7347" s="343"/>
      <c r="K7347" s="343"/>
      <c r="L7347" s="343"/>
    </row>
    <row r="7348" spans="4:12" x14ac:dyDescent="0.2">
      <c r="D7348" s="341"/>
      <c r="F7348" s="343"/>
      <c r="G7348" s="343"/>
      <c r="H7348" s="343"/>
      <c r="I7348" s="343"/>
      <c r="J7348" s="343"/>
      <c r="K7348" s="343"/>
      <c r="L7348" s="343"/>
    </row>
    <row r="7349" spans="4:12" x14ac:dyDescent="0.2">
      <c r="D7349" s="341"/>
      <c r="F7349" s="343"/>
      <c r="G7349" s="343"/>
      <c r="H7349" s="343"/>
      <c r="I7349" s="343"/>
      <c r="J7349" s="343"/>
      <c r="K7349" s="343"/>
      <c r="L7349" s="343"/>
    </row>
    <row r="7350" spans="4:12" x14ac:dyDescent="0.2">
      <c r="D7350" s="341"/>
      <c r="F7350" s="343"/>
      <c r="G7350" s="343"/>
      <c r="H7350" s="343"/>
      <c r="I7350" s="343"/>
      <c r="J7350" s="343"/>
      <c r="K7350" s="343"/>
      <c r="L7350" s="343"/>
    </row>
    <row r="7351" spans="4:12" x14ac:dyDescent="0.2">
      <c r="D7351" s="341"/>
      <c r="F7351" s="343"/>
      <c r="G7351" s="343"/>
      <c r="H7351" s="343"/>
      <c r="I7351" s="343"/>
      <c r="J7351" s="343"/>
      <c r="K7351" s="343"/>
      <c r="L7351" s="343"/>
    </row>
    <row r="7352" spans="4:12" x14ac:dyDescent="0.2">
      <c r="D7352" s="341"/>
      <c r="F7352" s="343"/>
      <c r="G7352" s="343"/>
      <c r="H7352" s="343"/>
      <c r="I7352" s="343"/>
      <c r="J7352" s="343"/>
      <c r="K7352" s="343"/>
      <c r="L7352" s="343"/>
    </row>
    <row r="7353" spans="4:12" x14ac:dyDescent="0.2">
      <c r="D7353" s="341"/>
      <c r="F7353" s="343"/>
      <c r="G7353" s="343"/>
      <c r="H7353" s="343"/>
      <c r="I7353" s="343"/>
      <c r="J7353" s="343"/>
      <c r="K7353" s="343"/>
      <c r="L7353" s="343"/>
    </row>
    <row r="7354" spans="4:12" x14ac:dyDescent="0.2">
      <c r="D7354" s="341"/>
      <c r="F7354" s="343"/>
      <c r="G7354" s="343"/>
      <c r="H7354" s="343"/>
      <c r="I7354" s="343"/>
      <c r="J7354" s="343"/>
      <c r="K7354" s="343"/>
      <c r="L7354" s="343"/>
    </row>
    <row r="7355" spans="4:12" x14ac:dyDescent="0.2">
      <c r="D7355" s="341"/>
      <c r="F7355" s="343"/>
      <c r="G7355" s="343"/>
      <c r="H7355" s="343"/>
      <c r="I7355" s="343"/>
      <c r="J7355" s="343"/>
      <c r="K7355" s="343"/>
      <c r="L7355" s="343"/>
    </row>
    <row r="7356" spans="4:12" x14ac:dyDescent="0.2">
      <c r="D7356" s="341"/>
      <c r="F7356" s="343"/>
      <c r="G7356" s="343"/>
      <c r="H7356" s="343"/>
      <c r="I7356" s="343"/>
      <c r="J7356" s="343"/>
      <c r="K7356" s="343"/>
      <c r="L7356" s="343"/>
    </row>
    <row r="7357" spans="4:12" x14ac:dyDescent="0.2">
      <c r="D7357" s="341"/>
      <c r="F7357" s="343"/>
      <c r="G7357" s="343"/>
      <c r="H7357" s="343"/>
      <c r="I7357" s="343"/>
      <c r="J7357" s="343"/>
      <c r="K7357" s="343"/>
      <c r="L7357" s="343"/>
    </row>
    <row r="7358" spans="4:12" x14ac:dyDescent="0.2">
      <c r="D7358" s="341"/>
      <c r="F7358" s="343"/>
      <c r="G7358" s="343"/>
      <c r="H7358" s="343"/>
      <c r="I7358" s="343"/>
      <c r="J7358" s="343"/>
      <c r="K7358" s="343"/>
      <c r="L7358" s="343"/>
    </row>
    <row r="7359" spans="4:12" x14ac:dyDescent="0.2">
      <c r="D7359" s="341"/>
      <c r="F7359" s="343"/>
      <c r="G7359" s="343"/>
      <c r="H7359" s="343"/>
      <c r="I7359" s="343"/>
      <c r="J7359" s="343"/>
      <c r="K7359" s="343"/>
      <c r="L7359" s="343"/>
    </row>
    <row r="7360" spans="4:12" x14ac:dyDescent="0.2">
      <c r="D7360" s="341"/>
      <c r="F7360" s="343"/>
      <c r="G7360" s="343"/>
      <c r="H7360" s="343"/>
      <c r="I7360" s="343"/>
      <c r="J7360" s="343"/>
      <c r="K7360" s="343"/>
      <c r="L7360" s="343"/>
    </row>
    <row r="7361" spans="4:12" x14ac:dyDescent="0.2">
      <c r="D7361" s="341"/>
      <c r="F7361" s="343"/>
      <c r="G7361" s="343"/>
      <c r="H7361" s="343"/>
      <c r="I7361" s="343"/>
      <c r="J7361" s="343"/>
      <c r="K7361" s="343"/>
      <c r="L7361" s="343"/>
    </row>
    <row r="7362" spans="4:12" x14ac:dyDescent="0.2">
      <c r="D7362" s="341"/>
      <c r="F7362" s="343"/>
      <c r="G7362" s="343"/>
      <c r="H7362" s="343"/>
      <c r="I7362" s="343"/>
      <c r="J7362" s="343"/>
      <c r="K7362" s="343"/>
      <c r="L7362" s="343"/>
    </row>
    <row r="7363" spans="4:12" x14ac:dyDescent="0.2">
      <c r="D7363" s="341"/>
      <c r="F7363" s="343"/>
      <c r="G7363" s="343"/>
      <c r="H7363" s="343"/>
      <c r="I7363" s="343"/>
      <c r="J7363" s="343"/>
      <c r="K7363" s="343"/>
      <c r="L7363" s="343"/>
    </row>
    <row r="7364" spans="4:12" x14ac:dyDescent="0.2">
      <c r="D7364" s="341"/>
      <c r="F7364" s="343"/>
      <c r="G7364" s="343"/>
      <c r="H7364" s="343"/>
      <c r="I7364" s="343"/>
      <c r="J7364" s="343"/>
      <c r="K7364" s="343"/>
      <c r="L7364" s="343"/>
    </row>
    <row r="7365" spans="4:12" x14ac:dyDescent="0.2">
      <c r="D7365" s="341"/>
      <c r="F7365" s="343"/>
      <c r="G7365" s="343"/>
      <c r="H7365" s="343"/>
      <c r="I7365" s="343"/>
      <c r="J7365" s="343"/>
      <c r="K7365" s="343"/>
      <c r="L7365" s="343"/>
    </row>
    <row r="7366" spans="4:12" x14ac:dyDescent="0.2">
      <c r="D7366" s="341"/>
      <c r="F7366" s="343"/>
      <c r="G7366" s="343"/>
      <c r="H7366" s="343"/>
      <c r="I7366" s="343"/>
      <c r="J7366" s="343"/>
      <c r="K7366" s="343"/>
      <c r="L7366" s="343"/>
    </row>
    <row r="7367" spans="4:12" x14ac:dyDescent="0.2">
      <c r="D7367" s="341"/>
      <c r="F7367" s="343"/>
      <c r="G7367" s="343"/>
      <c r="H7367" s="343"/>
      <c r="I7367" s="343"/>
      <c r="J7367" s="343"/>
      <c r="K7367" s="343"/>
      <c r="L7367" s="343"/>
    </row>
    <row r="7368" spans="4:12" x14ac:dyDescent="0.2">
      <c r="D7368" s="341"/>
      <c r="F7368" s="343"/>
      <c r="G7368" s="343"/>
      <c r="H7368" s="343"/>
      <c r="I7368" s="343"/>
      <c r="J7368" s="343"/>
      <c r="K7368" s="343"/>
      <c r="L7368" s="343"/>
    </row>
    <row r="7369" spans="4:12" x14ac:dyDescent="0.2">
      <c r="D7369" s="341"/>
      <c r="F7369" s="343"/>
      <c r="G7369" s="343"/>
      <c r="H7369" s="343"/>
      <c r="I7369" s="343"/>
      <c r="J7369" s="343"/>
      <c r="K7369" s="343"/>
      <c r="L7369" s="343"/>
    </row>
    <row r="7370" spans="4:12" x14ac:dyDescent="0.2">
      <c r="D7370" s="341"/>
      <c r="F7370" s="343"/>
      <c r="G7370" s="343"/>
      <c r="H7370" s="343"/>
      <c r="I7370" s="343"/>
      <c r="J7370" s="343"/>
      <c r="K7370" s="343"/>
      <c r="L7370" s="343"/>
    </row>
    <row r="7371" spans="4:12" x14ac:dyDescent="0.2">
      <c r="D7371" s="341"/>
      <c r="F7371" s="343"/>
      <c r="G7371" s="343"/>
      <c r="H7371" s="343"/>
      <c r="I7371" s="343"/>
      <c r="J7371" s="343"/>
      <c r="K7371" s="343"/>
      <c r="L7371" s="343"/>
    </row>
    <row r="7372" spans="4:12" x14ac:dyDescent="0.2">
      <c r="D7372" s="341"/>
      <c r="F7372" s="343"/>
      <c r="G7372" s="343"/>
      <c r="H7372" s="343"/>
      <c r="I7372" s="343"/>
      <c r="J7372" s="343"/>
      <c r="K7372" s="343"/>
      <c r="L7372" s="343"/>
    </row>
    <row r="7373" spans="4:12" x14ac:dyDescent="0.2">
      <c r="D7373" s="341"/>
      <c r="F7373" s="343"/>
      <c r="G7373" s="343"/>
      <c r="H7373" s="343"/>
      <c r="I7373" s="343"/>
      <c r="J7373" s="343"/>
      <c r="K7373" s="343"/>
      <c r="L7373" s="343"/>
    </row>
    <row r="7374" spans="4:12" x14ac:dyDescent="0.2">
      <c r="D7374" s="341"/>
      <c r="F7374" s="343"/>
      <c r="G7374" s="343"/>
      <c r="H7374" s="343"/>
      <c r="I7374" s="343"/>
      <c r="J7374" s="343"/>
      <c r="K7374" s="343"/>
      <c r="L7374" s="343"/>
    </row>
    <row r="7375" spans="4:12" x14ac:dyDescent="0.2">
      <c r="D7375" s="341"/>
      <c r="F7375" s="343"/>
      <c r="G7375" s="343"/>
      <c r="H7375" s="343"/>
      <c r="I7375" s="343"/>
      <c r="J7375" s="343"/>
      <c r="K7375" s="343"/>
      <c r="L7375" s="343"/>
    </row>
    <row r="7376" spans="4:12" x14ac:dyDescent="0.2">
      <c r="D7376" s="341"/>
      <c r="F7376" s="343"/>
      <c r="G7376" s="343"/>
      <c r="H7376" s="343"/>
      <c r="I7376" s="343"/>
      <c r="J7376" s="343"/>
      <c r="K7376" s="343"/>
      <c r="L7376" s="343"/>
    </row>
    <row r="7377" spans="4:12" x14ac:dyDescent="0.2">
      <c r="D7377" s="341"/>
      <c r="F7377" s="343"/>
      <c r="G7377" s="343"/>
      <c r="H7377" s="343"/>
      <c r="I7377" s="343"/>
      <c r="J7377" s="343"/>
      <c r="K7377" s="343"/>
      <c r="L7377" s="343"/>
    </row>
    <row r="7378" spans="4:12" x14ac:dyDescent="0.2">
      <c r="D7378" s="341"/>
      <c r="F7378" s="343"/>
      <c r="G7378" s="343"/>
      <c r="H7378" s="343"/>
      <c r="I7378" s="343"/>
      <c r="J7378" s="343"/>
      <c r="K7378" s="343"/>
      <c r="L7378" s="343"/>
    </row>
    <row r="7379" spans="4:12" x14ac:dyDescent="0.2">
      <c r="D7379" s="341"/>
      <c r="F7379" s="343"/>
      <c r="G7379" s="343"/>
      <c r="H7379" s="343"/>
      <c r="I7379" s="343"/>
      <c r="J7379" s="343"/>
      <c r="K7379" s="343"/>
      <c r="L7379" s="343"/>
    </row>
    <row r="7380" spans="4:12" x14ac:dyDescent="0.2">
      <c r="D7380" s="341"/>
      <c r="F7380" s="343"/>
      <c r="G7380" s="343"/>
      <c r="H7380" s="343"/>
      <c r="I7380" s="343"/>
      <c r="J7380" s="343"/>
      <c r="K7380" s="343"/>
      <c r="L7380" s="343"/>
    </row>
    <row r="7381" spans="4:12" x14ac:dyDescent="0.2">
      <c r="D7381" s="341"/>
      <c r="F7381" s="343"/>
      <c r="G7381" s="343"/>
      <c r="H7381" s="343"/>
      <c r="I7381" s="343"/>
      <c r="J7381" s="343"/>
      <c r="K7381" s="343"/>
      <c r="L7381" s="343"/>
    </row>
    <row r="7382" spans="4:12" x14ac:dyDescent="0.2">
      <c r="D7382" s="341"/>
      <c r="F7382" s="343"/>
      <c r="G7382" s="343"/>
      <c r="H7382" s="343"/>
      <c r="I7382" s="343"/>
      <c r="J7382" s="343"/>
      <c r="K7382" s="343"/>
      <c r="L7382" s="343"/>
    </row>
    <row r="7383" spans="4:12" x14ac:dyDescent="0.2">
      <c r="D7383" s="341"/>
      <c r="F7383" s="343"/>
      <c r="G7383" s="343"/>
      <c r="H7383" s="343"/>
      <c r="I7383" s="343"/>
      <c r="J7383" s="343"/>
      <c r="K7383" s="343"/>
      <c r="L7383" s="343"/>
    </row>
    <row r="7384" spans="4:12" x14ac:dyDescent="0.2">
      <c r="D7384" s="341"/>
      <c r="F7384" s="343"/>
      <c r="G7384" s="343"/>
      <c r="H7384" s="343"/>
      <c r="I7384" s="343"/>
      <c r="J7384" s="343"/>
      <c r="K7384" s="343"/>
      <c r="L7384" s="343"/>
    </row>
    <row r="7385" spans="4:12" x14ac:dyDescent="0.2">
      <c r="D7385" s="341"/>
      <c r="F7385" s="343"/>
      <c r="G7385" s="343"/>
      <c r="H7385" s="343"/>
      <c r="I7385" s="343"/>
      <c r="J7385" s="343"/>
      <c r="K7385" s="343"/>
      <c r="L7385" s="343"/>
    </row>
    <row r="7386" spans="4:12" x14ac:dyDescent="0.2">
      <c r="D7386" s="341"/>
      <c r="F7386" s="343"/>
      <c r="G7386" s="343"/>
      <c r="H7386" s="343"/>
      <c r="I7386" s="343"/>
      <c r="J7386" s="343"/>
      <c r="K7386" s="343"/>
      <c r="L7386" s="343"/>
    </row>
    <row r="7387" spans="4:12" x14ac:dyDescent="0.2">
      <c r="D7387" s="341"/>
      <c r="F7387" s="343"/>
      <c r="G7387" s="343"/>
      <c r="H7387" s="343"/>
      <c r="I7387" s="343"/>
      <c r="J7387" s="343"/>
      <c r="K7387" s="343"/>
      <c r="L7387" s="343"/>
    </row>
    <row r="7388" spans="4:12" x14ac:dyDescent="0.2">
      <c r="D7388" s="341"/>
      <c r="F7388" s="343"/>
      <c r="G7388" s="343"/>
      <c r="H7388" s="343"/>
      <c r="I7388" s="343"/>
      <c r="J7388" s="343"/>
      <c r="K7388" s="343"/>
      <c r="L7388" s="343"/>
    </row>
    <row r="7389" spans="4:12" x14ac:dyDescent="0.2">
      <c r="D7389" s="341"/>
      <c r="F7389" s="343"/>
      <c r="G7389" s="343"/>
      <c r="H7389" s="343"/>
      <c r="I7389" s="343"/>
      <c r="J7389" s="343"/>
      <c r="K7389" s="343"/>
      <c r="L7389" s="343"/>
    </row>
    <row r="7390" spans="4:12" x14ac:dyDescent="0.2">
      <c r="D7390" s="341"/>
      <c r="F7390" s="343"/>
      <c r="G7390" s="343"/>
      <c r="H7390" s="343"/>
      <c r="I7390" s="343"/>
      <c r="J7390" s="343"/>
      <c r="K7390" s="343"/>
      <c r="L7390" s="343"/>
    </row>
    <row r="7391" spans="4:12" x14ac:dyDescent="0.2">
      <c r="D7391" s="341"/>
      <c r="F7391" s="343"/>
      <c r="G7391" s="343"/>
      <c r="H7391" s="343"/>
      <c r="I7391" s="343"/>
      <c r="J7391" s="343"/>
      <c r="K7391" s="343"/>
      <c r="L7391" s="343"/>
    </row>
    <row r="7392" spans="4:12" x14ac:dyDescent="0.2">
      <c r="D7392" s="341"/>
      <c r="F7392" s="343"/>
      <c r="G7392" s="343"/>
      <c r="H7392" s="343"/>
      <c r="I7392" s="343"/>
      <c r="J7392" s="343"/>
      <c r="K7392" s="343"/>
      <c r="L7392" s="343"/>
    </row>
    <row r="7393" spans="4:12" x14ac:dyDescent="0.2">
      <c r="D7393" s="341"/>
      <c r="F7393" s="343"/>
      <c r="G7393" s="343"/>
      <c r="H7393" s="343"/>
      <c r="I7393" s="343"/>
      <c r="J7393" s="343"/>
      <c r="K7393" s="343"/>
      <c r="L7393" s="343"/>
    </row>
    <row r="7394" spans="4:12" x14ac:dyDescent="0.2">
      <c r="D7394" s="341"/>
      <c r="F7394" s="343"/>
      <c r="G7394" s="343"/>
      <c r="H7394" s="343"/>
      <c r="I7394" s="343"/>
      <c r="J7394" s="343"/>
      <c r="K7394" s="343"/>
      <c r="L7394" s="343"/>
    </row>
    <row r="7395" spans="4:12" x14ac:dyDescent="0.2">
      <c r="D7395" s="341"/>
      <c r="F7395" s="343"/>
      <c r="G7395" s="343"/>
      <c r="H7395" s="343"/>
      <c r="I7395" s="343"/>
      <c r="J7395" s="343"/>
      <c r="K7395" s="343"/>
      <c r="L7395" s="343"/>
    </row>
    <row r="7396" spans="4:12" x14ac:dyDescent="0.2">
      <c r="D7396" s="341"/>
      <c r="F7396" s="343"/>
      <c r="G7396" s="343"/>
      <c r="H7396" s="343"/>
      <c r="I7396" s="343"/>
      <c r="J7396" s="343"/>
      <c r="K7396" s="343"/>
      <c r="L7396" s="343"/>
    </row>
    <row r="7397" spans="4:12" x14ac:dyDescent="0.2">
      <c r="D7397" s="341"/>
      <c r="F7397" s="343"/>
      <c r="G7397" s="343"/>
      <c r="H7397" s="343"/>
      <c r="I7397" s="343"/>
      <c r="J7397" s="343"/>
      <c r="K7397" s="343"/>
      <c r="L7397" s="343"/>
    </row>
    <row r="7398" spans="4:12" x14ac:dyDescent="0.2">
      <c r="D7398" s="341"/>
      <c r="F7398" s="343"/>
      <c r="G7398" s="343"/>
      <c r="H7398" s="343"/>
      <c r="I7398" s="343"/>
      <c r="J7398" s="343"/>
      <c r="K7398" s="343"/>
      <c r="L7398" s="343"/>
    </row>
    <row r="7399" spans="4:12" x14ac:dyDescent="0.2">
      <c r="D7399" s="341"/>
      <c r="F7399" s="343"/>
      <c r="G7399" s="343"/>
      <c r="H7399" s="343"/>
      <c r="I7399" s="343"/>
      <c r="J7399" s="343"/>
      <c r="K7399" s="343"/>
      <c r="L7399" s="343"/>
    </row>
    <row r="7400" spans="4:12" x14ac:dyDescent="0.2">
      <c r="D7400" s="341"/>
      <c r="F7400" s="343"/>
      <c r="G7400" s="343"/>
      <c r="H7400" s="343"/>
      <c r="I7400" s="343"/>
      <c r="J7400" s="343"/>
      <c r="K7400" s="343"/>
      <c r="L7400" s="343"/>
    </row>
    <row r="7401" spans="4:12" x14ac:dyDescent="0.2">
      <c r="D7401" s="341"/>
      <c r="F7401" s="343"/>
      <c r="G7401" s="343"/>
      <c r="H7401" s="343"/>
      <c r="I7401" s="343"/>
      <c r="J7401" s="343"/>
      <c r="K7401" s="343"/>
      <c r="L7401" s="343"/>
    </row>
    <row r="7402" spans="4:12" x14ac:dyDescent="0.2">
      <c r="D7402" s="341"/>
      <c r="F7402" s="343"/>
      <c r="G7402" s="343"/>
      <c r="H7402" s="343"/>
      <c r="I7402" s="343"/>
      <c r="J7402" s="343"/>
      <c r="K7402" s="343"/>
      <c r="L7402" s="343"/>
    </row>
    <row r="7403" spans="4:12" x14ac:dyDescent="0.2">
      <c r="D7403" s="341"/>
      <c r="F7403" s="343"/>
      <c r="G7403" s="343"/>
      <c r="H7403" s="343"/>
      <c r="I7403" s="343"/>
      <c r="J7403" s="343"/>
      <c r="K7403" s="343"/>
      <c r="L7403" s="343"/>
    </row>
    <row r="7404" spans="4:12" x14ac:dyDescent="0.2">
      <c r="D7404" s="341"/>
      <c r="F7404" s="343"/>
      <c r="G7404" s="343"/>
      <c r="H7404" s="343"/>
      <c r="I7404" s="343"/>
      <c r="J7404" s="343"/>
      <c r="K7404" s="343"/>
      <c r="L7404" s="343"/>
    </row>
    <row r="7405" spans="4:12" x14ac:dyDescent="0.2">
      <c r="D7405" s="341"/>
      <c r="F7405" s="343"/>
      <c r="G7405" s="343"/>
      <c r="H7405" s="343"/>
      <c r="I7405" s="343"/>
      <c r="J7405" s="343"/>
      <c r="K7405" s="343"/>
      <c r="L7405" s="343"/>
    </row>
    <row r="7406" spans="4:12" x14ac:dyDescent="0.2">
      <c r="D7406" s="341"/>
      <c r="F7406" s="343"/>
      <c r="G7406" s="343"/>
      <c r="H7406" s="343"/>
      <c r="I7406" s="343"/>
      <c r="J7406" s="343"/>
      <c r="K7406" s="343"/>
      <c r="L7406" s="343"/>
    </row>
    <row r="7407" spans="4:12" x14ac:dyDescent="0.2">
      <c r="D7407" s="341"/>
      <c r="F7407" s="343"/>
      <c r="G7407" s="343"/>
      <c r="H7407" s="343"/>
      <c r="I7407" s="343"/>
      <c r="J7407" s="343"/>
      <c r="K7407" s="343"/>
      <c r="L7407" s="343"/>
    </row>
    <row r="7408" spans="4:12" x14ac:dyDescent="0.2">
      <c r="D7408" s="341"/>
      <c r="F7408" s="343"/>
      <c r="G7408" s="343"/>
      <c r="H7408" s="343"/>
      <c r="I7408" s="343"/>
      <c r="J7408" s="343"/>
      <c r="K7408" s="343"/>
      <c r="L7408" s="343"/>
    </row>
    <row r="7409" spans="4:12" x14ac:dyDescent="0.2">
      <c r="D7409" s="341"/>
      <c r="F7409" s="343"/>
      <c r="G7409" s="343"/>
      <c r="H7409" s="343"/>
      <c r="I7409" s="343"/>
      <c r="J7409" s="343"/>
      <c r="K7409" s="343"/>
      <c r="L7409" s="343"/>
    </row>
    <row r="7410" spans="4:12" x14ac:dyDescent="0.2">
      <c r="D7410" s="341"/>
      <c r="F7410" s="343"/>
      <c r="G7410" s="343"/>
      <c r="H7410" s="343"/>
      <c r="I7410" s="343"/>
      <c r="J7410" s="343"/>
      <c r="K7410" s="343"/>
      <c r="L7410" s="343"/>
    </row>
    <row r="7411" spans="4:12" x14ac:dyDescent="0.2">
      <c r="D7411" s="341"/>
      <c r="F7411" s="343"/>
      <c r="G7411" s="343"/>
      <c r="H7411" s="343"/>
      <c r="I7411" s="343"/>
      <c r="J7411" s="343"/>
      <c r="K7411" s="343"/>
      <c r="L7411" s="343"/>
    </row>
    <row r="7412" spans="4:12" x14ac:dyDescent="0.2">
      <c r="D7412" s="341"/>
      <c r="F7412" s="343"/>
      <c r="G7412" s="343"/>
      <c r="H7412" s="343"/>
      <c r="I7412" s="343"/>
      <c r="J7412" s="343"/>
      <c r="K7412" s="343"/>
      <c r="L7412" s="343"/>
    </row>
    <row r="7413" spans="4:12" x14ac:dyDescent="0.2">
      <c r="D7413" s="341"/>
      <c r="F7413" s="343"/>
      <c r="G7413" s="343"/>
      <c r="H7413" s="343"/>
      <c r="I7413" s="343"/>
      <c r="J7413" s="343"/>
      <c r="K7413" s="343"/>
      <c r="L7413" s="343"/>
    </row>
    <row r="7414" spans="4:12" x14ac:dyDescent="0.2">
      <c r="D7414" s="341"/>
      <c r="F7414" s="343"/>
      <c r="G7414" s="343"/>
      <c r="H7414" s="343"/>
      <c r="I7414" s="343"/>
      <c r="J7414" s="343"/>
      <c r="K7414" s="343"/>
      <c r="L7414" s="343"/>
    </row>
    <row r="7415" spans="4:12" x14ac:dyDescent="0.2">
      <c r="D7415" s="341"/>
      <c r="F7415" s="343"/>
      <c r="G7415" s="343"/>
      <c r="H7415" s="343"/>
      <c r="I7415" s="343"/>
      <c r="J7415" s="343"/>
      <c r="K7415" s="343"/>
      <c r="L7415" s="343"/>
    </row>
    <row r="7416" spans="4:12" x14ac:dyDescent="0.2">
      <c r="D7416" s="341"/>
      <c r="F7416" s="343"/>
      <c r="G7416" s="343"/>
      <c r="H7416" s="343"/>
      <c r="I7416" s="343"/>
      <c r="J7416" s="343"/>
      <c r="K7416" s="343"/>
      <c r="L7416" s="343"/>
    </row>
    <row r="7417" spans="4:12" x14ac:dyDescent="0.2">
      <c r="D7417" s="341"/>
      <c r="F7417" s="343"/>
      <c r="G7417" s="343"/>
      <c r="H7417" s="343"/>
      <c r="I7417" s="343"/>
      <c r="J7417" s="343"/>
      <c r="K7417" s="343"/>
      <c r="L7417" s="343"/>
    </row>
    <row r="7418" spans="4:12" x14ac:dyDescent="0.2">
      <c r="D7418" s="341"/>
      <c r="F7418" s="343"/>
      <c r="G7418" s="343"/>
      <c r="H7418" s="343"/>
      <c r="I7418" s="343"/>
      <c r="J7418" s="343"/>
      <c r="K7418" s="343"/>
      <c r="L7418" s="343"/>
    </row>
    <row r="7419" spans="4:12" x14ac:dyDescent="0.2">
      <c r="D7419" s="341"/>
      <c r="F7419" s="343"/>
      <c r="G7419" s="343"/>
      <c r="H7419" s="343"/>
      <c r="I7419" s="343"/>
      <c r="J7419" s="343"/>
      <c r="K7419" s="343"/>
      <c r="L7419" s="343"/>
    </row>
    <row r="7420" spans="4:12" x14ac:dyDescent="0.2">
      <c r="D7420" s="341"/>
      <c r="F7420" s="343"/>
      <c r="G7420" s="343"/>
      <c r="H7420" s="343"/>
      <c r="I7420" s="343"/>
      <c r="J7420" s="343"/>
      <c r="K7420" s="343"/>
      <c r="L7420" s="343"/>
    </row>
    <row r="7421" spans="4:12" x14ac:dyDescent="0.2">
      <c r="D7421" s="341"/>
      <c r="F7421" s="343"/>
      <c r="G7421" s="343"/>
      <c r="H7421" s="343"/>
      <c r="I7421" s="343"/>
      <c r="J7421" s="343"/>
      <c r="K7421" s="343"/>
      <c r="L7421" s="343"/>
    </row>
    <row r="7422" spans="4:12" x14ac:dyDescent="0.2">
      <c r="D7422" s="341"/>
      <c r="F7422" s="343"/>
      <c r="G7422" s="343"/>
      <c r="H7422" s="343"/>
      <c r="I7422" s="343"/>
      <c r="J7422" s="343"/>
      <c r="K7422" s="343"/>
      <c r="L7422" s="343"/>
    </row>
    <row r="7423" spans="4:12" x14ac:dyDescent="0.2">
      <c r="D7423" s="341"/>
      <c r="F7423" s="343"/>
      <c r="G7423" s="343"/>
      <c r="H7423" s="343"/>
      <c r="I7423" s="343"/>
      <c r="J7423" s="343"/>
      <c r="K7423" s="343"/>
      <c r="L7423" s="343"/>
    </row>
    <row r="7424" spans="4:12" x14ac:dyDescent="0.2">
      <c r="D7424" s="341"/>
      <c r="F7424" s="343"/>
      <c r="G7424" s="343"/>
      <c r="H7424" s="343"/>
      <c r="I7424" s="343"/>
      <c r="J7424" s="343"/>
      <c r="K7424" s="343"/>
      <c r="L7424" s="343"/>
    </row>
    <row r="7425" spans="4:12" x14ac:dyDescent="0.2">
      <c r="D7425" s="341"/>
      <c r="F7425" s="343"/>
      <c r="G7425" s="343"/>
      <c r="H7425" s="343"/>
      <c r="I7425" s="343"/>
      <c r="J7425" s="343"/>
      <c r="K7425" s="343"/>
      <c r="L7425" s="343"/>
    </row>
    <row r="7426" spans="4:12" x14ac:dyDescent="0.2">
      <c r="D7426" s="341"/>
      <c r="F7426" s="343"/>
      <c r="G7426" s="343"/>
      <c r="H7426" s="343"/>
      <c r="I7426" s="343"/>
      <c r="J7426" s="343"/>
      <c r="K7426" s="343"/>
      <c r="L7426" s="343"/>
    </row>
    <row r="7427" spans="4:12" x14ac:dyDescent="0.2">
      <c r="D7427" s="341"/>
      <c r="F7427" s="343"/>
      <c r="G7427" s="343"/>
      <c r="H7427" s="343"/>
      <c r="I7427" s="343"/>
      <c r="J7427" s="343"/>
      <c r="K7427" s="343"/>
      <c r="L7427" s="343"/>
    </row>
    <row r="7428" spans="4:12" x14ac:dyDescent="0.2">
      <c r="D7428" s="341"/>
      <c r="F7428" s="343"/>
      <c r="G7428" s="343"/>
      <c r="H7428" s="343"/>
      <c r="I7428" s="343"/>
      <c r="J7428" s="343"/>
      <c r="K7428" s="343"/>
      <c r="L7428" s="343"/>
    </row>
    <row r="7429" spans="4:12" x14ac:dyDescent="0.2">
      <c r="D7429" s="341"/>
      <c r="F7429" s="343"/>
      <c r="G7429" s="343"/>
      <c r="H7429" s="343"/>
      <c r="I7429" s="343"/>
      <c r="J7429" s="343"/>
      <c r="K7429" s="343"/>
      <c r="L7429" s="343"/>
    </row>
    <row r="7430" spans="4:12" x14ac:dyDescent="0.2">
      <c r="D7430" s="341"/>
      <c r="F7430" s="343"/>
      <c r="G7430" s="343"/>
      <c r="H7430" s="343"/>
      <c r="I7430" s="343"/>
      <c r="J7430" s="343"/>
      <c r="K7430" s="343"/>
      <c r="L7430" s="343"/>
    </row>
    <row r="7431" spans="4:12" x14ac:dyDescent="0.2">
      <c r="D7431" s="341"/>
      <c r="F7431" s="343"/>
      <c r="G7431" s="343"/>
      <c r="H7431" s="343"/>
      <c r="I7431" s="343"/>
      <c r="J7431" s="343"/>
      <c r="K7431" s="343"/>
      <c r="L7431" s="343"/>
    </row>
    <row r="7432" spans="4:12" x14ac:dyDescent="0.2">
      <c r="D7432" s="341"/>
      <c r="F7432" s="343"/>
      <c r="G7432" s="343"/>
      <c r="H7432" s="343"/>
      <c r="I7432" s="343"/>
      <c r="J7432" s="343"/>
      <c r="K7432" s="343"/>
      <c r="L7432" s="343"/>
    </row>
    <row r="7433" spans="4:12" x14ac:dyDescent="0.2">
      <c r="D7433" s="341"/>
      <c r="F7433" s="343"/>
      <c r="G7433" s="343"/>
      <c r="H7433" s="343"/>
      <c r="I7433" s="343"/>
      <c r="J7433" s="343"/>
      <c r="K7433" s="343"/>
      <c r="L7433" s="343"/>
    </row>
    <row r="7434" spans="4:12" x14ac:dyDescent="0.2">
      <c r="D7434" s="341"/>
      <c r="F7434" s="343"/>
      <c r="G7434" s="343"/>
      <c r="H7434" s="343"/>
      <c r="I7434" s="343"/>
      <c r="J7434" s="343"/>
      <c r="K7434" s="343"/>
      <c r="L7434" s="343"/>
    </row>
    <row r="7435" spans="4:12" x14ac:dyDescent="0.2">
      <c r="D7435" s="341"/>
      <c r="F7435" s="343"/>
      <c r="G7435" s="343"/>
      <c r="H7435" s="343"/>
      <c r="I7435" s="343"/>
      <c r="J7435" s="343"/>
      <c r="K7435" s="343"/>
      <c r="L7435" s="343"/>
    </row>
    <row r="7436" spans="4:12" x14ac:dyDescent="0.2">
      <c r="D7436" s="341"/>
      <c r="F7436" s="343"/>
      <c r="G7436" s="343"/>
      <c r="H7436" s="343"/>
      <c r="I7436" s="343"/>
      <c r="J7436" s="343"/>
      <c r="K7436" s="343"/>
      <c r="L7436" s="343"/>
    </row>
    <row r="7437" spans="4:12" x14ac:dyDescent="0.2">
      <c r="D7437" s="341"/>
      <c r="F7437" s="343"/>
      <c r="G7437" s="343"/>
      <c r="H7437" s="343"/>
      <c r="I7437" s="343"/>
      <c r="J7437" s="343"/>
      <c r="K7437" s="343"/>
      <c r="L7437" s="343"/>
    </row>
    <row r="7438" spans="4:12" x14ac:dyDescent="0.2">
      <c r="D7438" s="341"/>
      <c r="F7438" s="343"/>
      <c r="G7438" s="343"/>
      <c r="H7438" s="343"/>
      <c r="I7438" s="343"/>
      <c r="J7438" s="343"/>
      <c r="K7438" s="343"/>
      <c r="L7438" s="343"/>
    </row>
    <row r="7439" spans="4:12" x14ac:dyDescent="0.2">
      <c r="D7439" s="341"/>
      <c r="F7439" s="343"/>
      <c r="G7439" s="343"/>
      <c r="H7439" s="343"/>
      <c r="I7439" s="343"/>
      <c r="J7439" s="343"/>
      <c r="K7439" s="343"/>
      <c r="L7439" s="343"/>
    </row>
    <row r="7440" spans="4:12" x14ac:dyDescent="0.2">
      <c r="D7440" s="341"/>
      <c r="F7440" s="343"/>
      <c r="G7440" s="343"/>
      <c r="H7440" s="343"/>
      <c r="I7440" s="343"/>
      <c r="J7440" s="343"/>
      <c r="K7440" s="343"/>
      <c r="L7440" s="343"/>
    </row>
    <row r="7441" spans="4:12" x14ac:dyDescent="0.2">
      <c r="D7441" s="341"/>
      <c r="F7441" s="343"/>
      <c r="G7441" s="343"/>
      <c r="H7441" s="343"/>
      <c r="I7441" s="343"/>
      <c r="J7441" s="343"/>
      <c r="K7441" s="343"/>
      <c r="L7441" s="343"/>
    </row>
    <row r="7442" spans="4:12" x14ac:dyDescent="0.2">
      <c r="D7442" s="341"/>
      <c r="F7442" s="343"/>
      <c r="G7442" s="343"/>
      <c r="H7442" s="343"/>
      <c r="I7442" s="343"/>
      <c r="J7442" s="343"/>
      <c r="K7442" s="343"/>
      <c r="L7442" s="343"/>
    </row>
    <row r="7443" spans="4:12" x14ac:dyDescent="0.2">
      <c r="D7443" s="341"/>
      <c r="F7443" s="343"/>
      <c r="G7443" s="343"/>
      <c r="H7443" s="343"/>
      <c r="I7443" s="343"/>
      <c r="J7443" s="343"/>
      <c r="K7443" s="343"/>
      <c r="L7443" s="343"/>
    </row>
    <row r="7444" spans="4:12" x14ac:dyDescent="0.2">
      <c r="D7444" s="341"/>
      <c r="F7444" s="343"/>
      <c r="G7444" s="343"/>
      <c r="H7444" s="343"/>
      <c r="I7444" s="343"/>
      <c r="J7444" s="343"/>
      <c r="K7444" s="343"/>
      <c r="L7444" s="343"/>
    </row>
    <row r="7445" spans="4:12" x14ac:dyDescent="0.2">
      <c r="D7445" s="341"/>
      <c r="F7445" s="343"/>
      <c r="G7445" s="343"/>
      <c r="H7445" s="343"/>
      <c r="I7445" s="343"/>
      <c r="J7445" s="343"/>
      <c r="K7445" s="343"/>
      <c r="L7445" s="343"/>
    </row>
    <row r="7446" spans="4:12" x14ac:dyDescent="0.2">
      <c r="D7446" s="341"/>
      <c r="F7446" s="343"/>
      <c r="G7446" s="343"/>
      <c r="H7446" s="343"/>
      <c r="I7446" s="343"/>
      <c r="J7446" s="343"/>
      <c r="K7446" s="343"/>
      <c r="L7446" s="343"/>
    </row>
    <row r="7447" spans="4:12" x14ac:dyDescent="0.2">
      <c r="D7447" s="341"/>
      <c r="F7447" s="343"/>
      <c r="G7447" s="343"/>
      <c r="H7447" s="343"/>
      <c r="I7447" s="343"/>
      <c r="J7447" s="343"/>
      <c r="K7447" s="343"/>
      <c r="L7447" s="343"/>
    </row>
    <row r="7448" spans="4:12" x14ac:dyDescent="0.2">
      <c r="D7448" s="341"/>
      <c r="F7448" s="343"/>
      <c r="G7448" s="343"/>
      <c r="H7448" s="343"/>
      <c r="I7448" s="343"/>
      <c r="J7448" s="343"/>
      <c r="K7448" s="343"/>
      <c r="L7448" s="343"/>
    </row>
    <row r="7449" spans="4:12" x14ac:dyDescent="0.2">
      <c r="D7449" s="341"/>
      <c r="F7449" s="343"/>
      <c r="G7449" s="343"/>
      <c r="H7449" s="343"/>
      <c r="I7449" s="343"/>
      <c r="J7449" s="343"/>
      <c r="K7449" s="343"/>
      <c r="L7449" s="343"/>
    </row>
    <row r="7450" spans="4:12" x14ac:dyDescent="0.2">
      <c r="D7450" s="341"/>
      <c r="F7450" s="343"/>
      <c r="G7450" s="343"/>
      <c r="H7450" s="343"/>
      <c r="I7450" s="343"/>
      <c r="J7450" s="343"/>
      <c r="K7450" s="343"/>
      <c r="L7450" s="343"/>
    </row>
    <row r="7451" spans="4:12" x14ac:dyDescent="0.2">
      <c r="D7451" s="341"/>
      <c r="F7451" s="343"/>
      <c r="G7451" s="343"/>
      <c r="H7451" s="343"/>
      <c r="I7451" s="343"/>
      <c r="J7451" s="343"/>
      <c r="K7451" s="343"/>
      <c r="L7451" s="343"/>
    </row>
    <row r="7452" spans="4:12" x14ac:dyDescent="0.2">
      <c r="D7452" s="341"/>
      <c r="F7452" s="343"/>
      <c r="G7452" s="343"/>
      <c r="H7452" s="343"/>
      <c r="I7452" s="343"/>
      <c r="J7452" s="343"/>
      <c r="K7452" s="343"/>
      <c r="L7452" s="343"/>
    </row>
    <row r="7453" spans="4:12" x14ac:dyDescent="0.2">
      <c r="D7453" s="341"/>
      <c r="F7453" s="343"/>
      <c r="G7453" s="343"/>
      <c r="H7453" s="343"/>
      <c r="I7453" s="343"/>
      <c r="J7453" s="343"/>
      <c r="K7453" s="343"/>
      <c r="L7453" s="343"/>
    </row>
    <row r="7454" spans="4:12" x14ac:dyDescent="0.2">
      <c r="D7454" s="341"/>
      <c r="F7454" s="343"/>
      <c r="G7454" s="343"/>
      <c r="H7454" s="343"/>
      <c r="I7454" s="343"/>
      <c r="J7454" s="343"/>
      <c r="K7454" s="343"/>
      <c r="L7454" s="343"/>
    </row>
    <row r="7455" spans="4:12" x14ac:dyDescent="0.2">
      <c r="D7455" s="341"/>
      <c r="F7455" s="343"/>
      <c r="G7455" s="343"/>
      <c r="H7455" s="343"/>
      <c r="I7455" s="343"/>
      <c r="J7455" s="343"/>
      <c r="K7455" s="343"/>
      <c r="L7455" s="343"/>
    </row>
    <row r="7456" spans="4:12" x14ac:dyDescent="0.2">
      <c r="D7456" s="341"/>
      <c r="F7456" s="343"/>
      <c r="G7456" s="343"/>
      <c r="H7456" s="343"/>
      <c r="I7456" s="343"/>
      <c r="J7456" s="343"/>
      <c r="K7456" s="343"/>
      <c r="L7456" s="343"/>
    </row>
    <row r="7457" spans="4:12" x14ac:dyDescent="0.2">
      <c r="D7457" s="341"/>
      <c r="F7457" s="343"/>
      <c r="G7457" s="343"/>
      <c r="H7457" s="343"/>
      <c r="I7457" s="343"/>
      <c r="J7457" s="343"/>
      <c r="K7457" s="343"/>
      <c r="L7457" s="343"/>
    </row>
    <row r="7458" spans="4:12" x14ac:dyDescent="0.2">
      <c r="D7458" s="341"/>
      <c r="F7458" s="343"/>
      <c r="G7458" s="343"/>
      <c r="H7458" s="343"/>
      <c r="I7458" s="343"/>
      <c r="J7458" s="343"/>
      <c r="K7458" s="343"/>
      <c r="L7458" s="343"/>
    </row>
    <row r="7459" spans="4:12" x14ac:dyDescent="0.2">
      <c r="D7459" s="341"/>
      <c r="F7459" s="343"/>
      <c r="G7459" s="343"/>
      <c r="H7459" s="343"/>
      <c r="I7459" s="343"/>
      <c r="J7459" s="343"/>
      <c r="K7459" s="343"/>
      <c r="L7459" s="343"/>
    </row>
    <row r="7460" spans="4:12" x14ac:dyDescent="0.2">
      <c r="D7460" s="341"/>
      <c r="F7460" s="343"/>
      <c r="G7460" s="343"/>
      <c r="H7460" s="343"/>
      <c r="I7460" s="343"/>
      <c r="J7460" s="343"/>
      <c r="K7460" s="343"/>
      <c r="L7460" s="343"/>
    </row>
    <row r="7461" spans="4:12" x14ac:dyDescent="0.2">
      <c r="D7461" s="341"/>
      <c r="F7461" s="343"/>
      <c r="G7461" s="343"/>
      <c r="H7461" s="343"/>
      <c r="I7461" s="343"/>
      <c r="J7461" s="343"/>
      <c r="K7461" s="343"/>
      <c r="L7461" s="343"/>
    </row>
    <row r="7462" spans="4:12" x14ac:dyDescent="0.2">
      <c r="D7462" s="341"/>
      <c r="F7462" s="343"/>
      <c r="G7462" s="343"/>
      <c r="H7462" s="343"/>
      <c r="I7462" s="343"/>
      <c r="J7462" s="343"/>
      <c r="K7462" s="343"/>
      <c r="L7462" s="343"/>
    </row>
    <row r="7463" spans="4:12" x14ac:dyDescent="0.2">
      <c r="D7463" s="341"/>
      <c r="F7463" s="343"/>
      <c r="G7463" s="343"/>
      <c r="H7463" s="343"/>
      <c r="I7463" s="343"/>
      <c r="J7463" s="343"/>
      <c r="K7463" s="343"/>
      <c r="L7463" s="343"/>
    </row>
    <row r="7464" spans="4:12" x14ac:dyDescent="0.2">
      <c r="D7464" s="341"/>
      <c r="F7464" s="343"/>
      <c r="G7464" s="343"/>
      <c r="H7464" s="343"/>
      <c r="I7464" s="343"/>
      <c r="J7464" s="343"/>
      <c r="K7464" s="343"/>
      <c r="L7464" s="343"/>
    </row>
    <row r="7465" spans="4:12" x14ac:dyDescent="0.2">
      <c r="D7465" s="341"/>
      <c r="F7465" s="343"/>
      <c r="G7465" s="343"/>
      <c r="H7465" s="343"/>
      <c r="I7465" s="343"/>
      <c r="J7465" s="343"/>
      <c r="K7465" s="343"/>
      <c r="L7465" s="343"/>
    </row>
    <row r="7466" spans="4:12" x14ac:dyDescent="0.2">
      <c r="D7466" s="341"/>
      <c r="F7466" s="343"/>
      <c r="G7466" s="343"/>
      <c r="H7466" s="343"/>
      <c r="I7466" s="343"/>
      <c r="J7466" s="343"/>
      <c r="K7466" s="343"/>
      <c r="L7466" s="343"/>
    </row>
    <row r="7467" spans="4:12" x14ac:dyDescent="0.2">
      <c r="D7467" s="341"/>
      <c r="F7467" s="343"/>
      <c r="G7467" s="343"/>
      <c r="H7467" s="343"/>
      <c r="I7467" s="343"/>
      <c r="J7467" s="343"/>
      <c r="K7467" s="343"/>
      <c r="L7467" s="343"/>
    </row>
    <row r="7468" spans="4:12" x14ac:dyDescent="0.2">
      <c r="D7468" s="341"/>
      <c r="F7468" s="343"/>
      <c r="G7468" s="343"/>
      <c r="H7468" s="343"/>
      <c r="I7468" s="343"/>
      <c r="J7468" s="343"/>
      <c r="K7468" s="343"/>
      <c r="L7468" s="343"/>
    </row>
    <row r="7469" spans="4:12" x14ac:dyDescent="0.2">
      <c r="D7469" s="341"/>
      <c r="F7469" s="343"/>
      <c r="G7469" s="343"/>
      <c r="H7469" s="343"/>
      <c r="I7469" s="343"/>
      <c r="J7469" s="343"/>
      <c r="K7469" s="343"/>
      <c r="L7469" s="343"/>
    </row>
    <row r="7470" spans="4:12" x14ac:dyDescent="0.2">
      <c r="D7470" s="341"/>
      <c r="F7470" s="343"/>
      <c r="G7470" s="343"/>
      <c r="H7470" s="343"/>
      <c r="I7470" s="343"/>
      <c r="J7470" s="343"/>
      <c r="K7470" s="343"/>
      <c r="L7470" s="343"/>
    </row>
    <row r="7471" spans="4:12" x14ac:dyDescent="0.2">
      <c r="D7471" s="341"/>
      <c r="F7471" s="343"/>
      <c r="G7471" s="343"/>
      <c r="H7471" s="343"/>
      <c r="I7471" s="343"/>
      <c r="J7471" s="343"/>
      <c r="K7471" s="343"/>
      <c r="L7471" s="343"/>
    </row>
    <row r="7472" spans="4:12" x14ac:dyDescent="0.2">
      <c r="D7472" s="341"/>
      <c r="F7472" s="343"/>
      <c r="G7472" s="343"/>
      <c r="H7472" s="343"/>
      <c r="I7472" s="343"/>
      <c r="J7472" s="343"/>
      <c r="K7472" s="343"/>
      <c r="L7472" s="343"/>
    </row>
    <row r="7473" spans="4:12" x14ac:dyDescent="0.2">
      <c r="D7473" s="341"/>
      <c r="F7473" s="343"/>
      <c r="G7473" s="343"/>
      <c r="H7473" s="343"/>
      <c r="I7473" s="343"/>
      <c r="J7473" s="343"/>
      <c r="K7473" s="343"/>
      <c r="L7473" s="343"/>
    </row>
    <row r="7474" spans="4:12" x14ac:dyDescent="0.2">
      <c r="D7474" s="341"/>
      <c r="F7474" s="343"/>
      <c r="G7474" s="343"/>
      <c r="H7474" s="343"/>
      <c r="I7474" s="343"/>
      <c r="J7474" s="343"/>
      <c r="K7474" s="343"/>
      <c r="L7474" s="343"/>
    </row>
    <row r="7475" spans="4:12" x14ac:dyDescent="0.2">
      <c r="D7475" s="341"/>
      <c r="F7475" s="343"/>
      <c r="G7475" s="343"/>
      <c r="H7475" s="343"/>
      <c r="I7475" s="343"/>
      <c r="J7475" s="343"/>
      <c r="K7475" s="343"/>
      <c r="L7475" s="343"/>
    </row>
    <row r="7476" spans="4:12" x14ac:dyDescent="0.2">
      <c r="D7476" s="341"/>
      <c r="F7476" s="343"/>
      <c r="G7476" s="343"/>
      <c r="H7476" s="343"/>
      <c r="I7476" s="343"/>
      <c r="J7476" s="343"/>
      <c r="K7476" s="343"/>
      <c r="L7476" s="343"/>
    </row>
    <row r="7477" spans="4:12" x14ac:dyDescent="0.2">
      <c r="D7477" s="341"/>
      <c r="F7477" s="343"/>
      <c r="G7477" s="343"/>
      <c r="H7477" s="343"/>
      <c r="I7477" s="343"/>
      <c r="J7477" s="343"/>
      <c r="K7477" s="343"/>
      <c r="L7477" s="343"/>
    </row>
    <row r="7478" spans="4:12" x14ac:dyDescent="0.2">
      <c r="D7478" s="341"/>
      <c r="F7478" s="343"/>
      <c r="G7478" s="343"/>
      <c r="H7478" s="343"/>
      <c r="I7478" s="343"/>
      <c r="J7478" s="343"/>
      <c r="K7478" s="343"/>
      <c r="L7478" s="343"/>
    </row>
    <row r="7479" spans="4:12" x14ac:dyDescent="0.2">
      <c r="D7479" s="341"/>
      <c r="F7479" s="343"/>
      <c r="G7479" s="343"/>
      <c r="H7479" s="343"/>
      <c r="I7479" s="343"/>
      <c r="J7479" s="343"/>
      <c r="K7479" s="343"/>
      <c r="L7479" s="343"/>
    </row>
    <row r="7480" spans="4:12" x14ac:dyDescent="0.2">
      <c r="D7480" s="341"/>
      <c r="F7480" s="343"/>
      <c r="G7480" s="343"/>
      <c r="H7480" s="343"/>
      <c r="I7480" s="343"/>
      <c r="J7480" s="343"/>
      <c r="K7480" s="343"/>
      <c r="L7480" s="343"/>
    </row>
    <row r="7481" spans="4:12" x14ac:dyDescent="0.2">
      <c r="D7481" s="341"/>
      <c r="F7481" s="343"/>
      <c r="G7481" s="343"/>
      <c r="H7481" s="343"/>
      <c r="I7481" s="343"/>
      <c r="J7481" s="343"/>
      <c r="K7481" s="343"/>
      <c r="L7481" s="343"/>
    </row>
    <row r="7482" spans="4:12" x14ac:dyDescent="0.2">
      <c r="D7482" s="341"/>
      <c r="F7482" s="343"/>
      <c r="G7482" s="343"/>
      <c r="H7482" s="343"/>
      <c r="I7482" s="343"/>
      <c r="J7482" s="343"/>
      <c r="K7482" s="343"/>
      <c r="L7482" s="343"/>
    </row>
    <row r="7483" spans="4:12" x14ac:dyDescent="0.2">
      <c r="D7483" s="341"/>
      <c r="F7483" s="343"/>
      <c r="G7483" s="343"/>
      <c r="H7483" s="343"/>
      <c r="I7483" s="343"/>
      <c r="J7483" s="343"/>
      <c r="K7483" s="343"/>
      <c r="L7483" s="343"/>
    </row>
    <row r="7484" spans="4:12" x14ac:dyDescent="0.2">
      <c r="D7484" s="341"/>
      <c r="F7484" s="343"/>
      <c r="G7484" s="343"/>
      <c r="H7484" s="343"/>
      <c r="I7484" s="343"/>
      <c r="J7484" s="343"/>
      <c r="K7484" s="343"/>
      <c r="L7484" s="343"/>
    </row>
    <row r="7485" spans="4:12" x14ac:dyDescent="0.2">
      <c r="D7485" s="341"/>
      <c r="F7485" s="343"/>
      <c r="G7485" s="343"/>
      <c r="H7485" s="343"/>
      <c r="I7485" s="343"/>
      <c r="J7485" s="343"/>
      <c r="K7485" s="343"/>
      <c r="L7485" s="343"/>
    </row>
    <row r="7486" spans="4:12" x14ac:dyDescent="0.2">
      <c r="D7486" s="341"/>
      <c r="F7486" s="343"/>
      <c r="G7486" s="343"/>
      <c r="H7486" s="343"/>
      <c r="I7486" s="343"/>
      <c r="J7486" s="343"/>
      <c r="K7486" s="343"/>
      <c r="L7486" s="343"/>
    </row>
    <row r="7487" spans="4:12" x14ac:dyDescent="0.2">
      <c r="D7487" s="341"/>
      <c r="F7487" s="343"/>
      <c r="G7487" s="343"/>
      <c r="H7487" s="343"/>
      <c r="I7487" s="343"/>
      <c r="J7487" s="343"/>
      <c r="K7487" s="343"/>
      <c r="L7487" s="343"/>
    </row>
    <row r="7488" spans="4:12" x14ac:dyDescent="0.2">
      <c r="D7488" s="341"/>
      <c r="F7488" s="343"/>
      <c r="G7488" s="343"/>
      <c r="H7488" s="343"/>
      <c r="I7488" s="343"/>
      <c r="J7488" s="343"/>
      <c r="K7488" s="343"/>
      <c r="L7488" s="343"/>
    </row>
    <row r="7489" spans="4:12" x14ac:dyDescent="0.2">
      <c r="D7489" s="341"/>
      <c r="F7489" s="343"/>
      <c r="G7489" s="343"/>
      <c r="H7489" s="343"/>
      <c r="I7489" s="343"/>
      <c r="J7489" s="343"/>
      <c r="K7489" s="343"/>
      <c r="L7489" s="343"/>
    </row>
    <row r="7490" spans="4:12" x14ac:dyDescent="0.2">
      <c r="D7490" s="341"/>
      <c r="F7490" s="343"/>
      <c r="G7490" s="343"/>
      <c r="H7490" s="343"/>
      <c r="I7490" s="343"/>
      <c r="J7490" s="343"/>
      <c r="K7490" s="343"/>
      <c r="L7490" s="343"/>
    </row>
    <row r="7491" spans="4:12" x14ac:dyDescent="0.2">
      <c r="D7491" s="341"/>
      <c r="F7491" s="343"/>
      <c r="G7491" s="343"/>
      <c r="H7491" s="343"/>
      <c r="I7491" s="343"/>
      <c r="J7491" s="343"/>
      <c r="K7491" s="343"/>
      <c r="L7491" s="343"/>
    </row>
    <row r="7492" spans="4:12" x14ac:dyDescent="0.2">
      <c r="D7492" s="341"/>
      <c r="F7492" s="343"/>
      <c r="G7492" s="343"/>
      <c r="H7492" s="343"/>
      <c r="I7492" s="343"/>
      <c r="J7492" s="343"/>
      <c r="K7492" s="343"/>
      <c r="L7492" s="343"/>
    </row>
    <row r="7493" spans="4:12" x14ac:dyDescent="0.2">
      <c r="D7493" s="341"/>
      <c r="F7493" s="343"/>
      <c r="G7493" s="343"/>
      <c r="H7493" s="343"/>
      <c r="I7493" s="343"/>
      <c r="J7493" s="343"/>
      <c r="K7493" s="343"/>
      <c r="L7493" s="343"/>
    </row>
    <row r="7494" spans="4:12" x14ac:dyDescent="0.2">
      <c r="D7494" s="341"/>
      <c r="F7494" s="343"/>
      <c r="G7494" s="343"/>
      <c r="H7494" s="343"/>
      <c r="I7494" s="343"/>
      <c r="J7494" s="343"/>
      <c r="K7494" s="343"/>
      <c r="L7494" s="343"/>
    </row>
    <row r="7495" spans="4:12" x14ac:dyDescent="0.2">
      <c r="D7495" s="341"/>
      <c r="F7495" s="343"/>
      <c r="G7495" s="343"/>
      <c r="H7495" s="343"/>
      <c r="I7495" s="343"/>
      <c r="J7495" s="343"/>
      <c r="K7495" s="343"/>
      <c r="L7495" s="343"/>
    </row>
    <row r="7496" spans="4:12" x14ac:dyDescent="0.2">
      <c r="D7496" s="341"/>
      <c r="F7496" s="343"/>
      <c r="G7496" s="343"/>
      <c r="H7496" s="343"/>
      <c r="I7496" s="343"/>
      <c r="J7496" s="343"/>
      <c r="K7496" s="343"/>
      <c r="L7496" s="343"/>
    </row>
    <row r="7497" spans="4:12" x14ac:dyDescent="0.2">
      <c r="D7497" s="341"/>
      <c r="F7497" s="343"/>
      <c r="G7497" s="343"/>
      <c r="H7497" s="343"/>
      <c r="I7497" s="343"/>
      <c r="J7497" s="343"/>
      <c r="K7497" s="343"/>
      <c r="L7497" s="343"/>
    </row>
    <row r="7498" spans="4:12" x14ac:dyDescent="0.2">
      <c r="D7498" s="341"/>
      <c r="F7498" s="343"/>
      <c r="G7498" s="343"/>
      <c r="H7498" s="343"/>
      <c r="I7498" s="343"/>
      <c r="J7498" s="343"/>
      <c r="K7498" s="343"/>
      <c r="L7498" s="343"/>
    </row>
    <row r="7499" spans="4:12" x14ac:dyDescent="0.2">
      <c r="D7499" s="341"/>
      <c r="F7499" s="343"/>
      <c r="G7499" s="343"/>
      <c r="H7499" s="343"/>
      <c r="I7499" s="343"/>
      <c r="J7499" s="343"/>
      <c r="K7499" s="343"/>
      <c r="L7499" s="343"/>
    </row>
    <row r="7500" spans="4:12" x14ac:dyDescent="0.2">
      <c r="D7500" s="341"/>
      <c r="F7500" s="343"/>
      <c r="G7500" s="343"/>
      <c r="H7500" s="343"/>
      <c r="I7500" s="343"/>
      <c r="J7500" s="343"/>
      <c r="K7500" s="343"/>
      <c r="L7500" s="343"/>
    </row>
    <row r="7501" spans="4:12" x14ac:dyDescent="0.2">
      <c r="D7501" s="341"/>
      <c r="F7501" s="343"/>
      <c r="G7501" s="343"/>
      <c r="H7501" s="343"/>
      <c r="I7501" s="343"/>
      <c r="J7501" s="343"/>
      <c r="K7501" s="343"/>
      <c r="L7501" s="343"/>
    </row>
    <row r="7502" spans="4:12" x14ac:dyDescent="0.2">
      <c r="D7502" s="341"/>
      <c r="F7502" s="343"/>
      <c r="G7502" s="343"/>
      <c r="H7502" s="343"/>
      <c r="I7502" s="343"/>
      <c r="J7502" s="343"/>
      <c r="K7502" s="343"/>
      <c r="L7502" s="343"/>
    </row>
    <row r="7503" spans="4:12" x14ac:dyDescent="0.2">
      <c r="D7503" s="341"/>
      <c r="F7503" s="343"/>
      <c r="G7503" s="343"/>
      <c r="H7503" s="343"/>
      <c r="I7503" s="343"/>
      <c r="J7503" s="343"/>
      <c r="K7503" s="343"/>
      <c r="L7503" s="343"/>
    </row>
    <row r="7504" spans="4:12" x14ac:dyDescent="0.2">
      <c r="D7504" s="341"/>
      <c r="F7504" s="343"/>
      <c r="G7504" s="343"/>
      <c r="H7504" s="343"/>
      <c r="I7504" s="343"/>
      <c r="J7504" s="343"/>
      <c r="K7504" s="343"/>
      <c r="L7504" s="343"/>
    </row>
    <row r="7505" spans="4:12" x14ac:dyDescent="0.2">
      <c r="D7505" s="341"/>
      <c r="F7505" s="343"/>
      <c r="G7505" s="343"/>
      <c r="H7505" s="343"/>
      <c r="I7505" s="343"/>
      <c r="J7505" s="343"/>
      <c r="K7505" s="343"/>
      <c r="L7505" s="343"/>
    </row>
    <row r="7506" spans="4:12" x14ac:dyDescent="0.2">
      <c r="D7506" s="341"/>
      <c r="F7506" s="343"/>
      <c r="G7506" s="343"/>
      <c r="H7506" s="343"/>
      <c r="I7506" s="343"/>
      <c r="J7506" s="343"/>
      <c r="K7506" s="343"/>
      <c r="L7506" s="343"/>
    </row>
    <row r="7507" spans="4:12" x14ac:dyDescent="0.2">
      <c r="D7507" s="341"/>
      <c r="F7507" s="343"/>
      <c r="G7507" s="343"/>
      <c r="H7507" s="343"/>
      <c r="I7507" s="343"/>
      <c r="J7507" s="343"/>
      <c r="K7507" s="343"/>
      <c r="L7507" s="343"/>
    </row>
    <row r="7508" spans="4:12" x14ac:dyDescent="0.2">
      <c r="D7508" s="341"/>
      <c r="F7508" s="343"/>
      <c r="G7508" s="343"/>
      <c r="H7508" s="343"/>
      <c r="I7508" s="343"/>
      <c r="J7508" s="343"/>
      <c r="K7508" s="343"/>
      <c r="L7508" s="343"/>
    </row>
    <row r="7509" spans="4:12" x14ac:dyDescent="0.2">
      <c r="D7509" s="341"/>
      <c r="F7509" s="343"/>
      <c r="G7509" s="343"/>
      <c r="H7509" s="343"/>
      <c r="I7509" s="343"/>
      <c r="J7509" s="343"/>
      <c r="K7509" s="343"/>
      <c r="L7509" s="343"/>
    </row>
    <row r="7510" spans="4:12" x14ac:dyDescent="0.2">
      <c r="D7510" s="341"/>
      <c r="F7510" s="343"/>
      <c r="G7510" s="343"/>
      <c r="H7510" s="343"/>
      <c r="I7510" s="343"/>
      <c r="J7510" s="343"/>
      <c r="K7510" s="343"/>
      <c r="L7510" s="343"/>
    </row>
    <row r="7511" spans="4:12" x14ac:dyDescent="0.2">
      <c r="D7511" s="341"/>
      <c r="F7511" s="343"/>
      <c r="G7511" s="343"/>
      <c r="H7511" s="343"/>
      <c r="I7511" s="343"/>
      <c r="J7511" s="343"/>
      <c r="K7511" s="343"/>
      <c r="L7511" s="343"/>
    </row>
    <row r="7512" spans="4:12" x14ac:dyDescent="0.2">
      <c r="D7512" s="341"/>
      <c r="F7512" s="343"/>
      <c r="G7512" s="343"/>
      <c r="H7512" s="343"/>
      <c r="I7512" s="343"/>
      <c r="J7512" s="343"/>
      <c r="K7512" s="343"/>
      <c r="L7512" s="343"/>
    </row>
    <row r="7513" spans="4:12" x14ac:dyDescent="0.2">
      <c r="D7513" s="341"/>
      <c r="F7513" s="343"/>
      <c r="G7513" s="343"/>
      <c r="H7513" s="343"/>
      <c r="I7513" s="343"/>
      <c r="J7513" s="343"/>
      <c r="K7513" s="343"/>
      <c r="L7513" s="343"/>
    </row>
    <row r="7514" spans="4:12" x14ac:dyDescent="0.2">
      <c r="D7514" s="341"/>
      <c r="F7514" s="343"/>
      <c r="G7514" s="343"/>
      <c r="H7514" s="343"/>
      <c r="I7514" s="343"/>
      <c r="J7514" s="343"/>
      <c r="K7514" s="343"/>
      <c r="L7514" s="343"/>
    </row>
    <row r="7515" spans="4:12" x14ac:dyDescent="0.2">
      <c r="D7515" s="341"/>
      <c r="F7515" s="343"/>
      <c r="G7515" s="343"/>
      <c r="H7515" s="343"/>
      <c r="I7515" s="343"/>
      <c r="J7515" s="343"/>
      <c r="K7515" s="343"/>
      <c r="L7515" s="343"/>
    </row>
    <row r="7516" spans="4:12" x14ac:dyDescent="0.2">
      <c r="D7516" s="341"/>
      <c r="F7516" s="343"/>
      <c r="G7516" s="343"/>
      <c r="H7516" s="343"/>
      <c r="I7516" s="343"/>
      <c r="J7516" s="343"/>
      <c r="K7516" s="343"/>
      <c r="L7516" s="343"/>
    </row>
    <row r="7517" spans="4:12" x14ac:dyDescent="0.2">
      <c r="D7517" s="341"/>
      <c r="F7517" s="343"/>
      <c r="G7517" s="343"/>
      <c r="H7517" s="343"/>
      <c r="I7517" s="343"/>
      <c r="J7517" s="343"/>
      <c r="K7517" s="343"/>
      <c r="L7517" s="343"/>
    </row>
    <row r="7518" spans="4:12" x14ac:dyDescent="0.2">
      <c r="D7518" s="341"/>
      <c r="F7518" s="343"/>
      <c r="G7518" s="343"/>
      <c r="H7518" s="343"/>
      <c r="I7518" s="343"/>
      <c r="J7518" s="343"/>
      <c r="K7518" s="343"/>
      <c r="L7518" s="343"/>
    </row>
    <row r="7519" spans="4:12" x14ac:dyDescent="0.2">
      <c r="D7519" s="341"/>
      <c r="F7519" s="343"/>
      <c r="G7519" s="343"/>
      <c r="H7519" s="343"/>
      <c r="I7519" s="343"/>
      <c r="J7519" s="343"/>
      <c r="K7519" s="343"/>
      <c r="L7519" s="343"/>
    </row>
    <row r="7520" spans="4:12" x14ac:dyDescent="0.2">
      <c r="D7520" s="341"/>
      <c r="F7520" s="343"/>
      <c r="G7520" s="343"/>
      <c r="H7520" s="343"/>
      <c r="I7520" s="343"/>
      <c r="J7520" s="343"/>
      <c r="K7520" s="343"/>
      <c r="L7520" s="343"/>
    </row>
    <row r="7521" spans="4:12" x14ac:dyDescent="0.2">
      <c r="D7521" s="341"/>
      <c r="F7521" s="343"/>
      <c r="G7521" s="343"/>
      <c r="H7521" s="343"/>
      <c r="I7521" s="343"/>
      <c r="J7521" s="343"/>
      <c r="K7521" s="343"/>
      <c r="L7521" s="343"/>
    </row>
    <row r="7522" spans="4:12" x14ac:dyDescent="0.2">
      <c r="D7522" s="341"/>
      <c r="F7522" s="343"/>
      <c r="G7522" s="343"/>
      <c r="H7522" s="343"/>
      <c r="I7522" s="343"/>
      <c r="J7522" s="343"/>
      <c r="K7522" s="343"/>
      <c r="L7522" s="343"/>
    </row>
    <row r="7523" spans="4:12" x14ac:dyDescent="0.2">
      <c r="D7523" s="341"/>
      <c r="F7523" s="343"/>
      <c r="G7523" s="343"/>
      <c r="H7523" s="343"/>
      <c r="I7523" s="343"/>
      <c r="J7523" s="343"/>
      <c r="K7523" s="343"/>
      <c r="L7523" s="343"/>
    </row>
    <row r="7524" spans="4:12" x14ac:dyDescent="0.2">
      <c r="D7524" s="341"/>
      <c r="F7524" s="343"/>
      <c r="G7524" s="343"/>
      <c r="H7524" s="343"/>
      <c r="I7524" s="343"/>
      <c r="J7524" s="343"/>
      <c r="K7524" s="343"/>
      <c r="L7524" s="343"/>
    </row>
    <row r="7525" spans="4:12" x14ac:dyDescent="0.2">
      <c r="D7525" s="341"/>
      <c r="F7525" s="343"/>
      <c r="G7525" s="343"/>
      <c r="H7525" s="343"/>
      <c r="I7525" s="343"/>
      <c r="J7525" s="343"/>
      <c r="K7525" s="343"/>
      <c r="L7525" s="343"/>
    </row>
    <row r="7526" spans="4:12" x14ac:dyDescent="0.2">
      <c r="D7526" s="341"/>
      <c r="F7526" s="343"/>
      <c r="G7526" s="343"/>
      <c r="H7526" s="343"/>
      <c r="I7526" s="343"/>
      <c r="J7526" s="343"/>
      <c r="K7526" s="343"/>
      <c r="L7526" s="343"/>
    </row>
    <row r="7527" spans="4:12" x14ac:dyDescent="0.2">
      <c r="D7527" s="341"/>
      <c r="F7527" s="343"/>
      <c r="G7527" s="343"/>
      <c r="H7527" s="343"/>
      <c r="I7527" s="343"/>
      <c r="J7527" s="343"/>
      <c r="K7527" s="343"/>
      <c r="L7527" s="343"/>
    </row>
    <row r="7528" spans="4:12" x14ac:dyDescent="0.2">
      <c r="D7528" s="341"/>
      <c r="F7528" s="343"/>
      <c r="G7528" s="343"/>
      <c r="H7528" s="343"/>
      <c r="I7528" s="343"/>
      <c r="J7528" s="343"/>
      <c r="K7528" s="343"/>
      <c r="L7528" s="343"/>
    </row>
    <row r="7529" spans="4:12" x14ac:dyDescent="0.2">
      <c r="D7529" s="341"/>
      <c r="F7529" s="343"/>
      <c r="G7529" s="343"/>
      <c r="H7529" s="343"/>
      <c r="I7529" s="343"/>
      <c r="J7529" s="343"/>
      <c r="K7529" s="343"/>
      <c r="L7529" s="343"/>
    </row>
    <row r="7530" spans="4:12" x14ac:dyDescent="0.2">
      <c r="D7530" s="341"/>
      <c r="F7530" s="343"/>
      <c r="G7530" s="343"/>
      <c r="H7530" s="343"/>
      <c r="I7530" s="343"/>
      <c r="J7530" s="343"/>
      <c r="K7530" s="343"/>
      <c r="L7530" s="343"/>
    </row>
    <row r="7531" spans="4:12" x14ac:dyDescent="0.2">
      <c r="D7531" s="341"/>
      <c r="F7531" s="343"/>
      <c r="G7531" s="343"/>
      <c r="H7531" s="343"/>
      <c r="I7531" s="343"/>
      <c r="J7531" s="343"/>
      <c r="K7531" s="343"/>
      <c r="L7531" s="343"/>
    </row>
    <row r="7532" spans="4:12" x14ac:dyDescent="0.2">
      <c r="D7532" s="341"/>
      <c r="F7532" s="343"/>
      <c r="G7532" s="343"/>
      <c r="H7532" s="343"/>
      <c r="I7532" s="343"/>
      <c r="J7532" s="343"/>
      <c r="K7532" s="343"/>
      <c r="L7532" s="343"/>
    </row>
    <row r="7533" spans="4:12" x14ac:dyDescent="0.2">
      <c r="D7533" s="341"/>
      <c r="F7533" s="343"/>
      <c r="G7533" s="343"/>
      <c r="H7533" s="343"/>
      <c r="I7533" s="343"/>
      <c r="J7533" s="343"/>
      <c r="K7533" s="343"/>
      <c r="L7533" s="343"/>
    </row>
    <row r="7534" spans="4:12" x14ac:dyDescent="0.2">
      <c r="D7534" s="341"/>
      <c r="F7534" s="343"/>
      <c r="G7534" s="343"/>
      <c r="H7534" s="343"/>
      <c r="I7534" s="343"/>
      <c r="J7534" s="343"/>
      <c r="K7534" s="343"/>
      <c r="L7534" s="343"/>
    </row>
    <row r="7535" spans="4:12" x14ac:dyDescent="0.2">
      <c r="D7535" s="341"/>
      <c r="F7535" s="343"/>
      <c r="G7535" s="343"/>
      <c r="H7535" s="343"/>
      <c r="I7535" s="343"/>
      <c r="J7535" s="343"/>
      <c r="K7535" s="343"/>
      <c r="L7535" s="343"/>
    </row>
    <row r="7536" spans="4:12" x14ac:dyDescent="0.2">
      <c r="D7536" s="341"/>
      <c r="F7536" s="343"/>
      <c r="G7536" s="343"/>
      <c r="H7536" s="343"/>
      <c r="I7536" s="343"/>
      <c r="J7536" s="343"/>
      <c r="K7536" s="343"/>
      <c r="L7536" s="343"/>
    </row>
    <row r="7537" spans="4:12" x14ac:dyDescent="0.2">
      <c r="D7537" s="341"/>
      <c r="F7537" s="343"/>
      <c r="G7537" s="343"/>
      <c r="H7537" s="343"/>
      <c r="I7537" s="343"/>
      <c r="J7537" s="343"/>
      <c r="K7537" s="343"/>
      <c r="L7537" s="343"/>
    </row>
    <row r="7538" spans="4:12" x14ac:dyDescent="0.2">
      <c r="D7538" s="341"/>
      <c r="F7538" s="343"/>
      <c r="G7538" s="343"/>
      <c r="H7538" s="343"/>
      <c r="I7538" s="343"/>
      <c r="J7538" s="343"/>
      <c r="K7538" s="343"/>
      <c r="L7538" s="343"/>
    </row>
    <row r="7539" spans="4:12" x14ac:dyDescent="0.2">
      <c r="D7539" s="341"/>
      <c r="F7539" s="343"/>
      <c r="G7539" s="343"/>
      <c r="H7539" s="343"/>
      <c r="I7539" s="343"/>
      <c r="J7539" s="343"/>
      <c r="K7539" s="343"/>
      <c r="L7539" s="343"/>
    </row>
    <row r="7540" spans="4:12" x14ac:dyDescent="0.2">
      <c r="D7540" s="341"/>
      <c r="F7540" s="343"/>
      <c r="G7540" s="343"/>
      <c r="H7540" s="343"/>
      <c r="I7540" s="343"/>
      <c r="J7540" s="343"/>
      <c r="K7540" s="343"/>
      <c r="L7540" s="343"/>
    </row>
    <row r="7541" spans="4:12" x14ac:dyDescent="0.2">
      <c r="D7541" s="341"/>
      <c r="F7541" s="343"/>
      <c r="G7541" s="343"/>
      <c r="H7541" s="343"/>
      <c r="I7541" s="343"/>
      <c r="J7541" s="343"/>
      <c r="K7541" s="343"/>
      <c r="L7541" s="343"/>
    </row>
    <row r="7542" spans="4:12" x14ac:dyDescent="0.2">
      <c r="D7542" s="341"/>
      <c r="F7542" s="343"/>
      <c r="G7542" s="343"/>
      <c r="H7542" s="343"/>
      <c r="I7542" s="343"/>
      <c r="J7542" s="343"/>
      <c r="K7542" s="343"/>
      <c r="L7542" s="343"/>
    </row>
    <row r="7543" spans="4:12" x14ac:dyDescent="0.2">
      <c r="D7543" s="341"/>
      <c r="F7543" s="343"/>
      <c r="G7543" s="343"/>
      <c r="H7543" s="343"/>
      <c r="I7543" s="343"/>
      <c r="J7543" s="343"/>
      <c r="K7543" s="343"/>
      <c r="L7543" s="343"/>
    </row>
    <row r="7544" spans="4:12" x14ac:dyDescent="0.2">
      <c r="D7544" s="341"/>
      <c r="F7544" s="343"/>
      <c r="G7544" s="343"/>
      <c r="H7544" s="343"/>
      <c r="I7544" s="343"/>
      <c r="J7544" s="343"/>
      <c r="K7544" s="343"/>
      <c r="L7544" s="343"/>
    </row>
    <row r="7545" spans="4:12" x14ac:dyDescent="0.2">
      <c r="D7545" s="341"/>
      <c r="F7545" s="343"/>
      <c r="G7545" s="343"/>
      <c r="H7545" s="343"/>
      <c r="I7545" s="343"/>
      <c r="J7545" s="343"/>
      <c r="K7545" s="343"/>
      <c r="L7545" s="343"/>
    </row>
    <row r="7546" spans="4:12" x14ac:dyDescent="0.2">
      <c r="D7546" s="341"/>
      <c r="F7546" s="343"/>
      <c r="G7546" s="343"/>
      <c r="H7546" s="343"/>
      <c r="I7546" s="343"/>
      <c r="J7546" s="343"/>
      <c r="K7546" s="343"/>
      <c r="L7546" s="343"/>
    </row>
    <row r="7547" spans="4:12" x14ac:dyDescent="0.2">
      <c r="D7547" s="341"/>
      <c r="F7547" s="343"/>
      <c r="G7547" s="343"/>
      <c r="H7547" s="343"/>
      <c r="I7547" s="343"/>
      <c r="J7547" s="343"/>
      <c r="K7547" s="343"/>
      <c r="L7547" s="343"/>
    </row>
    <row r="7548" spans="4:12" x14ac:dyDescent="0.2">
      <c r="D7548" s="341"/>
      <c r="F7548" s="343"/>
      <c r="G7548" s="343"/>
      <c r="H7548" s="343"/>
      <c r="I7548" s="343"/>
      <c r="J7548" s="343"/>
      <c r="K7548" s="343"/>
      <c r="L7548" s="343"/>
    </row>
    <row r="7549" spans="4:12" x14ac:dyDescent="0.2">
      <c r="D7549" s="341"/>
      <c r="F7549" s="343"/>
      <c r="G7549" s="343"/>
      <c r="H7549" s="343"/>
      <c r="I7549" s="343"/>
      <c r="J7549" s="343"/>
      <c r="K7549" s="343"/>
      <c r="L7549" s="343"/>
    </row>
    <row r="7550" spans="4:12" x14ac:dyDescent="0.2">
      <c r="D7550" s="341"/>
      <c r="F7550" s="343"/>
      <c r="G7550" s="343"/>
      <c r="H7550" s="343"/>
      <c r="I7550" s="343"/>
      <c r="J7550" s="343"/>
      <c r="K7550" s="343"/>
      <c r="L7550" s="343"/>
    </row>
    <row r="7551" spans="4:12" x14ac:dyDescent="0.2">
      <c r="D7551" s="341"/>
      <c r="F7551" s="343"/>
      <c r="G7551" s="343"/>
      <c r="H7551" s="343"/>
      <c r="I7551" s="343"/>
      <c r="J7551" s="343"/>
      <c r="K7551" s="343"/>
      <c r="L7551" s="343"/>
    </row>
    <row r="7552" spans="4:12" x14ac:dyDescent="0.2">
      <c r="D7552" s="341"/>
      <c r="F7552" s="343"/>
      <c r="G7552" s="343"/>
      <c r="H7552" s="343"/>
      <c r="I7552" s="343"/>
      <c r="J7552" s="343"/>
      <c r="K7552" s="343"/>
      <c r="L7552" s="343"/>
    </row>
    <row r="7553" spans="4:12" x14ac:dyDescent="0.2">
      <c r="D7553" s="341"/>
      <c r="F7553" s="343"/>
      <c r="G7553" s="343"/>
      <c r="H7553" s="343"/>
      <c r="I7553" s="343"/>
      <c r="J7553" s="343"/>
      <c r="K7553" s="343"/>
      <c r="L7553" s="343"/>
    </row>
    <row r="7554" spans="4:12" x14ac:dyDescent="0.2">
      <c r="D7554" s="341"/>
      <c r="F7554" s="343"/>
      <c r="G7554" s="343"/>
      <c r="H7554" s="343"/>
      <c r="I7554" s="343"/>
      <c r="J7554" s="343"/>
      <c r="K7554" s="343"/>
      <c r="L7554" s="343"/>
    </row>
    <row r="7555" spans="4:12" x14ac:dyDescent="0.2">
      <c r="D7555" s="341"/>
      <c r="F7555" s="343"/>
      <c r="G7555" s="343"/>
      <c r="H7555" s="343"/>
      <c r="I7555" s="343"/>
      <c r="J7555" s="343"/>
      <c r="K7555" s="343"/>
      <c r="L7555" s="343"/>
    </row>
    <row r="7556" spans="4:12" x14ac:dyDescent="0.2">
      <c r="D7556" s="341"/>
      <c r="F7556" s="343"/>
      <c r="G7556" s="343"/>
      <c r="H7556" s="343"/>
      <c r="I7556" s="343"/>
      <c r="J7556" s="343"/>
      <c r="K7556" s="343"/>
      <c r="L7556" s="343"/>
    </row>
    <row r="7557" spans="4:12" x14ac:dyDescent="0.2">
      <c r="D7557" s="341"/>
      <c r="F7557" s="343"/>
      <c r="G7557" s="343"/>
      <c r="H7557" s="343"/>
      <c r="I7557" s="343"/>
      <c r="J7557" s="343"/>
      <c r="K7557" s="343"/>
      <c r="L7557" s="343"/>
    </row>
    <row r="7558" spans="4:12" x14ac:dyDescent="0.2">
      <c r="D7558" s="341"/>
      <c r="F7558" s="343"/>
      <c r="G7558" s="343"/>
      <c r="H7558" s="343"/>
      <c r="I7558" s="343"/>
      <c r="J7558" s="343"/>
      <c r="K7558" s="343"/>
      <c r="L7558" s="343"/>
    </row>
    <row r="7559" spans="4:12" x14ac:dyDescent="0.2">
      <c r="D7559" s="341"/>
      <c r="F7559" s="343"/>
      <c r="G7559" s="343"/>
      <c r="H7559" s="343"/>
      <c r="I7559" s="343"/>
      <c r="J7559" s="343"/>
      <c r="K7559" s="343"/>
      <c r="L7559" s="343"/>
    </row>
    <row r="7560" spans="4:12" x14ac:dyDescent="0.2">
      <c r="D7560" s="341"/>
      <c r="F7560" s="343"/>
      <c r="G7560" s="343"/>
      <c r="H7560" s="343"/>
      <c r="I7560" s="343"/>
      <c r="J7560" s="343"/>
      <c r="K7560" s="343"/>
      <c r="L7560" s="343"/>
    </row>
    <row r="7561" spans="4:12" x14ac:dyDescent="0.2">
      <c r="D7561" s="341"/>
      <c r="F7561" s="343"/>
      <c r="G7561" s="343"/>
      <c r="H7561" s="343"/>
      <c r="I7561" s="343"/>
      <c r="J7561" s="343"/>
      <c r="K7561" s="343"/>
      <c r="L7561" s="343"/>
    </row>
    <row r="7562" spans="4:12" x14ac:dyDescent="0.2">
      <c r="D7562" s="341"/>
      <c r="F7562" s="343"/>
      <c r="G7562" s="343"/>
      <c r="H7562" s="343"/>
      <c r="I7562" s="343"/>
      <c r="J7562" s="343"/>
      <c r="K7562" s="343"/>
      <c r="L7562" s="343"/>
    </row>
    <row r="7563" spans="4:12" x14ac:dyDescent="0.2">
      <c r="D7563" s="341"/>
      <c r="F7563" s="343"/>
      <c r="G7563" s="343"/>
      <c r="H7563" s="343"/>
      <c r="I7563" s="343"/>
      <c r="J7563" s="343"/>
      <c r="K7563" s="343"/>
      <c r="L7563" s="343"/>
    </row>
    <row r="7564" spans="4:12" x14ac:dyDescent="0.2">
      <c r="D7564" s="341"/>
      <c r="F7564" s="343"/>
      <c r="G7564" s="343"/>
      <c r="H7564" s="343"/>
      <c r="I7564" s="343"/>
      <c r="J7564" s="343"/>
      <c r="K7564" s="343"/>
      <c r="L7564" s="343"/>
    </row>
    <row r="7565" spans="4:12" x14ac:dyDescent="0.2">
      <c r="D7565" s="341"/>
      <c r="F7565" s="343"/>
      <c r="G7565" s="343"/>
      <c r="H7565" s="343"/>
      <c r="I7565" s="343"/>
      <c r="J7565" s="343"/>
      <c r="K7565" s="343"/>
      <c r="L7565" s="343"/>
    </row>
    <row r="7566" spans="4:12" x14ac:dyDescent="0.2">
      <c r="D7566" s="341"/>
      <c r="F7566" s="343"/>
      <c r="G7566" s="343"/>
      <c r="H7566" s="343"/>
      <c r="I7566" s="343"/>
      <c r="J7566" s="343"/>
      <c r="K7566" s="343"/>
      <c r="L7566" s="343"/>
    </row>
    <row r="7567" spans="4:12" x14ac:dyDescent="0.2">
      <c r="D7567" s="341"/>
      <c r="F7567" s="343"/>
      <c r="G7567" s="343"/>
      <c r="H7567" s="343"/>
      <c r="I7567" s="343"/>
      <c r="J7567" s="343"/>
      <c r="K7567" s="343"/>
      <c r="L7567" s="343"/>
    </row>
    <row r="7568" spans="4:12" x14ac:dyDescent="0.2">
      <c r="D7568" s="341"/>
      <c r="F7568" s="343"/>
      <c r="G7568" s="343"/>
      <c r="H7568" s="343"/>
      <c r="I7568" s="343"/>
      <c r="J7568" s="343"/>
      <c r="K7568" s="343"/>
      <c r="L7568" s="343"/>
    </row>
    <row r="7569" spans="4:12" x14ac:dyDescent="0.2">
      <c r="D7569" s="341"/>
      <c r="F7569" s="343"/>
      <c r="G7569" s="343"/>
      <c r="H7569" s="343"/>
      <c r="I7569" s="343"/>
      <c r="J7569" s="343"/>
      <c r="K7569" s="343"/>
      <c r="L7569" s="343"/>
    </row>
    <row r="7570" spans="4:12" x14ac:dyDescent="0.2">
      <c r="D7570" s="341"/>
      <c r="F7570" s="343"/>
      <c r="G7570" s="343"/>
      <c r="H7570" s="343"/>
      <c r="I7570" s="343"/>
      <c r="J7570" s="343"/>
      <c r="K7570" s="343"/>
      <c r="L7570" s="343"/>
    </row>
    <row r="7571" spans="4:12" x14ac:dyDescent="0.2">
      <c r="D7571" s="341"/>
      <c r="F7571" s="343"/>
      <c r="G7571" s="343"/>
      <c r="H7571" s="343"/>
      <c r="I7571" s="343"/>
      <c r="J7571" s="343"/>
      <c r="K7571" s="343"/>
      <c r="L7571" s="343"/>
    </row>
    <row r="7572" spans="4:12" x14ac:dyDescent="0.2">
      <c r="D7572" s="341"/>
      <c r="F7572" s="343"/>
      <c r="G7572" s="343"/>
      <c r="H7572" s="343"/>
      <c r="I7572" s="343"/>
      <c r="J7572" s="343"/>
      <c r="K7572" s="343"/>
      <c r="L7572" s="343"/>
    </row>
    <row r="7573" spans="4:12" x14ac:dyDescent="0.2">
      <c r="D7573" s="341"/>
      <c r="F7573" s="343"/>
      <c r="G7573" s="343"/>
      <c r="H7573" s="343"/>
      <c r="I7573" s="343"/>
      <c r="J7573" s="343"/>
      <c r="K7573" s="343"/>
      <c r="L7573" s="343"/>
    </row>
    <row r="7574" spans="4:12" x14ac:dyDescent="0.2">
      <c r="D7574" s="341"/>
      <c r="F7574" s="343"/>
      <c r="G7574" s="343"/>
      <c r="H7574" s="343"/>
      <c r="I7574" s="343"/>
      <c r="J7574" s="343"/>
      <c r="K7574" s="343"/>
      <c r="L7574" s="343"/>
    </row>
    <row r="7575" spans="4:12" x14ac:dyDescent="0.2">
      <c r="D7575" s="341"/>
      <c r="F7575" s="343"/>
      <c r="G7575" s="343"/>
      <c r="H7575" s="343"/>
      <c r="I7575" s="343"/>
      <c r="J7575" s="343"/>
      <c r="K7575" s="343"/>
      <c r="L7575" s="343"/>
    </row>
    <row r="7576" spans="4:12" x14ac:dyDescent="0.2">
      <c r="D7576" s="341"/>
      <c r="F7576" s="343"/>
      <c r="G7576" s="343"/>
      <c r="H7576" s="343"/>
      <c r="I7576" s="343"/>
      <c r="J7576" s="343"/>
      <c r="K7576" s="343"/>
      <c r="L7576" s="343"/>
    </row>
    <row r="7577" spans="4:12" x14ac:dyDescent="0.2">
      <c r="D7577" s="341"/>
      <c r="F7577" s="343"/>
      <c r="G7577" s="343"/>
      <c r="H7577" s="343"/>
      <c r="I7577" s="343"/>
      <c r="J7577" s="343"/>
      <c r="K7577" s="343"/>
      <c r="L7577" s="343"/>
    </row>
    <row r="7578" spans="4:12" x14ac:dyDescent="0.2">
      <c r="D7578" s="341"/>
      <c r="F7578" s="343"/>
      <c r="G7578" s="343"/>
      <c r="H7578" s="343"/>
      <c r="I7578" s="343"/>
      <c r="J7578" s="343"/>
      <c r="K7578" s="343"/>
      <c r="L7578" s="343"/>
    </row>
    <row r="7579" spans="4:12" x14ac:dyDescent="0.2">
      <c r="D7579" s="341"/>
      <c r="F7579" s="343"/>
      <c r="G7579" s="343"/>
      <c r="H7579" s="343"/>
      <c r="I7579" s="343"/>
      <c r="J7579" s="343"/>
      <c r="K7579" s="343"/>
      <c r="L7579" s="343"/>
    </row>
    <row r="7580" spans="4:12" x14ac:dyDescent="0.2">
      <c r="D7580" s="341"/>
      <c r="F7580" s="343"/>
      <c r="G7580" s="343"/>
      <c r="H7580" s="343"/>
      <c r="I7580" s="343"/>
      <c r="J7580" s="343"/>
      <c r="K7580" s="343"/>
      <c r="L7580" s="343"/>
    </row>
    <row r="7581" spans="4:12" x14ac:dyDescent="0.2">
      <c r="D7581" s="341"/>
      <c r="F7581" s="343"/>
      <c r="G7581" s="343"/>
      <c r="H7581" s="343"/>
      <c r="I7581" s="343"/>
      <c r="J7581" s="343"/>
      <c r="K7581" s="343"/>
      <c r="L7581" s="343"/>
    </row>
    <row r="7582" spans="4:12" x14ac:dyDescent="0.2">
      <c r="D7582" s="341"/>
      <c r="F7582" s="343"/>
      <c r="G7582" s="343"/>
      <c r="H7582" s="343"/>
      <c r="I7582" s="343"/>
      <c r="J7582" s="343"/>
      <c r="K7582" s="343"/>
      <c r="L7582" s="343"/>
    </row>
    <row r="7583" spans="4:12" x14ac:dyDescent="0.2">
      <c r="D7583" s="341"/>
      <c r="F7583" s="343"/>
      <c r="G7583" s="343"/>
      <c r="H7583" s="343"/>
      <c r="I7583" s="343"/>
      <c r="J7583" s="343"/>
      <c r="K7583" s="343"/>
      <c r="L7583" s="343"/>
    </row>
    <row r="7584" spans="4:12" x14ac:dyDescent="0.2">
      <c r="D7584" s="341"/>
      <c r="F7584" s="343"/>
      <c r="G7584" s="343"/>
      <c r="H7584" s="343"/>
      <c r="I7584" s="343"/>
      <c r="J7584" s="343"/>
      <c r="K7584" s="343"/>
      <c r="L7584" s="343"/>
    </row>
    <row r="7585" spans="4:12" x14ac:dyDescent="0.2">
      <c r="D7585" s="341"/>
      <c r="F7585" s="343"/>
      <c r="G7585" s="343"/>
      <c r="H7585" s="343"/>
      <c r="I7585" s="343"/>
      <c r="J7585" s="343"/>
      <c r="K7585" s="343"/>
      <c r="L7585" s="343"/>
    </row>
    <row r="7586" spans="4:12" x14ac:dyDescent="0.2">
      <c r="D7586" s="341"/>
      <c r="F7586" s="343"/>
      <c r="G7586" s="343"/>
      <c r="H7586" s="343"/>
      <c r="I7586" s="343"/>
      <c r="J7586" s="343"/>
      <c r="K7586" s="343"/>
      <c r="L7586" s="343"/>
    </row>
    <row r="7587" spans="4:12" x14ac:dyDescent="0.2">
      <c r="D7587" s="341"/>
      <c r="F7587" s="343"/>
      <c r="G7587" s="343"/>
      <c r="H7587" s="343"/>
      <c r="I7587" s="343"/>
      <c r="J7587" s="343"/>
      <c r="K7587" s="343"/>
      <c r="L7587" s="343"/>
    </row>
    <row r="7588" spans="4:12" x14ac:dyDescent="0.2">
      <c r="D7588" s="341"/>
      <c r="F7588" s="343"/>
      <c r="G7588" s="343"/>
      <c r="H7588" s="343"/>
      <c r="I7588" s="343"/>
      <c r="J7588" s="343"/>
      <c r="K7588" s="343"/>
      <c r="L7588" s="343"/>
    </row>
    <row r="7589" spans="4:12" x14ac:dyDescent="0.2">
      <c r="D7589" s="341"/>
      <c r="F7589" s="343"/>
      <c r="G7589" s="343"/>
      <c r="H7589" s="343"/>
      <c r="I7589" s="343"/>
      <c r="J7589" s="343"/>
      <c r="K7589" s="343"/>
      <c r="L7589" s="343"/>
    </row>
    <row r="7590" spans="4:12" x14ac:dyDescent="0.2">
      <c r="D7590" s="341"/>
      <c r="F7590" s="343"/>
      <c r="G7590" s="343"/>
      <c r="H7590" s="343"/>
      <c r="I7590" s="343"/>
      <c r="J7590" s="343"/>
      <c r="K7590" s="343"/>
      <c r="L7590" s="343"/>
    </row>
    <row r="7591" spans="4:12" x14ac:dyDescent="0.2">
      <c r="D7591" s="341"/>
      <c r="F7591" s="343"/>
      <c r="G7591" s="343"/>
      <c r="H7591" s="343"/>
      <c r="I7591" s="343"/>
      <c r="J7591" s="343"/>
      <c r="K7591" s="343"/>
      <c r="L7591" s="343"/>
    </row>
    <row r="7592" spans="4:12" x14ac:dyDescent="0.2">
      <c r="D7592" s="341"/>
      <c r="F7592" s="343"/>
      <c r="G7592" s="343"/>
      <c r="H7592" s="343"/>
      <c r="I7592" s="343"/>
      <c r="J7592" s="343"/>
      <c r="K7592" s="343"/>
      <c r="L7592" s="343"/>
    </row>
    <row r="7593" spans="4:12" x14ac:dyDescent="0.2">
      <c r="D7593" s="341"/>
      <c r="F7593" s="343"/>
      <c r="G7593" s="343"/>
      <c r="H7593" s="343"/>
      <c r="I7593" s="343"/>
      <c r="J7593" s="343"/>
      <c r="K7593" s="343"/>
      <c r="L7593" s="343"/>
    </row>
    <row r="7594" spans="4:12" x14ac:dyDescent="0.2">
      <c r="D7594" s="341"/>
      <c r="F7594" s="343"/>
      <c r="G7594" s="343"/>
      <c r="H7594" s="343"/>
      <c r="I7594" s="343"/>
      <c r="J7594" s="343"/>
      <c r="K7594" s="343"/>
      <c r="L7594" s="343"/>
    </row>
    <row r="7595" spans="4:12" x14ac:dyDescent="0.2">
      <c r="D7595" s="341"/>
      <c r="F7595" s="343"/>
      <c r="G7595" s="343"/>
      <c r="H7595" s="343"/>
      <c r="I7595" s="343"/>
      <c r="J7595" s="343"/>
      <c r="K7595" s="343"/>
      <c r="L7595" s="343"/>
    </row>
    <row r="7596" spans="4:12" x14ac:dyDescent="0.2">
      <c r="D7596" s="341"/>
      <c r="F7596" s="343"/>
      <c r="G7596" s="343"/>
      <c r="H7596" s="343"/>
      <c r="I7596" s="343"/>
      <c r="J7596" s="343"/>
      <c r="K7596" s="343"/>
      <c r="L7596" s="343"/>
    </row>
    <row r="7597" spans="4:12" x14ac:dyDescent="0.2">
      <c r="D7597" s="341"/>
      <c r="F7597" s="343"/>
      <c r="G7597" s="343"/>
      <c r="H7597" s="343"/>
      <c r="I7597" s="343"/>
      <c r="J7597" s="343"/>
      <c r="K7597" s="343"/>
      <c r="L7597" s="343"/>
    </row>
    <row r="7598" spans="4:12" x14ac:dyDescent="0.2">
      <c r="D7598" s="341"/>
      <c r="F7598" s="343"/>
      <c r="G7598" s="343"/>
      <c r="H7598" s="343"/>
      <c r="I7598" s="343"/>
      <c r="J7598" s="343"/>
      <c r="K7598" s="343"/>
      <c r="L7598" s="343"/>
    </row>
    <row r="7599" spans="4:12" x14ac:dyDescent="0.2">
      <c r="D7599" s="341"/>
      <c r="F7599" s="343"/>
      <c r="G7599" s="343"/>
      <c r="H7599" s="343"/>
      <c r="I7599" s="343"/>
      <c r="J7599" s="343"/>
      <c r="K7599" s="343"/>
      <c r="L7599" s="343"/>
    </row>
    <row r="7600" spans="4:12" x14ac:dyDescent="0.2">
      <c r="D7600" s="341"/>
      <c r="F7600" s="343"/>
      <c r="G7600" s="343"/>
      <c r="H7600" s="343"/>
      <c r="I7600" s="343"/>
      <c r="J7600" s="343"/>
      <c r="K7600" s="343"/>
      <c r="L7600" s="343"/>
    </row>
    <row r="7601" spans="4:12" x14ac:dyDescent="0.2">
      <c r="D7601" s="341"/>
      <c r="F7601" s="343"/>
      <c r="G7601" s="343"/>
      <c r="H7601" s="343"/>
      <c r="I7601" s="343"/>
      <c r="J7601" s="343"/>
      <c r="K7601" s="343"/>
      <c r="L7601" s="343"/>
    </row>
    <row r="7602" spans="4:12" x14ac:dyDescent="0.2">
      <c r="D7602" s="341"/>
      <c r="F7602" s="343"/>
      <c r="G7602" s="343"/>
      <c r="H7602" s="343"/>
      <c r="I7602" s="343"/>
      <c r="J7602" s="343"/>
      <c r="K7602" s="343"/>
      <c r="L7602" s="343"/>
    </row>
    <row r="7603" spans="4:12" x14ac:dyDescent="0.2">
      <c r="D7603" s="341"/>
      <c r="F7603" s="343"/>
      <c r="G7603" s="343"/>
      <c r="H7603" s="343"/>
      <c r="I7603" s="343"/>
      <c r="J7603" s="343"/>
      <c r="K7603" s="343"/>
      <c r="L7603" s="343"/>
    </row>
    <row r="7604" spans="4:12" x14ac:dyDescent="0.2">
      <c r="D7604" s="341"/>
      <c r="F7604" s="343"/>
      <c r="G7604" s="343"/>
      <c r="H7604" s="343"/>
      <c r="I7604" s="343"/>
      <c r="J7604" s="343"/>
      <c r="K7604" s="343"/>
      <c r="L7604" s="343"/>
    </row>
    <row r="7605" spans="4:12" x14ac:dyDescent="0.2">
      <c r="D7605" s="341"/>
      <c r="F7605" s="343"/>
      <c r="G7605" s="343"/>
      <c r="H7605" s="343"/>
      <c r="I7605" s="343"/>
      <c r="J7605" s="343"/>
      <c r="K7605" s="343"/>
      <c r="L7605" s="343"/>
    </row>
    <row r="7606" spans="4:12" x14ac:dyDescent="0.2">
      <c r="D7606" s="341"/>
      <c r="F7606" s="343"/>
      <c r="G7606" s="343"/>
      <c r="H7606" s="343"/>
      <c r="I7606" s="343"/>
      <c r="J7606" s="343"/>
      <c r="K7606" s="343"/>
      <c r="L7606" s="343"/>
    </row>
    <row r="7607" spans="4:12" x14ac:dyDescent="0.2">
      <c r="D7607" s="341"/>
      <c r="F7607" s="343"/>
      <c r="G7607" s="343"/>
      <c r="H7607" s="343"/>
      <c r="I7607" s="343"/>
      <c r="J7607" s="343"/>
      <c r="K7607" s="343"/>
      <c r="L7607" s="343"/>
    </row>
    <row r="7608" spans="4:12" x14ac:dyDescent="0.2">
      <c r="D7608" s="341"/>
      <c r="F7608" s="343"/>
      <c r="G7608" s="343"/>
      <c r="H7608" s="343"/>
      <c r="I7608" s="343"/>
      <c r="J7608" s="343"/>
      <c r="K7608" s="343"/>
      <c r="L7608" s="343"/>
    </row>
    <row r="7609" spans="4:12" x14ac:dyDescent="0.2">
      <c r="D7609" s="341"/>
      <c r="F7609" s="343"/>
      <c r="G7609" s="343"/>
      <c r="H7609" s="343"/>
      <c r="I7609" s="343"/>
      <c r="J7609" s="343"/>
      <c r="K7609" s="343"/>
      <c r="L7609" s="343"/>
    </row>
    <row r="7610" spans="4:12" x14ac:dyDescent="0.2">
      <c r="D7610" s="341"/>
      <c r="F7610" s="343"/>
      <c r="G7610" s="343"/>
      <c r="H7610" s="343"/>
      <c r="I7610" s="343"/>
      <c r="J7610" s="343"/>
      <c r="K7610" s="343"/>
      <c r="L7610" s="343"/>
    </row>
    <row r="7611" spans="4:12" x14ac:dyDescent="0.2">
      <c r="D7611" s="341"/>
      <c r="F7611" s="343"/>
      <c r="G7611" s="343"/>
      <c r="H7611" s="343"/>
      <c r="I7611" s="343"/>
      <c r="J7611" s="343"/>
      <c r="K7611" s="343"/>
      <c r="L7611" s="343"/>
    </row>
    <row r="7612" spans="4:12" x14ac:dyDescent="0.2">
      <c r="D7612" s="341"/>
      <c r="F7612" s="343"/>
      <c r="G7612" s="343"/>
      <c r="H7612" s="343"/>
      <c r="I7612" s="343"/>
      <c r="J7612" s="343"/>
      <c r="K7612" s="343"/>
      <c r="L7612" s="343"/>
    </row>
    <row r="7613" spans="4:12" x14ac:dyDescent="0.2">
      <c r="D7613" s="341"/>
      <c r="F7613" s="343"/>
      <c r="G7613" s="343"/>
      <c r="H7613" s="343"/>
      <c r="I7613" s="343"/>
      <c r="J7613" s="343"/>
      <c r="K7613" s="343"/>
      <c r="L7613" s="343"/>
    </row>
    <row r="7614" spans="4:12" x14ac:dyDescent="0.2">
      <c r="D7614" s="341"/>
      <c r="F7614" s="343"/>
      <c r="G7614" s="343"/>
      <c r="H7614" s="343"/>
      <c r="I7614" s="343"/>
      <c r="J7614" s="343"/>
      <c r="K7614" s="343"/>
      <c r="L7614" s="343"/>
    </row>
    <row r="7615" spans="4:12" x14ac:dyDescent="0.2">
      <c r="D7615" s="341"/>
      <c r="F7615" s="343"/>
      <c r="G7615" s="343"/>
      <c r="H7615" s="343"/>
      <c r="I7615" s="343"/>
      <c r="J7615" s="343"/>
      <c r="K7615" s="343"/>
      <c r="L7615" s="343"/>
    </row>
    <row r="7616" spans="4:12" x14ac:dyDescent="0.2">
      <c r="D7616" s="341"/>
      <c r="F7616" s="343"/>
      <c r="G7616" s="343"/>
      <c r="H7616" s="343"/>
      <c r="I7616" s="343"/>
      <c r="J7616" s="343"/>
      <c r="K7616" s="343"/>
      <c r="L7616" s="343"/>
    </row>
    <row r="7617" spans="4:12" x14ac:dyDescent="0.2">
      <c r="D7617" s="341"/>
      <c r="F7617" s="343"/>
      <c r="G7617" s="343"/>
      <c r="H7617" s="343"/>
      <c r="I7617" s="343"/>
      <c r="J7617" s="343"/>
      <c r="K7617" s="343"/>
      <c r="L7617" s="343"/>
    </row>
    <row r="7618" spans="4:12" x14ac:dyDescent="0.2">
      <c r="D7618" s="341"/>
      <c r="F7618" s="343"/>
      <c r="G7618" s="343"/>
      <c r="H7618" s="343"/>
      <c r="I7618" s="343"/>
      <c r="J7618" s="343"/>
      <c r="K7618" s="343"/>
      <c r="L7618" s="343"/>
    </row>
    <row r="7619" spans="4:12" x14ac:dyDescent="0.2">
      <c r="D7619" s="341"/>
      <c r="F7619" s="343"/>
      <c r="G7619" s="343"/>
      <c r="H7619" s="343"/>
      <c r="I7619" s="343"/>
      <c r="J7619" s="343"/>
      <c r="K7619" s="343"/>
      <c r="L7619" s="343"/>
    </row>
    <row r="7620" spans="4:12" x14ac:dyDescent="0.2">
      <c r="D7620" s="341"/>
      <c r="F7620" s="343"/>
      <c r="G7620" s="343"/>
      <c r="H7620" s="343"/>
      <c r="I7620" s="343"/>
      <c r="J7620" s="343"/>
      <c r="K7620" s="343"/>
      <c r="L7620" s="343"/>
    </row>
    <row r="7621" spans="4:12" x14ac:dyDescent="0.2">
      <c r="D7621" s="341"/>
      <c r="F7621" s="343"/>
      <c r="G7621" s="343"/>
      <c r="H7621" s="343"/>
      <c r="I7621" s="343"/>
      <c r="J7621" s="343"/>
      <c r="K7621" s="343"/>
      <c r="L7621" s="343"/>
    </row>
    <row r="7622" spans="4:12" x14ac:dyDescent="0.2">
      <c r="D7622" s="341"/>
      <c r="F7622" s="343"/>
      <c r="G7622" s="343"/>
      <c r="H7622" s="343"/>
      <c r="I7622" s="343"/>
      <c r="J7622" s="343"/>
      <c r="K7622" s="343"/>
      <c r="L7622" s="343"/>
    </row>
    <row r="7623" spans="4:12" x14ac:dyDescent="0.2">
      <c r="D7623" s="341"/>
      <c r="F7623" s="343"/>
      <c r="G7623" s="343"/>
      <c r="H7623" s="343"/>
      <c r="I7623" s="343"/>
      <c r="J7623" s="343"/>
      <c r="K7623" s="343"/>
      <c r="L7623" s="343"/>
    </row>
    <row r="7624" spans="4:12" x14ac:dyDescent="0.2">
      <c r="D7624" s="341"/>
      <c r="F7624" s="343"/>
      <c r="G7624" s="343"/>
      <c r="H7624" s="343"/>
      <c r="I7624" s="343"/>
      <c r="J7624" s="343"/>
      <c r="K7624" s="343"/>
      <c r="L7624" s="343"/>
    </row>
    <row r="7625" spans="4:12" x14ac:dyDescent="0.2">
      <c r="D7625" s="341"/>
      <c r="F7625" s="343"/>
      <c r="G7625" s="343"/>
      <c r="H7625" s="343"/>
      <c r="I7625" s="343"/>
      <c r="J7625" s="343"/>
      <c r="K7625" s="343"/>
      <c r="L7625" s="343"/>
    </row>
    <row r="7626" spans="4:12" x14ac:dyDescent="0.2">
      <c r="D7626" s="341"/>
      <c r="F7626" s="343"/>
      <c r="G7626" s="343"/>
      <c r="H7626" s="343"/>
      <c r="I7626" s="343"/>
      <c r="J7626" s="343"/>
      <c r="K7626" s="343"/>
      <c r="L7626" s="343"/>
    </row>
    <row r="7627" spans="4:12" x14ac:dyDescent="0.2">
      <c r="D7627" s="341"/>
      <c r="F7627" s="343"/>
      <c r="G7627" s="343"/>
      <c r="H7627" s="343"/>
      <c r="I7627" s="343"/>
      <c r="J7627" s="343"/>
      <c r="K7627" s="343"/>
      <c r="L7627" s="343"/>
    </row>
    <row r="7628" spans="4:12" x14ac:dyDescent="0.2">
      <c r="D7628" s="341"/>
      <c r="F7628" s="343"/>
      <c r="G7628" s="343"/>
      <c r="H7628" s="343"/>
      <c r="I7628" s="343"/>
      <c r="J7628" s="343"/>
      <c r="K7628" s="343"/>
      <c r="L7628" s="343"/>
    </row>
    <row r="7629" spans="4:12" x14ac:dyDescent="0.2">
      <c r="D7629" s="341"/>
      <c r="F7629" s="343"/>
      <c r="G7629" s="343"/>
      <c r="H7629" s="343"/>
      <c r="I7629" s="343"/>
      <c r="J7629" s="343"/>
      <c r="K7629" s="343"/>
      <c r="L7629" s="343"/>
    </row>
    <row r="7630" spans="4:12" x14ac:dyDescent="0.2">
      <c r="D7630" s="341"/>
      <c r="F7630" s="343"/>
      <c r="G7630" s="343"/>
      <c r="H7630" s="343"/>
      <c r="I7630" s="343"/>
      <c r="J7630" s="343"/>
      <c r="K7630" s="343"/>
      <c r="L7630" s="343"/>
    </row>
    <row r="7631" spans="4:12" x14ac:dyDescent="0.2">
      <c r="D7631" s="341"/>
      <c r="F7631" s="343"/>
      <c r="G7631" s="343"/>
      <c r="H7631" s="343"/>
      <c r="I7631" s="343"/>
      <c r="J7631" s="343"/>
      <c r="K7631" s="343"/>
      <c r="L7631" s="343"/>
    </row>
    <row r="7632" spans="4:12" x14ac:dyDescent="0.2">
      <c r="D7632" s="341"/>
      <c r="F7632" s="343"/>
      <c r="G7632" s="343"/>
      <c r="H7632" s="343"/>
      <c r="I7632" s="343"/>
      <c r="J7632" s="343"/>
      <c r="K7632" s="343"/>
      <c r="L7632" s="343"/>
    </row>
    <row r="7633" spans="4:12" x14ac:dyDescent="0.2">
      <c r="D7633" s="341"/>
      <c r="F7633" s="343"/>
      <c r="G7633" s="343"/>
      <c r="H7633" s="343"/>
      <c r="I7633" s="343"/>
      <c r="J7633" s="343"/>
      <c r="K7633" s="343"/>
      <c r="L7633" s="343"/>
    </row>
    <row r="7634" spans="4:12" x14ac:dyDescent="0.2">
      <c r="D7634" s="341"/>
      <c r="F7634" s="343"/>
      <c r="G7634" s="343"/>
      <c r="H7634" s="343"/>
      <c r="I7634" s="343"/>
      <c r="J7634" s="343"/>
      <c r="K7634" s="343"/>
      <c r="L7634" s="343"/>
    </row>
    <row r="7635" spans="4:12" x14ac:dyDescent="0.2">
      <c r="D7635" s="341"/>
      <c r="F7635" s="343"/>
      <c r="G7635" s="343"/>
      <c r="H7635" s="343"/>
      <c r="I7635" s="343"/>
      <c r="J7635" s="343"/>
      <c r="K7635" s="343"/>
      <c r="L7635" s="343"/>
    </row>
    <row r="7636" spans="4:12" x14ac:dyDescent="0.2">
      <c r="D7636" s="341"/>
      <c r="F7636" s="343"/>
      <c r="G7636" s="343"/>
      <c r="H7636" s="343"/>
      <c r="I7636" s="343"/>
      <c r="J7636" s="343"/>
      <c r="K7636" s="343"/>
      <c r="L7636" s="343"/>
    </row>
    <row r="7637" spans="4:12" x14ac:dyDescent="0.2">
      <c r="D7637" s="341"/>
      <c r="F7637" s="343"/>
      <c r="G7637" s="343"/>
      <c r="H7637" s="343"/>
      <c r="I7637" s="343"/>
      <c r="J7637" s="343"/>
      <c r="K7637" s="343"/>
      <c r="L7637" s="343"/>
    </row>
    <row r="7638" spans="4:12" x14ac:dyDescent="0.2">
      <c r="D7638" s="341"/>
      <c r="F7638" s="343"/>
      <c r="G7638" s="343"/>
      <c r="H7638" s="343"/>
      <c r="I7638" s="343"/>
      <c r="J7638" s="343"/>
      <c r="K7638" s="343"/>
      <c r="L7638" s="343"/>
    </row>
    <row r="7639" spans="4:12" x14ac:dyDescent="0.2">
      <c r="D7639" s="341"/>
      <c r="F7639" s="343"/>
      <c r="G7639" s="343"/>
      <c r="H7639" s="343"/>
      <c r="I7639" s="343"/>
      <c r="J7639" s="343"/>
      <c r="K7639" s="343"/>
      <c r="L7639" s="343"/>
    </row>
    <row r="7640" spans="4:12" x14ac:dyDescent="0.2">
      <c r="D7640" s="341"/>
      <c r="F7640" s="343"/>
      <c r="G7640" s="343"/>
      <c r="H7640" s="343"/>
      <c r="I7640" s="343"/>
      <c r="J7640" s="343"/>
      <c r="K7640" s="343"/>
      <c r="L7640" s="343"/>
    </row>
    <row r="7641" spans="4:12" x14ac:dyDescent="0.2">
      <c r="D7641" s="341"/>
      <c r="F7641" s="343"/>
      <c r="G7641" s="343"/>
      <c r="H7641" s="343"/>
      <c r="I7641" s="343"/>
      <c r="J7641" s="343"/>
      <c r="K7641" s="343"/>
      <c r="L7641" s="343"/>
    </row>
    <row r="7642" spans="4:12" x14ac:dyDescent="0.2">
      <c r="D7642" s="341"/>
      <c r="F7642" s="343"/>
      <c r="G7642" s="343"/>
      <c r="H7642" s="343"/>
      <c r="I7642" s="343"/>
      <c r="J7642" s="343"/>
      <c r="K7642" s="343"/>
      <c r="L7642" s="343"/>
    </row>
    <row r="7643" spans="4:12" x14ac:dyDescent="0.2">
      <c r="D7643" s="341"/>
      <c r="F7643" s="343"/>
      <c r="G7643" s="343"/>
      <c r="H7643" s="343"/>
      <c r="I7643" s="343"/>
      <c r="J7643" s="343"/>
      <c r="K7643" s="343"/>
      <c r="L7643" s="343"/>
    </row>
    <row r="7644" spans="4:12" x14ac:dyDescent="0.2">
      <c r="D7644" s="341"/>
      <c r="F7644" s="343"/>
      <c r="G7644" s="343"/>
      <c r="H7644" s="343"/>
      <c r="I7644" s="343"/>
      <c r="J7644" s="343"/>
      <c r="K7644" s="343"/>
      <c r="L7644" s="343"/>
    </row>
    <row r="7645" spans="4:12" x14ac:dyDescent="0.2">
      <c r="D7645" s="341"/>
      <c r="F7645" s="343"/>
      <c r="G7645" s="343"/>
      <c r="H7645" s="343"/>
      <c r="I7645" s="343"/>
      <c r="J7645" s="343"/>
      <c r="K7645" s="343"/>
      <c r="L7645" s="343"/>
    </row>
    <row r="7646" spans="4:12" x14ac:dyDescent="0.2">
      <c r="D7646" s="341"/>
      <c r="F7646" s="343"/>
      <c r="G7646" s="343"/>
      <c r="H7646" s="343"/>
      <c r="I7646" s="343"/>
      <c r="J7646" s="343"/>
      <c r="K7646" s="343"/>
      <c r="L7646" s="343"/>
    </row>
    <row r="7647" spans="4:12" x14ac:dyDescent="0.2">
      <c r="D7647" s="341"/>
      <c r="F7647" s="343"/>
      <c r="G7647" s="343"/>
      <c r="H7647" s="343"/>
      <c r="I7647" s="343"/>
      <c r="J7647" s="343"/>
      <c r="K7647" s="343"/>
      <c r="L7647" s="343"/>
    </row>
    <row r="7648" spans="4:12" x14ac:dyDescent="0.2">
      <c r="D7648" s="341"/>
      <c r="F7648" s="343"/>
      <c r="G7648" s="343"/>
      <c r="H7648" s="343"/>
      <c r="I7648" s="343"/>
      <c r="J7648" s="343"/>
      <c r="K7648" s="343"/>
      <c r="L7648" s="343"/>
    </row>
    <row r="7649" spans="4:12" x14ac:dyDescent="0.2">
      <c r="D7649" s="341"/>
      <c r="F7649" s="343"/>
      <c r="G7649" s="343"/>
      <c r="H7649" s="343"/>
      <c r="I7649" s="343"/>
      <c r="J7649" s="343"/>
      <c r="K7649" s="343"/>
      <c r="L7649" s="343"/>
    </row>
    <row r="7650" spans="4:12" x14ac:dyDescent="0.2">
      <c r="D7650" s="341"/>
      <c r="F7650" s="343"/>
      <c r="G7650" s="343"/>
      <c r="H7650" s="343"/>
      <c r="I7650" s="343"/>
      <c r="J7650" s="343"/>
      <c r="K7650" s="343"/>
      <c r="L7650" s="343"/>
    </row>
    <row r="7651" spans="4:12" x14ac:dyDescent="0.2">
      <c r="D7651" s="341"/>
      <c r="F7651" s="343"/>
      <c r="G7651" s="343"/>
      <c r="H7651" s="343"/>
      <c r="I7651" s="343"/>
      <c r="J7651" s="343"/>
      <c r="K7651" s="343"/>
      <c r="L7651" s="343"/>
    </row>
    <row r="7652" spans="4:12" x14ac:dyDescent="0.2">
      <c r="D7652" s="341"/>
      <c r="F7652" s="343"/>
      <c r="G7652" s="343"/>
      <c r="H7652" s="343"/>
      <c r="I7652" s="343"/>
      <c r="J7652" s="343"/>
      <c r="K7652" s="343"/>
      <c r="L7652" s="343"/>
    </row>
    <row r="7653" spans="4:12" x14ac:dyDescent="0.2">
      <c r="D7653" s="341"/>
      <c r="F7653" s="343"/>
      <c r="G7653" s="343"/>
      <c r="H7653" s="343"/>
      <c r="I7653" s="343"/>
      <c r="J7653" s="343"/>
      <c r="K7653" s="343"/>
      <c r="L7653" s="343"/>
    </row>
    <row r="7654" spans="4:12" x14ac:dyDescent="0.2">
      <c r="D7654" s="341"/>
      <c r="F7654" s="343"/>
      <c r="G7654" s="343"/>
      <c r="H7654" s="343"/>
      <c r="I7654" s="343"/>
      <c r="J7654" s="343"/>
      <c r="K7654" s="343"/>
      <c r="L7654" s="343"/>
    </row>
    <row r="7655" spans="4:12" x14ac:dyDescent="0.2">
      <c r="D7655" s="341"/>
      <c r="F7655" s="343"/>
      <c r="G7655" s="343"/>
      <c r="H7655" s="343"/>
      <c r="I7655" s="343"/>
      <c r="J7655" s="343"/>
      <c r="K7655" s="343"/>
      <c r="L7655" s="343"/>
    </row>
    <row r="7656" spans="4:12" x14ac:dyDescent="0.2">
      <c r="D7656" s="341"/>
      <c r="F7656" s="343"/>
      <c r="G7656" s="343"/>
      <c r="H7656" s="343"/>
      <c r="I7656" s="343"/>
      <c r="J7656" s="343"/>
      <c r="K7656" s="343"/>
      <c r="L7656" s="343"/>
    </row>
    <row r="7657" spans="4:12" x14ac:dyDescent="0.2">
      <c r="D7657" s="341"/>
      <c r="F7657" s="343"/>
      <c r="G7657" s="343"/>
      <c r="H7657" s="343"/>
      <c r="I7657" s="343"/>
      <c r="J7657" s="343"/>
      <c r="K7657" s="343"/>
      <c r="L7657" s="343"/>
    </row>
    <row r="7658" spans="4:12" x14ac:dyDescent="0.2">
      <c r="D7658" s="341"/>
      <c r="F7658" s="343"/>
      <c r="G7658" s="343"/>
      <c r="H7658" s="343"/>
      <c r="I7658" s="343"/>
      <c r="J7658" s="343"/>
      <c r="K7658" s="343"/>
      <c r="L7658" s="343"/>
    </row>
    <row r="7659" spans="4:12" x14ac:dyDescent="0.2">
      <c r="D7659" s="341"/>
      <c r="F7659" s="343"/>
      <c r="G7659" s="343"/>
      <c r="H7659" s="343"/>
      <c r="I7659" s="343"/>
      <c r="J7659" s="343"/>
      <c r="K7659" s="343"/>
      <c r="L7659" s="343"/>
    </row>
    <row r="7660" spans="4:12" x14ac:dyDescent="0.2">
      <c r="D7660" s="341"/>
      <c r="F7660" s="343"/>
      <c r="G7660" s="343"/>
      <c r="H7660" s="343"/>
      <c r="I7660" s="343"/>
      <c r="J7660" s="343"/>
      <c r="K7660" s="343"/>
      <c r="L7660" s="343"/>
    </row>
    <row r="7661" spans="4:12" x14ac:dyDescent="0.2">
      <c r="D7661" s="341"/>
      <c r="F7661" s="343"/>
      <c r="G7661" s="343"/>
      <c r="H7661" s="343"/>
      <c r="I7661" s="343"/>
      <c r="J7661" s="343"/>
      <c r="K7661" s="343"/>
      <c r="L7661" s="343"/>
    </row>
    <row r="7662" spans="4:12" x14ac:dyDescent="0.2">
      <c r="D7662" s="341"/>
      <c r="F7662" s="343"/>
      <c r="G7662" s="343"/>
      <c r="H7662" s="343"/>
      <c r="I7662" s="343"/>
      <c r="J7662" s="343"/>
      <c r="K7662" s="343"/>
      <c r="L7662" s="343"/>
    </row>
    <row r="7663" spans="4:12" x14ac:dyDescent="0.2">
      <c r="D7663" s="341"/>
      <c r="F7663" s="343"/>
      <c r="G7663" s="343"/>
      <c r="H7663" s="343"/>
      <c r="I7663" s="343"/>
      <c r="J7663" s="343"/>
      <c r="K7663" s="343"/>
      <c r="L7663" s="343"/>
    </row>
    <row r="7664" spans="4:12" x14ac:dyDescent="0.2">
      <c r="D7664" s="341"/>
      <c r="F7664" s="343"/>
      <c r="G7664" s="343"/>
      <c r="H7664" s="343"/>
      <c r="I7664" s="343"/>
      <c r="J7664" s="343"/>
      <c r="K7664" s="343"/>
      <c r="L7664" s="343"/>
    </row>
    <row r="7665" spans="4:12" x14ac:dyDescent="0.2">
      <c r="D7665" s="341"/>
      <c r="F7665" s="343"/>
      <c r="G7665" s="343"/>
      <c r="H7665" s="343"/>
      <c r="I7665" s="343"/>
      <c r="J7665" s="343"/>
      <c r="K7665" s="343"/>
      <c r="L7665" s="343"/>
    </row>
    <row r="7666" spans="4:12" x14ac:dyDescent="0.2">
      <c r="D7666" s="341"/>
      <c r="F7666" s="343"/>
      <c r="G7666" s="343"/>
      <c r="H7666" s="343"/>
      <c r="I7666" s="343"/>
      <c r="J7666" s="343"/>
      <c r="K7666" s="343"/>
      <c r="L7666" s="343"/>
    </row>
    <row r="7667" spans="4:12" x14ac:dyDescent="0.2">
      <c r="D7667" s="341"/>
      <c r="F7667" s="343"/>
      <c r="G7667" s="343"/>
      <c r="H7667" s="343"/>
      <c r="I7667" s="343"/>
      <c r="J7667" s="343"/>
      <c r="K7667" s="343"/>
      <c r="L7667" s="343"/>
    </row>
    <row r="7668" spans="4:12" x14ac:dyDescent="0.2">
      <c r="D7668" s="341"/>
      <c r="F7668" s="343"/>
      <c r="G7668" s="343"/>
      <c r="H7668" s="343"/>
      <c r="I7668" s="343"/>
      <c r="J7668" s="343"/>
      <c r="K7668" s="343"/>
      <c r="L7668" s="343"/>
    </row>
    <row r="7669" spans="4:12" x14ac:dyDescent="0.2">
      <c r="D7669" s="341"/>
      <c r="F7669" s="343"/>
      <c r="G7669" s="343"/>
      <c r="H7669" s="343"/>
      <c r="I7669" s="343"/>
      <c r="J7669" s="343"/>
      <c r="K7669" s="343"/>
      <c r="L7669" s="343"/>
    </row>
    <row r="7670" spans="4:12" x14ac:dyDescent="0.2">
      <c r="D7670" s="341"/>
      <c r="F7670" s="343"/>
      <c r="G7670" s="343"/>
      <c r="H7670" s="343"/>
      <c r="I7670" s="343"/>
      <c r="J7670" s="343"/>
      <c r="K7670" s="343"/>
      <c r="L7670" s="343"/>
    </row>
    <row r="7671" spans="4:12" x14ac:dyDescent="0.2">
      <c r="D7671" s="341"/>
      <c r="F7671" s="343"/>
      <c r="G7671" s="343"/>
      <c r="H7671" s="343"/>
      <c r="I7671" s="343"/>
      <c r="J7671" s="343"/>
      <c r="K7671" s="343"/>
      <c r="L7671" s="343"/>
    </row>
    <row r="7672" spans="4:12" x14ac:dyDescent="0.2">
      <c r="D7672" s="341"/>
      <c r="F7672" s="343"/>
      <c r="G7672" s="343"/>
      <c r="H7672" s="343"/>
      <c r="I7672" s="343"/>
      <c r="J7672" s="343"/>
      <c r="K7672" s="343"/>
      <c r="L7672" s="343"/>
    </row>
    <row r="7673" spans="4:12" x14ac:dyDescent="0.2">
      <c r="D7673" s="341"/>
      <c r="F7673" s="343"/>
      <c r="G7673" s="343"/>
      <c r="H7673" s="343"/>
      <c r="I7673" s="343"/>
      <c r="J7673" s="343"/>
      <c r="K7673" s="343"/>
      <c r="L7673" s="343"/>
    </row>
    <row r="7674" spans="4:12" x14ac:dyDescent="0.2">
      <c r="D7674" s="341"/>
      <c r="F7674" s="343"/>
      <c r="G7674" s="343"/>
      <c r="H7674" s="343"/>
      <c r="I7674" s="343"/>
      <c r="J7674" s="343"/>
      <c r="K7674" s="343"/>
      <c r="L7674" s="343"/>
    </row>
    <row r="7675" spans="4:12" x14ac:dyDescent="0.2">
      <c r="D7675" s="341"/>
      <c r="F7675" s="343"/>
      <c r="G7675" s="343"/>
      <c r="H7675" s="343"/>
      <c r="I7675" s="343"/>
      <c r="J7675" s="343"/>
      <c r="K7675" s="343"/>
      <c r="L7675" s="343"/>
    </row>
    <row r="7676" spans="4:12" x14ac:dyDescent="0.2">
      <c r="D7676" s="341"/>
      <c r="F7676" s="343"/>
      <c r="G7676" s="343"/>
      <c r="H7676" s="343"/>
      <c r="I7676" s="343"/>
      <c r="J7676" s="343"/>
      <c r="K7676" s="343"/>
      <c r="L7676" s="343"/>
    </row>
    <row r="7677" spans="4:12" x14ac:dyDescent="0.2">
      <c r="D7677" s="341"/>
      <c r="F7677" s="343"/>
      <c r="G7677" s="343"/>
      <c r="H7677" s="343"/>
      <c r="I7677" s="343"/>
      <c r="J7677" s="343"/>
      <c r="K7677" s="343"/>
      <c r="L7677" s="343"/>
    </row>
    <row r="7678" spans="4:12" x14ac:dyDescent="0.2">
      <c r="D7678" s="341"/>
      <c r="F7678" s="343"/>
      <c r="G7678" s="343"/>
      <c r="H7678" s="343"/>
      <c r="I7678" s="343"/>
      <c r="J7678" s="343"/>
      <c r="K7678" s="343"/>
      <c r="L7678" s="343"/>
    </row>
    <row r="7679" spans="4:12" x14ac:dyDescent="0.2">
      <c r="D7679" s="341"/>
      <c r="F7679" s="343"/>
      <c r="G7679" s="343"/>
      <c r="H7679" s="343"/>
      <c r="I7679" s="343"/>
      <c r="J7679" s="343"/>
      <c r="K7679" s="343"/>
      <c r="L7679" s="343"/>
    </row>
    <row r="7680" spans="4:12" x14ac:dyDescent="0.2">
      <c r="D7680" s="341"/>
      <c r="F7680" s="343"/>
      <c r="G7680" s="343"/>
      <c r="H7680" s="343"/>
      <c r="I7680" s="343"/>
      <c r="J7680" s="343"/>
      <c r="K7680" s="343"/>
      <c r="L7680" s="343"/>
    </row>
    <row r="7681" spans="4:12" x14ac:dyDescent="0.2">
      <c r="D7681" s="341"/>
      <c r="F7681" s="343"/>
      <c r="G7681" s="343"/>
      <c r="H7681" s="343"/>
      <c r="I7681" s="343"/>
      <c r="J7681" s="343"/>
      <c r="K7681" s="343"/>
      <c r="L7681" s="343"/>
    </row>
    <row r="7682" spans="4:12" x14ac:dyDescent="0.2">
      <c r="D7682" s="341"/>
      <c r="F7682" s="343"/>
      <c r="G7682" s="343"/>
      <c r="H7682" s="343"/>
      <c r="I7682" s="343"/>
      <c r="J7682" s="343"/>
      <c r="K7682" s="343"/>
      <c r="L7682" s="343"/>
    </row>
    <row r="7683" spans="4:12" x14ac:dyDescent="0.2">
      <c r="D7683" s="341"/>
      <c r="F7683" s="343"/>
      <c r="G7683" s="343"/>
      <c r="H7683" s="343"/>
      <c r="I7683" s="343"/>
      <c r="J7683" s="343"/>
      <c r="K7683" s="343"/>
      <c r="L7683" s="343"/>
    </row>
    <row r="7684" spans="4:12" x14ac:dyDescent="0.2">
      <c r="D7684" s="341"/>
      <c r="F7684" s="343"/>
      <c r="G7684" s="343"/>
      <c r="H7684" s="343"/>
      <c r="I7684" s="343"/>
      <c r="J7684" s="343"/>
      <c r="K7684" s="343"/>
      <c r="L7684" s="343"/>
    </row>
    <row r="7685" spans="4:12" x14ac:dyDescent="0.2">
      <c r="D7685" s="341"/>
      <c r="F7685" s="343"/>
      <c r="G7685" s="343"/>
      <c r="H7685" s="343"/>
      <c r="I7685" s="343"/>
      <c r="J7685" s="343"/>
      <c r="K7685" s="343"/>
      <c r="L7685" s="343"/>
    </row>
    <row r="7686" spans="4:12" x14ac:dyDescent="0.2">
      <c r="D7686" s="341"/>
      <c r="F7686" s="343"/>
      <c r="G7686" s="343"/>
      <c r="H7686" s="343"/>
      <c r="I7686" s="343"/>
      <c r="J7686" s="343"/>
      <c r="K7686" s="343"/>
      <c r="L7686" s="343"/>
    </row>
    <row r="7687" spans="4:12" x14ac:dyDescent="0.2">
      <c r="D7687" s="341"/>
      <c r="F7687" s="343"/>
      <c r="G7687" s="343"/>
      <c r="H7687" s="343"/>
      <c r="I7687" s="343"/>
      <c r="J7687" s="343"/>
      <c r="K7687" s="343"/>
      <c r="L7687" s="343"/>
    </row>
    <row r="7688" spans="4:12" x14ac:dyDescent="0.2">
      <c r="D7688" s="341"/>
      <c r="F7688" s="343"/>
      <c r="G7688" s="343"/>
      <c r="H7688" s="343"/>
      <c r="I7688" s="343"/>
      <c r="J7688" s="343"/>
      <c r="K7688" s="343"/>
      <c r="L7688" s="343"/>
    </row>
    <row r="7689" spans="4:12" x14ac:dyDescent="0.2">
      <c r="D7689" s="341"/>
      <c r="F7689" s="343"/>
      <c r="G7689" s="343"/>
      <c r="H7689" s="343"/>
      <c r="I7689" s="343"/>
      <c r="J7689" s="343"/>
      <c r="K7689" s="343"/>
      <c r="L7689" s="343"/>
    </row>
    <row r="7690" spans="4:12" x14ac:dyDescent="0.2">
      <c r="D7690" s="341"/>
      <c r="F7690" s="343"/>
      <c r="G7690" s="343"/>
      <c r="H7690" s="343"/>
      <c r="I7690" s="343"/>
      <c r="J7690" s="343"/>
      <c r="K7690" s="343"/>
      <c r="L7690" s="343"/>
    </row>
    <row r="7691" spans="4:12" x14ac:dyDescent="0.2">
      <c r="D7691" s="341"/>
      <c r="F7691" s="343"/>
      <c r="G7691" s="343"/>
      <c r="H7691" s="343"/>
      <c r="I7691" s="343"/>
      <c r="J7691" s="343"/>
      <c r="K7691" s="343"/>
      <c r="L7691" s="343"/>
    </row>
    <row r="7692" spans="4:12" x14ac:dyDescent="0.2">
      <c r="D7692" s="341"/>
      <c r="F7692" s="343"/>
      <c r="G7692" s="343"/>
      <c r="H7692" s="343"/>
      <c r="I7692" s="343"/>
      <c r="J7692" s="343"/>
      <c r="K7692" s="343"/>
      <c r="L7692" s="343"/>
    </row>
    <row r="7693" spans="4:12" x14ac:dyDescent="0.2">
      <c r="D7693" s="341"/>
      <c r="F7693" s="343"/>
      <c r="G7693" s="343"/>
      <c r="H7693" s="343"/>
      <c r="I7693" s="343"/>
      <c r="J7693" s="343"/>
      <c r="K7693" s="343"/>
      <c r="L7693" s="343"/>
    </row>
    <row r="7694" spans="4:12" x14ac:dyDescent="0.2">
      <c r="D7694" s="341"/>
      <c r="F7694" s="343"/>
      <c r="G7694" s="343"/>
      <c r="H7694" s="343"/>
      <c r="I7694" s="343"/>
      <c r="J7694" s="343"/>
      <c r="K7694" s="343"/>
      <c r="L7694" s="343"/>
    </row>
    <row r="7695" spans="4:12" x14ac:dyDescent="0.2">
      <c r="D7695" s="341"/>
      <c r="F7695" s="343"/>
      <c r="G7695" s="343"/>
      <c r="H7695" s="343"/>
      <c r="I7695" s="343"/>
      <c r="J7695" s="343"/>
      <c r="K7695" s="343"/>
      <c r="L7695" s="343"/>
    </row>
    <row r="7696" spans="4:12" x14ac:dyDescent="0.2">
      <c r="D7696" s="341"/>
      <c r="F7696" s="343"/>
      <c r="G7696" s="343"/>
      <c r="H7696" s="343"/>
      <c r="I7696" s="343"/>
      <c r="J7696" s="343"/>
      <c r="K7696" s="343"/>
      <c r="L7696" s="343"/>
    </row>
    <row r="7697" spans="4:12" x14ac:dyDescent="0.2">
      <c r="D7697" s="341"/>
      <c r="F7697" s="343"/>
      <c r="G7697" s="343"/>
      <c r="H7697" s="343"/>
      <c r="I7697" s="343"/>
      <c r="J7697" s="343"/>
      <c r="K7697" s="343"/>
      <c r="L7697" s="343"/>
    </row>
    <row r="7698" spans="4:12" x14ac:dyDescent="0.2">
      <c r="D7698" s="341"/>
      <c r="F7698" s="343"/>
      <c r="G7698" s="343"/>
      <c r="H7698" s="343"/>
      <c r="I7698" s="343"/>
      <c r="J7698" s="343"/>
      <c r="K7698" s="343"/>
      <c r="L7698" s="343"/>
    </row>
    <row r="7699" spans="4:12" x14ac:dyDescent="0.2">
      <c r="D7699" s="341"/>
      <c r="F7699" s="343"/>
      <c r="G7699" s="343"/>
      <c r="H7699" s="343"/>
      <c r="I7699" s="343"/>
      <c r="J7699" s="343"/>
      <c r="K7699" s="343"/>
      <c r="L7699" s="343"/>
    </row>
    <row r="7700" spans="4:12" x14ac:dyDescent="0.2">
      <c r="D7700" s="341"/>
      <c r="F7700" s="343"/>
      <c r="G7700" s="343"/>
      <c r="H7700" s="343"/>
      <c r="I7700" s="343"/>
      <c r="J7700" s="343"/>
      <c r="K7700" s="343"/>
      <c r="L7700" s="343"/>
    </row>
    <row r="7701" spans="4:12" x14ac:dyDescent="0.2">
      <c r="D7701" s="341"/>
      <c r="F7701" s="343"/>
      <c r="G7701" s="343"/>
      <c r="H7701" s="343"/>
      <c r="I7701" s="343"/>
      <c r="J7701" s="343"/>
      <c r="K7701" s="343"/>
      <c r="L7701" s="343"/>
    </row>
    <row r="7702" spans="4:12" x14ac:dyDescent="0.2">
      <c r="D7702" s="341"/>
      <c r="F7702" s="343"/>
      <c r="G7702" s="343"/>
      <c r="H7702" s="343"/>
      <c r="I7702" s="343"/>
      <c r="J7702" s="343"/>
      <c r="K7702" s="343"/>
      <c r="L7702" s="343"/>
    </row>
    <row r="7703" spans="4:12" x14ac:dyDescent="0.2">
      <c r="D7703" s="341"/>
      <c r="F7703" s="343"/>
      <c r="G7703" s="343"/>
      <c r="H7703" s="343"/>
      <c r="I7703" s="343"/>
      <c r="J7703" s="343"/>
      <c r="K7703" s="343"/>
      <c r="L7703" s="343"/>
    </row>
    <row r="7704" spans="4:12" x14ac:dyDescent="0.2">
      <c r="D7704" s="341"/>
      <c r="F7704" s="343"/>
      <c r="G7704" s="343"/>
      <c r="H7704" s="343"/>
      <c r="I7704" s="343"/>
      <c r="J7704" s="343"/>
      <c r="K7704" s="343"/>
      <c r="L7704" s="343"/>
    </row>
    <row r="7705" spans="4:12" x14ac:dyDescent="0.2">
      <c r="D7705" s="341"/>
      <c r="F7705" s="343"/>
      <c r="G7705" s="343"/>
      <c r="H7705" s="343"/>
      <c r="I7705" s="343"/>
      <c r="J7705" s="343"/>
      <c r="K7705" s="343"/>
      <c r="L7705" s="343"/>
    </row>
    <row r="7706" spans="4:12" x14ac:dyDescent="0.2">
      <c r="D7706" s="341"/>
      <c r="F7706" s="343"/>
      <c r="G7706" s="343"/>
      <c r="H7706" s="343"/>
      <c r="I7706" s="343"/>
      <c r="J7706" s="343"/>
      <c r="K7706" s="343"/>
      <c r="L7706" s="343"/>
    </row>
    <row r="7707" spans="4:12" x14ac:dyDescent="0.2">
      <c r="D7707" s="341"/>
      <c r="F7707" s="343"/>
      <c r="G7707" s="343"/>
      <c r="H7707" s="343"/>
      <c r="I7707" s="343"/>
      <c r="J7707" s="343"/>
      <c r="K7707" s="343"/>
      <c r="L7707" s="343"/>
    </row>
    <row r="7708" spans="4:12" x14ac:dyDescent="0.2">
      <c r="D7708" s="341"/>
      <c r="F7708" s="343"/>
      <c r="G7708" s="343"/>
      <c r="H7708" s="343"/>
      <c r="I7708" s="343"/>
      <c r="J7708" s="343"/>
      <c r="K7708" s="343"/>
      <c r="L7708" s="343"/>
    </row>
    <row r="7709" spans="4:12" x14ac:dyDescent="0.2">
      <c r="D7709" s="341"/>
      <c r="F7709" s="343"/>
      <c r="G7709" s="343"/>
      <c r="H7709" s="343"/>
      <c r="I7709" s="343"/>
      <c r="J7709" s="343"/>
      <c r="K7709" s="343"/>
      <c r="L7709" s="343"/>
    </row>
    <row r="7710" spans="4:12" x14ac:dyDescent="0.2">
      <c r="D7710" s="341"/>
      <c r="F7710" s="343"/>
      <c r="G7710" s="343"/>
      <c r="H7710" s="343"/>
      <c r="I7710" s="343"/>
      <c r="J7710" s="343"/>
      <c r="K7710" s="343"/>
      <c r="L7710" s="343"/>
    </row>
    <row r="7711" spans="4:12" x14ac:dyDescent="0.2">
      <c r="D7711" s="341"/>
      <c r="F7711" s="343"/>
      <c r="G7711" s="343"/>
      <c r="H7711" s="343"/>
      <c r="I7711" s="343"/>
      <c r="J7711" s="343"/>
      <c r="K7711" s="343"/>
      <c r="L7711" s="343"/>
    </row>
    <row r="7712" spans="4:12" x14ac:dyDescent="0.2">
      <c r="D7712" s="341"/>
      <c r="F7712" s="343"/>
      <c r="G7712" s="343"/>
      <c r="H7712" s="343"/>
      <c r="I7712" s="343"/>
      <c r="J7712" s="343"/>
      <c r="K7712" s="343"/>
      <c r="L7712" s="343"/>
    </row>
    <row r="7713" spans="4:12" x14ac:dyDescent="0.2">
      <c r="D7713" s="341"/>
      <c r="F7713" s="343"/>
      <c r="G7713" s="343"/>
      <c r="H7713" s="343"/>
      <c r="I7713" s="343"/>
      <c r="J7713" s="343"/>
      <c r="K7713" s="343"/>
      <c r="L7713" s="343"/>
    </row>
    <row r="7714" spans="4:12" x14ac:dyDescent="0.2">
      <c r="D7714" s="341"/>
      <c r="F7714" s="343"/>
      <c r="G7714" s="343"/>
      <c r="H7714" s="343"/>
      <c r="I7714" s="343"/>
      <c r="J7714" s="343"/>
      <c r="K7714" s="343"/>
      <c r="L7714" s="343"/>
    </row>
    <row r="7715" spans="4:12" x14ac:dyDescent="0.2">
      <c r="D7715" s="341"/>
      <c r="F7715" s="343"/>
      <c r="G7715" s="343"/>
      <c r="H7715" s="343"/>
      <c r="I7715" s="343"/>
      <c r="J7715" s="343"/>
      <c r="K7715" s="343"/>
      <c r="L7715" s="343"/>
    </row>
    <row r="7716" spans="4:12" x14ac:dyDescent="0.2">
      <c r="D7716" s="341"/>
      <c r="F7716" s="343"/>
      <c r="G7716" s="343"/>
      <c r="H7716" s="343"/>
      <c r="I7716" s="343"/>
      <c r="J7716" s="343"/>
      <c r="K7716" s="343"/>
      <c r="L7716" s="343"/>
    </row>
    <row r="7717" spans="4:12" x14ac:dyDescent="0.2">
      <c r="D7717" s="341"/>
      <c r="F7717" s="343"/>
      <c r="G7717" s="343"/>
      <c r="H7717" s="343"/>
      <c r="I7717" s="343"/>
      <c r="J7717" s="343"/>
      <c r="K7717" s="343"/>
      <c r="L7717" s="343"/>
    </row>
    <row r="7718" spans="4:12" x14ac:dyDescent="0.2">
      <c r="D7718" s="341"/>
      <c r="F7718" s="343"/>
      <c r="G7718" s="343"/>
      <c r="H7718" s="343"/>
      <c r="I7718" s="343"/>
      <c r="J7718" s="343"/>
      <c r="K7718" s="343"/>
      <c r="L7718" s="343"/>
    </row>
    <row r="7719" spans="4:12" x14ac:dyDescent="0.2">
      <c r="D7719" s="341"/>
      <c r="F7719" s="343"/>
      <c r="G7719" s="343"/>
      <c r="H7719" s="343"/>
      <c r="I7719" s="343"/>
      <c r="J7719" s="343"/>
      <c r="K7719" s="343"/>
      <c r="L7719" s="343"/>
    </row>
    <row r="7720" spans="4:12" x14ac:dyDescent="0.2">
      <c r="D7720" s="341"/>
      <c r="F7720" s="343"/>
      <c r="G7720" s="343"/>
      <c r="H7720" s="343"/>
      <c r="I7720" s="343"/>
      <c r="J7720" s="343"/>
      <c r="K7720" s="343"/>
      <c r="L7720" s="343"/>
    </row>
    <row r="7721" spans="4:12" x14ac:dyDescent="0.2">
      <c r="D7721" s="341"/>
      <c r="F7721" s="343"/>
      <c r="G7721" s="343"/>
      <c r="H7721" s="343"/>
      <c r="I7721" s="343"/>
      <c r="J7721" s="343"/>
      <c r="K7721" s="343"/>
      <c r="L7721" s="343"/>
    </row>
    <row r="7722" spans="4:12" x14ac:dyDescent="0.2">
      <c r="D7722" s="341"/>
      <c r="F7722" s="343"/>
      <c r="G7722" s="343"/>
      <c r="H7722" s="343"/>
      <c r="I7722" s="343"/>
      <c r="J7722" s="343"/>
      <c r="K7722" s="343"/>
      <c r="L7722" s="343"/>
    </row>
    <row r="7723" spans="4:12" x14ac:dyDescent="0.2">
      <c r="D7723" s="341"/>
      <c r="F7723" s="343"/>
      <c r="G7723" s="343"/>
      <c r="H7723" s="343"/>
      <c r="I7723" s="343"/>
      <c r="J7723" s="343"/>
      <c r="K7723" s="343"/>
      <c r="L7723" s="343"/>
    </row>
    <row r="7724" spans="4:12" x14ac:dyDescent="0.2">
      <c r="D7724" s="341"/>
      <c r="F7724" s="343"/>
      <c r="G7724" s="343"/>
      <c r="H7724" s="343"/>
      <c r="I7724" s="343"/>
      <c r="J7724" s="343"/>
      <c r="K7724" s="343"/>
      <c r="L7724" s="343"/>
    </row>
    <row r="7725" spans="4:12" x14ac:dyDescent="0.2">
      <c r="D7725" s="341"/>
      <c r="F7725" s="343"/>
      <c r="G7725" s="343"/>
      <c r="H7725" s="343"/>
      <c r="I7725" s="343"/>
      <c r="J7725" s="343"/>
      <c r="K7725" s="343"/>
      <c r="L7725" s="343"/>
    </row>
    <row r="7726" spans="4:12" x14ac:dyDescent="0.2">
      <c r="D7726" s="341"/>
      <c r="F7726" s="343"/>
      <c r="G7726" s="343"/>
      <c r="H7726" s="343"/>
      <c r="I7726" s="343"/>
      <c r="J7726" s="343"/>
      <c r="K7726" s="343"/>
      <c r="L7726" s="343"/>
    </row>
    <row r="7727" spans="4:12" x14ac:dyDescent="0.2">
      <c r="D7727" s="341"/>
      <c r="F7727" s="343"/>
      <c r="G7727" s="343"/>
      <c r="H7727" s="343"/>
      <c r="I7727" s="343"/>
      <c r="J7727" s="343"/>
      <c r="K7727" s="343"/>
      <c r="L7727" s="343"/>
    </row>
    <row r="7728" spans="4:12" x14ac:dyDescent="0.2">
      <c r="D7728" s="341"/>
      <c r="F7728" s="343"/>
      <c r="G7728" s="343"/>
      <c r="H7728" s="343"/>
      <c r="I7728" s="343"/>
      <c r="J7728" s="343"/>
      <c r="K7728" s="343"/>
      <c r="L7728" s="343"/>
    </row>
    <row r="7729" spans="4:12" x14ac:dyDescent="0.2">
      <c r="D7729" s="341"/>
      <c r="F7729" s="343"/>
      <c r="G7729" s="343"/>
      <c r="H7729" s="343"/>
      <c r="I7729" s="343"/>
      <c r="J7729" s="343"/>
      <c r="K7729" s="343"/>
      <c r="L7729" s="343"/>
    </row>
    <row r="7730" spans="4:12" x14ac:dyDescent="0.2">
      <c r="D7730" s="341"/>
      <c r="F7730" s="343"/>
      <c r="G7730" s="343"/>
      <c r="H7730" s="343"/>
      <c r="I7730" s="343"/>
      <c r="J7730" s="343"/>
      <c r="K7730" s="343"/>
      <c r="L7730" s="343"/>
    </row>
    <row r="7731" spans="4:12" x14ac:dyDescent="0.2">
      <c r="D7731" s="341"/>
      <c r="F7731" s="343"/>
      <c r="G7731" s="343"/>
      <c r="H7731" s="343"/>
      <c r="I7731" s="343"/>
      <c r="J7731" s="343"/>
      <c r="K7731" s="343"/>
      <c r="L7731" s="343"/>
    </row>
    <row r="7732" spans="4:12" x14ac:dyDescent="0.2">
      <c r="D7732" s="341"/>
      <c r="F7732" s="343"/>
      <c r="G7732" s="343"/>
      <c r="H7732" s="343"/>
      <c r="I7732" s="343"/>
      <c r="J7732" s="343"/>
      <c r="K7732" s="343"/>
      <c r="L7732" s="343"/>
    </row>
    <row r="7733" spans="4:12" x14ac:dyDescent="0.2">
      <c r="D7733" s="341"/>
      <c r="F7733" s="343"/>
      <c r="G7733" s="343"/>
      <c r="H7733" s="343"/>
      <c r="I7733" s="343"/>
      <c r="J7733" s="343"/>
      <c r="K7733" s="343"/>
      <c r="L7733" s="343"/>
    </row>
    <row r="7734" spans="4:12" x14ac:dyDescent="0.2">
      <c r="D7734" s="341"/>
      <c r="F7734" s="343"/>
      <c r="G7734" s="343"/>
      <c r="H7734" s="343"/>
      <c r="I7734" s="343"/>
      <c r="J7734" s="343"/>
      <c r="K7734" s="343"/>
      <c r="L7734" s="343"/>
    </row>
    <row r="7735" spans="4:12" x14ac:dyDescent="0.2">
      <c r="D7735" s="341"/>
      <c r="F7735" s="343"/>
      <c r="G7735" s="343"/>
      <c r="H7735" s="343"/>
      <c r="I7735" s="343"/>
      <c r="J7735" s="343"/>
      <c r="K7735" s="343"/>
      <c r="L7735" s="343"/>
    </row>
    <row r="7736" spans="4:12" x14ac:dyDescent="0.2">
      <c r="D7736" s="341"/>
      <c r="F7736" s="343"/>
      <c r="G7736" s="343"/>
      <c r="H7736" s="343"/>
      <c r="I7736" s="343"/>
      <c r="J7736" s="343"/>
      <c r="K7736" s="343"/>
      <c r="L7736" s="343"/>
    </row>
    <row r="7737" spans="4:12" x14ac:dyDescent="0.2">
      <c r="D7737" s="341"/>
      <c r="F7737" s="343"/>
      <c r="G7737" s="343"/>
      <c r="H7737" s="343"/>
      <c r="I7737" s="343"/>
      <c r="J7737" s="343"/>
      <c r="K7737" s="343"/>
      <c r="L7737" s="343"/>
    </row>
    <row r="7738" spans="4:12" x14ac:dyDescent="0.2">
      <c r="D7738" s="341"/>
      <c r="F7738" s="343"/>
      <c r="G7738" s="343"/>
      <c r="H7738" s="343"/>
      <c r="I7738" s="343"/>
      <c r="J7738" s="343"/>
      <c r="K7738" s="343"/>
      <c r="L7738" s="343"/>
    </row>
    <row r="7739" spans="4:12" x14ac:dyDescent="0.2">
      <c r="D7739" s="341"/>
      <c r="F7739" s="343"/>
      <c r="G7739" s="343"/>
      <c r="H7739" s="343"/>
      <c r="I7739" s="343"/>
      <c r="J7739" s="343"/>
      <c r="K7739" s="343"/>
      <c r="L7739" s="343"/>
    </row>
    <row r="7740" spans="4:12" x14ac:dyDescent="0.2">
      <c r="D7740" s="341"/>
      <c r="F7740" s="343"/>
      <c r="G7740" s="343"/>
      <c r="H7740" s="343"/>
      <c r="I7740" s="343"/>
      <c r="J7740" s="343"/>
      <c r="K7740" s="343"/>
      <c r="L7740" s="343"/>
    </row>
    <row r="7741" spans="4:12" x14ac:dyDescent="0.2">
      <c r="D7741" s="341"/>
      <c r="F7741" s="343"/>
      <c r="G7741" s="343"/>
      <c r="H7741" s="343"/>
      <c r="I7741" s="343"/>
      <c r="J7741" s="343"/>
      <c r="K7741" s="343"/>
      <c r="L7741" s="343"/>
    </row>
    <row r="7742" spans="4:12" x14ac:dyDescent="0.2">
      <c r="D7742" s="341"/>
      <c r="F7742" s="343"/>
      <c r="G7742" s="343"/>
      <c r="H7742" s="343"/>
      <c r="I7742" s="343"/>
      <c r="J7742" s="343"/>
      <c r="K7742" s="343"/>
      <c r="L7742" s="343"/>
    </row>
    <row r="7743" spans="4:12" x14ac:dyDescent="0.2">
      <c r="D7743" s="341"/>
      <c r="F7743" s="343"/>
      <c r="G7743" s="343"/>
      <c r="H7743" s="343"/>
      <c r="I7743" s="343"/>
      <c r="J7743" s="343"/>
      <c r="K7743" s="343"/>
      <c r="L7743" s="343"/>
    </row>
    <row r="7744" spans="4:12" x14ac:dyDescent="0.2">
      <c r="D7744" s="341"/>
      <c r="F7744" s="343"/>
      <c r="G7744" s="343"/>
      <c r="H7744" s="343"/>
      <c r="I7744" s="343"/>
      <c r="J7744" s="343"/>
      <c r="K7744" s="343"/>
      <c r="L7744" s="343"/>
    </row>
    <row r="7745" spans="4:12" x14ac:dyDescent="0.2">
      <c r="D7745" s="341"/>
      <c r="F7745" s="343"/>
      <c r="G7745" s="343"/>
      <c r="H7745" s="343"/>
      <c r="I7745" s="343"/>
      <c r="J7745" s="343"/>
      <c r="K7745" s="343"/>
      <c r="L7745" s="343"/>
    </row>
    <row r="7746" spans="4:12" x14ac:dyDescent="0.2">
      <c r="D7746" s="341"/>
      <c r="F7746" s="343"/>
      <c r="G7746" s="343"/>
      <c r="H7746" s="343"/>
      <c r="I7746" s="343"/>
      <c r="J7746" s="343"/>
      <c r="K7746" s="343"/>
      <c r="L7746" s="343"/>
    </row>
    <row r="7747" spans="4:12" x14ac:dyDescent="0.2">
      <c r="D7747" s="341"/>
      <c r="F7747" s="343"/>
      <c r="G7747" s="343"/>
      <c r="H7747" s="343"/>
      <c r="I7747" s="343"/>
      <c r="J7747" s="343"/>
      <c r="K7747" s="343"/>
      <c r="L7747" s="343"/>
    </row>
    <row r="7748" spans="4:12" x14ac:dyDescent="0.2">
      <c r="D7748" s="341"/>
      <c r="F7748" s="343"/>
      <c r="G7748" s="343"/>
      <c r="H7748" s="343"/>
      <c r="I7748" s="343"/>
      <c r="J7748" s="343"/>
      <c r="K7748" s="343"/>
      <c r="L7748" s="343"/>
    </row>
    <row r="7749" spans="4:12" x14ac:dyDescent="0.2">
      <c r="D7749" s="341"/>
      <c r="F7749" s="343"/>
      <c r="G7749" s="343"/>
      <c r="H7749" s="343"/>
      <c r="I7749" s="343"/>
      <c r="J7749" s="343"/>
      <c r="K7749" s="343"/>
      <c r="L7749" s="343"/>
    </row>
    <row r="7750" spans="4:12" x14ac:dyDescent="0.2">
      <c r="D7750" s="341"/>
      <c r="F7750" s="343"/>
      <c r="G7750" s="343"/>
      <c r="H7750" s="343"/>
      <c r="I7750" s="343"/>
      <c r="J7750" s="343"/>
      <c r="K7750" s="343"/>
      <c r="L7750" s="343"/>
    </row>
    <row r="7751" spans="4:12" x14ac:dyDescent="0.2">
      <c r="D7751" s="341"/>
      <c r="F7751" s="343"/>
      <c r="G7751" s="343"/>
      <c r="H7751" s="343"/>
      <c r="I7751" s="343"/>
      <c r="J7751" s="343"/>
      <c r="K7751" s="343"/>
      <c r="L7751" s="343"/>
    </row>
    <row r="7752" spans="4:12" x14ac:dyDescent="0.2">
      <c r="D7752" s="341"/>
      <c r="F7752" s="343"/>
      <c r="G7752" s="343"/>
      <c r="H7752" s="343"/>
      <c r="I7752" s="343"/>
      <c r="J7752" s="343"/>
      <c r="K7752" s="343"/>
      <c r="L7752" s="343"/>
    </row>
    <row r="7753" spans="4:12" x14ac:dyDescent="0.2">
      <c r="D7753" s="341"/>
      <c r="F7753" s="343"/>
      <c r="G7753" s="343"/>
      <c r="H7753" s="343"/>
      <c r="I7753" s="343"/>
      <c r="J7753" s="343"/>
      <c r="K7753" s="343"/>
      <c r="L7753" s="343"/>
    </row>
    <row r="7754" spans="4:12" x14ac:dyDescent="0.2">
      <c r="D7754" s="341"/>
      <c r="F7754" s="343"/>
      <c r="G7754" s="343"/>
      <c r="H7754" s="343"/>
      <c r="I7754" s="343"/>
      <c r="J7754" s="343"/>
      <c r="K7754" s="343"/>
      <c r="L7754" s="343"/>
    </row>
    <row r="7755" spans="4:12" x14ac:dyDescent="0.2">
      <c r="D7755" s="341"/>
      <c r="F7755" s="343"/>
      <c r="G7755" s="343"/>
      <c r="H7755" s="343"/>
      <c r="I7755" s="343"/>
      <c r="J7755" s="343"/>
      <c r="K7755" s="343"/>
      <c r="L7755" s="343"/>
    </row>
    <row r="7756" spans="4:12" x14ac:dyDescent="0.2">
      <c r="D7756" s="341"/>
      <c r="F7756" s="343"/>
      <c r="G7756" s="343"/>
      <c r="H7756" s="343"/>
      <c r="I7756" s="343"/>
      <c r="J7756" s="343"/>
      <c r="K7756" s="343"/>
      <c r="L7756" s="343"/>
    </row>
    <row r="7757" spans="4:12" x14ac:dyDescent="0.2">
      <c r="D7757" s="341"/>
      <c r="F7757" s="343"/>
      <c r="G7757" s="343"/>
      <c r="H7757" s="343"/>
      <c r="I7757" s="343"/>
      <c r="J7757" s="343"/>
      <c r="K7757" s="343"/>
      <c r="L7757" s="343"/>
    </row>
    <row r="7758" spans="4:12" x14ac:dyDescent="0.2">
      <c r="D7758" s="341"/>
      <c r="F7758" s="343"/>
      <c r="G7758" s="343"/>
      <c r="H7758" s="343"/>
      <c r="I7758" s="343"/>
      <c r="J7758" s="343"/>
      <c r="K7758" s="343"/>
      <c r="L7758" s="343"/>
    </row>
    <row r="7759" spans="4:12" x14ac:dyDescent="0.2">
      <c r="D7759" s="341"/>
      <c r="F7759" s="343"/>
      <c r="G7759" s="343"/>
      <c r="H7759" s="343"/>
      <c r="I7759" s="343"/>
      <c r="J7759" s="343"/>
      <c r="K7759" s="343"/>
      <c r="L7759" s="343"/>
    </row>
    <row r="7760" spans="4:12" x14ac:dyDescent="0.2">
      <c r="D7760" s="341"/>
      <c r="F7760" s="343"/>
      <c r="G7760" s="343"/>
      <c r="H7760" s="343"/>
      <c r="I7760" s="343"/>
      <c r="J7760" s="343"/>
      <c r="K7760" s="343"/>
      <c r="L7760" s="343"/>
    </row>
    <row r="7761" spans="4:12" x14ac:dyDescent="0.2">
      <c r="D7761" s="341"/>
      <c r="F7761" s="343"/>
      <c r="G7761" s="343"/>
      <c r="H7761" s="343"/>
      <c r="I7761" s="343"/>
      <c r="J7761" s="343"/>
      <c r="K7761" s="343"/>
      <c r="L7761" s="343"/>
    </row>
    <row r="7762" spans="4:12" x14ac:dyDescent="0.2">
      <c r="D7762" s="341"/>
      <c r="F7762" s="343"/>
      <c r="G7762" s="343"/>
      <c r="H7762" s="343"/>
      <c r="I7762" s="343"/>
      <c r="J7762" s="343"/>
      <c r="K7762" s="343"/>
      <c r="L7762" s="343"/>
    </row>
    <row r="7763" spans="4:12" x14ac:dyDescent="0.2">
      <c r="D7763" s="341"/>
      <c r="F7763" s="343"/>
      <c r="G7763" s="343"/>
      <c r="H7763" s="343"/>
      <c r="I7763" s="343"/>
      <c r="J7763" s="343"/>
      <c r="K7763" s="343"/>
      <c r="L7763" s="343"/>
    </row>
    <row r="7764" spans="4:12" x14ac:dyDescent="0.2">
      <c r="D7764" s="341"/>
      <c r="F7764" s="343"/>
      <c r="G7764" s="343"/>
      <c r="H7764" s="343"/>
      <c r="I7764" s="343"/>
      <c r="J7764" s="343"/>
      <c r="K7764" s="343"/>
      <c r="L7764" s="343"/>
    </row>
    <row r="7765" spans="4:12" x14ac:dyDescent="0.2">
      <c r="D7765" s="341"/>
      <c r="F7765" s="343"/>
      <c r="G7765" s="343"/>
      <c r="H7765" s="343"/>
      <c r="I7765" s="343"/>
      <c r="J7765" s="343"/>
      <c r="K7765" s="343"/>
      <c r="L7765" s="343"/>
    </row>
    <row r="7766" spans="4:12" x14ac:dyDescent="0.2">
      <c r="D7766" s="341"/>
      <c r="F7766" s="343"/>
      <c r="G7766" s="343"/>
      <c r="H7766" s="343"/>
      <c r="I7766" s="343"/>
      <c r="J7766" s="343"/>
      <c r="K7766" s="343"/>
      <c r="L7766" s="343"/>
    </row>
    <row r="7767" spans="4:12" x14ac:dyDescent="0.2">
      <c r="D7767" s="341"/>
      <c r="F7767" s="343"/>
      <c r="G7767" s="343"/>
      <c r="H7767" s="343"/>
      <c r="I7767" s="343"/>
      <c r="J7767" s="343"/>
      <c r="K7767" s="343"/>
      <c r="L7767" s="343"/>
    </row>
    <row r="7768" spans="4:12" x14ac:dyDescent="0.2">
      <c r="D7768" s="341"/>
      <c r="F7768" s="343"/>
      <c r="G7768" s="343"/>
      <c r="H7768" s="343"/>
      <c r="I7768" s="343"/>
      <c r="J7768" s="343"/>
      <c r="K7768" s="343"/>
      <c r="L7768" s="343"/>
    </row>
    <row r="7769" spans="4:12" x14ac:dyDescent="0.2">
      <c r="D7769" s="341"/>
      <c r="F7769" s="343"/>
      <c r="G7769" s="343"/>
      <c r="H7769" s="343"/>
      <c r="I7769" s="343"/>
      <c r="J7769" s="343"/>
      <c r="K7769" s="343"/>
      <c r="L7769" s="343"/>
    </row>
    <row r="7770" spans="4:12" x14ac:dyDescent="0.2">
      <c r="D7770" s="341"/>
      <c r="F7770" s="343"/>
      <c r="G7770" s="343"/>
      <c r="H7770" s="343"/>
      <c r="I7770" s="343"/>
      <c r="J7770" s="343"/>
      <c r="K7770" s="343"/>
      <c r="L7770" s="343"/>
    </row>
    <row r="7771" spans="4:12" x14ac:dyDescent="0.2">
      <c r="D7771" s="341"/>
      <c r="F7771" s="343"/>
      <c r="G7771" s="343"/>
      <c r="H7771" s="343"/>
      <c r="I7771" s="343"/>
      <c r="J7771" s="343"/>
      <c r="K7771" s="343"/>
      <c r="L7771" s="343"/>
    </row>
    <row r="7772" spans="4:12" x14ac:dyDescent="0.2">
      <c r="D7772" s="341"/>
      <c r="F7772" s="343"/>
      <c r="G7772" s="343"/>
      <c r="H7772" s="343"/>
      <c r="I7772" s="343"/>
      <c r="J7772" s="343"/>
      <c r="K7772" s="343"/>
      <c r="L7772" s="343"/>
    </row>
    <row r="7773" spans="4:12" x14ac:dyDescent="0.2">
      <c r="D7773" s="341"/>
      <c r="F7773" s="343"/>
      <c r="G7773" s="343"/>
      <c r="H7773" s="343"/>
      <c r="I7773" s="343"/>
      <c r="J7773" s="343"/>
      <c r="K7773" s="343"/>
      <c r="L7773" s="343"/>
    </row>
    <row r="7774" spans="4:12" x14ac:dyDescent="0.2">
      <c r="D7774" s="341"/>
      <c r="F7774" s="343"/>
      <c r="G7774" s="343"/>
      <c r="H7774" s="343"/>
      <c r="I7774" s="343"/>
      <c r="J7774" s="343"/>
      <c r="K7774" s="343"/>
      <c r="L7774" s="343"/>
    </row>
    <row r="7775" spans="4:12" x14ac:dyDescent="0.2">
      <c r="D7775" s="341"/>
      <c r="F7775" s="343"/>
      <c r="G7775" s="343"/>
      <c r="H7775" s="343"/>
      <c r="I7775" s="343"/>
      <c r="J7775" s="343"/>
      <c r="K7775" s="343"/>
      <c r="L7775" s="343"/>
    </row>
    <row r="7776" spans="4:12" x14ac:dyDescent="0.2">
      <c r="D7776" s="341"/>
      <c r="F7776" s="343"/>
      <c r="G7776" s="343"/>
      <c r="H7776" s="343"/>
      <c r="I7776" s="343"/>
      <c r="J7776" s="343"/>
      <c r="K7776" s="343"/>
      <c r="L7776" s="343"/>
    </row>
    <row r="7777" spans="4:12" x14ac:dyDescent="0.2">
      <c r="D7777" s="341"/>
      <c r="F7777" s="343"/>
      <c r="G7777" s="343"/>
      <c r="H7777" s="343"/>
      <c r="I7777" s="343"/>
      <c r="J7777" s="343"/>
      <c r="K7777" s="343"/>
      <c r="L7777" s="343"/>
    </row>
    <row r="7778" spans="4:12" x14ac:dyDescent="0.2">
      <c r="D7778" s="341"/>
      <c r="F7778" s="343"/>
      <c r="G7778" s="343"/>
      <c r="H7778" s="343"/>
      <c r="I7778" s="343"/>
      <c r="J7778" s="343"/>
      <c r="K7778" s="343"/>
      <c r="L7778" s="343"/>
    </row>
    <row r="7779" spans="4:12" x14ac:dyDescent="0.2">
      <c r="D7779" s="341"/>
      <c r="F7779" s="343"/>
      <c r="G7779" s="343"/>
      <c r="H7779" s="343"/>
      <c r="I7779" s="343"/>
      <c r="J7779" s="343"/>
      <c r="K7779" s="343"/>
      <c r="L7779" s="343"/>
    </row>
    <row r="7780" spans="4:12" x14ac:dyDescent="0.2">
      <c r="D7780" s="341"/>
      <c r="F7780" s="343"/>
      <c r="G7780" s="343"/>
      <c r="H7780" s="343"/>
      <c r="I7780" s="343"/>
      <c r="J7780" s="343"/>
      <c r="K7780" s="343"/>
      <c r="L7780" s="343"/>
    </row>
    <row r="7781" spans="4:12" x14ac:dyDescent="0.2">
      <c r="D7781" s="341"/>
      <c r="F7781" s="343"/>
      <c r="G7781" s="343"/>
      <c r="H7781" s="343"/>
      <c r="I7781" s="343"/>
      <c r="J7781" s="343"/>
      <c r="K7781" s="343"/>
      <c r="L7781" s="343"/>
    </row>
    <row r="7782" spans="4:12" x14ac:dyDescent="0.2">
      <c r="D7782" s="341"/>
      <c r="F7782" s="343"/>
      <c r="G7782" s="343"/>
      <c r="H7782" s="343"/>
      <c r="I7782" s="343"/>
      <c r="J7782" s="343"/>
      <c r="K7782" s="343"/>
      <c r="L7782" s="343"/>
    </row>
    <row r="7783" spans="4:12" x14ac:dyDescent="0.2">
      <c r="D7783" s="341"/>
      <c r="F7783" s="343"/>
      <c r="G7783" s="343"/>
      <c r="H7783" s="343"/>
      <c r="I7783" s="343"/>
      <c r="J7783" s="343"/>
      <c r="K7783" s="343"/>
      <c r="L7783" s="343"/>
    </row>
    <row r="7784" spans="4:12" x14ac:dyDescent="0.2">
      <c r="D7784" s="341"/>
      <c r="F7784" s="343"/>
      <c r="G7784" s="343"/>
      <c r="H7784" s="343"/>
      <c r="I7784" s="343"/>
      <c r="J7784" s="343"/>
      <c r="K7784" s="343"/>
      <c r="L7784" s="343"/>
    </row>
    <row r="7785" spans="4:12" x14ac:dyDescent="0.2">
      <c r="D7785" s="341"/>
      <c r="F7785" s="343"/>
      <c r="G7785" s="343"/>
      <c r="H7785" s="343"/>
      <c r="I7785" s="343"/>
      <c r="J7785" s="343"/>
      <c r="K7785" s="343"/>
      <c r="L7785" s="343"/>
    </row>
    <row r="7786" spans="4:12" x14ac:dyDescent="0.2">
      <c r="D7786" s="341"/>
      <c r="F7786" s="343"/>
      <c r="G7786" s="343"/>
      <c r="H7786" s="343"/>
      <c r="I7786" s="343"/>
      <c r="J7786" s="343"/>
      <c r="K7786" s="343"/>
      <c r="L7786" s="343"/>
    </row>
    <row r="7787" spans="4:12" x14ac:dyDescent="0.2">
      <c r="D7787" s="341"/>
      <c r="F7787" s="343"/>
      <c r="G7787" s="343"/>
      <c r="H7787" s="343"/>
      <c r="I7787" s="343"/>
      <c r="J7787" s="343"/>
      <c r="K7787" s="343"/>
      <c r="L7787" s="343"/>
    </row>
    <row r="7788" spans="4:12" x14ac:dyDescent="0.2">
      <c r="D7788" s="341"/>
      <c r="F7788" s="343"/>
      <c r="G7788" s="343"/>
      <c r="H7788" s="343"/>
      <c r="I7788" s="343"/>
      <c r="J7788" s="343"/>
      <c r="K7788" s="343"/>
      <c r="L7788" s="343"/>
    </row>
    <row r="7789" spans="4:12" x14ac:dyDescent="0.2">
      <c r="D7789" s="341"/>
      <c r="F7789" s="343"/>
      <c r="G7789" s="343"/>
      <c r="H7789" s="343"/>
      <c r="I7789" s="343"/>
      <c r="J7789" s="343"/>
      <c r="K7789" s="343"/>
      <c r="L7789" s="343"/>
    </row>
    <row r="7790" spans="4:12" x14ac:dyDescent="0.2">
      <c r="D7790" s="341"/>
      <c r="F7790" s="343"/>
      <c r="G7790" s="343"/>
      <c r="H7790" s="343"/>
      <c r="I7790" s="343"/>
      <c r="J7790" s="343"/>
      <c r="K7790" s="343"/>
      <c r="L7790" s="343"/>
    </row>
    <row r="7791" spans="4:12" x14ac:dyDescent="0.2">
      <c r="D7791" s="341"/>
      <c r="F7791" s="343"/>
      <c r="G7791" s="343"/>
      <c r="H7791" s="343"/>
      <c r="I7791" s="343"/>
      <c r="J7791" s="343"/>
      <c r="K7791" s="343"/>
      <c r="L7791" s="343"/>
    </row>
    <row r="7792" spans="4:12" x14ac:dyDescent="0.2">
      <c r="D7792" s="341"/>
      <c r="F7792" s="343"/>
      <c r="G7792" s="343"/>
      <c r="H7792" s="343"/>
      <c r="I7792" s="343"/>
      <c r="J7792" s="343"/>
      <c r="K7792" s="343"/>
      <c r="L7792" s="343"/>
    </row>
    <row r="7793" spans="4:12" x14ac:dyDescent="0.2">
      <c r="D7793" s="341"/>
      <c r="F7793" s="343"/>
      <c r="G7793" s="343"/>
      <c r="H7793" s="343"/>
      <c r="I7793" s="343"/>
      <c r="J7793" s="343"/>
      <c r="K7793" s="343"/>
      <c r="L7793" s="343"/>
    </row>
    <row r="7794" spans="4:12" x14ac:dyDescent="0.2">
      <c r="D7794" s="341"/>
      <c r="F7794" s="343"/>
      <c r="G7794" s="343"/>
      <c r="H7794" s="343"/>
      <c r="I7794" s="343"/>
      <c r="J7794" s="343"/>
      <c r="K7794" s="343"/>
      <c r="L7794" s="343"/>
    </row>
    <row r="7795" spans="4:12" x14ac:dyDescent="0.2">
      <c r="D7795" s="341"/>
      <c r="F7795" s="343"/>
      <c r="G7795" s="343"/>
      <c r="H7795" s="343"/>
      <c r="I7795" s="343"/>
      <c r="J7795" s="343"/>
      <c r="K7795" s="343"/>
      <c r="L7795" s="343"/>
    </row>
    <row r="7796" spans="4:12" x14ac:dyDescent="0.2">
      <c r="D7796" s="341"/>
      <c r="F7796" s="343"/>
      <c r="G7796" s="343"/>
      <c r="H7796" s="343"/>
      <c r="I7796" s="343"/>
      <c r="J7796" s="343"/>
      <c r="K7796" s="343"/>
      <c r="L7796" s="343"/>
    </row>
    <row r="7797" spans="4:12" x14ac:dyDescent="0.2">
      <c r="D7797" s="341"/>
      <c r="F7797" s="343"/>
      <c r="G7797" s="343"/>
      <c r="H7797" s="343"/>
      <c r="I7797" s="343"/>
      <c r="J7797" s="343"/>
      <c r="K7797" s="343"/>
      <c r="L7797" s="343"/>
    </row>
    <row r="7798" spans="4:12" x14ac:dyDescent="0.2">
      <c r="D7798" s="341"/>
      <c r="F7798" s="343"/>
      <c r="G7798" s="343"/>
      <c r="H7798" s="343"/>
      <c r="I7798" s="343"/>
      <c r="J7798" s="343"/>
      <c r="K7798" s="343"/>
      <c r="L7798" s="343"/>
    </row>
    <row r="7799" spans="4:12" x14ac:dyDescent="0.2">
      <c r="D7799" s="341"/>
      <c r="F7799" s="343"/>
      <c r="G7799" s="343"/>
      <c r="H7799" s="343"/>
      <c r="I7799" s="343"/>
      <c r="J7799" s="343"/>
      <c r="K7799" s="343"/>
      <c r="L7799" s="343"/>
    </row>
    <row r="7800" spans="4:12" x14ac:dyDescent="0.2">
      <c r="D7800" s="341"/>
      <c r="F7800" s="343"/>
      <c r="G7800" s="343"/>
      <c r="H7800" s="343"/>
      <c r="I7800" s="343"/>
      <c r="J7800" s="343"/>
      <c r="K7800" s="343"/>
      <c r="L7800" s="343"/>
    </row>
    <row r="7801" spans="4:12" x14ac:dyDescent="0.2">
      <c r="D7801" s="341"/>
      <c r="F7801" s="343"/>
      <c r="G7801" s="343"/>
      <c r="H7801" s="343"/>
      <c r="I7801" s="343"/>
      <c r="J7801" s="343"/>
      <c r="K7801" s="343"/>
      <c r="L7801" s="343"/>
    </row>
    <row r="7802" spans="4:12" x14ac:dyDescent="0.2">
      <c r="D7802" s="341"/>
      <c r="F7802" s="343"/>
      <c r="G7802" s="343"/>
      <c r="H7802" s="343"/>
      <c r="I7802" s="343"/>
      <c r="J7802" s="343"/>
      <c r="K7802" s="343"/>
      <c r="L7802" s="343"/>
    </row>
    <row r="7803" spans="4:12" x14ac:dyDescent="0.2">
      <c r="D7803" s="341"/>
      <c r="F7803" s="343"/>
      <c r="G7803" s="343"/>
      <c r="H7803" s="343"/>
      <c r="I7803" s="343"/>
      <c r="J7803" s="343"/>
      <c r="K7803" s="343"/>
      <c r="L7803" s="343"/>
    </row>
    <row r="7804" spans="4:12" x14ac:dyDescent="0.2">
      <c r="D7804" s="341"/>
      <c r="F7804" s="343"/>
      <c r="G7804" s="343"/>
      <c r="H7804" s="343"/>
      <c r="I7804" s="343"/>
      <c r="J7804" s="343"/>
      <c r="K7804" s="343"/>
      <c r="L7804" s="343"/>
    </row>
    <row r="7805" spans="4:12" x14ac:dyDescent="0.2">
      <c r="D7805" s="341"/>
      <c r="F7805" s="343"/>
      <c r="G7805" s="343"/>
      <c r="H7805" s="343"/>
      <c r="I7805" s="343"/>
      <c r="J7805" s="343"/>
      <c r="K7805" s="343"/>
      <c r="L7805" s="343"/>
    </row>
    <row r="7806" spans="4:12" x14ac:dyDescent="0.2">
      <c r="D7806" s="341"/>
      <c r="F7806" s="343"/>
      <c r="G7806" s="343"/>
      <c r="H7806" s="343"/>
      <c r="I7806" s="343"/>
      <c r="J7806" s="343"/>
      <c r="K7806" s="343"/>
      <c r="L7806" s="343"/>
    </row>
    <row r="7807" spans="4:12" x14ac:dyDescent="0.2">
      <c r="D7807" s="341"/>
      <c r="F7807" s="343"/>
      <c r="G7807" s="343"/>
      <c r="H7807" s="343"/>
      <c r="I7807" s="343"/>
      <c r="J7807" s="343"/>
      <c r="K7807" s="343"/>
      <c r="L7807" s="343"/>
    </row>
    <row r="7808" spans="4:12" x14ac:dyDescent="0.2">
      <c r="D7808" s="341"/>
      <c r="F7808" s="343"/>
      <c r="G7808" s="343"/>
      <c r="H7808" s="343"/>
      <c r="I7808" s="343"/>
      <c r="J7808" s="343"/>
      <c r="K7808" s="343"/>
      <c r="L7808" s="343"/>
    </row>
    <row r="7809" spans="4:12" x14ac:dyDescent="0.2">
      <c r="D7809" s="341"/>
      <c r="F7809" s="343"/>
      <c r="G7809" s="343"/>
      <c r="H7809" s="343"/>
      <c r="I7809" s="343"/>
      <c r="J7809" s="343"/>
      <c r="K7809" s="343"/>
      <c r="L7809" s="343"/>
    </row>
    <row r="7810" spans="4:12" x14ac:dyDescent="0.2">
      <c r="D7810" s="341"/>
      <c r="F7810" s="343"/>
      <c r="G7810" s="343"/>
      <c r="H7810" s="343"/>
      <c r="I7810" s="343"/>
      <c r="J7810" s="343"/>
      <c r="K7810" s="343"/>
      <c r="L7810" s="343"/>
    </row>
    <row r="7811" spans="4:12" x14ac:dyDescent="0.2">
      <c r="D7811" s="341"/>
      <c r="F7811" s="343"/>
      <c r="G7811" s="343"/>
      <c r="H7811" s="343"/>
      <c r="I7811" s="343"/>
      <c r="J7811" s="343"/>
      <c r="K7811" s="343"/>
      <c r="L7811" s="343"/>
    </row>
    <row r="7812" spans="4:12" x14ac:dyDescent="0.2">
      <c r="D7812" s="341"/>
      <c r="F7812" s="343"/>
      <c r="G7812" s="343"/>
      <c r="H7812" s="343"/>
      <c r="I7812" s="343"/>
      <c r="J7812" s="343"/>
      <c r="K7812" s="343"/>
      <c r="L7812" s="343"/>
    </row>
    <row r="7813" spans="4:12" x14ac:dyDescent="0.2">
      <c r="D7813" s="341"/>
      <c r="F7813" s="343"/>
      <c r="G7813" s="343"/>
      <c r="H7813" s="343"/>
      <c r="I7813" s="343"/>
      <c r="J7813" s="343"/>
      <c r="K7813" s="343"/>
      <c r="L7813" s="343"/>
    </row>
    <row r="7814" spans="4:12" x14ac:dyDescent="0.2">
      <c r="D7814" s="341"/>
      <c r="F7814" s="343"/>
      <c r="G7814" s="343"/>
      <c r="H7814" s="343"/>
      <c r="I7814" s="343"/>
      <c r="J7814" s="343"/>
      <c r="K7814" s="343"/>
      <c r="L7814" s="343"/>
    </row>
    <row r="7815" spans="4:12" x14ac:dyDescent="0.2">
      <c r="D7815" s="341"/>
      <c r="F7815" s="343"/>
      <c r="G7815" s="343"/>
      <c r="H7815" s="343"/>
      <c r="I7815" s="343"/>
      <c r="J7815" s="343"/>
      <c r="K7815" s="343"/>
      <c r="L7815" s="343"/>
    </row>
    <row r="7816" spans="4:12" x14ac:dyDescent="0.2">
      <c r="D7816" s="341"/>
      <c r="F7816" s="343"/>
      <c r="G7816" s="343"/>
      <c r="H7816" s="343"/>
      <c r="I7816" s="343"/>
      <c r="J7816" s="343"/>
      <c r="K7816" s="343"/>
      <c r="L7816" s="343"/>
    </row>
    <row r="7817" spans="4:12" x14ac:dyDescent="0.2">
      <c r="D7817" s="341"/>
      <c r="F7817" s="343"/>
      <c r="G7817" s="343"/>
      <c r="H7817" s="343"/>
      <c r="I7817" s="343"/>
      <c r="J7817" s="343"/>
      <c r="K7817" s="343"/>
      <c r="L7817" s="343"/>
    </row>
    <row r="7818" spans="4:12" x14ac:dyDescent="0.2">
      <c r="D7818" s="341"/>
      <c r="F7818" s="343"/>
      <c r="G7818" s="343"/>
      <c r="H7818" s="343"/>
      <c r="I7818" s="343"/>
      <c r="J7818" s="343"/>
      <c r="K7818" s="343"/>
      <c r="L7818" s="343"/>
    </row>
    <row r="7819" spans="4:12" x14ac:dyDescent="0.2">
      <c r="D7819" s="341"/>
      <c r="F7819" s="343"/>
      <c r="G7819" s="343"/>
      <c r="H7819" s="343"/>
      <c r="I7819" s="343"/>
      <c r="J7819" s="343"/>
      <c r="K7819" s="343"/>
      <c r="L7819" s="343"/>
    </row>
    <row r="7820" spans="4:12" x14ac:dyDescent="0.2">
      <c r="D7820" s="341"/>
      <c r="F7820" s="343"/>
      <c r="G7820" s="343"/>
      <c r="H7820" s="343"/>
      <c r="I7820" s="343"/>
      <c r="J7820" s="343"/>
      <c r="K7820" s="343"/>
      <c r="L7820" s="343"/>
    </row>
    <row r="7821" spans="4:12" x14ac:dyDescent="0.2">
      <c r="D7821" s="341"/>
      <c r="F7821" s="343"/>
      <c r="G7821" s="343"/>
      <c r="H7821" s="343"/>
      <c r="I7821" s="343"/>
      <c r="J7821" s="343"/>
      <c r="K7821" s="343"/>
      <c r="L7821" s="343"/>
    </row>
    <row r="7822" spans="4:12" x14ac:dyDescent="0.2">
      <c r="D7822" s="341"/>
      <c r="F7822" s="343"/>
      <c r="G7822" s="343"/>
      <c r="H7822" s="343"/>
      <c r="I7822" s="343"/>
      <c r="J7822" s="343"/>
      <c r="K7822" s="343"/>
      <c r="L7822" s="343"/>
    </row>
    <row r="7823" spans="4:12" x14ac:dyDescent="0.2">
      <c r="D7823" s="341"/>
      <c r="F7823" s="343"/>
      <c r="G7823" s="343"/>
      <c r="H7823" s="343"/>
      <c r="I7823" s="343"/>
      <c r="J7823" s="343"/>
      <c r="K7823" s="343"/>
      <c r="L7823" s="343"/>
    </row>
    <row r="7824" spans="4:12" x14ac:dyDescent="0.2">
      <c r="D7824" s="341"/>
      <c r="F7824" s="343"/>
      <c r="G7824" s="343"/>
      <c r="H7824" s="343"/>
      <c r="I7824" s="343"/>
      <c r="J7824" s="343"/>
      <c r="K7824" s="343"/>
      <c r="L7824" s="343"/>
    </row>
    <row r="7825" spans="4:12" x14ac:dyDescent="0.2">
      <c r="D7825" s="341"/>
      <c r="F7825" s="343"/>
      <c r="G7825" s="343"/>
      <c r="H7825" s="343"/>
      <c r="I7825" s="343"/>
      <c r="J7825" s="343"/>
      <c r="K7825" s="343"/>
      <c r="L7825" s="343"/>
    </row>
    <row r="7826" spans="4:12" x14ac:dyDescent="0.2">
      <c r="D7826" s="341"/>
      <c r="F7826" s="343"/>
      <c r="G7826" s="343"/>
      <c r="H7826" s="343"/>
      <c r="I7826" s="343"/>
      <c r="J7826" s="343"/>
      <c r="K7826" s="343"/>
      <c r="L7826" s="343"/>
    </row>
    <row r="7827" spans="4:12" x14ac:dyDescent="0.2">
      <c r="D7827" s="341"/>
      <c r="F7827" s="343"/>
      <c r="G7827" s="343"/>
      <c r="H7827" s="343"/>
      <c r="I7827" s="343"/>
      <c r="J7827" s="343"/>
      <c r="K7827" s="343"/>
      <c r="L7827" s="343"/>
    </row>
    <row r="7828" spans="4:12" x14ac:dyDescent="0.2">
      <c r="D7828" s="341"/>
      <c r="F7828" s="343"/>
      <c r="G7828" s="343"/>
      <c r="H7828" s="343"/>
      <c r="I7828" s="343"/>
      <c r="J7828" s="343"/>
      <c r="K7828" s="343"/>
      <c r="L7828" s="343"/>
    </row>
    <row r="7829" spans="4:12" x14ac:dyDescent="0.2">
      <c r="D7829" s="341"/>
      <c r="F7829" s="343"/>
      <c r="G7829" s="343"/>
      <c r="H7829" s="343"/>
      <c r="I7829" s="343"/>
      <c r="J7829" s="343"/>
      <c r="K7829" s="343"/>
      <c r="L7829" s="343"/>
    </row>
    <row r="7830" spans="4:12" x14ac:dyDescent="0.2">
      <c r="D7830" s="341"/>
      <c r="F7830" s="343"/>
      <c r="G7830" s="343"/>
      <c r="H7830" s="343"/>
      <c r="I7830" s="343"/>
      <c r="J7830" s="343"/>
      <c r="K7830" s="343"/>
      <c r="L7830" s="343"/>
    </row>
    <row r="7831" spans="4:12" x14ac:dyDescent="0.2">
      <c r="D7831" s="341"/>
      <c r="F7831" s="343"/>
      <c r="G7831" s="343"/>
      <c r="H7831" s="343"/>
      <c r="I7831" s="343"/>
      <c r="J7831" s="343"/>
      <c r="K7831" s="343"/>
      <c r="L7831" s="343"/>
    </row>
    <row r="7832" spans="4:12" x14ac:dyDescent="0.2">
      <c r="D7832" s="341"/>
      <c r="F7832" s="343"/>
      <c r="G7832" s="343"/>
      <c r="H7832" s="343"/>
      <c r="I7832" s="343"/>
      <c r="J7832" s="343"/>
      <c r="K7832" s="343"/>
      <c r="L7832" s="343"/>
    </row>
    <row r="7833" spans="4:12" x14ac:dyDescent="0.2">
      <c r="D7833" s="341"/>
      <c r="F7833" s="343"/>
      <c r="G7833" s="343"/>
      <c r="H7833" s="343"/>
      <c r="I7833" s="343"/>
      <c r="J7833" s="343"/>
      <c r="K7833" s="343"/>
      <c r="L7833" s="343"/>
    </row>
    <row r="7834" spans="4:12" x14ac:dyDescent="0.2">
      <c r="D7834" s="341"/>
      <c r="F7834" s="343"/>
      <c r="G7834" s="343"/>
      <c r="H7834" s="343"/>
      <c r="I7834" s="343"/>
      <c r="J7834" s="343"/>
      <c r="K7834" s="343"/>
      <c r="L7834" s="343"/>
    </row>
    <row r="7835" spans="4:12" x14ac:dyDescent="0.2">
      <c r="D7835" s="341"/>
      <c r="F7835" s="343"/>
      <c r="G7835" s="343"/>
      <c r="H7835" s="343"/>
      <c r="I7835" s="343"/>
      <c r="J7835" s="343"/>
      <c r="K7835" s="343"/>
      <c r="L7835" s="343"/>
    </row>
    <row r="7836" spans="4:12" x14ac:dyDescent="0.2">
      <c r="D7836" s="341"/>
      <c r="F7836" s="343"/>
      <c r="G7836" s="343"/>
      <c r="H7836" s="343"/>
      <c r="I7836" s="343"/>
      <c r="J7836" s="343"/>
      <c r="K7836" s="343"/>
      <c r="L7836" s="343"/>
    </row>
    <row r="7837" spans="4:12" x14ac:dyDescent="0.2">
      <c r="D7837" s="341"/>
      <c r="F7837" s="343"/>
      <c r="G7837" s="343"/>
      <c r="H7837" s="343"/>
      <c r="I7837" s="343"/>
      <c r="J7837" s="343"/>
      <c r="K7837" s="343"/>
      <c r="L7837" s="343"/>
    </row>
    <row r="7838" spans="4:12" x14ac:dyDescent="0.2">
      <c r="D7838" s="341"/>
      <c r="F7838" s="343"/>
      <c r="G7838" s="343"/>
      <c r="H7838" s="343"/>
      <c r="I7838" s="343"/>
      <c r="J7838" s="343"/>
      <c r="K7838" s="343"/>
      <c r="L7838" s="343"/>
    </row>
    <row r="7839" spans="4:12" x14ac:dyDescent="0.2">
      <c r="D7839" s="341"/>
      <c r="F7839" s="343"/>
      <c r="G7839" s="343"/>
      <c r="H7839" s="343"/>
      <c r="I7839" s="343"/>
      <c r="J7839" s="343"/>
      <c r="K7839" s="343"/>
      <c r="L7839" s="343"/>
    </row>
    <row r="7840" spans="4:12" x14ac:dyDescent="0.2">
      <c r="D7840" s="341"/>
      <c r="F7840" s="343"/>
      <c r="G7840" s="343"/>
      <c r="H7840" s="343"/>
      <c r="I7840" s="343"/>
      <c r="J7840" s="343"/>
      <c r="K7840" s="343"/>
      <c r="L7840" s="343"/>
    </row>
    <row r="7841" spans="4:12" x14ac:dyDescent="0.2">
      <c r="D7841" s="341"/>
      <c r="F7841" s="343"/>
      <c r="G7841" s="343"/>
      <c r="H7841" s="343"/>
      <c r="I7841" s="343"/>
      <c r="J7841" s="343"/>
      <c r="K7841" s="343"/>
      <c r="L7841" s="343"/>
    </row>
    <row r="7842" spans="4:12" x14ac:dyDescent="0.2">
      <c r="D7842" s="341"/>
      <c r="F7842" s="343"/>
      <c r="G7842" s="343"/>
      <c r="H7842" s="343"/>
      <c r="I7842" s="343"/>
      <c r="J7842" s="343"/>
      <c r="K7842" s="343"/>
      <c r="L7842" s="343"/>
    </row>
    <row r="7843" spans="4:12" x14ac:dyDescent="0.2">
      <c r="D7843" s="341"/>
      <c r="F7843" s="343"/>
      <c r="G7843" s="343"/>
      <c r="H7843" s="343"/>
      <c r="I7843" s="343"/>
      <c r="J7843" s="343"/>
      <c r="K7843" s="343"/>
      <c r="L7843" s="343"/>
    </row>
    <row r="7844" spans="4:12" x14ac:dyDescent="0.2">
      <c r="D7844" s="341"/>
      <c r="F7844" s="343"/>
      <c r="G7844" s="343"/>
      <c r="H7844" s="343"/>
      <c r="I7844" s="343"/>
      <c r="J7844" s="343"/>
      <c r="K7844" s="343"/>
      <c r="L7844" s="343"/>
    </row>
    <row r="7845" spans="4:12" x14ac:dyDescent="0.2">
      <c r="D7845" s="341"/>
      <c r="F7845" s="343"/>
      <c r="G7845" s="343"/>
      <c r="H7845" s="343"/>
      <c r="I7845" s="343"/>
      <c r="J7845" s="343"/>
      <c r="K7845" s="343"/>
      <c r="L7845" s="343"/>
    </row>
    <row r="7846" spans="4:12" x14ac:dyDescent="0.2">
      <c r="D7846" s="341"/>
      <c r="F7846" s="343"/>
      <c r="G7846" s="343"/>
      <c r="H7846" s="343"/>
      <c r="I7846" s="343"/>
      <c r="J7846" s="343"/>
      <c r="K7846" s="343"/>
      <c r="L7846" s="343"/>
    </row>
    <row r="7847" spans="4:12" x14ac:dyDescent="0.2">
      <c r="D7847" s="341"/>
      <c r="F7847" s="343"/>
      <c r="G7847" s="343"/>
      <c r="H7847" s="343"/>
      <c r="I7847" s="343"/>
      <c r="J7847" s="343"/>
      <c r="K7847" s="343"/>
      <c r="L7847" s="343"/>
    </row>
    <row r="7848" spans="4:12" x14ac:dyDescent="0.2">
      <c r="D7848" s="341"/>
      <c r="F7848" s="343"/>
      <c r="G7848" s="343"/>
      <c r="H7848" s="343"/>
      <c r="I7848" s="343"/>
      <c r="J7848" s="343"/>
      <c r="K7848" s="343"/>
      <c r="L7848" s="343"/>
    </row>
    <row r="7849" spans="4:12" x14ac:dyDescent="0.2">
      <c r="D7849" s="341"/>
      <c r="F7849" s="343"/>
      <c r="G7849" s="343"/>
      <c r="H7849" s="343"/>
      <c r="I7849" s="343"/>
      <c r="J7849" s="343"/>
      <c r="K7849" s="343"/>
      <c r="L7849" s="343"/>
    </row>
    <row r="7850" spans="4:12" x14ac:dyDescent="0.2">
      <c r="D7850" s="341"/>
      <c r="F7850" s="343"/>
      <c r="G7850" s="343"/>
      <c r="H7850" s="343"/>
      <c r="I7850" s="343"/>
      <c r="J7850" s="343"/>
      <c r="K7850" s="343"/>
      <c r="L7850" s="343"/>
    </row>
    <row r="7851" spans="4:12" x14ac:dyDescent="0.2">
      <c r="D7851" s="341"/>
      <c r="F7851" s="343"/>
      <c r="G7851" s="343"/>
      <c r="H7851" s="343"/>
      <c r="I7851" s="343"/>
      <c r="J7851" s="343"/>
      <c r="K7851" s="343"/>
      <c r="L7851" s="343"/>
    </row>
    <row r="7852" spans="4:12" x14ac:dyDescent="0.2">
      <c r="D7852" s="341"/>
      <c r="F7852" s="343"/>
      <c r="G7852" s="343"/>
      <c r="H7852" s="343"/>
      <c r="I7852" s="343"/>
      <c r="J7852" s="343"/>
      <c r="K7852" s="343"/>
      <c r="L7852" s="343"/>
    </row>
    <row r="7853" spans="4:12" x14ac:dyDescent="0.2">
      <c r="D7853" s="341"/>
      <c r="F7853" s="343"/>
      <c r="G7853" s="343"/>
      <c r="H7853" s="343"/>
      <c r="I7853" s="343"/>
      <c r="J7853" s="343"/>
      <c r="K7853" s="343"/>
      <c r="L7853" s="343"/>
    </row>
    <row r="7854" spans="4:12" x14ac:dyDescent="0.2">
      <c r="D7854" s="341"/>
      <c r="F7854" s="343"/>
      <c r="G7854" s="343"/>
      <c r="H7854" s="343"/>
      <c r="I7854" s="343"/>
      <c r="J7854" s="343"/>
      <c r="K7854" s="343"/>
      <c r="L7854" s="343"/>
    </row>
    <row r="7855" spans="4:12" x14ac:dyDescent="0.2">
      <c r="D7855" s="341"/>
      <c r="F7855" s="343"/>
      <c r="G7855" s="343"/>
      <c r="H7855" s="343"/>
      <c r="I7855" s="343"/>
      <c r="J7855" s="343"/>
      <c r="K7855" s="343"/>
      <c r="L7855" s="343"/>
    </row>
    <row r="7856" spans="4:12" x14ac:dyDescent="0.2">
      <c r="D7856" s="341"/>
      <c r="F7856" s="343"/>
      <c r="G7856" s="343"/>
      <c r="H7856" s="343"/>
      <c r="I7856" s="343"/>
      <c r="J7856" s="343"/>
      <c r="K7856" s="343"/>
      <c r="L7856" s="343"/>
    </row>
    <row r="7857" spans="4:12" x14ac:dyDescent="0.2">
      <c r="D7857" s="341"/>
      <c r="F7857" s="343"/>
      <c r="G7857" s="343"/>
      <c r="H7857" s="343"/>
      <c r="I7857" s="343"/>
      <c r="J7857" s="343"/>
      <c r="K7857" s="343"/>
      <c r="L7857" s="343"/>
    </row>
    <row r="7858" spans="4:12" x14ac:dyDescent="0.2">
      <c r="D7858" s="341"/>
      <c r="F7858" s="343"/>
      <c r="G7858" s="343"/>
      <c r="H7858" s="343"/>
      <c r="I7858" s="343"/>
      <c r="J7858" s="343"/>
      <c r="K7858" s="343"/>
      <c r="L7858" s="343"/>
    </row>
    <row r="7859" spans="4:12" x14ac:dyDescent="0.2">
      <c r="D7859" s="341"/>
      <c r="F7859" s="343"/>
      <c r="G7859" s="343"/>
      <c r="H7859" s="343"/>
      <c r="I7859" s="343"/>
      <c r="J7859" s="343"/>
      <c r="K7859" s="343"/>
      <c r="L7859" s="343"/>
    </row>
    <row r="7860" spans="4:12" x14ac:dyDescent="0.2">
      <c r="D7860" s="341"/>
      <c r="F7860" s="343"/>
      <c r="G7860" s="343"/>
      <c r="H7860" s="343"/>
      <c r="I7860" s="343"/>
      <c r="J7860" s="343"/>
      <c r="K7860" s="343"/>
      <c r="L7860" s="343"/>
    </row>
    <row r="7861" spans="4:12" x14ac:dyDescent="0.2">
      <c r="D7861" s="341"/>
      <c r="F7861" s="343"/>
      <c r="G7861" s="343"/>
      <c r="H7861" s="343"/>
      <c r="I7861" s="343"/>
      <c r="J7861" s="343"/>
      <c r="K7861" s="343"/>
      <c r="L7861" s="343"/>
    </row>
    <row r="7862" spans="4:12" x14ac:dyDescent="0.2">
      <c r="D7862" s="341"/>
      <c r="F7862" s="343"/>
      <c r="G7862" s="343"/>
      <c r="H7862" s="343"/>
      <c r="I7862" s="343"/>
      <c r="J7862" s="343"/>
      <c r="K7862" s="343"/>
      <c r="L7862" s="343"/>
    </row>
    <row r="7863" spans="4:12" x14ac:dyDescent="0.2">
      <c r="D7863" s="341"/>
      <c r="F7863" s="343"/>
      <c r="G7863" s="343"/>
      <c r="H7863" s="343"/>
      <c r="I7863" s="343"/>
      <c r="J7863" s="343"/>
      <c r="K7863" s="343"/>
      <c r="L7863" s="343"/>
    </row>
    <row r="7864" spans="4:12" x14ac:dyDescent="0.2">
      <c r="D7864" s="341"/>
      <c r="F7864" s="343"/>
      <c r="G7864" s="343"/>
      <c r="H7864" s="343"/>
      <c r="I7864" s="343"/>
      <c r="J7864" s="343"/>
      <c r="K7864" s="343"/>
      <c r="L7864" s="343"/>
    </row>
    <row r="7865" spans="4:12" x14ac:dyDescent="0.2">
      <c r="D7865" s="341"/>
      <c r="F7865" s="343"/>
      <c r="G7865" s="343"/>
      <c r="H7865" s="343"/>
      <c r="I7865" s="343"/>
      <c r="J7865" s="343"/>
      <c r="K7865" s="343"/>
      <c r="L7865" s="343"/>
    </row>
    <row r="7866" spans="4:12" x14ac:dyDescent="0.2">
      <c r="D7866" s="341"/>
      <c r="F7866" s="343"/>
      <c r="G7866" s="343"/>
      <c r="H7866" s="343"/>
      <c r="I7866" s="343"/>
      <c r="J7866" s="343"/>
      <c r="K7866" s="343"/>
      <c r="L7866" s="343"/>
    </row>
    <row r="7867" spans="4:12" x14ac:dyDescent="0.2">
      <c r="D7867" s="341"/>
      <c r="F7867" s="343"/>
      <c r="G7867" s="343"/>
      <c r="H7867" s="343"/>
      <c r="I7867" s="343"/>
      <c r="J7867" s="343"/>
      <c r="K7867" s="343"/>
      <c r="L7867" s="343"/>
    </row>
    <row r="7868" spans="4:12" x14ac:dyDescent="0.2">
      <c r="D7868" s="341"/>
      <c r="F7868" s="343"/>
      <c r="G7868" s="343"/>
      <c r="H7868" s="343"/>
      <c r="I7868" s="343"/>
      <c r="J7868" s="343"/>
      <c r="K7868" s="343"/>
      <c r="L7868" s="343"/>
    </row>
    <row r="7869" spans="4:12" x14ac:dyDescent="0.2">
      <c r="D7869" s="341"/>
      <c r="F7869" s="343"/>
      <c r="G7869" s="343"/>
      <c r="H7869" s="343"/>
      <c r="I7869" s="343"/>
      <c r="J7869" s="343"/>
      <c r="K7869" s="343"/>
      <c r="L7869" s="343"/>
    </row>
    <row r="7870" spans="4:12" x14ac:dyDescent="0.2">
      <c r="D7870" s="341"/>
      <c r="F7870" s="343"/>
      <c r="G7870" s="343"/>
      <c r="H7870" s="343"/>
      <c r="I7870" s="343"/>
      <c r="J7870" s="343"/>
      <c r="K7870" s="343"/>
      <c r="L7870" s="343"/>
    </row>
    <row r="7871" spans="4:12" x14ac:dyDescent="0.2">
      <c r="D7871" s="341"/>
      <c r="F7871" s="343"/>
      <c r="G7871" s="343"/>
      <c r="H7871" s="343"/>
      <c r="I7871" s="343"/>
      <c r="J7871" s="343"/>
      <c r="K7871" s="343"/>
      <c r="L7871" s="343"/>
    </row>
    <row r="7872" spans="4:12" x14ac:dyDescent="0.2">
      <c r="D7872" s="341"/>
      <c r="F7872" s="343"/>
      <c r="G7872" s="343"/>
      <c r="H7872" s="343"/>
      <c r="I7872" s="343"/>
      <c r="J7872" s="343"/>
      <c r="K7872" s="343"/>
      <c r="L7872" s="343"/>
    </row>
    <row r="7873" spans="4:12" x14ac:dyDescent="0.2">
      <c r="D7873" s="341"/>
      <c r="F7873" s="343"/>
      <c r="G7873" s="343"/>
      <c r="H7873" s="343"/>
      <c r="I7873" s="343"/>
      <c r="J7873" s="343"/>
      <c r="K7873" s="343"/>
      <c r="L7873" s="343"/>
    </row>
    <row r="7874" spans="4:12" x14ac:dyDescent="0.2">
      <c r="D7874" s="341"/>
      <c r="F7874" s="343"/>
      <c r="G7874" s="343"/>
      <c r="H7874" s="343"/>
      <c r="I7874" s="343"/>
      <c r="J7874" s="343"/>
      <c r="K7874" s="343"/>
      <c r="L7874" s="343"/>
    </row>
    <row r="7875" spans="4:12" x14ac:dyDescent="0.2">
      <c r="D7875" s="341"/>
      <c r="F7875" s="343"/>
      <c r="G7875" s="343"/>
      <c r="H7875" s="343"/>
      <c r="I7875" s="343"/>
      <c r="J7875" s="343"/>
      <c r="K7875" s="343"/>
      <c r="L7875" s="343"/>
    </row>
    <row r="7876" spans="4:12" x14ac:dyDescent="0.2">
      <c r="D7876" s="341"/>
      <c r="F7876" s="343"/>
      <c r="G7876" s="343"/>
      <c r="H7876" s="343"/>
      <c r="I7876" s="343"/>
      <c r="J7876" s="343"/>
      <c r="K7876" s="343"/>
      <c r="L7876" s="343"/>
    </row>
    <row r="7877" spans="4:12" x14ac:dyDescent="0.2">
      <c r="D7877" s="341"/>
      <c r="F7877" s="343"/>
      <c r="G7877" s="343"/>
      <c r="H7877" s="343"/>
      <c r="I7877" s="343"/>
      <c r="J7877" s="343"/>
      <c r="K7877" s="343"/>
      <c r="L7877" s="343"/>
    </row>
    <row r="7878" spans="4:12" x14ac:dyDescent="0.2">
      <c r="D7878" s="341"/>
      <c r="F7878" s="343"/>
      <c r="G7878" s="343"/>
      <c r="H7878" s="343"/>
      <c r="I7878" s="343"/>
      <c r="J7878" s="343"/>
      <c r="K7878" s="343"/>
      <c r="L7878" s="343"/>
    </row>
    <row r="7879" spans="4:12" x14ac:dyDescent="0.2">
      <c r="D7879" s="341"/>
      <c r="F7879" s="343"/>
      <c r="G7879" s="343"/>
      <c r="H7879" s="343"/>
      <c r="I7879" s="343"/>
      <c r="J7879" s="343"/>
      <c r="K7879" s="343"/>
      <c r="L7879" s="343"/>
    </row>
    <row r="7880" spans="4:12" x14ac:dyDescent="0.2">
      <c r="D7880" s="341"/>
      <c r="F7880" s="343"/>
      <c r="G7880" s="343"/>
      <c r="H7880" s="343"/>
      <c r="I7880" s="343"/>
      <c r="J7880" s="343"/>
      <c r="K7880" s="343"/>
      <c r="L7880" s="343"/>
    </row>
    <row r="7881" spans="4:12" x14ac:dyDescent="0.2">
      <c r="D7881" s="341"/>
      <c r="F7881" s="343"/>
      <c r="G7881" s="343"/>
      <c r="H7881" s="343"/>
      <c r="I7881" s="343"/>
      <c r="J7881" s="343"/>
      <c r="K7881" s="343"/>
      <c r="L7881" s="343"/>
    </row>
    <row r="7882" spans="4:12" x14ac:dyDescent="0.2">
      <c r="D7882" s="341"/>
      <c r="F7882" s="343"/>
      <c r="G7882" s="343"/>
      <c r="H7882" s="343"/>
      <c r="I7882" s="343"/>
      <c r="J7882" s="343"/>
      <c r="K7882" s="343"/>
      <c r="L7882" s="343"/>
    </row>
    <row r="7883" spans="4:12" x14ac:dyDescent="0.2">
      <c r="D7883" s="341"/>
      <c r="F7883" s="343"/>
      <c r="G7883" s="343"/>
      <c r="H7883" s="343"/>
      <c r="I7883" s="343"/>
      <c r="J7883" s="343"/>
      <c r="K7883" s="343"/>
      <c r="L7883" s="343"/>
    </row>
    <row r="7884" spans="4:12" x14ac:dyDescent="0.2">
      <c r="D7884" s="341"/>
      <c r="F7884" s="343"/>
      <c r="G7884" s="343"/>
      <c r="H7884" s="343"/>
      <c r="I7884" s="343"/>
      <c r="J7884" s="343"/>
      <c r="K7884" s="343"/>
      <c r="L7884" s="343"/>
    </row>
    <row r="7885" spans="4:12" x14ac:dyDescent="0.2">
      <c r="D7885" s="341"/>
      <c r="F7885" s="343"/>
      <c r="G7885" s="343"/>
      <c r="H7885" s="343"/>
      <c r="I7885" s="343"/>
      <c r="J7885" s="343"/>
      <c r="K7885" s="343"/>
      <c r="L7885" s="343"/>
    </row>
    <row r="7886" spans="4:12" x14ac:dyDescent="0.2">
      <c r="D7886" s="341"/>
      <c r="F7886" s="343"/>
      <c r="G7886" s="343"/>
      <c r="H7886" s="343"/>
      <c r="I7886" s="343"/>
      <c r="J7886" s="343"/>
      <c r="K7886" s="343"/>
      <c r="L7886" s="343"/>
    </row>
    <row r="7887" spans="4:12" x14ac:dyDescent="0.2">
      <c r="D7887" s="341"/>
      <c r="F7887" s="343"/>
      <c r="G7887" s="343"/>
      <c r="H7887" s="343"/>
      <c r="I7887" s="343"/>
      <c r="J7887" s="343"/>
      <c r="K7887" s="343"/>
      <c r="L7887" s="343"/>
    </row>
    <row r="7888" spans="4:12" x14ac:dyDescent="0.2">
      <c r="D7888" s="341"/>
      <c r="F7888" s="343"/>
      <c r="G7888" s="343"/>
      <c r="H7888" s="343"/>
      <c r="I7888" s="343"/>
      <c r="J7888" s="343"/>
      <c r="K7888" s="343"/>
      <c r="L7888" s="343"/>
    </row>
    <row r="7889" spans="4:12" x14ac:dyDescent="0.2">
      <c r="D7889" s="341"/>
      <c r="F7889" s="343"/>
      <c r="G7889" s="343"/>
      <c r="H7889" s="343"/>
      <c r="I7889" s="343"/>
      <c r="J7889" s="343"/>
      <c r="K7889" s="343"/>
      <c r="L7889" s="343"/>
    </row>
    <row r="7890" spans="4:12" x14ac:dyDescent="0.2">
      <c r="D7890" s="341"/>
      <c r="F7890" s="343"/>
      <c r="G7890" s="343"/>
      <c r="H7890" s="343"/>
      <c r="I7890" s="343"/>
      <c r="J7890" s="343"/>
      <c r="K7890" s="343"/>
      <c r="L7890" s="343"/>
    </row>
    <row r="7891" spans="4:12" x14ac:dyDescent="0.2">
      <c r="D7891" s="341"/>
      <c r="F7891" s="343"/>
      <c r="G7891" s="343"/>
      <c r="H7891" s="343"/>
      <c r="I7891" s="343"/>
      <c r="J7891" s="343"/>
      <c r="K7891" s="343"/>
      <c r="L7891" s="343"/>
    </row>
    <row r="7892" spans="4:12" x14ac:dyDescent="0.2">
      <c r="D7892" s="341"/>
      <c r="F7892" s="343"/>
      <c r="G7892" s="343"/>
      <c r="H7892" s="343"/>
      <c r="I7892" s="343"/>
      <c r="J7892" s="343"/>
      <c r="K7892" s="343"/>
      <c r="L7892" s="343"/>
    </row>
    <row r="7893" spans="4:12" x14ac:dyDescent="0.2">
      <c r="D7893" s="341"/>
      <c r="F7893" s="343"/>
      <c r="G7893" s="343"/>
      <c r="H7893" s="343"/>
      <c r="I7893" s="343"/>
      <c r="J7893" s="343"/>
      <c r="K7893" s="343"/>
      <c r="L7893" s="343"/>
    </row>
    <row r="7894" spans="4:12" x14ac:dyDescent="0.2">
      <c r="D7894" s="341"/>
      <c r="F7894" s="343"/>
      <c r="G7894" s="343"/>
      <c r="H7894" s="343"/>
      <c r="I7894" s="343"/>
      <c r="J7894" s="343"/>
      <c r="K7894" s="343"/>
      <c r="L7894" s="343"/>
    </row>
    <row r="7895" spans="4:12" x14ac:dyDescent="0.2">
      <c r="D7895" s="341"/>
      <c r="F7895" s="343"/>
      <c r="G7895" s="343"/>
      <c r="H7895" s="343"/>
      <c r="I7895" s="343"/>
      <c r="J7895" s="343"/>
      <c r="K7895" s="343"/>
      <c r="L7895" s="343"/>
    </row>
    <row r="7896" spans="4:12" x14ac:dyDescent="0.2">
      <c r="D7896" s="341"/>
      <c r="F7896" s="343"/>
      <c r="G7896" s="343"/>
      <c r="H7896" s="343"/>
      <c r="I7896" s="343"/>
      <c r="J7896" s="343"/>
      <c r="K7896" s="343"/>
      <c r="L7896" s="343"/>
    </row>
    <row r="7897" spans="4:12" x14ac:dyDescent="0.2">
      <c r="D7897" s="341"/>
      <c r="F7897" s="343"/>
      <c r="G7897" s="343"/>
      <c r="H7897" s="343"/>
      <c r="I7897" s="343"/>
      <c r="J7897" s="343"/>
      <c r="K7897" s="343"/>
      <c r="L7897" s="343"/>
    </row>
    <row r="7898" spans="4:12" x14ac:dyDescent="0.2">
      <c r="D7898" s="341"/>
      <c r="F7898" s="343"/>
      <c r="G7898" s="343"/>
      <c r="H7898" s="343"/>
      <c r="I7898" s="343"/>
      <c r="J7898" s="343"/>
      <c r="K7898" s="343"/>
      <c r="L7898" s="343"/>
    </row>
    <row r="7899" spans="4:12" x14ac:dyDescent="0.2">
      <c r="D7899" s="341"/>
      <c r="F7899" s="343"/>
      <c r="G7899" s="343"/>
      <c r="H7899" s="343"/>
      <c r="I7899" s="343"/>
      <c r="J7899" s="343"/>
      <c r="K7899" s="343"/>
      <c r="L7899" s="343"/>
    </row>
    <row r="7900" spans="4:12" x14ac:dyDescent="0.2">
      <c r="D7900" s="341"/>
      <c r="F7900" s="343"/>
      <c r="G7900" s="343"/>
      <c r="H7900" s="343"/>
      <c r="I7900" s="343"/>
      <c r="J7900" s="343"/>
      <c r="K7900" s="343"/>
      <c r="L7900" s="343"/>
    </row>
    <row r="7901" spans="4:12" x14ac:dyDescent="0.2">
      <c r="D7901" s="341"/>
      <c r="F7901" s="343"/>
      <c r="G7901" s="343"/>
      <c r="H7901" s="343"/>
      <c r="I7901" s="343"/>
      <c r="J7901" s="343"/>
      <c r="K7901" s="343"/>
      <c r="L7901" s="343"/>
    </row>
    <row r="7902" spans="4:12" x14ac:dyDescent="0.2">
      <c r="D7902" s="341"/>
      <c r="F7902" s="343"/>
      <c r="G7902" s="343"/>
      <c r="H7902" s="343"/>
      <c r="I7902" s="343"/>
      <c r="J7902" s="343"/>
      <c r="K7902" s="343"/>
      <c r="L7902" s="343"/>
    </row>
    <row r="7903" spans="4:12" x14ac:dyDescent="0.2">
      <c r="D7903" s="341"/>
      <c r="F7903" s="343"/>
      <c r="G7903" s="343"/>
      <c r="H7903" s="343"/>
      <c r="I7903" s="343"/>
      <c r="J7903" s="343"/>
      <c r="K7903" s="343"/>
      <c r="L7903" s="343"/>
    </row>
    <row r="7904" spans="4:12" x14ac:dyDescent="0.2">
      <c r="D7904" s="341"/>
      <c r="F7904" s="343"/>
      <c r="G7904" s="343"/>
      <c r="H7904" s="343"/>
      <c r="I7904" s="343"/>
      <c r="J7904" s="343"/>
      <c r="K7904" s="343"/>
      <c r="L7904" s="343"/>
    </row>
    <row r="7905" spans="4:12" x14ac:dyDescent="0.2">
      <c r="D7905" s="341"/>
      <c r="F7905" s="343"/>
      <c r="G7905" s="343"/>
      <c r="H7905" s="343"/>
      <c r="I7905" s="343"/>
      <c r="J7905" s="343"/>
      <c r="K7905" s="343"/>
      <c r="L7905" s="343"/>
    </row>
    <row r="7906" spans="4:12" x14ac:dyDescent="0.2">
      <c r="D7906" s="341"/>
      <c r="F7906" s="343"/>
      <c r="G7906" s="343"/>
      <c r="H7906" s="343"/>
      <c r="I7906" s="343"/>
      <c r="J7906" s="343"/>
      <c r="K7906" s="343"/>
      <c r="L7906" s="343"/>
    </row>
    <row r="7907" spans="4:12" x14ac:dyDescent="0.2">
      <c r="D7907" s="341"/>
      <c r="F7907" s="343"/>
      <c r="G7907" s="343"/>
      <c r="H7907" s="343"/>
      <c r="I7907" s="343"/>
      <c r="J7907" s="343"/>
      <c r="K7907" s="343"/>
      <c r="L7907" s="343"/>
    </row>
    <row r="7908" spans="4:12" x14ac:dyDescent="0.2">
      <c r="D7908" s="341"/>
      <c r="F7908" s="343"/>
      <c r="G7908" s="343"/>
      <c r="H7908" s="343"/>
      <c r="I7908" s="343"/>
      <c r="J7908" s="343"/>
      <c r="K7908" s="343"/>
      <c r="L7908" s="343"/>
    </row>
    <row r="7909" spans="4:12" x14ac:dyDescent="0.2">
      <c r="D7909" s="341"/>
      <c r="F7909" s="343"/>
      <c r="G7909" s="343"/>
      <c r="H7909" s="343"/>
      <c r="I7909" s="343"/>
      <c r="J7909" s="343"/>
      <c r="K7909" s="343"/>
      <c r="L7909" s="343"/>
    </row>
    <row r="7910" spans="4:12" x14ac:dyDescent="0.2">
      <c r="D7910" s="341"/>
      <c r="F7910" s="343"/>
      <c r="G7910" s="343"/>
      <c r="H7910" s="343"/>
      <c r="I7910" s="343"/>
      <c r="J7910" s="343"/>
      <c r="K7910" s="343"/>
      <c r="L7910" s="343"/>
    </row>
    <row r="7911" spans="4:12" x14ac:dyDescent="0.2">
      <c r="D7911" s="341"/>
      <c r="F7911" s="343"/>
      <c r="G7911" s="343"/>
      <c r="H7911" s="343"/>
      <c r="I7911" s="343"/>
      <c r="J7911" s="343"/>
      <c r="K7911" s="343"/>
      <c r="L7911" s="343"/>
    </row>
    <row r="7912" spans="4:12" x14ac:dyDescent="0.2">
      <c r="D7912" s="341"/>
      <c r="F7912" s="343"/>
      <c r="G7912" s="343"/>
      <c r="H7912" s="343"/>
      <c r="I7912" s="343"/>
      <c r="J7912" s="343"/>
      <c r="K7912" s="343"/>
      <c r="L7912" s="343"/>
    </row>
    <row r="7913" spans="4:12" x14ac:dyDescent="0.2">
      <c r="D7913" s="341"/>
      <c r="F7913" s="343"/>
      <c r="G7913" s="343"/>
      <c r="H7913" s="343"/>
      <c r="I7913" s="343"/>
      <c r="J7913" s="343"/>
      <c r="K7913" s="343"/>
      <c r="L7913" s="343"/>
    </row>
    <row r="7914" spans="4:12" x14ac:dyDescent="0.2">
      <c r="D7914" s="341"/>
      <c r="F7914" s="343"/>
      <c r="G7914" s="343"/>
      <c r="H7914" s="343"/>
      <c r="I7914" s="343"/>
      <c r="J7914" s="343"/>
      <c r="K7914" s="343"/>
      <c r="L7914" s="343"/>
    </row>
    <row r="7915" spans="4:12" x14ac:dyDescent="0.2">
      <c r="D7915" s="341"/>
      <c r="F7915" s="343"/>
      <c r="G7915" s="343"/>
      <c r="H7915" s="343"/>
      <c r="I7915" s="343"/>
      <c r="J7915" s="343"/>
      <c r="K7915" s="343"/>
      <c r="L7915" s="343"/>
    </row>
    <row r="7916" spans="4:12" x14ac:dyDescent="0.2">
      <c r="D7916" s="341"/>
      <c r="F7916" s="343"/>
      <c r="G7916" s="343"/>
      <c r="H7916" s="343"/>
      <c r="I7916" s="343"/>
      <c r="J7916" s="343"/>
      <c r="K7916" s="343"/>
      <c r="L7916" s="343"/>
    </row>
    <row r="7917" spans="4:12" x14ac:dyDescent="0.2">
      <c r="D7917" s="341"/>
      <c r="F7917" s="343"/>
      <c r="G7917" s="343"/>
      <c r="H7917" s="343"/>
      <c r="I7917" s="343"/>
      <c r="J7917" s="343"/>
      <c r="K7917" s="343"/>
      <c r="L7917" s="343"/>
    </row>
    <row r="7918" spans="4:12" x14ac:dyDescent="0.2">
      <c r="D7918" s="341"/>
      <c r="F7918" s="343"/>
      <c r="G7918" s="343"/>
      <c r="H7918" s="343"/>
      <c r="I7918" s="343"/>
      <c r="J7918" s="343"/>
      <c r="K7918" s="343"/>
      <c r="L7918" s="343"/>
    </row>
    <row r="7919" spans="4:12" x14ac:dyDescent="0.2">
      <c r="D7919" s="341"/>
      <c r="F7919" s="343"/>
      <c r="G7919" s="343"/>
      <c r="H7919" s="343"/>
      <c r="I7919" s="343"/>
      <c r="J7919" s="343"/>
      <c r="K7919" s="343"/>
      <c r="L7919" s="343"/>
    </row>
    <row r="7920" spans="4:12" x14ac:dyDescent="0.2">
      <c r="D7920" s="341"/>
      <c r="F7920" s="343"/>
      <c r="G7920" s="343"/>
      <c r="H7920" s="343"/>
      <c r="I7920" s="343"/>
      <c r="J7920" s="343"/>
      <c r="K7920" s="343"/>
      <c r="L7920" s="343"/>
    </row>
    <row r="7921" spans="4:12" x14ac:dyDescent="0.2">
      <c r="D7921" s="341"/>
      <c r="F7921" s="343"/>
      <c r="G7921" s="343"/>
      <c r="H7921" s="343"/>
      <c r="I7921" s="343"/>
      <c r="J7921" s="343"/>
      <c r="K7921" s="343"/>
      <c r="L7921" s="343"/>
    </row>
    <row r="7922" spans="4:12" x14ac:dyDescent="0.2">
      <c r="D7922" s="341"/>
      <c r="F7922" s="343"/>
      <c r="G7922" s="343"/>
      <c r="H7922" s="343"/>
      <c r="I7922" s="343"/>
      <c r="J7922" s="343"/>
      <c r="K7922" s="343"/>
      <c r="L7922" s="343"/>
    </row>
    <row r="7923" spans="4:12" x14ac:dyDescent="0.2">
      <c r="D7923" s="341"/>
      <c r="F7923" s="343"/>
      <c r="G7923" s="343"/>
      <c r="H7923" s="343"/>
      <c r="I7923" s="343"/>
      <c r="J7923" s="343"/>
      <c r="K7923" s="343"/>
      <c r="L7923" s="343"/>
    </row>
    <row r="7924" spans="4:12" x14ac:dyDescent="0.2">
      <c r="D7924" s="341"/>
      <c r="F7924" s="343"/>
      <c r="G7924" s="343"/>
      <c r="H7924" s="343"/>
      <c r="I7924" s="343"/>
      <c r="J7924" s="343"/>
      <c r="K7924" s="343"/>
      <c r="L7924" s="343"/>
    </row>
    <row r="7925" spans="4:12" x14ac:dyDescent="0.2">
      <c r="D7925" s="341"/>
      <c r="F7925" s="343"/>
      <c r="G7925" s="343"/>
      <c r="H7925" s="343"/>
      <c r="I7925" s="343"/>
      <c r="J7925" s="343"/>
      <c r="K7925" s="343"/>
      <c r="L7925" s="343"/>
    </row>
    <row r="7926" spans="4:12" x14ac:dyDescent="0.2">
      <c r="D7926" s="341"/>
      <c r="F7926" s="343"/>
      <c r="G7926" s="343"/>
      <c r="H7926" s="343"/>
      <c r="I7926" s="343"/>
      <c r="J7926" s="343"/>
      <c r="K7926" s="343"/>
      <c r="L7926" s="343"/>
    </row>
    <row r="7927" spans="4:12" x14ac:dyDescent="0.2">
      <c r="D7927" s="341"/>
      <c r="F7927" s="343"/>
      <c r="G7927" s="343"/>
      <c r="H7927" s="343"/>
      <c r="I7927" s="343"/>
      <c r="J7927" s="343"/>
      <c r="K7927" s="343"/>
      <c r="L7927" s="343"/>
    </row>
    <row r="7928" spans="4:12" x14ac:dyDescent="0.2">
      <c r="D7928" s="341"/>
      <c r="F7928" s="343"/>
      <c r="G7928" s="343"/>
      <c r="H7928" s="343"/>
      <c r="I7928" s="343"/>
      <c r="J7928" s="343"/>
      <c r="K7928" s="343"/>
      <c r="L7928" s="343"/>
    </row>
    <row r="7929" spans="4:12" x14ac:dyDescent="0.2">
      <c r="D7929" s="341"/>
      <c r="F7929" s="343"/>
      <c r="G7929" s="343"/>
      <c r="H7929" s="343"/>
      <c r="I7929" s="343"/>
      <c r="J7929" s="343"/>
      <c r="K7929" s="343"/>
      <c r="L7929" s="343"/>
    </row>
    <row r="7930" spans="4:12" x14ac:dyDescent="0.2">
      <c r="D7930" s="341"/>
      <c r="F7930" s="343"/>
      <c r="G7930" s="343"/>
      <c r="H7930" s="343"/>
      <c r="I7930" s="343"/>
      <c r="J7930" s="343"/>
      <c r="K7930" s="343"/>
      <c r="L7930" s="343"/>
    </row>
    <row r="7931" spans="4:12" x14ac:dyDescent="0.2">
      <c r="D7931" s="341"/>
      <c r="F7931" s="343"/>
      <c r="G7931" s="343"/>
      <c r="H7931" s="343"/>
      <c r="I7931" s="343"/>
      <c r="J7931" s="343"/>
      <c r="K7931" s="343"/>
      <c r="L7931" s="343"/>
    </row>
    <row r="7932" spans="4:12" x14ac:dyDescent="0.2">
      <c r="D7932" s="341"/>
      <c r="F7932" s="343"/>
      <c r="G7932" s="343"/>
      <c r="H7932" s="343"/>
      <c r="I7932" s="343"/>
      <c r="J7932" s="343"/>
      <c r="K7932" s="343"/>
      <c r="L7932" s="343"/>
    </row>
    <row r="7933" spans="4:12" x14ac:dyDescent="0.2">
      <c r="D7933" s="341"/>
      <c r="F7933" s="343"/>
      <c r="G7933" s="343"/>
      <c r="H7933" s="343"/>
      <c r="I7933" s="343"/>
      <c r="J7933" s="343"/>
      <c r="K7933" s="343"/>
      <c r="L7933" s="343"/>
    </row>
    <row r="7934" spans="4:12" x14ac:dyDescent="0.2">
      <c r="D7934" s="341"/>
      <c r="F7934" s="343"/>
      <c r="G7934" s="343"/>
      <c r="H7934" s="343"/>
      <c r="I7934" s="343"/>
      <c r="J7934" s="343"/>
      <c r="K7934" s="343"/>
      <c r="L7934" s="343"/>
    </row>
    <row r="7935" spans="4:12" x14ac:dyDescent="0.2">
      <c r="D7935" s="341"/>
      <c r="F7935" s="343"/>
      <c r="G7935" s="343"/>
      <c r="H7935" s="343"/>
      <c r="I7935" s="343"/>
      <c r="J7935" s="343"/>
      <c r="K7935" s="343"/>
      <c r="L7935" s="343"/>
    </row>
    <row r="7936" spans="4:12" x14ac:dyDescent="0.2">
      <c r="D7936" s="341"/>
      <c r="F7936" s="343"/>
      <c r="G7936" s="343"/>
      <c r="H7936" s="343"/>
      <c r="I7936" s="343"/>
      <c r="J7936" s="343"/>
      <c r="K7936" s="343"/>
      <c r="L7936" s="343"/>
    </row>
    <row r="7937" spans="4:12" x14ac:dyDescent="0.2">
      <c r="D7937" s="341"/>
      <c r="F7937" s="343"/>
      <c r="G7937" s="343"/>
      <c r="H7937" s="343"/>
      <c r="I7937" s="343"/>
      <c r="J7937" s="343"/>
      <c r="K7937" s="343"/>
      <c r="L7937" s="343"/>
    </row>
    <row r="7938" spans="4:12" x14ac:dyDescent="0.2">
      <c r="D7938" s="341"/>
      <c r="F7938" s="343"/>
      <c r="G7938" s="343"/>
      <c r="H7938" s="343"/>
      <c r="I7938" s="343"/>
      <c r="J7938" s="343"/>
      <c r="K7938" s="343"/>
      <c r="L7938" s="343"/>
    </row>
    <row r="7939" spans="4:12" x14ac:dyDescent="0.2">
      <c r="D7939" s="341"/>
      <c r="F7939" s="343"/>
      <c r="G7939" s="343"/>
      <c r="H7939" s="343"/>
      <c r="I7939" s="343"/>
      <c r="J7939" s="343"/>
      <c r="K7939" s="343"/>
      <c r="L7939" s="343"/>
    </row>
    <row r="7940" spans="4:12" x14ac:dyDescent="0.2">
      <c r="D7940" s="341"/>
      <c r="F7940" s="343"/>
      <c r="G7940" s="343"/>
      <c r="H7940" s="343"/>
      <c r="I7940" s="343"/>
      <c r="J7940" s="343"/>
      <c r="K7940" s="343"/>
      <c r="L7940" s="343"/>
    </row>
    <row r="7941" spans="4:12" x14ac:dyDescent="0.2">
      <c r="D7941" s="341"/>
      <c r="F7941" s="343"/>
      <c r="G7941" s="343"/>
      <c r="H7941" s="343"/>
      <c r="I7941" s="343"/>
      <c r="J7941" s="343"/>
      <c r="K7941" s="343"/>
      <c r="L7941" s="343"/>
    </row>
    <row r="7942" spans="4:12" x14ac:dyDescent="0.2">
      <c r="D7942" s="341"/>
      <c r="F7942" s="343"/>
      <c r="G7942" s="343"/>
      <c r="H7942" s="343"/>
      <c r="I7942" s="343"/>
      <c r="J7942" s="343"/>
      <c r="K7942" s="343"/>
      <c r="L7942" s="343"/>
    </row>
    <row r="7943" spans="4:12" x14ac:dyDescent="0.2">
      <c r="D7943" s="341"/>
      <c r="F7943" s="343"/>
      <c r="G7943" s="343"/>
      <c r="H7943" s="343"/>
      <c r="I7943" s="343"/>
      <c r="J7943" s="343"/>
      <c r="K7943" s="343"/>
      <c r="L7943" s="343"/>
    </row>
    <row r="7944" spans="4:12" x14ac:dyDescent="0.2">
      <c r="D7944" s="341"/>
      <c r="F7944" s="343"/>
      <c r="G7944" s="343"/>
      <c r="H7944" s="343"/>
      <c r="I7944" s="343"/>
      <c r="J7944" s="343"/>
      <c r="K7944" s="343"/>
      <c r="L7944" s="343"/>
    </row>
    <row r="7945" spans="4:12" x14ac:dyDescent="0.2">
      <c r="D7945" s="341"/>
      <c r="F7945" s="343"/>
      <c r="G7945" s="343"/>
      <c r="H7945" s="343"/>
      <c r="I7945" s="343"/>
      <c r="J7945" s="343"/>
      <c r="K7945" s="343"/>
      <c r="L7945" s="343"/>
    </row>
    <row r="7946" spans="4:12" x14ac:dyDescent="0.2">
      <c r="D7946" s="341"/>
      <c r="F7946" s="343"/>
      <c r="G7946" s="343"/>
      <c r="H7946" s="343"/>
      <c r="I7946" s="343"/>
      <c r="J7946" s="343"/>
      <c r="K7946" s="343"/>
      <c r="L7946" s="343"/>
    </row>
    <row r="7947" spans="4:12" x14ac:dyDescent="0.2">
      <c r="D7947" s="341"/>
      <c r="F7947" s="343"/>
      <c r="G7947" s="343"/>
      <c r="H7947" s="343"/>
      <c r="I7947" s="343"/>
      <c r="J7947" s="343"/>
      <c r="K7947" s="343"/>
      <c r="L7947" s="343"/>
    </row>
    <row r="7948" spans="4:12" x14ac:dyDescent="0.2">
      <c r="D7948" s="341"/>
      <c r="F7948" s="343"/>
      <c r="G7948" s="343"/>
      <c r="H7948" s="343"/>
      <c r="I7948" s="343"/>
      <c r="J7948" s="343"/>
      <c r="K7948" s="343"/>
      <c r="L7948" s="343"/>
    </row>
    <row r="7949" spans="4:12" x14ac:dyDescent="0.2">
      <c r="D7949" s="341"/>
      <c r="F7949" s="343"/>
      <c r="G7949" s="343"/>
      <c r="H7949" s="343"/>
      <c r="I7949" s="343"/>
      <c r="J7949" s="343"/>
      <c r="K7949" s="343"/>
      <c r="L7949" s="343"/>
    </row>
    <row r="7950" spans="4:12" x14ac:dyDescent="0.2">
      <c r="D7950" s="341"/>
      <c r="F7950" s="343"/>
      <c r="G7950" s="343"/>
      <c r="H7950" s="343"/>
      <c r="I7950" s="343"/>
      <c r="J7950" s="343"/>
      <c r="K7950" s="343"/>
      <c r="L7950" s="343"/>
    </row>
    <row r="7951" spans="4:12" x14ac:dyDescent="0.2">
      <c r="D7951" s="341"/>
      <c r="F7951" s="343"/>
      <c r="G7951" s="343"/>
      <c r="H7951" s="343"/>
      <c r="I7951" s="343"/>
      <c r="J7951" s="343"/>
      <c r="K7951" s="343"/>
      <c r="L7951" s="343"/>
    </row>
    <row r="7952" spans="4:12" x14ac:dyDescent="0.2">
      <c r="D7952" s="341"/>
      <c r="F7952" s="343"/>
      <c r="G7952" s="343"/>
      <c r="H7952" s="343"/>
      <c r="I7952" s="343"/>
      <c r="J7952" s="343"/>
      <c r="K7952" s="343"/>
      <c r="L7952" s="343"/>
    </row>
    <row r="7953" spans="4:12" x14ac:dyDescent="0.2">
      <c r="D7953" s="341"/>
      <c r="F7953" s="343"/>
      <c r="G7953" s="343"/>
      <c r="H7953" s="343"/>
      <c r="I7953" s="343"/>
      <c r="J7953" s="343"/>
      <c r="K7953" s="343"/>
      <c r="L7953" s="343"/>
    </row>
    <row r="7954" spans="4:12" x14ac:dyDescent="0.2">
      <c r="D7954" s="341"/>
      <c r="F7954" s="343"/>
      <c r="G7954" s="343"/>
      <c r="H7954" s="343"/>
      <c r="I7954" s="343"/>
      <c r="J7954" s="343"/>
      <c r="K7954" s="343"/>
      <c r="L7954" s="343"/>
    </row>
    <row r="7955" spans="4:12" x14ac:dyDescent="0.2">
      <c r="D7955" s="341"/>
      <c r="F7955" s="343"/>
      <c r="G7955" s="343"/>
      <c r="H7955" s="343"/>
      <c r="I7955" s="343"/>
      <c r="J7955" s="343"/>
      <c r="K7955" s="343"/>
      <c r="L7955" s="343"/>
    </row>
    <row r="7956" spans="4:12" x14ac:dyDescent="0.2">
      <c r="D7956" s="341"/>
      <c r="F7956" s="343"/>
      <c r="G7956" s="343"/>
      <c r="H7956" s="343"/>
      <c r="I7956" s="343"/>
      <c r="J7956" s="343"/>
      <c r="K7956" s="343"/>
      <c r="L7956" s="343"/>
    </row>
    <row r="7957" spans="4:12" x14ac:dyDescent="0.2">
      <c r="D7957" s="341"/>
      <c r="F7957" s="343"/>
      <c r="G7957" s="343"/>
      <c r="H7957" s="343"/>
      <c r="I7957" s="343"/>
      <c r="J7957" s="343"/>
      <c r="K7957" s="343"/>
      <c r="L7957" s="343"/>
    </row>
    <row r="7958" spans="4:12" x14ac:dyDescent="0.2">
      <c r="D7958" s="341"/>
      <c r="F7958" s="343"/>
      <c r="G7958" s="343"/>
      <c r="H7958" s="343"/>
      <c r="I7958" s="343"/>
      <c r="J7958" s="343"/>
      <c r="K7958" s="343"/>
      <c r="L7958" s="343"/>
    </row>
    <row r="7959" spans="4:12" x14ac:dyDescent="0.2">
      <c r="D7959" s="341"/>
      <c r="F7959" s="343"/>
      <c r="G7959" s="343"/>
      <c r="H7959" s="343"/>
      <c r="I7959" s="343"/>
      <c r="J7959" s="343"/>
      <c r="K7959" s="343"/>
      <c r="L7959" s="343"/>
    </row>
    <row r="7960" spans="4:12" x14ac:dyDescent="0.2">
      <c r="D7960" s="341"/>
      <c r="F7960" s="343"/>
      <c r="G7960" s="343"/>
      <c r="H7960" s="343"/>
      <c r="I7960" s="343"/>
      <c r="J7960" s="343"/>
      <c r="K7960" s="343"/>
      <c r="L7960" s="343"/>
    </row>
    <row r="7961" spans="4:12" x14ac:dyDescent="0.2">
      <c r="D7961" s="341"/>
      <c r="F7961" s="343"/>
      <c r="G7961" s="343"/>
      <c r="H7961" s="343"/>
      <c r="I7961" s="343"/>
      <c r="J7961" s="343"/>
      <c r="K7961" s="343"/>
      <c r="L7961" s="343"/>
    </row>
    <row r="7962" spans="4:12" x14ac:dyDescent="0.2">
      <c r="D7962" s="341"/>
      <c r="F7962" s="343"/>
      <c r="G7962" s="343"/>
      <c r="H7962" s="343"/>
      <c r="I7962" s="343"/>
      <c r="J7962" s="343"/>
      <c r="K7962" s="343"/>
      <c r="L7962" s="343"/>
    </row>
    <row r="7963" spans="4:12" x14ac:dyDescent="0.2">
      <c r="D7963" s="341"/>
      <c r="F7963" s="343"/>
      <c r="G7963" s="343"/>
      <c r="H7963" s="343"/>
      <c r="I7963" s="343"/>
      <c r="J7963" s="343"/>
      <c r="K7963" s="343"/>
      <c r="L7963" s="343"/>
    </row>
    <row r="7964" spans="4:12" x14ac:dyDescent="0.2">
      <c r="D7964" s="341"/>
      <c r="F7964" s="343"/>
      <c r="G7964" s="343"/>
      <c r="H7964" s="343"/>
      <c r="I7964" s="343"/>
      <c r="J7964" s="343"/>
      <c r="K7964" s="343"/>
      <c r="L7964" s="343"/>
    </row>
    <row r="7965" spans="4:12" x14ac:dyDescent="0.2">
      <c r="D7965" s="341"/>
      <c r="F7965" s="343"/>
      <c r="G7965" s="343"/>
      <c r="H7965" s="343"/>
      <c r="I7965" s="343"/>
      <c r="J7965" s="343"/>
      <c r="K7965" s="343"/>
      <c r="L7965" s="343"/>
    </row>
    <row r="7966" spans="4:12" x14ac:dyDescent="0.2">
      <c r="D7966" s="341"/>
      <c r="F7966" s="343"/>
      <c r="G7966" s="343"/>
      <c r="H7966" s="343"/>
      <c r="I7966" s="343"/>
      <c r="J7966" s="343"/>
      <c r="K7966" s="343"/>
      <c r="L7966" s="343"/>
    </row>
    <row r="7967" spans="4:12" x14ac:dyDescent="0.2">
      <c r="D7967" s="341"/>
      <c r="F7967" s="343"/>
      <c r="G7967" s="343"/>
      <c r="H7967" s="343"/>
      <c r="I7967" s="343"/>
      <c r="J7967" s="343"/>
      <c r="K7967" s="343"/>
      <c r="L7967" s="343"/>
    </row>
    <row r="7968" spans="4:12" x14ac:dyDescent="0.2">
      <c r="D7968" s="341"/>
      <c r="F7968" s="343"/>
      <c r="G7968" s="343"/>
      <c r="H7968" s="343"/>
      <c r="I7968" s="343"/>
      <c r="J7968" s="343"/>
      <c r="K7968" s="343"/>
      <c r="L7968" s="343"/>
    </row>
    <row r="7969" spans="4:12" x14ac:dyDescent="0.2">
      <c r="D7969" s="341"/>
      <c r="F7969" s="343"/>
      <c r="G7969" s="343"/>
      <c r="H7969" s="343"/>
      <c r="I7969" s="343"/>
      <c r="J7969" s="343"/>
      <c r="K7969" s="343"/>
      <c r="L7969" s="343"/>
    </row>
    <row r="7970" spans="4:12" x14ac:dyDescent="0.2">
      <c r="D7970" s="341"/>
      <c r="F7970" s="343"/>
      <c r="G7970" s="343"/>
      <c r="H7970" s="343"/>
      <c r="I7970" s="343"/>
      <c r="J7970" s="343"/>
      <c r="K7970" s="343"/>
      <c r="L7970" s="343"/>
    </row>
    <row r="7971" spans="4:12" x14ac:dyDescent="0.2">
      <c r="D7971" s="341"/>
      <c r="F7971" s="343"/>
      <c r="G7971" s="343"/>
      <c r="H7971" s="343"/>
      <c r="I7971" s="343"/>
      <c r="J7971" s="343"/>
      <c r="K7971" s="343"/>
      <c r="L7971" s="343"/>
    </row>
    <row r="7972" spans="4:12" x14ac:dyDescent="0.2">
      <c r="D7972" s="341"/>
      <c r="F7972" s="343"/>
      <c r="G7972" s="343"/>
      <c r="H7972" s="343"/>
      <c r="I7972" s="343"/>
      <c r="J7972" s="343"/>
      <c r="K7972" s="343"/>
      <c r="L7972" s="343"/>
    </row>
    <row r="7973" spans="4:12" x14ac:dyDescent="0.2">
      <c r="D7973" s="341"/>
      <c r="F7973" s="343"/>
      <c r="G7973" s="343"/>
      <c r="H7973" s="343"/>
      <c r="I7973" s="343"/>
      <c r="J7973" s="343"/>
      <c r="K7973" s="343"/>
      <c r="L7973" s="343"/>
    </row>
    <row r="7974" spans="4:12" x14ac:dyDescent="0.2">
      <c r="D7974" s="341"/>
      <c r="F7974" s="343"/>
      <c r="G7974" s="343"/>
      <c r="H7974" s="343"/>
      <c r="I7974" s="343"/>
      <c r="J7974" s="343"/>
      <c r="K7974" s="343"/>
      <c r="L7974" s="343"/>
    </row>
    <row r="7975" spans="4:12" x14ac:dyDescent="0.2">
      <c r="D7975" s="341"/>
      <c r="F7975" s="343"/>
      <c r="G7975" s="343"/>
      <c r="H7975" s="343"/>
      <c r="I7975" s="343"/>
      <c r="J7975" s="343"/>
      <c r="K7975" s="343"/>
      <c r="L7975" s="343"/>
    </row>
    <row r="7976" spans="4:12" x14ac:dyDescent="0.2">
      <c r="D7976" s="341"/>
      <c r="F7976" s="343"/>
      <c r="G7976" s="343"/>
      <c r="H7976" s="343"/>
      <c r="I7976" s="343"/>
      <c r="J7976" s="343"/>
      <c r="K7976" s="343"/>
      <c r="L7976" s="343"/>
    </row>
    <row r="7977" spans="4:12" x14ac:dyDescent="0.2">
      <c r="D7977" s="341"/>
      <c r="F7977" s="343"/>
      <c r="G7977" s="343"/>
      <c r="H7977" s="343"/>
      <c r="I7977" s="343"/>
      <c r="J7977" s="343"/>
      <c r="K7977" s="343"/>
      <c r="L7977" s="343"/>
    </row>
    <row r="7978" spans="4:12" x14ac:dyDescent="0.2">
      <c r="D7978" s="341"/>
      <c r="F7978" s="343"/>
      <c r="G7978" s="343"/>
      <c r="H7978" s="343"/>
      <c r="I7978" s="343"/>
      <c r="J7978" s="343"/>
      <c r="K7978" s="343"/>
      <c r="L7978" s="343"/>
    </row>
    <row r="7979" spans="4:12" x14ac:dyDescent="0.2">
      <c r="D7979" s="341"/>
      <c r="F7979" s="343"/>
      <c r="G7979" s="343"/>
      <c r="H7979" s="343"/>
      <c r="I7979" s="343"/>
      <c r="J7979" s="343"/>
      <c r="K7979" s="343"/>
      <c r="L7979" s="343"/>
    </row>
    <row r="7980" spans="4:12" x14ac:dyDescent="0.2">
      <c r="D7980" s="341"/>
      <c r="F7980" s="343"/>
      <c r="G7980" s="343"/>
      <c r="H7980" s="343"/>
      <c r="I7980" s="343"/>
      <c r="J7980" s="343"/>
      <c r="K7980" s="343"/>
      <c r="L7980" s="343"/>
    </row>
    <row r="7981" spans="4:12" x14ac:dyDescent="0.2">
      <c r="D7981" s="341"/>
      <c r="F7981" s="343"/>
      <c r="G7981" s="343"/>
      <c r="H7981" s="343"/>
      <c r="I7981" s="343"/>
      <c r="J7981" s="343"/>
      <c r="K7981" s="343"/>
      <c r="L7981" s="343"/>
    </row>
    <row r="7982" spans="4:12" x14ac:dyDescent="0.2">
      <c r="D7982" s="341"/>
      <c r="F7982" s="343"/>
      <c r="G7982" s="343"/>
      <c r="H7982" s="343"/>
      <c r="I7982" s="343"/>
      <c r="J7982" s="343"/>
      <c r="K7982" s="343"/>
      <c r="L7982" s="343"/>
    </row>
    <row r="7983" spans="4:12" x14ac:dyDescent="0.2">
      <c r="D7983" s="341"/>
      <c r="F7983" s="343"/>
      <c r="G7983" s="343"/>
      <c r="H7983" s="343"/>
      <c r="I7983" s="343"/>
      <c r="J7983" s="343"/>
      <c r="K7983" s="343"/>
      <c r="L7983" s="343"/>
    </row>
    <row r="7984" spans="4:12" x14ac:dyDescent="0.2">
      <c r="D7984" s="341"/>
      <c r="F7984" s="343"/>
      <c r="G7984" s="343"/>
      <c r="H7984" s="343"/>
      <c r="I7984" s="343"/>
      <c r="J7984" s="343"/>
      <c r="K7984" s="343"/>
      <c r="L7984" s="343"/>
    </row>
    <row r="7985" spans="4:12" x14ac:dyDescent="0.2">
      <c r="D7985" s="341"/>
      <c r="F7985" s="343"/>
      <c r="G7985" s="343"/>
      <c r="H7985" s="343"/>
      <c r="I7985" s="343"/>
      <c r="J7985" s="343"/>
      <c r="K7985" s="343"/>
      <c r="L7985" s="343"/>
    </row>
    <row r="7986" spans="4:12" x14ac:dyDescent="0.2">
      <c r="D7986" s="341"/>
      <c r="F7986" s="343"/>
      <c r="G7986" s="343"/>
      <c r="H7986" s="343"/>
      <c r="I7986" s="343"/>
      <c r="J7986" s="343"/>
      <c r="K7986" s="343"/>
      <c r="L7986" s="343"/>
    </row>
    <row r="7987" spans="4:12" x14ac:dyDescent="0.2">
      <c r="D7987" s="341"/>
      <c r="F7987" s="343"/>
      <c r="G7987" s="343"/>
      <c r="H7987" s="343"/>
      <c r="I7987" s="343"/>
      <c r="J7987" s="343"/>
      <c r="K7987" s="343"/>
      <c r="L7987" s="343"/>
    </row>
    <row r="7988" spans="4:12" x14ac:dyDescent="0.2">
      <c r="D7988" s="341"/>
      <c r="F7988" s="343"/>
      <c r="G7988" s="343"/>
      <c r="H7988" s="343"/>
      <c r="I7988" s="343"/>
      <c r="J7988" s="343"/>
      <c r="K7988" s="343"/>
      <c r="L7988" s="343"/>
    </row>
    <row r="7989" spans="4:12" x14ac:dyDescent="0.2">
      <c r="D7989" s="341"/>
      <c r="F7989" s="343"/>
      <c r="G7989" s="343"/>
      <c r="H7989" s="343"/>
      <c r="I7989" s="343"/>
      <c r="J7989" s="343"/>
      <c r="K7989" s="343"/>
      <c r="L7989" s="343"/>
    </row>
    <row r="7990" spans="4:12" x14ac:dyDescent="0.2">
      <c r="D7990" s="341"/>
      <c r="F7990" s="343"/>
      <c r="G7990" s="343"/>
      <c r="H7990" s="343"/>
      <c r="I7990" s="343"/>
      <c r="J7990" s="343"/>
      <c r="K7990" s="343"/>
      <c r="L7990" s="343"/>
    </row>
    <row r="7991" spans="4:12" x14ac:dyDescent="0.2">
      <c r="D7991" s="341"/>
      <c r="F7991" s="343"/>
      <c r="G7991" s="343"/>
      <c r="H7991" s="343"/>
      <c r="I7991" s="343"/>
      <c r="J7991" s="343"/>
      <c r="K7991" s="343"/>
      <c r="L7991" s="343"/>
    </row>
    <row r="7992" spans="4:12" x14ac:dyDescent="0.2">
      <c r="D7992" s="341"/>
      <c r="F7992" s="343"/>
      <c r="G7992" s="343"/>
      <c r="H7992" s="343"/>
      <c r="I7992" s="343"/>
      <c r="J7992" s="343"/>
      <c r="K7992" s="343"/>
      <c r="L7992" s="343"/>
    </row>
    <row r="7993" spans="4:12" x14ac:dyDescent="0.2">
      <c r="D7993" s="341"/>
      <c r="F7993" s="343"/>
      <c r="G7993" s="343"/>
      <c r="H7993" s="343"/>
      <c r="I7993" s="343"/>
      <c r="J7993" s="343"/>
      <c r="K7993" s="343"/>
      <c r="L7993" s="343"/>
    </row>
    <row r="7994" spans="4:12" x14ac:dyDescent="0.2">
      <c r="D7994" s="341"/>
      <c r="F7994" s="343"/>
      <c r="G7994" s="343"/>
      <c r="H7994" s="343"/>
      <c r="I7994" s="343"/>
      <c r="J7994" s="343"/>
      <c r="K7994" s="343"/>
      <c r="L7994" s="343"/>
    </row>
    <row r="7995" spans="4:12" x14ac:dyDescent="0.2">
      <c r="D7995" s="341"/>
      <c r="F7995" s="343"/>
      <c r="G7995" s="343"/>
      <c r="H7995" s="343"/>
      <c r="I7995" s="343"/>
      <c r="J7995" s="343"/>
      <c r="K7995" s="343"/>
      <c r="L7995" s="343"/>
    </row>
    <row r="7996" spans="4:12" x14ac:dyDescent="0.2">
      <c r="D7996" s="341"/>
      <c r="F7996" s="343"/>
      <c r="G7996" s="343"/>
      <c r="H7996" s="343"/>
      <c r="I7996" s="343"/>
      <c r="J7996" s="343"/>
      <c r="K7996" s="343"/>
      <c r="L7996" s="343"/>
    </row>
    <row r="7997" spans="4:12" x14ac:dyDescent="0.2">
      <c r="D7997" s="341"/>
      <c r="F7997" s="343"/>
      <c r="G7997" s="343"/>
      <c r="H7997" s="343"/>
      <c r="I7997" s="343"/>
      <c r="J7997" s="343"/>
      <c r="K7997" s="343"/>
      <c r="L7997" s="343"/>
    </row>
    <row r="7998" spans="4:12" x14ac:dyDescent="0.2">
      <c r="D7998" s="341"/>
      <c r="F7998" s="343"/>
      <c r="G7998" s="343"/>
      <c r="H7998" s="343"/>
      <c r="I7998" s="343"/>
      <c r="J7998" s="343"/>
      <c r="K7998" s="343"/>
      <c r="L7998" s="343"/>
    </row>
    <row r="7999" spans="4:12" x14ac:dyDescent="0.2">
      <c r="D7999" s="341"/>
      <c r="F7999" s="343"/>
      <c r="G7999" s="343"/>
      <c r="H7999" s="343"/>
      <c r="I7999" s="343"/>
      <c r="J7999" s="343"/>
      <c r="K7999" s="343"/>
      <c r="L7999" s="343"/>
    </row>
    <row r="8000" spans="4:12" x14ac:dyDescent="0.2">
      <c r="D8000" s="341"/>
      <c r="F8000" s="343"/>
      <c r="G8000" s="343"/>
      <c r="H8000" s="343"/>
      <c r="I8000" s="343"/>
      <c r="J8000" s="343"/>
      <c r="K8000" s="343"/>
      <c r="L8000" s="343"/>
    </row>
    <row r="8001" spans="4:12" x14ac:dyDescent="0.2">
      <c r="D8001" s="341"/>
      <c r="F8001" s="343"/>
      <c r="G8001" s="343"/>
      <c r="H8001" s="343"/>
      <c r="I8001" s="343"/>
      <c r="J8001" s="343"/>
      <c r="K8001" s="343"/>
      <c r="L8001" s="343"/>
    </row>
    <row r="8002" spans="4:12" x14ac:dyDescent="0.2">
      <c r="D8002" s="341"/>
      <c r="F8002" s="343"/>
      <c r="G8002" s="343"/>
      <c r="H8002" s="343"/>
      <c r="I8002" s="343"/>
      <c r="J8002" s="343"/>
      <c r="K8002" s="343"/>
      <c r="L8002" s="343"/>
    </row>
    <row r="8003" spans="4:12" x14ac:dyDescent="0.2">
      <c r="D8003" s="341"/>
      <c r="F8003" s="343"/>
      <c r="G8003" s="343"/>
      <c r="H8003" s="343"/>
      <c r="I8003" s="343"/>
      <c r="J8003" s="343"/>
      <c r="K8003" s="343"/>
      <c r="L8003" s="343"/>
    </row>
    <row r="8004" spans="4:12" x14ac:dyDescent="0.2">
      <c r="D8004" s="341"/>
      <c r="F8004" s="343"/>
      <c r="G8004" s="343"/>
      <c r="H8004" s="343"/>
      <c r="I8004" s="343"/>
      <c r="J8004" s="343"/>
      <c r="K8004" s="343"/>
      <c r="L8004" s="343"/>
    </row>
    <row r="8005" spans="4:12" x14ac:dyDescent="0.2">
      <c r="D8005" s="341"/>
      <c r="F8005" s="343"/>
      <c r="G8005" s="343"/>
      <c r="H8005" s="343"/>
      <c r="I8005" s="343"/>
      <c r="J8005" s="343"/>
      <c r="K8005" s="343"/>
      <c r="L8005" s="343"/>
    </row>
    <row r="8006" spans="4:12" x14ac:dyDescent="0.2">
      <c r="D8006" s="341"/>
      <c r="F8006" s="343"/>
      <c r="G8006" s="343"/>
      <c r="H8006" s="343"/>
      <c r="I8006" s="343"/>
      <c r="J8006" s="343"/>
      <c r="K8006" s="343"/>
      <c r="L8006" s="343"/>
    </row>
    <row r="8007" spans="4:12" x14ac:dyDescent="0.2">
      <c r="D8007" s="341"/>
      <c r="F8007" s="343"/>
      <c r="G8007" s="343"/>
      <c r="H8007" s="343"/>
      <c r="I8007" s="343"/>
      <c r="J8007" s="343"/>
      <c r="K8007" s="343"/>
      <c r="L8007" s="343"/>
    </row>
    <row r="8008" spans="4:12" x14ac:dyDescent="0.2">
      <c r="D8008" s="341"/>
      <c r="F8008" s="343"/>
      <c r="G8008" s="343"/>
      <c r="H8008" s="343"/>
      <c r="I8008" s="343"/>
      <c r="J8008" s="343"/>
      <c r="K8008" s="343"/>
      <c r="L8008" s="343"/>
    </row>
    <row r="8009" spans="4:12" x14ac:dyDescent="0.2">
      <c r="D8009" s="341"/>
      <c r="F8009" s="343"/>
      <c r="G8009" s="343"/>
      <c r="H8009" s="343"/>
      <c r="I8009" s="343"/>
      <c r="J8009" s="343"/>
      <c r="K8009" s="343"/>
      <c r="L8009" s="343"/>
    </row>
    <row r="8010" spans="4:12" x14ac:dyDescent="0.2">
      <c r="D8010" s="341"/>
      <c r="F8010" s="343"/>
      <c r="G8010" s="343"/>
      <c r="H8010" s="343"/>
      <c r="I8010" s="343"/>
      <c r="J8010" s="343"/>
      <c r="K8010" s="343"/>
      <c r="L8010" s="343"/>
    </row>
    <row r="8011" spans="4:12" x14ac:dyDescent="0.2">
      <c r="D8011" s="341"/>
      <c r="F8011" s="343"/>
      <c r="G8011" s="343"/>
      <c r="H8011" s="343"/>
      <c r="I8011" s="343"/>
      <c r="J8011" s="343"/>
      <c r="K8011" s="343"/>
      <c r="L8011" s="343"/>
    </row>
    <row r="8012" spans="4:12" x14ac:dyDescent="0.2">
      <c r="D8012" s="341"/>
      <c r="F8012" s="343"/>
      <c r="G8012" s="343"/>
      <c r="H8012" s="343"/>
      <c r="I8012" s="343"/>
      <c r="J8012" s="343"/>
      <c r="K8012" s="343"/>
      <c r="L8012" s="343"/>
    </row>
    <row r="8013" spans="4:12" x14ac:dyDescent="0.2">
      <c r="D8013" s="341"/>
      <c r="F8013" s="343"/>
      <c r="G8013" s="343"/>
      <c r="H8013" s="343"/>
      <c r="I8013" s="343"/>
      <c r="J8013" s="343"/>
      <c r="K8013" s="343"/>
      <c r="L8013" s="343"/>
    </row>
    <row r="8014" spans="4:12" x14ac:dyDescent="0.2">
      <c r="D8014" s="341"/>
      <c r="F8014" s="343"/>
      <c r="G8014" s="343"/>
      <c r="H8014" s="343"/>
      <c r="I8014" s="343"/>
      <c r="J8014" s="343"/>
      <c r="K8014" s="343"/>
      <c r="L8014" s="343"/>
    </row>
    <row r="8015" spans="4:12" x14ac:dyDescent="0.2">
      <c r="D8015" s="341"/>
      <c r="F8015" s="343"/>
      <c r="G8015" s="343"/>
      <c r="H8015" s="343"/>
      <c r="I8015" s="343"/>
      <c r="J8015" s="343"/>
      <c r="K8015" s="343"/>
      <c r="L8015" s="343"/>
    </row>
    <row r="8016" spans="4:12" x14ac:dyDescent="0.2">
      <c r="D8016" s="341"/>
      <c r="F8016" s="343"/>
      <c r="G8016" s="343"/>
      <c r="H8016" s="343"/>
      <c r="I8016" s="343"/>
      <c r="J8016" s="343"/>
      <c r="K8016" s="343"/>
      <c r="L8016" s="343"/>
    </row>
    <row r="8017" spans="4:12" x14ac:dyDescent="0.2">
      <c r="D8017" s="341"/>
      <c r="F8017" s="343"/>
      <c r="G8017" s="343"/>
      <c r="H8017" s="343"/>
      <c r="I8017" s="343"/>
      <c r="J8017" s="343"/>
      <c r="K8017" s="343"/>
      <c r="L8017" s="343"/>
    </row>
    <row r="8018" spans="4:12" x14ac:dyDescent="0.2">
      <c r="D8018" s="341"/>
      <c r="F8018" s="343"/>
      <c r="G8018" s="343"/>
      <c r="H8018" s="343"/>
      <c r="I8018" s="343"/>
      <c r="J8018" s="343"/>
      <c r="K8018" s="343"/>
      <c r="L8018" s="343"/>
    </row>
    <row r="8019" spans="4:12" x14ac:dyDescent="0.2">
      <c r="D8019" s="341"/>
      <c r="F8019" s="343"/>
      <c r="G8019" s="343"/>
      <c r="H8019" s="343"/>
      <c r="I8019" s="343"/>
      <c r="J8019" s="343"/>
      <c r="K8019" s="343"/>
      <c r="L8019" s="343"/>
    </row>
    <row r="8020" spans="4:12" x14ac:dyDescent="0.2">
      <c r="D8020" s="341"/>
      <c r="F8020" s="343"/>
      <c r="G8020" s="343"/>
      <c r="H8020" s="343"/>
      <c r="I8020" s="343"/>
      <c r="J8020" s="343"/>
      <c r="K8020" s="343"/>
      <c r="L8020" s="343"/>
    </row>
    <row r="8021" spans="4:12" x14ac:dyDescent="0.2">
      <c r="D8021" s="341"/>
      <c r="F8021" s="343"/>
      <c r="G8021" s="343"/>
      <c r="H8021" s="343"/>
      <c r="I8021" s="343"/>
      <c r="J8021" s="343"/>
      <c r="K8021" s="343"/>
      <c r="L8021" s="343"/>
    </row>
    <row r="8022" spans="4:12" x14ac:dyDescent="0.2">
      <c r="D8022" s="341"/>
      <c r="F8022" s="343"/>
      <c r="G8022" s="343"/>
      <c r="H8022" s="343"/>
      <c r="I8022" s="343"/>
      <c r="J8022" s="343"/>
      <c r="K8022" s="343"/>
      <c r="L8022" s="343"/>
    </row>
    <row r="8023" spans="4:12" x14ac:dyDescent="0.2">
      <c r="D8023" s="341"/>
      <c r="F8023" s="343"/>
      <c r="G8023" s="343"/>
      <c r="H8023" s="343"/>
      <c r="I8023" s="343"/>
      <c r="J8023" s="343"/>
      <c r="K8023" s="343"/>
      <c r="L8023" s="343"/>
    </row>
    <row r="8024" spans="4:12" x14ac:dyDescent="0.2">
      <c r="D8024" s="341"/>
      <c r="F8024" s="343"/>
      <c r="G8024" s="343"/>
      <c r="H8024" s="343"/>
      <c r="I8024" s="343"/>
      <c r="J8024" s="343"/>
      <c r="K8024" s="343"/>
      <c r="L8024" s="343"/>
    </row>
    <row r="8025" spans="4:12" x14ac:dyDescent="0.2">
      <c r="D8025" s="341"/>
      <c r="F8025" s="343"/>
      <c r="G8025" s="343"/>
      <c r="H8025" s="343"/>
      <c r="I8025" s="343"/>
      <c r="J8025" s="343"/>
      <c r="K8025" s="343"/>
      <c r="L8025" s="343"/>
    </row>
    <row r="8026" spans="4:12" x14ac:dyDescent="0.2">
      <c r="D8026" s="341"/>
      <c r="F8026" s="343"/>
      <c r="G8026" s="343"/>
      <c r="H8026" s="343"/>
      <c r="I8026" s="343"/>
      <c r="J8026" s="343"/>
      <c r="K8026" s="343"/>
      <c r="L8026" s="343"/>
    </row>
    <row r="8027" spans="4:12" x14ac:dyDescent="0.2">
      <c r="D8027" s="341"/>
      <c r="F8027" s="343"/>
      <c r="G8027" s="343"/>
      <c r="H8027" s="343"/>
      <c r="I8027" s="343"/>
      <c r="J8027" s="343"/>
      <c r="K8027" s="343"/>
      <c r="L8027" s="343"/>
    </row>
    <row r="8028" spans="4:12" x14ac:dyDescent="0.2">
      <c r="D8028" s="341"/>
      <c r="F8028" s="343"/>
      <c r="G8028" s="343"/>
      <c r="H8028" s="343"/>
      <c r="I8028" s="343"/>
      <c r="J8028" s="343"/>
      <c r="K8028" s="343"/>
      <c r="L8028" s="343"/>
    </row>
    <row r="8029" spans="4:12" x14ac:dyDescent="0.2">
      <c r="D8029" s="341"/>
      <c r="F8029" s="343"/>
      <c r="G8029" s="343"/>
      <c r="H8029" s="343"/>
      <c r="I8029" s="343"/>
      <c r="J8029" s="343"/>
      <c r="K8029" s="343"/>
      <c r="L8029" s="343"/>
    </row>
    <row r="8030" spans="4:12" x14ac:dyDescent="0.2">
      <c r="D8030" s="341"/>
      <c r="F8030" s="343"/>
      <c r="G8030" s="343"/>
      <c r="H8030" s="343"/>
      <c r="I8030" s="343"/>
      <c r="J8030" s="343"/>
      <c r="K8030" s="343"/>
      <c r="L8030" s="343"/>
    </row>
    <row r="8031" spans="4:12" x14ac:dyDescent="0.2">
      <c r="D8031" s="341"/>
      <c r="F8031" s="343"/>
      <c r="G8031" s="343"/>
      <c r="H8031" s="343"/>
      <c r="I8031" s="343"/>
      <c r="J8031" s="343"/>
      <c r="K8031" s="343"/>
      <c r="L8031" s="343"/>
    </row>
    <row r="8032" spans="4:12" x14ac:dyDescent="0.2">
      <c r="D8032" s="341"/>
      <c r="F8032" s="343"/>
      <c r="G8032" s="343"/>
      <c r="H8032" s="343"/>
      <c r="I8032" s="343"/>
      <c r="J8032" s="343"/>
      <c r="K8032" s="343"/>
      <c r="L8032" s="343"/>
    </row>
    <row r="8033" spans="4:12" x14ac:dyDescent="0.2">
      <c r="D8033" s="341"/>
      <c r="F8033" s="343"/>
      <c r="G8033" s="343"/>
      <c r="H8033" s="343"/>
      <c r="I8033" s="343"/>
      <c r="J8033" s="343"/>
      <c r="K8033" s="343"/>
      <c r="L8033" s="343"/>
    </row>
    <row r="8034" spans="4:12" x14ac:dyDescent="0.2">
      <c r="D8034" s="341"/>
      <c r="F8034" s="343"/>
      <c r="G8034" s="343"/>
      <c r="H8034" s="343"/>
      <c r="I8034" s="343"/>
      <c r="J8034" s="343"/>
      <c r="K8034" s="343"/>
      <c r="L8034" s="343"/>
    </row>
    <row r="8035" spans="4:12" x14ac:dyDescent="0.2">
      <c r="D8035" s="341"/>
      <c r="F8035" s="343"/>
      <c r="G8035" s="343"/>
      <c r="H8035" s="343"/>
      <c r="I8035" s="343"/>
      <c r="J8035" s="343"/>
      <c r="K8035" s="343"/>
      <c r="L8035" s="343"/>
    </row>
    <row r="8036" spans="4:12" x14ac:dyDescent="0.2">
      <c r="D8036" s="341"/>
      <c r="F8036" s="343"/>
      <c r="G8036" s="343"/>
      <c r="H8036" s="343"/>
      <c r="I8036" s="343"/>
      <c r="J8036" s="343"/>
      <c r="K8036" s="343"/>
      <c r="L8036" s="343"/>
    </row>
    <row r="8037" spans="4:12" x14ac:dyDescent="0.2">
      <c r="D8037" s="341"/>
      <c r="F8037" s="343"/>
      <c r="G8037" s="343"/>
      <c r="H8037" s="343"/>
      <c r="I8037" s="343"/>
      <c r="J8037" s="343"/>
      <c r="K8037" s="343"/>
      <c r="L8037" s="343"/>
    </row>
    <row r="8038" spans="4:12" x14ac:dyDescent="0.2">
      <c r="D8038" s="341"/>
      <c r="F8038" s="343"/>
      <c r="G8038" s="343"/>
      <c r="H8038" s="343"/>
      <c r="I8038" s="343"/>
      <c r="J8038" s="343"/>
      <c r="K8038" s="343"/>
      <c r="L8038" s="343"/>
    </row>
    <row r="8039" spans="4:12" x14ac:dyDescent="0.2">
      <c r="D8039" s="341"/>
      <c r="F8039" s="343"/>
      <c r="G8039" s="343"/>
      <c r="H8039" s="343"/>
      <c r="I8039" s="343"/>
      <c r="J8039" s="343"/>
      <c r="K8039" s="343"/>
      <c r="L8039" s="343"/>
    </row>
    <row r="8040" spans="4:12" x14ac:dyDescent="0.2">
      <c r="D8040" s="341"/>
      <c r="F8040" s="343"/>
      <c r="G8040" s="343"/>
      <c r="H8040" s="343"/>
      <c r="I8040" s="343"/>
      <c r="J8040" s="343"/>
      <c r="K8040" s="343"/>
      <c r="L8040" s="343"/>
    </row>
    <row r="8041" spans="4:12" x14ac:dyDescent="0.2">
      <c r="D8041" s="341"/>
      <c r="F8041" s="343"/>
      <c r="G8041" s="343"/>
      <c r="H8041" s="343"/>
      <c r="I8041" s="343"/>
      <c r="J8041" s="343"/>
      <c r="K8041" s="343"/>
      <c r="L8041" s="343"/>
    </row>
    <row r="8042" spans="4:12" x14ac:dyDescent="0.2">
      <c r="D8042" s="341"/>
      <c r="F8042" s="343"/>
      <c r="G8042" s="343"/>
      <c r="H8042" s="343"/>
      <c r="I8042" s="343"/>
      <c r="J8042" s="343"/>
      <c r="K8042" s="343"/>
      <c r="L8042" s="343"/>
    </row>
    <row r="8043" spans="4:12" x14ac:dyDescent="0.2">
      <c r="D8043" s="341"/>
      <c r="F8043" s="343"/>
      <c r="G8043" s="343"/>
      <c r="H8043" s="343"/>
      <c r="I8043" s="343"/>
      <c r="J8043" s="343"/>
      <c r="K8043" s="343"/>
      <c r="L8043" s="343"/>
    </row>
    <row r="8044" spans="4:12" x14ac:dyDescent="0.2">
      <c r="D8044" s="341"/>
      <c r="F8044" s="343"/>
      <c r="G8044" s="343"/>
      <c r="H8044" s="343"/>
      <c r="I8044" s="343"/>
      <c r="J8044" s="343"/>
      <c r="K8044" s="343"/>
      <c r="L8044" s="343"/>
    </row>
    <row r="8045" spans="4:12" x14ac:dyDescent="0.2">
      <c r="D8045" s="341"/>
      <c r="F8045" s="343"/>
      <c r="G8045" s="343"/>
      <c r="H8045" s="343"/>
      <c r="I8045" s="343"/>
      <c r="J8045" s="343"/>
      <c r="K8045" s="343"/>
      <c r="L8045" s="343"/>
    </row>
    <row r="8046" spans="4:12" x14ac:dyDescent="0.2">
      <c r="D8046" s="341"/>
      <c r="F8046" s="343"/>
      <c r="G8046" s="343"/>
      <c r="H8046" s="343"/>
      <c r="I8046" s="343"/>
      <c r="J8046" s="343"/>
      <c r="K8046" s="343"/>
      <c r="L8046" s="343"/>
    </row>
    <row r="8047" spans="4:12" x14ac:dyDescent="0.2">
      <c r="D8047" s="341"/>
      <c r="F8047" s="343"/>
      <c r="G8047" s="343"/>
      <c r="H8047" s="343"/>
      <c r="I8047" s="343"/>
      <c r="J8047" s="343"/>
      <c r="K8047" s="343"/>
      <c r="L8047" s="343"/>
    </row>
    <row r="8048" spans="4:12" x14ac:dyDescent="0.2">
      <c r="D8048" s="341"/>
      <c r="F8048" s="343"/>
      <c r="G8048" s="343"/>
      <c r="H8048" s="343"/>
      <c r="I8048" s="343"/>
      <c r="J8048" s="343"/>
      <c r="K8048" s="343"/>
      <c r="L8048" s="343"/>
    </row>
    <row r="8049" spans="4:12" x14ac:dyDescent="0.2">
      <c r="D8049" s="341"/>
      <c r="F8049" s="343"/>
      <c r="G8049" s="343"/>
      <c r="H8049" s="343"/>
      <c r="I8049" s="343"/>
      <c r="J8049" s="343"/>
      <c r="K8049" s="343"/>
      <c r="L8049" s="343"/>
    </row>
    <row r="8050" spans="4:12" x14ac:dyDescent="0.2">
      <c r="D8050" s="341"/>
      <c r="F8050" s="343"/>
      <c r="G8050" s="343"/>
      <c r="H8050" s="343"/>
      <c r="I8050" s="343"/>
      <c r="J8050" s="343"/>
      <c r="K8050" s="343"/>
      <c r="L8050" s="343"/>
    </row>
    <row r="8051" spans="4:12" x14ac:dyDescent="0.2">
      <c r="D8051" s="341"/>
      <c r="F8051" s="343"/>
      <c r="G8051" s="343"/>
      <c r="H8051" s="343"/>
      <c r="I8051" s="343"/>
      <c r="J8051" s="343"/>
      <c r="K8051" s="343"/>
      <c r="L8051" s="343"/>
    </row>
    <row r="8052" spans="4:12" x14ac:dyDescent="0.2">
      <c r="D8052" s="341"/>
      <c r="F8052" s="343"/>
      <c r="G8052" s="343"/>
      <c r="H8052" s="343"/>
      <c r="I8052" s="343"/>
      <c r="J8052" s="343"/>
      <c r="K8052" s="343"/>
      <c r="L8052" s="343"/>
    </row>
    <row r="8053" spans="4:12" x14ac:dyDescent="0.2">
      <c r="D8053" s="341"/>
      <c r="F8053" s="343"/>
      <c r="G8053" s="343"/>
      <c r="H8053" s="343"/>
      <c r="I8053" s="343"/>
      <c r="J8053" s="343"/>
      <c r="K8053" s="343"/>
      <c r="L8053" s="343"/>
    </row>
    <row r="8054" spans="4:12" x14ac:dyDescent="0.2">
      <c r="D8054" s="341"/>
      <c r="F8054" s="343"/>
      <c r="G8054" s="343"/>
      <c r="H8054" s="343"/>
      <c r="I8054" s="343"/>
      <c r="J8054" s="343"/>
      <c r="K8054" s="343"/>
      <c r="L8054" s="343"/>
    </row>
    <row r="8055" spans="4:12" x14ac:dyDescent="0.2">
      <c r="D8055" s="341"/>
      <c r="F8055" s="343"/>
      <c r="G8055" s="343"/>
      <c r="H8055" s="343"/>
      <c r="I8055" s="343"/>
      <c r="J8055" s="343"/>
      <c r="K8055" s="343"/>
      <c r="L8055" s="343"/>
    </row>
    <row r="8056" spans="4:12" x14ac:dyDescent="0.2">
      <c r="D8056" s="341"/>
      <c r="F8056" s="343"/>
      <c r="G8056" s="343"/>
      <c r="H8056" s="343"/>
      <c r="I8056" s="343"/>
      <c r="J8056" s="343"/>
      <c r="K8056" s="343"/>
      <c r="L8056" s="343"/>
    </row>
    <row r="8057" spans="4:12" x14ac:dyDescent="0.2">
      <c r="D8057" s="341"/>
      <c r="F8057" s="343"/>
      <c r="G8057" s="343"/>
      <c r="H8057" s="343"/>
      <c r="I8057" s="343"/>
      <c r="J8057" s="343"/>
      <c r="K8057" s="343"/>
      <c r="L8057" s="343"/>
    </row>
    <row r="8058" spans="4:12" x14ac:dyDescent="0.2">
      <c r="D8058" s="341"/>
      <c r="F8058" s="343"/>
      <c r="G8058" s="343"/>
      <c r="H8058" s="343"/>
      <c r="I8058" s="343"/>
      <c r="J8058" s="343"/>
      <c r="K8058" s="343"/>
      <c r="L8058" s="343"/>
    </row>
    <row r="8059" spans="4:12" x14ac:dyDescent="0.2">
      <c r="D8059" s="341"/>
      <c r="F8059" s="343"/>
      <c r="G8059" s="343"/>
      <c r="H8059" s="343"/>
      <c r="I8059" s="343"/>
      <c r="J8059" s="343"/>
      <c r="K8059" s="343"/>
      <c r="L8059" s="343"/>
    </row>
    <row r="8060" spans="4:12" x14ac:dyDescent="0.2">
      <c r="D8060" s="341"/>
      <c r="F8060" s="343"/>
      <c r="G8060" s="343"/>
      <c r="H8060" s="343"/>
      <c r="I8060" s="343"/>
      <c r="J8060" s="343"/>
      <c r="K8060" s="343"/>
      <c r="L8060" s="343"/>
    </row>
    <row r="8061" spans="4:12" x14ac:dyDescent="0.2">
      <c r="D8061" s="341"/>
      <c r="F8061" s="343"/>
      <c r="G8061" s="343"/>
      <c r="H8061" s="343"/>
      <c r="I8061" s="343"/>
      <c r="J8061" s="343"/>
      <c r="K8061" s="343"/>
      <c r="L8061" s="343"/>
    </row>
    <row r="8062" spans="4:12" x14ac:dyDescent="0.2">
      <c r="D8062" s="341"/>
      <c r="F8062" s="343"/>
      <c r="G8062" s="343"/>
      <c r="H8062" s="343"/>
      <c r="I8062" s="343"/>
      <c r="J8062" s="343"/>
      <c r="K8062" s="343"/>
      <c r="L8062" s="343"/>
    </row>
    <row r="8063" spans="4:12" x14ac:dyDescent="0.2">
      <c r="D8063" s="341"/>
      <c r="F8063" s="343"/>
      <c r="G8063" s="343"/>
      <c r="H8063" s="343"/>
      <c r="I8063" s="343"/>
      <c r="J8063" s="343"/>
      <c r="K8063" s="343"/>
      <c r="L8063" s="343"/>
    </row>
    <row r="8064" spans="4:12" x14ac:dyDescent="0.2">
      <c r="D8064" s="341"/>
      <c r="F8064" s="343"/>
      <c r="G8064" s="343"/>
      <c r="H8064" s="343"/>
      <c r="I8064" s="343"/>
      <c r="J8064" s="343"/>
      <c r="K8064" s="343"/>
      <c r="L8064" s="343"/>
    </row>
    <row r="8065" spans="4:12" x14ac:dyDescent="0.2">
      <c r="D8065" s="341"/>
      <c r="F8065" s="343"/>
      <c r="G8065" s="343"/>
      <c r="H8065" s="343"/>
      <c r="I8065" s="343"/>
      <c r="J8065" s="343"/>
      <c r="K8065" s="343"/>
      <c r="L8065" s="343"/>
    </row>
    <row r="8066" spans="4:12" x14ac:dyDescent="0.2">
      <c r="D8066" s="341"/>
      <c r="F8066" s="343"/>
      <c r="G8066" s="343"/>
      <c r="H8066" s="343"/>
      <c r="I8066" s="343"/>
      <c r="J8066" s="343"/>
      <c r="K8066" s="343"/>
      <c r="L8066" s="343"/>
    </row>
    <row r="8067" spans="4:12" x14ac:dyDescent="0.2">
      <c r="D8067" s="341"/>
      <c r="F8067" s="343"/>
      <c r="G8067" s="343"/>
      <c r="H8067" s="343"/>
      <c r="I8067" s="343"/>
      <c r="J8067" s="343"/>
      <c r="K8067" s="343"/>
      <c r="L8067" s="343"/>
    </row>
    <row r="8068" spans="4:12" x14ac:dyDescent="0.2">
      <c r="D8068" s="341"/>
      <c r="F8068" s="343"/>
      <c r="G8068" s="343"/>
      <c r="H8068" s="343"/>
      <c r="I8068" s="343"/>
      <c r="J8068" s="343"/>
      <c r="K8068" s="343"/>
      <c r="L8068" s="343"/>
    </row>
    <row r="8069" spans="4:12" x14ac:dyDescent="0.2">
      <c r="D8069" s="341"/>
      <c r="F8069" s="343"/>
      <c r="G8069" s="343"/>
      <c r="H8069" s="343"/>
      <c r="I8069" s="343"/>
      <c r="J8069" s="343"/>
      <c r="K8069" s="343"/>
      <c r="L8069" s="343"/>
    </row>
    <row r="8070" spans="4:12" x14ac:dyDescent="0.2">
      <c r="D8070" s="341"/>
      <c r="F8070" s="343"/>
      <c r="G8070" s="343"/>
      <c r="H8070" s="343"/>
      <c r="I8070" s="343"/>
      <c r="J8070" s="343"/>
      <c r="K8070" s="343"/>
      <c r="L8070" s="343"/>
    </row>
    <row r="8071" spans="4:12" x14ac:dyDescent="0.2">
      <c r="D8071" s="341"/>
      <c r="F8071" s="343"/>
      <c r="G8071" s="343"/>
      <c r="H8071" s="343"/>
      <c r="I8071" s="343"/>
      <c r="J8071" s="343"/>
      <c r="K8071" s="343"/>
      <c r="L8071" s="343"/>
    </row>
    <row r="8072" spans="4:12" x14ac:dyDescent="0.2">
      <c r="D8072" s="341"/>
      <c r="F8072" s="343"/>
      <c r="G8072" s="343"/>
      <c r="H8072" s="343"/>
      <c r="I8072" s="343"/>
      <c r="J8072" s="343"/>
      <c r="K8072" s="343"/>
      <c r="L8072" s="343"/>
    </row>
    <row r="8073" spans="4:12" x14ac:dyDescent="0.2">
      <c r="D8073" s="341"/>
      <c r="F8073" s="343"/>
      <c r="G8073" s="343"/>
      <c r="H8073" s="343"/>
      <c r="I8073" s="343"/>
      <c r="J8073" s="343"/>
      <c r="K8073" s="343"/>
      <c r="L8073" s="343"/>
    </row>
    <row r="8074" spans="4:12" x14ac:dyDescent="0.2">
      <c r="D8074" s="341"/>
      <c r="F8074" s="343"/>
      <c r="G8074" s="343"/>
      <c r="H8074" s="343"/>
      <c r="I8074" s="343"/>
      <c r="J8074" s="343"/>
      <c r="K8074" s="343"/>
      <c r="L8074" s="343"/>
    </row>
    <row r="8075" spans="4:12" x14ac:dyDescent="0.2">
      <c r="D8075" s="341"/>
      <c r="F8075" s="343"/>
      <c r="G8075" s="343"/>
      <c r="H8075" s="343"/>
      <c r="I8075" s="343"/>
      <c r="J8075" s="343"/>
      <c r="K8075" s="343"/>
      <c r="L8075" s="343"/>
    </row>
    <row r="8076" spans="4:12" x14ac:dyDescent="0.2">
      <c r="D8076" s="341"/>
      <c r="F8076" s="343"/>
      <c r="G8076" s="343"/>
      <c r="H8076" s="343"/>
      <c r="I8076" s="343"/>
      <c r="J8076" s="343"/>
      <c r="K8076" s="343"/>
      <c r="L8076" s="343"/>
    </row>
    <row r="8077" spans="4:12" x14ac:dyDescent="0.2">
      <c r="D8077" s="341"/>
      <c r="F8077" s="343"/>
      <c r="G8077" s="343"/>
      <c r="H8077" s="343"/>
      <c r="I8077" s="343"/>
      <c r="J8077" s="343"/>
      <c r="K8077" s="343"/>
      <c r="L8077" s="343"/>
    </row>
    <row r="8078" spans="4:12" x14ac:dyDescent="0.2">
      <c r="D8078" s="341"/>
      <c r="F8078" s="343"/>
      <c r="G8078" s="343"/>
      <c r="H8078" s="343"/>
      <c r="I8078" s="343"/>
      <c r="J8078" s="343"/>
      <c r="K8078" s="343"/>
      <c r="L8078" s="343"/>
    </row>
    <row r="8079" spans="4:12" x14ac:dyDescent="0.2">
      <c r="D8079" s="341"/>
      <c r="F8079" s="343"/>
      <c r="G8079" s="343"/>
      <c r="H8079" s="343"/>
      <c r="I8079" s="343"/>
      <c r="J8079" s="343"/>
      <c r="K8079" s="343"/>
      <c r="L8079" s="343"/>
    </row>
    <row r="8080" spans="4:12" x14ac:dyDescent="0.2">
      <c r="D8080" s="341"/>
      <c r="F8080" s="343"/>
      <c r="G8080" s="343"/>
      <c r="H8080" s="343"/>
      <c r="I8080" s="343"/>
      <c r="J8080" s="343"/>
      <c r="K8080" s="343"/>
      <c r="L8080" s="343"/>
    </row>
    <row r="8081" spans="4:12" x14ac:dyDescent="0.2">
      <c r="D8081" s="341"/>
      <c r="F8081" s="343"/>
      <c r="G8081" s="343"/>
      <c r="H8081" s="343"/>
      <c r="I8081" s="343"/>
      <c r="J8081" s="343"/>
      <c r="K8081" s="343"/>
      <c r="L8081" s="343"/>
    </row>
    <row r="8082" spans="4:12" x14ac:dyDescent="0.2">
      <c r="D8082" s="341"/>
      <c r="F8082" s="343"/>
      <c r="G8082" s="343"/>
      <c r="H8082" s="343"/>
      <c r="I8082" s="343"/>
      <c r="J8082" s="343"/>
      <c r="K8082" s="343"/>
      <c r="L8082" s="343"/>
    </row>
    <row r="8083" spans="4:12" x14ac:dyDescent="0.2">
      <c r="D8083" s="341"/>
      <c r="F8083" s="343"/>
      <c r="G8083" s="343"/>
      <c r="H8083" s="343"/>
      <c r="I8083" s="343"/>
      <c r="J8083" s="343"/>
      <c r="K8083" s="343"/>
      <c r="L8083" s="343"/>
    </row>
    <row r="8084" spans="4:12" x14ac:dyDescent="0.2">
      <c r="D8084" s="341"/>
      <c r="F8084" s="343"/>
      <c r="G8084" s="343"/>
      <c r="H8084" s="343"/>
      <c r="I8084" s="343"/>
      <c r="J8084" s="343"/>
      <c r="K8084" s="343"/>
      <c r="L8084" s="343"/>
    </row>
    <row r="8085" spans="4:12" x14ac:dyDescent="0.2">
      <c r="D8085" s="341"/>
      <c r="F8085" s="343"/>
      <c r="G8085" s="343"/>
      <c r="H8085" s="343"/>
      <c r="I8085" s="343"/>
      <c r="J8085" s="343"/>
      <c r="K8085" s="343"/>
      <c r="L8085" s="343"/>
    </row>
    <row r="8086" spans="4:12" x14ac:dyDescent="0.2">
      <c r="D8086" s="341"/>
      <c r="F8086" s="343"/>
      <c r="G8086" s="343"/>
      <c r="H8086" s="343"/>
      <c r="I8086" s="343"/>
      <c r="J8086" s="343"/>
      <c r="K8086" s="343"/>
      <c r="L8086" s="343"/>
    </row>
    <row r="8087" spans="4:12" x14ac:dyDescent="0.2">
      <c r="D8087" s="341"/>
      <c r="F8087" s="343"/>
      <c r="G8087" s="343"/>
      <c r="H8087" s="343"/>
      <c r="I8087" s="343"/>
      <c r="J8087" s="343"/>
      <c r="K8087" s="343"/>
      <c r="L8087" s="343"/>
    </row>
    <row r="8088" spans="4:12" x14ac:dyDescent="0.2">
      <c r="D8088" s="341"/>
      <c r="F8088" s="343"/>
      <c r="G8088" s="343"/>
      <c r="H8088" s="343"/>
      <c r="I8088" s="343"/>
      <c r="J8088" s="343"/>
      <c r="K8088" s="343"/>
      <c r="L8088" s="343"/>
    </row>
    <row r="8089" spans="4:12" x14ac:dyDescent="0.2">
      <c r="D8089" s="341"/>
      <c r="F8089" s="343"/>
      <c r="G8089" s="343"/>
      <c r="H8089" s="343"/>
      <c r="I8089" s="343"/>
      <c r="J8089" s="343"/>
      <c r="K8089" s="343"/>
      <c r="L8089" s="343"/>
    </row>
    <row r="8090" spans="4:12" x14ac:dyDescent="0.2">
      <c r="D8090" s="341"/>
      <c r="F8090" s="343"/>
      <c r="G8090" s="343"/>
      <c r="H8090" s="343"/>
      <c r="I8090" s="343"/>
      <c r="J8090" s="343"/>
      <c r="K8090" s="343"/>
      <c r="L8090" s="343"/>
    </row>
    <row r="8091" spans="4:12" x14ac:dyDescent="0.2">
      <c r="D8091" s="341"/>
      <c r="F8091" s="343"/>
      <c r="G8091" s="343"/>
      <c r="H8091" s="343"/>
      <c r="I8091" s="343"/>
      <c r="J8091" s="343"/>
      <c r="K8091" s="343"/>
      <c r="L8091" s="343"/>
    </row>
    <row r="8092" spans="4:12" x14ac:dyDescent="0.2">
      <c r="D8092" s="341"/>
      <c r="F8092" s="343"/>
      <c r="G8092" s="343"/>
      <c r="H8092" s="343"/>
      <c r="I8092" s="343"/>
      <c r="J8092" s="343"/>
      <c r="K8092" s="343"/>
      <c r="L8092" s="343"/>
    </row>
    <row r="8093" spans="4:12" x14ac:dyDescent="0.2">
      <c r="D8093" s="341"/>
      <c r="F8093" s="343"/>
      <c r="G8093" s="343"/>
      <c r="H8093" s="343"/>
      <c r="I8093" s="343"/>
      <c r="J8093" s="343"/>
      <c r="K8093" s="343"/>
      <c r="L8093" s="343"/>
    </row>
    <row r="8094" spans="4:12" x14ac:dyDescent="0.2">
      <c r="D8094" s="341"/>
      <c r="F8094" s="343"/>
      <c r="G8094" s="343"/>
      <c r="H8094" s="343"/>
      <c r="I8094" s="343"/>
      <c r="J8094" s="343"/>
      <c r="K8094" s="343"/>
      <c r="L8094" s="343"/>
    </row>
    <row r="8095" spans="4:12" x14ac:dyDescent="0.2">
      <c r="D8095" s="341"/>
      <c r="F8095" s="343"/>
      <c r="G8095" s="343"/>
      <c r="H8095" s="343"/>
      <c r="I8095" s="343"/>
      <c r="J8095" s="343"/>
      <c r="K8095" s="343"/>
      <c r="L8095" s="343"/>
    </row>
    <row r="8096" spans="4:12" x14ac:dyDescent="0.2">
      <c r="D8096" s="341"/>
      <c r="F8096" s="343"/>
      <c r="G8096" s="343"/>
      <c r="H8096" s="343"/>
      <c r="I8096" s="343"/>
      <c r="J8096" s="343"/>
      <c r="K8096" s="343"/>
      <c r="L8096" s="343"/>
    </row>
    <row r="8097" spans="4:12" x14ac:dyDescent="0.2">
      <c r="D8097" s="341"/>
      <c r="F8097" s="343"/>
      <c r="G8097" s="343"/>
      <c r="H8097" s="343"/>
      <c r="I8097" s="343"/>
      <c r="J8097" s="343"/>
      <c r="K8097" s="343"/>
      <c r="L8097" s="343"/>
    </row>
    <row r="8098" spans="4:12" x14ac:dyDescent="0.2">
      <c r="D8098" s="341"/>
      <c r="F8098" s="343"/>
      <c r="G8098" s="343"/>
      <c r="H8098" s="343"/>
      <c r="I8098" s="343"/>
      <c r="J8098" s="343"/>
      <c r="K8098" s="343"/>
      <c r="L8098" s="343"/>
    </row>
    <row r="8099" spans="4:12" x14ac:dyDescent="0.2">
      <c r="D8099" s="341"/>
      <c r="F8099" s="343"/>
      <c r="G8099" s="343"/>
      <c r="H8099" s="343"/>
      <c r="I8099" s="343"/>
      <c r="J8099" s="343"/>
      <c r="K8099" s="343"/>
      <c r="L8099" s="343"/>
    </row>
    <row r="8100" spans="4:12" x14ac:dyDescent="0.2">
      <c r="D8100" s="341"/>
      <c r="F8100" s="343"/>
      <c r="G8100" s="343"/>
      <c r="H8100" s="343"/>
      <c r="I8100" s="343"/>
      <c r="J8100" s="343"/>
      <c r="K8100" s="343"/>
      <c r="L8100" s="343"/>
    </row>
    <row r="8101" spans="4:12" x14ac:dyDescent="0.2">
      <c r="D8101" s="341"/>
      <c r="F8101" s="343"/>
      <c r="G8101" s="343"/>
      <c r="H8101" s="343"/>
      <c r="I8101" s="343"/>
      <c r="J8101" s="343"/>
      <c r="K8101" s="343"/>
      <c r="L8101" s="343"/>
    </row>
    <row r="8102" spans="4:12" x14ac:dyDescent="0.2">
      <c r="D8102" s="341"/>
      <c r="F8102" s="343"/>
      <c r="G8102" s="343"/>
      <c r="H8102" s="343"/>
      <c r="I8102" s="343"/>
      <c r="J8102" s="343"/>
      <c r="K8102" s="343"/>
      <c r="L8102" s="343"/>
    </row>
    <row r="8103" spans="4:12" x14ac:dyDescent="0.2">
      <c r="D8103" s="341"/>
      <c r="F8103" s="343"/>
      <c r="G8103" s="343"/>
      <c r="H8103" s="343"/>
      <c r="I8103" s="343"/>
      <c r="J8103" s="343"/>
      <c r="K8103" s="343"/>
      <c r="L8103" s="343"/>
    </row>
    <row r="8104" spans="4:12" x14ac:dyDescent="0.2">
      <c r="D8104" s="341"/>
      <c r="F8104" s="343"/>
      <c r="G8104" s="343"/>
      <c r="H8104" s="343"/>
      <c r="I8104" s="343"/>
      <c r="J8104" s="343"/>
      <c r="K8104" s="343"/>
      <c r="L8104" s="343"/>
    </row>
    <row r="8105" spans="4:12" x14ac:dyDescent="0.2">
      <c r="D8105" s="341"/>
      <c r="F8105" s="343"/>
      <c r="G8105" s="343"/>
      <c r="H8105" s="343"/>
      <c r="I8105" s="343"/>
      <c r="J8105" s="343"/>
      <c r="K8105" s="343"/>
      <c r="L8105" s="343"/>
    </row>
    <row r="8106" spans="4:12" x14ac:dyDescent="0.2">
      <c r="D8106" s="341"/>
      <c r="F8106" s="343"/>
      <c r="G8106" s="343"/>
      <c r="H8106" s="343"/>
      <c r="I8106" s="343"/>
      <c r="J8106" s="343"/>
      <c r="K8106" s="343"/>
      <c r="L8106" s="343"/>
    </row>
    <row r="8107" spans="4:12" x14ac:dyDescent="0.2">
      <c r="D8107" s="341"/>
      <c r="F8107" s="343"/>
      <c r="G8107" s="343"/>
      <c r="H8107" s="343"/>
      <c r="I8107" s="343"/>
      <c r="J8107" s="343"/>
      <c r="K8107" s="343"/>
      <c r="L8107" s="343"/>
    </row>
    <row r="8108" spans="4:12" x14ac:dyDescent="0.2">
      <c r="D8108" s="341"/>
      <c r="F8108" s="343"/>
      <c r="G8108" s="343"/>
      <c r="H8108" s="343"/>
      <c r="I8108" s="343"/>
      <c r="J8108" s="343"/>
      <c r="K8108" s="343"/>
      <c r="L8108" s="343"/>
    </row>
    <row r="8109" spans="4:12" x14ac:dyDescent="0.2">
      <c r="D8109" s="341"/>
      <c r="F8109" s="343"/>
      <c r="G8109" s="343"/>
      <c r="H8109" s="343"/>
      <c r="I8109" s="343"/>
      <c r="J8109" s="343"/>
      <c r="K8109" s="343"/>
      <c r="L8109" s="343"/>
    </row>
    <row r="8110" spans="4:12" x14ac:dyDescent="0.2">
      <c r="D8110" s="341"/>
      <c r="F8110" s="343"/>
      <c r="G8110" s="343"/>
      <c r="H8110" s="343"/>
      <c r="I8110" s="343"/>
      <c r="J8110" s="343"/>
      <c r="K8110" s="343"/>
      <c r="L8110" s="343"/>
    </row>
    <row r="8111" spans="4:12" x14ac:dyDescent="0.2">
      <c r="D8111" s="341"/>
      <c r="F8111" s="343"/>
      <c r="G8111" s="343"/>
      <c r="H8111" s="343"/>
      <c r="I8111" s="343"/>
      <c r="J8111" s="343"/>
      <c r="K8111" s="343"/>
      <c r="L8111" s="343"/>
    </row>
    <row r="8112" spans="4:12" x14ac:dyDescent="0.2">
      <c r="D8112" s="341"/>
      <c r="F8112" s="343"/>
      <c r="G8112" s="343"/>
      <c r="H8112" s="343"/>
      <c r="I8112" s="343"/>
      <c r="J8112" s="343"/>
      <c r="K8112" s="343"/>
      <c r="L8112" s="343"/>
    </row>
    <row r="8113" spans="4:12" x14ac:dyDescent="0.2">
      <c r="D8113" s="341"/>
      <c r="F8113" s="343"/>
      <c r="G8113" s="343"/>
      <c r="H8113" s="343"/>
      <c r="I8113" s="343"/>
      <c r="J8113" s="343"/>
      <c r="K8113" s="343"/>
      <c r="L8113" s="343"/>
    </row>
    <row r="8114" spans="4:12" x14ac:dyDescent="0.2">
      <c r="D8114" s="341"/>
      <c r="F8114" s="343"/>
      <c r="G8114" s="343"/>
      <c r="H8114" s="343"/>
      <c r="I8114" s="343"/>
      <c r="J8114" s="343"/>
      <c r="K8114" s="343"/>
      <c r="L8114" s="343"/>
    </row>
    <row r="8115" spans="4:12" x14ac:dyDescent="0.2">
      <c r="D8115" s="341"/>
      <c r="F8115" s="343"/>
      <c r="G8115" s="343"/>
      <c r="H8115" s="343"/>
      <c r="I8115" s="343"/>
      <c r="J8115" s="343"/>
      <c r="K8115" s="343"/>
      <c r="L8115" s="343"/>
    </row>
    <row r="8116" spans="4:12" x14ac:dyDescent="0.2">
      <c r="D8116" s="341"/>
      <c r="F8116" s="343"/>
      <c r="G8116" s="343"/>
      <c r="H8116" s="343"/>
      <c r="I8116" s="343"/>
      <c r="J8116" s="343"/>
      <c r="K8116" s="343"/>
      <c r="L8116" s="343"/>
    </row>
    <row r="8117" spans="4:12" x14ac:dyDescent="0.2">
      <c r="D8117" s="341"/>
      <c r="F8117" s="343"/>
      <c r="G8117" s="343"/>
      <c r="H8117" s="343"/>
      <c r="I8117" s="343"/>
      <c r="J8117" s="343"/>
      <c r="K8117" s="343"/>
      <c r="L8117" s="343"/>
    </row>
    <row r="8118" spans="4:12" x14ac:dyDescent="0.2">
      <c r="D8118" s="341"/>
      <c r="F8118" s="343"/>
      <c r="G8118" s="343"/>
      <c r="H8118" s="343"/>
      <c r="I8118" s="343"/>
      <c r="J8118" s="343"/>
      <c r="K8118" s="343"/>
      <c r="L8118" s="343"/>
    </row>
    <row r="8119" spans="4:12" x14ac:dyDescent="0.2">
      <c r="D8119" s="341"/>
      <c r="F8119" s="343"/>
      <c r="G8119" s="343"/>
      <c r="H8119" s="343"/>
      <c r="I8119" s="343"/>
      <c r="J8119" s="343"/>
      <c r="K8119" s="343"/>
      <c r="L8119" s="343"/>
    </row>
    <row r="8120" spans="4:12" x14ac:dyDescent="0.2">
      <c r="D8120" s="341"/>
      <c r="F8120" s="343"/>
      <c r="G8120" s="343"/>
      <c r="H8120" s="343"/>
      <c r="I8120" s="343"/>
      <c r="J8120" s="343"/>
      <c r="K8120" s="343"/>
      <c r="L8120" s="343"/>
    </row>
    <row r="8121" spans="4:12" x14ac:dyDescent="0.2">
      <c r="D8121" s="341"/>
      <c r="F8121" s="343"/>
      <c r="G8121" s="343"/>
      <c r="H8121" s="343"/>
      <c r="I8121" s="343"/>
      <c r="J8121" s="343"/>
      <c r="K8121" s="343"/>
      <c r="L8121" s="343"/>
    </row>
    <row r="8122" spans="4:12" x14ac:dyDescent="0.2">
      <c r="D8122" s="341"/>
      <c r="F8122" s="343"/>
      <c r="G8122" s="343"/>
      <c r="H8122" s="343"/>
      <c r="I8122" s="343"/>
      <c r="J8122" s="343"/>
      <c r="K8122" s="343"/>
      <c r="L8122" s="343"/>
    </row>
    <row r="8123" spans="4:12" x14ac:dyDescent="0.2">
      <c r="D8123" s="341"/>
      <c r="F8123" s="343"/>
      <c r="G8123" s="343"/>
      <c r="H8123" s="343"/>
      <c r="I8123" s="343"/>
      <c r="J8123" s="343"/>
      <c r="K8123" s="343"/>
      <c r="L8123" s="343"/>
    </row>
    <row r="8124" spans="4:12" x14ac:dyDescent="0.2">
      <c r="D8124" s="341"/>
      <c r="F8124" s="343"/>
      <c r="G8124" s="343"/>
      <c r="H8124" s="343"/>
      <c r="I8124" s="343"/>
      <c r="J8124" s="343"/>
      <c r="K8124" s="343"/>
      <c r="L8124" s="343"/>
    </row>
    <row r="8125" spans="4:12" x14ac:dyDescent="0.2">
      <c r="D8125" s="341"/>
      <c r="F8125" s="343"/>
      <c r="G8125" s="343"/>
      <c r="H8125" s="343"/>
      <c r="I8125" s="343"/>
      <c r="J8125" s="343"/>
      <c r="K8125" s="343"/>
      <c r="L8125" s="343"/>
    </row>
    <row r="8126" spans="4:12" x14ac:dyDescent="0.2">
      <c r="D8126" s="341"/>
      <c r="F8126" s="343"/>
      <c r="G8126" s="343"/>
      <c r="H8126" s="343"/>
      <c r="I8126" s="343"/>
      <c r="J8126" s="343"/>
      <c r="K8126" s="343"/>
      <c r="L8126" s="343"/>
    </row>
    <row r="8127" spans="4:12" x14ac:dyDescent="0.2">
      <c r="D8127" s="341"/>
      <c r="F8127" s="343"/>
      <c r="G8127" s="343"/>
      <c r="H8127" s="343"/>
      <c r="I8127" s="343"/>
      <c r="J8127" s="343"/>
      <c r="K8127" s="343"/>
      <c r="L8127" s="343"/>
    </row>
    <row r="8128" spans="4:12" x14ac:dyDescent="0.2">
      <c r="D8128" s="341"/>
      <c r="F8128" s="343"/>
      <c r="G8128" s="343"/>
      <c r="H8128" s="343"/>
      <c r="I8128" s="343"/>
      <c r="J8128" s="343"/>
      <c r="K8128" s="343"/>
      <c r="L8128" s="343"/>
    </row>
    <row r="8129" spans="4:12" x14ac:dyDescent="0.2">
      <c r="D8129" s="341"/>
      <c r="F8129" s="343"/>
      <c r="G8129" s="343"/>
      <c r="H8129" s="343"/>
      <c r="I8129" s="343"/>
      <c r="J8129" s="343"/>
      <c r="K8129" s="343"/>
      <c r="L8129" s="343"/>
    </row>
    <row r="8130" spans="4:12" x14ac:dyDescent="0.2">
      <c r="D8130" s="341"/>
      <c r="F8130" s="343"/>
      <c r="G8130" s="343"/>
      <c r="H8130" s="343"/>
      <c r="I8130" s="343"/>
      <c r="J8130" s="343"/>
      <c r="K8130" s="343"/>
      <c r="L8130" s="343"/>
    </row>
    <row r="8131" spans="4:12" x14ac:dyDescent="0.2">
      <c r="D8131" s="341"/>
      <c r="F8131" s="343"/>
      <c r="G8131" s="343"/>
      <c r="H8131" s="343"/>
      <c r="I8131" s="343"/>
      <c r="J8131" s="343"/>
      <c r="K8131" s="343"/>
      <c r="L8131" s="343"/>
    </row>
    <row r="8132" spans="4:12" x14ac:dyDescent="0.2">
      <c r="D8132" s="341"/>
      <c r="F8132" s="343"/>
      <c r="G8132" s="343"/>
      <c r="H8132" s="343"/>
      <c r="I8132" s="343"/>
      <c r="J8132" s="343"/>
      <c r="K8132" s="343"/>
      <c r="L8132" s="343"/>
    </row>
    <row r="8133" spans="4:12" x14ac:dyDescent="0.2">
      <c r="D8133" s="341"/>
      <c r="F8133" s="343"/>
      <c r="G8133" s="343"/>
      <c r="H8133" s="343"/>
      <c r="I8133" s="343"/>
      <c r="J8133" s="343"/>
      <c r="K8133" s="343"/>
      <c r="L8133" s="343"/>
    </row>
    <row r="8134" spans="4:12" x14ac:dyDescent="0.2">
      <c r="D8134" s="341"/>
      <c r="F8134" s="343"/>
      <c r="G8134" s="343"/>
      <c r="H8134" s="343"/>
      <c r="I8134" s="343"/>
      <c r="J8134" s="343"/>
      <c r="K8134" s="343"/>
      <c r="L8134" s="343"/>
    </row>
    <row r="8135" spans="4:12" x14ac:dyDescent="0.2">
      <c r="D8135" s="341"/>
      <c r="F8135" s="343"/>
      <c r="G8135" s="343"/>
      <c r="H8135" s="343"/>
      <c r="I8135" s="343"/>
      <c r="J8135" s="343"/>
      <c r="K8135" s="343"/>
      <c r="L8135" s="343"/>
    </row>
    <row r="8136" spans="4:12" x14ac:dyDescent="0.2">
      <c r="D8136" s="341"/>
      <c r="F8136" s="343"/>
      <c r="G8136" s="343"/>
      <c r="H8136" s="343"/>
      <c r="I8136" s="343"/>
      <c r="J8136" s="343"/>
      <c r="K8136" s="343"/>
      <c r="L8136" s="343"/>
    </row>
    <row r="8137" spans="4:12" x14ac:dyDescent="0.2">
      <c r="D8137" s="341"/>
      <c r="F8137" s="343"/>
      <c r="G8137" s="343"/>
      <c r="H8137" s="343"/>
      <c r="I8137" s="343"/>
      <c r="J8137" s="343"/>
      <c r="K8137" s="343"/>
      <c r="L8137" s="343"/>
    </row>
    <row r="8138" spans="4:12" x14ac:dyDescent="0.2">
      <c r="D8138" s="341"/>
      <c r="F8138" s="343"/>
      <c r="G8138" s="343"/>
      <c r="H8138" s="343"/>
      <c r="I8138" s="343"/>
      <c r="J8138" s="343"/>
      <c r="K8138" s="343"/>
      <c r="L8138" s="343"/>
    </row>
    <row r="8139" spans="4:12" x14ac:dyDescent="0.2">
      <c r="D8139" s="341"/>
      <c r="F8139" s="343"/>
      <c r="G8139" s="343"/>
      <c r="H8139" s="343"/>
      <c r="I8139" s="343"/>
      <c r="J8139" s="343"/>
      <c r="K8139" s="343"/>
      <c r="L8139" s="343"/>
    </row>
    <row r="8140" spans="4:12" x14ac:dyDescent="0.2">
      <c r="D8140" s="341"/>
      <c r="F8140" s="343"/>
      <c r="G8140" s="343"/>
      <c r="H8140" s="343"/>
      <c r="I8140" s="343"/>
      <c r="J8140" s="343"/>
      <c r="K8140" s="343"/>
      <c r="L8140" s="343"/>
    </row>
    <row r="8141" spans="4:12" x14ac:dyDescent="0.2">
      <c r="D8141" s="341"/>
      <c r="F8141" s="343"/>
      <c r="G8141" s="343"/>
      <c r="H8141" s="343"/>
      <c r="I8141" s="343"/>
      <c r="J8141" s="343"/>
      <c r="K8141" s="343"/>
      <c r="L8141" s="343"/>
    </row>
    <row r="8142" spans="4:12" x14ac:dyDescent="0.2">
      <c r="D8142" s="341"/>
      <c r="F8142" s="343"/>
      <c r="G8142" s="343"/>
      <c r="H8142" s="343"/>
      <c r="I8142" s="343"/>
      <c r="J8142" s="343"/>
      <c r="K8142" s="343"/>
      <c r="L8142" s="343"/>
    </row>
    <row r="8143" spans="4:12" x14ac:dyDescent="0.2">
      <c r="D8143" s="341"/>
      <c r="F8143" s="343"/>
      <c r="G8143" s="343"/>
      <c r="H8143" s="343"/>
      <c r="I8143" s="343"/>
      <c r="J8143" s="343"/>
      <c r="K8143" s="343"/>
      <c r="L8143" s="343"/>
    </row>
    <row r="8144" spans="4:12" x14ac:dyDescent="0.2">
      <c r="D8144" s="341"/>
      <c r="F8144" s="343"/>
      <c r="G8144" s="343"/>
      <c r="H8144" s="343"/>
      <c r="I8144" s="343"/>
      <c r="J8144" s="343"/>
      <c r="K8144" s="343"/>
      <c r="L8144" s="343"/>
    </row>
    <row r="8145" spans="4:12" x14ac:dyDescent="0.2">
      <c r="D8145" s="341"/>
      <c r="F8145" s="343"/>
      <c r="G8145" s="343"/>
      <c r="H8145" s="343"/>
      <c r="I8145" s="343"/>
      <c r="J8145" s="343"/>
      <c r="K8145" s="343"/>
      <c r="L8145" s="343"/>
    </row>
    <row r="8146" spans="4:12" x14ac:dyDescent="0.2">
      <c r="D8146" s="341"/>
      <c r="F8146" s="343"/>
      <c r="G8146" s="343"/>
      <c r="H8146" s="343"/>
      <c r="I8146" s="343"/>
      <c r="J8146" s="343"/>
      <c r="K8146" s="343"/>
      <c r="L8146" s="343"/>
    </row>
    <row r="8147" spans="4:12" x14ac:dyDescent="0.2">
      <c r="D8147" s="341"/>
      <c r="F8147" s="343"/>
      <c r="G8147" s="343"/>
      <c r="H8147" s="343"/>
      <c r="I8147" s="343"/>
      <c r="J8147" s="343"/>
      <c r="K8147" s="343"/>
      <c r="L8147" s="343"/>
    </row>
    <row r="8148" spans="4:12" x14ac:dyDescent="0.2">
      <c r="D8148" s="341"/>
      <c r="F8148" s="343"/>
      <c r="G8148" s="343"/>
      <c r="H8148" s="343"/>
      <c r="I8148" s="343"/>
      <c r="J8148" s="343"/>
      <c r="K8148" s="343"/>
      <c r="L8148" s="343"/>
    </row>
    <row r="8149" spans="4:12" x14ac:dyDescent="0.2">
      <c r="D8149" s="341"/>
      <c r="F8149" s="343"/>
      <c r="G8149" s="343"/>
      <c r="H8149" s="343"/>
      <c r="I8149" s="343"/>
      <c r="J8149" s="343"/>
      <c r="K8149" s="343"/>
      <c r="L8149" s="343"/>
    </row>
    <row r="8150" spans="4:12" x14ac:dyDescent="0.2">
      <c r="D8150" s="341"/>
      <c r="F8150" s="343"/>
      <c r="G8150" s="343"/>
      <c r="H8150" s="343"/>
      <c r="I8150" s="343"/>
      <c r="J8150" s="343"/>
      <c r="K8150" s="343"/>
      <c r="L8150" s="343"/>
    </row>
    <row r="8151" spans="4:12" x14ac:dyDescent="0.2">
      <c r="D8151" s="341"/>
      <c r="F8151" s="343"/>
      <c r="G8151" s="343"/>
      <c r="H8151" s="343"/>
      <c r="I8151" s="343"/>
      <c r="J8151" s="343"/>
      <c r="K8151" s="343"/>
      <c r="L8151" s="343"/>
    </row>
    <row r="8152" spans="4:12" x14ac:dyDescent="0.2">
      <c r="D8152" s="341"/>
      <c r="F8152" s="343"/>
      <c r="G8152" s="343"/>
      <c r="H8152" s="343"/>
      <c r="I8152" s="343"/>
      <c r="J8152" s="343"/>
      <c r="K8152" s="343"/>
      <c r="L8152" s="343"/>
    </row>
    <row r="8153" spans="4:12" x14ac:dyDescent="0.2">
      <c r="D8153" s="341"/>
      <c r="F8153" s="343"/>
      <c r="G8153" s="343"/>
      <c r="H8153" s="343"/>
      <c r="I8153" s="343"/>
      <c r="J8153" s="343"/>
      <c r="K8153" s="343"/>
      <c r="L8153" s="343"/>
    </row>
    <row r="8154" spans="4:12" x14ac:dyDescent="0.2">
      <c r="D8154" s="341"/>
      <c r="F8154" s="343"/>
      <c r="G8154" s="343"/>
      <c r="H8154" s="343"/>
      <c r="I8154" s="343"/>
      <c r="J8154" s="343"/>
      <c r="K8154" s="343"/>
      <c r="L8154" s="343"/>
    </row>
    <row r="8155" spans="4:12" x14ac:dyDescent="0.2">
      <c r="D8155" s="341"/>
      <c r="F8155" s="343"/>
      <c r="G8155" s="343"/>
      <c r="H8155" s="343"/>
      <c r="I8155" s="343"/>
      <c r="J8155" s="343"/>
      <c r="K8155" s="343"/>
      <c r="L8155" s="343"/>
    </row>
    <row r="8156" spans="4:12" x14ac:dyDescent="0.2">
      <c r="D8156" s="341"/>
      <c r="F8156" s="343"/>
      <c r="G8156" s="343"/>
      <c r="H8156" s="343"/>
      <c r="I8156" s="343"/>
      <c r="J8156" s="343"/>
      <c r="K8156" s="343"/>
      <c r="L8156" s="343"/>
    </row>
    <row r="8157" spans="4:12" x14ac:dyDescent="0.2">
      <c r="D8157" s="341"/>
      <c r="F8157" s="343"/>
      <c r="G8157" s="343"/>
      <c r="H8157" s="343"/>
      <c r="I8157" s="343"/>
      <c r="J8157" s="343"/>
      <c r="K8157" s="343"/>
      <c r="L8157" s="343"/>
    </row>
    <row r="8158" spans="4:12" x14ac:dyDescent="0.2">
      <c r="D8158" s="341"/>
      <c r="F8158" s="343"/>
      <c r="G8158" s="343"/>
      <c r="H8158" s="343"/>
      <c r="I8158" s="343"/>
      <c r="J8158" s="343"/>
      <c r="K8158" s="343"/>
      <c r="L8158" s="343"/>
    </row>
    <row r="8159" spans="4:12" x14ac:dyDescent="0.2">
      <c r="D8159" s="341"/>
      <c r="F8159" s="343"/>
      <c r="G8159" s="343"/>
      <c r="H8159" s="343"/>
      <c r="I8159" s="343"/>
      <c r="J8159" s="343"/>
      <c r="K8159" s="343"/>
      <c r="L8159" s="343"/>
    </row>
    <row r="8160" spans="4:12" x14ac:dyDescent="0.2">
      <c r="D8160" s="341"/>
      <c r="F8160" s="343"/>
      <c r="G8160" s="343"/>
      <c r="H8160" s="343"/>
      <c r="I8160" s="343"/>
      <c r="J8160" s="343"/>
      <c r="K8160" s="343"/>
      <c r="L8160" s="343"/>
    </row>
    <row r="8161" spans="4:12" x14ac:dyDescent="0.2">
      <c r="D8161" s="341"/>
      <c r="F8161" s="343"/>
      <c r="G8161" s="343"/>
      <c r="H8161" s="343"/>
      <c r="I8161" s="343"/>
      <c r="J8161" s="343"/>
      <c r="K8161" s="343"/>
      <c r="L8161" s="343"/>
    </row>
    <row r="8162" spans="4:12" x14ac:dyDescent="0.2">
      <c r="D8162" s="341"/>
      <c r="F8162" s="343"/>
      <c r="G8162" s="343"/>
      <c r="H8162" s="343"/>
      <c r="I8162" s="343"/>
      <c r="J8162" s="343"/>
      <c r="K8162" s="343"/>
      <c r="L8162" s="343"/>
    </row>
    <row r="8163" spans="4:12" x14ac:dyDescent="0.2">
      <c r="D8163" s="341"/>
      <c r="F8163" s="343"/>
      <c r="G8163" s="343"/>
      <c r="H8163" s="343"/>
      <c r="I8163" s="343"/>
      <c r="J8163" s="343"/>
      <c r="K8163" s="343"/>
      <c r="L8163" s="343"/>
    </row>
    <row r="8164" spans="4:12" x14ac:dyDescent="0.2">
      <c r="D8164" s="341"/>
      <c r="F8164" s="343"/>
      <c r="G8164" s="343"/>
      <c r="H8164" s="343"/>
      <c r="I8164" s="343"/>
      <c r="J8164" s="343"/>
      <c r="K8164" s="343"/>
      <c r="L8164" s="343"/>
    </row>
    <row r="8165" spans="4:12" x14ac:dyDescent="0.2">
      <c r="D8165" s="341"/>
      <c r="F8165" s="343"/>
      <c r="G8165" s="343"/>
      <c r="H8165" s="343"/>
      <c r="I8165" s="343"/>
      <c r="J8165" s="343"/>
      <c r="K8165" s="343"/>
      <c r="L8165" s="343"/>
    </row>
    <row r="8166" spans="4:12" x14ac:dyDescent="0.2">
      <c r="D8166" s="341"/>
      <c r="F8166" s="343"/>
      <c r="G8166" s="343"/>
      <c r="H8166" s="343"/>
      <c r="I8166" s="343"/>
      <c r="J8166" s="343"/>
      <c r="K8166" s="343"/>
      <c r="L8166" s="343"/>
    </row>
    <row r="8167" spans="4:12" x14ac:dyDescent="0.2">
      <c r="D8167" s="341"/>
      <c r="F8167" s="343"/>
      <c r="G8167" s="343"/>
      <c r="H8167" s="343"/>
      <c r="I8167" s="343"/>
      <c r="J8167" s="343"/>
      <c r="K8167" s="343"/>
      <c r="L8167" s="343"/>
    </row>
    <row r="8168" spans="4:12" x14ac:dyDescent="0.2">
      <c r="D8168" s="341"/>
      <c r="F8168" s="343"/>
      <c r="G8168" s="343"/>
      <c r="H8168" s="343"/>
      <c r="I8168" s="343"/>
      <c r="J8168" s="343"/>
      <c r="K8168" s="343"/>
      <c r="L8168" s="343"/>
    </row>
    <row r="8169" spans="4:12" x14ac:dyDescent="0.2">
      <c r="D8169" s="341"/>
      <c r="F8169" s="343"/>
      <c r="G8169" s="343"/>
      <c r="H8169" s="343"/>
      <c r="I8169" s="343"/>
      <c r="J8169" s="343"/>
      <c r="K8169" s="343"/>
      <c r="L8169" s="343"/>
    </row>
    <row r="8170" spans="4:12" x14ac:dyDescent="0.2">
      <c r="D8170" s="341"/>
      <c r="F8170" s="343"/>
      <c r="G8170" s="343"/>
      <c r="H8170" s="343"/>
      <c r="I8170" s="343"/>
      <c r="J8170" s="343"/>
      <c r="K8170" s="343"/>
      <c r="L8170" s="343"/>
    </row>
    <row r="8171" spans="4:12" x14ac:dyDescent="0.2">
      <c r="D8171" s="341"/>
      <c r="F8171" s="343"/>
      <c r="G8171" s="343"/>
      <c r="H8171" s="343"/>
      <c r="I8171" s="343"/>
      <c r="J8171" s="343"/>
      <c r="K8171" s="343"/>
      <c r="L8171" s="343"/>
    </row>
    <row r="8172" spans="4:12" x14ac:dyDescent="0.2">
      <c r="D8172" s="341"/>
      <c r="F8172" s="343"/>
      <c r="G8172" s="343"/>
      <c r="H8172" s="343"/>
      <c r="I8172" s="343"/>
      <c r="J8172" s="343"/>
      <c r="K8172" s="343"/>
      <c r="L8172" s="343"/>
    </row>
    <row r="8173" spans="4:12" x14ac:dyDescent="0.2">
      <c r="D8173" s="341"/>
      <c r="F8173" s="343"/>
      <c r="G8173" s="343"/>
      <c r="H8173" s="343"/>
      <c r="I8173" s="343"/>
      <c r="J8173" s="343"/>
      <c r="K8173" s="343"/>
      <c r="L8173" s="343"/>
    </row>
    <row r="8174" spans="4:12" x14ac:dyDescent="0.2">
      <c r="D8174" s="341"/>
      <c r="F8174" s="343"/>
      <c r="G8174" s="343"/>
      <c r="H8174" s="343"/>
      <c r="I8174" s="343"/>
      <c r="J8174" s="343"/>
      <c r="K8174" s="343"/>
      <c r="L8174" s="343"/>
    </row>
    <row r="8175" spans="4:12" x14ac:dyDescent="0.2">
      <c r="D8175" s="341"/>
      <c r="F8175" s="343"/>
      <c r="G8175" s="343"/>
      <c r="H8175" s="343"/>
      <c r="I8175" s="343"/>
      <c r="J8175" s="343"/>
      <c r="K8175" s="343"/>
      <c r="L8175" s="343"/>
    </row>
    <row r="8176" spans="4:12" x14ac:dyDescent="0.2">
      <c r="D8176" s="341"/>
      <c r="F8176" s="343"/>
      <c r="G8176" s="343"/>
      <c r="H8176" s="343"/>
      <c r="I8176" s="343"/>
      <c r="J8176" s="343"/>
      <c r="K8176" s="343"/>
      <c r="L8176" s="343"/>
    </row>
    <row r="8177" spans="4:12" x14ac:dyDescent="0.2">
      <c r="D8177" s="341"/>
      <c r="F8177" s="343"/>
      <c r="G8177" s="343"/>
      <c r="H8177" s="343"/>
      <c r="I8177" s="343"/>
      <c r="J8177" s="343"/>
      <c r="K8177" s="343"/>
      <c r="L8177" s="343"/>
    </row>
    <row r="8178" spans="4:12" x14ac:dyDescent="0.2">
      <c r="D8178" s="341"/>
      <c r="F8178" s="343"/>
      <c r="G8178" s="343"/>
      <c r="H8178" s="343"/>
      <c r="I8178" s="343"/>
      <c r="J8178" s="343"/>
      <c r="K8178" s="343"/>
      <c r="L8178" s="343"/>
    </row>
    <row r="8179" spans="4:12" x14ac:dyDescent="0.2">
      <c r="D8179" s="341"/>
      <c r="F8179" s="343"/>
      <c r="G8179" s="343"/>
      <c r="H8179" s="343"/>
      <c r="I8179" s="343"/>
      <c r="J8179" s="343"/>
      <c r="K8179" s="343"/>
      <c r="L8179" s="343"/>
    </row>
    <row r="8180" spans="4:12" x14ac:dyDescent="0.2">
      <c r="D8180" s="341"/>
      <c r="F8180" s="343"/>
      <c r="G8180" s="343"/>
      <c r="H8180" s="343"/>
      <c r="I8180" s="343"/>
      <c r="J8180" s="343"/>
      <c r="K8180" s="343"/>
      <c r="L8180" s="343"/>
    </row>
    <row r="8181" spans="4:12" x14ac:dyDescent="0.2">
      <c r="D8181" s="341"/>
      <c r="F8181" s="343"/>
      <c r="G8181" s="343"/>
      <c r="H8181" s="343"/>
      <c r="I8181" s="343"/>
      <c r="J8181" s="343"/>
      <c r="K8181" s="343"/>
      <c r="L8181" s="343"/>
    </row>
    <row r="8182" spans="4:12" x14ac:dyDescent="0.2">
      <c r="D8182" s="341"/>
      <c r="F8182" s="343"/>
      <c r="G8182" s="343"/>
      <c r="H8182" s="343"/>
      <c r="I8182" s="343"/>
      <c r="J8182" s="343"/>
      <c r="K8182" s="343"/>
      <c r="L8182" s="343"/>
    </row>
    <row r="8183" spans="4:12" x14ac:dyDescent="0.2">
      <c r="D8183" s="341"/>
      <c r="F8183" s="343"/>
      <c r="G8183" s="343"/>
      <c r="H8183" s="343"/>
      <c r="I8183" s="343"/>
      <c r="J8183" s="343"/>
      <c r="K8183" s="343"/>
      <c r="L8183" s="343"/>
    </row>
    <row r="8184" spans="4:12" x14ac:dyDescent="0.2">
      <c r="D8184" s="341"/>
      <c r="F8184" s="343"/>
      <c r="G8184" s="343"/>
      <c r="H8184" s="343"/>
      <c r="I8184" s="343"/>
      <c r="J8184" s="343"/>
      <c r="K8184" s="343"/>
      <c r="L8184" s="343"/>
    </row>
    <row r="8185" spans="4:12" x14ac:dyDescent="0.2">
      <c r="D8185" s="341"/>
      <c r="F8185" s="343"/>
      <c r="G8185" s="343"/>
      <c r="H8185" s="343"/>
      <c r="I8185" s="343"/>
      <c r="J8185" s="343"/>
      <c r="K8185" s="343"/>
      <c r="L8185" s="343"/>
    </row>
    <row r="8186" spans="4:12" x14ac:dyDescent="0.2">
      <c r="D8186" s="341"/>
      <c r="F8186" s="343"/>
      <c r="G8186" s="343"/>
      <c r="H8186" s="343"/>
      <c r="I8186" s="343"/>
      <c r="J8186" s="343"/>
      <c r="K8186" s="343"/>
      <c r="L8186" s="343"/>
    </row>
    <row r="8187" spans="4:12" x14ac:dyDescent="0.2">
      <c r="D8187" s="341"/>
      <c r="F8187" s="343"/>
      <c r="G8187" s="343"/>
      <c r="H8187" s="343"/>
      <c r="I8187" s="343"/>
      <c r="J8187" s="343"/>
      <c r="K8187" s="343"/>
      <c r="L8187" s="343"/>
    </row>
    <row r="8188" spans="4:12" x14ac:dyDescent="0.2">
      <c r="D8188" s="341"/>
      <c r="F8188" s="343"/>
      <c r="G8188" s="343"/>
      <c r="H8188" s="343"/>
      <c r="I8188" s="343"/>
      <c r="J8188" s="343"/>
      <c r="K8188" s="343"/>
      <c r="L8188" s="343"/>
    </row>
    <row r="8189" spans="4:12" x14ac:dyDescent="0.2">
      <c r="D8189" s="341"/>
      <c r="F8189" s="343"/>
      <c r="G8189" s="343"/>
      <c r="H8189" s="343"/>
      <c r="I8189" s="343"/>
      <c r="J8189" s="343"/>
      <c r="K8189" s="343"/>
      <c r="L8189" s="343"/>
    </row>
    <row r="8190" spans="4:12" x14ac:dyDescent="0.2">
      <c r="D8190" s="341"/>
      <c r="F8190" s="343"/>
      <c r="G8190" s="343"/>
      <c r="H8190" s="343"/>
      <c r="I8190" s="343"/>
      <c r="J8190" s="343"/>
      <c r="K8190" s="343"/>
      <c r="L8190" s="343"/>
    </row>
    <row r="8191" spans="4:12" x14ac:dyDescent="0.2">
      <c r="D8191" s="341"/>
      <c r="F8191" s="343"/>
      <c r="G8191" s="343"/>
      <c r="H8191" s="343"/>
      <c r="I8191" s="343"/>
      <c r="J8191" s="343"/>
      <c r="K8191" s="343"/>
      <c r="L8191" s="343"/>
    </row>
    <row r="8192" spans="4:12" x14ac:dyDescent="0.2">
      <c r="D8192" s="341"/>
      <c r="F8192" s="343"/>
      <c r="G8192" s="343"/>
      <c r="H8192" s="343"/>
      <c r="I8192" s="343"/>
      <c r="J8192" s="343"/>
      <c r="K8192" s="343"/>
      <c r="L8192" s="343"/>
    </row>
    <row r="8193" spans="4:12" x14ac:dyDescent="0.2">
      <c r="D8193" s="341"/>
      <c r="F8193" s="343"/>
      <c r="G8193" s="343"/>
      <c r="H8193" s="343"/>
      <c r="I8193" s="343"/>
      <c r="J8193" s="343"/>
      <c r="K8193" s="343"/>
      <c r="L8193" s="343"/>
    </row>
    <row r="8194" spans="4:12" x14ac:dyDescent="0.2">
      <c r="D8194" s="341"/>
      <c r="F8194" s="343"/>
      <c r="G8194" s="343"/>
      <c r="H8194" s="343"/>
      <c r="I8194" s="343"/>
      <c r="J8194" s="343"/>
      <c r="K8194" s="343"/>
      <c r="L8194" s="343"/>
    </row>
    <row r="8195" spans="4:12" x14ac:dyDescent="0.2">
      <c r="D8195" s="341"/>
      <c r="F8195" s="343"/>
      <c r="G8195" s="343"/>
      <c r="H8195" s="343"/>
      <c r="I8195" s="343"/>
      <c r="J8195" s="343"/>
      <c r="K8195" s="343"/>
      <c r="L8195" s="343"/>
    </row>
    <row r="8196" spans="4:12" x14ac:dyDescent="0.2">
      <c r="D8196" s="341"/>
      <c r="F8196" s="343"/>
      <c r="G8196" s="343"/>
      <c r="H8196" s="343"/>
      <c r="I8196" s="343"/>
      <c r="J8196" s="343"/>
      <c r="K8196" s="343"/>
      <c r="L8196" s="343"/>
    </row>
    <row r="8197" spans="4:12" x14ac:dyDescent="0.2">
      <c r="D8197" s="341"/>
      <c r="F8197" s="343"/>
      <c r="G8197" s="343"/>
      <c r="H8197" s="343"/>
      <c r="I8197" s="343"/>
      <c r="J8197" s="343"/>
      <c r="K8197" s="343"/>
      <c r="L8197" s="343"/>
    </row>
    <row r="8198" spans="4:12" x14ac:dyDescent="0.2">
      <c r="D8198" s="341"/>
      <c r="F8198" s="343"/>
      <c r="G8198" s="343"/>
      <c r="H8198" s="343"/>
      <c r="I8198" s="343"/>
      <c r="J8198" s="343"/>
      <c r="K8198" s="343"/>
      <c r="L8198" s="343"/>
    </row>
    <row r="8199" spans="4:12" x14ac:dyDescent="0.2">
      <c r="D8199" s="341"/>
      <c r="F8199" s="343"/>
      <c r="G8199" s="343"/>
      <c r="H8199" s="343"/>
      <c r="I8199" s="343"/>
      <c r="J8199" s="343"/>
      <c r="K8199" s="343"/>
      <c r="L8199" s="343"/>
    </row>
    <row r="8200" spans="4:12" x14ac:dyDescent="0.2">
      <c r="D8200" s="341"/>
      <c r="F8200" s="343"/>
      <c r="G8200" s="343"/>
      <c r="H8200" s="343"/>
      <c r="I8200" s="343"/>
      <c r="J8200" s="343"/>
      <c r="K8200" s="343"/>
      <c r="L8200" s="343"/>
    </row>
    <row r="8201" spans="4:12" x14ac:dyDescent="0.2">
      <c r="D8201" s="341"/>
      <c r="F8201" s="343"/>
      <c r="G8201" s="343"/>
      <c r="H8201" s="343"/>
      <c r="I8201" s="343"/>
      <c r="J8201" s="343"/>
      <c r="K8201" s="343"/>
      <c r="L8201" s="343"/>
    </row>
    <row r="8202" spans="4:12" x14ac:dyDescent="0.2">
      <c r="D8202" s="341"/>
      <c r="F8202" s="343"/>
      <c r="G8202" s="343"/>
      <c r="H8202" s="343"/>
      <c r="I8202" s="343"/>
      <c r="J8202" s="343"/>
      <c r="K8202" s="343"/>
      <c r="L8202" s="343"/>
    </row>
    <row r="8203" spans="4:12" x14ac:dyDescent="0.2">
      <c r="D8203" s="341"/>
      <c r="F8203" s="343"/>
      <c r="G8203" s="343"/>
      <c r="H8203" s="343"/>
      <c r="I8203" s="343"/>
      <c r="J8203" s="343"/>
      <c r="K8203" s="343"/>
      <c r="L8203" s="343"/>
    </row>
    <row r="8204" spans="4:12" x14ac:dyDescent="0.2">
      <c r="D8204" s="341"/>
      <c r="F8204" s="343"/>
      <c r="G8204" s="343"/>
      <c r="H8204" s="343"/>
      <c r="I8204" s="343"/>
      <c r="J8204" s="343"/>
      <c r="K8204" s="343"/>
      <c r="L8204" s="343"/>
    </row>
    <row r="8205" spans="4:12" x14ac:dyDescent="0.2">
      <c r="D8205" s="341"/>
      <c r="F8205" s="343"/>
      <c r="G8205" s="343"/>
      <c r="H8205" s="343"/>
      <c r="I8205" s="343"/>
      <c r="J8205" s="343"/>
      <c r="K8205" s="343"/>
      <c r="L8205" s="343"/>
    </row>
    <row r="8206" spans="4:12" x14ac:dyDescent="0.2">
      <c r="D8206" s="341"/>
      <c r="F8206" s="343"/>
      <c r="G8206" s="343"/>
      <c r="H8206" s="343"/>
      <c r="I8206" s="343"/>
      <c r="J8206" s="343"/>
      <c r="K8206" s="343"/>
      <c r="L8206" s="343"/>
    </row>
    <row r="8207" spans="4:12" x14ac:dyDescent="0.2">
      <c r="D8207" s="341"/>
      <c r="F8207" s="343"/>
      <c r="G8207" s="343"/>
      <c r="H8207" s="343"/>
      <c r="I8207" s="343"/>
      <c r="J8207" s="343"/>
      <c r="K8207" s="343"/>
      <c r="L8207" s="343"/>
    </row>
    <row r="8208" spans="4:12" x14ac:dyDescent="0.2">
      <c r="D8208" s="341"/>
      <c r="F8208" s="343"/>
      <c r="G8208" s="343"/>
      <c r="H8208" s="343"/>
      <c r="I8208" s="343"/>
      <c r="J8208" s="343"/>
      <c r="K8208" s="343"/>
      <c r="L8208" s="343"/>
    </row>
    <row r="8209" spans="4:12" x14ac:dyDescent="0.2">
      <c r="D8209" s="341"/>
      <c r="F8209" s="343"/>
      <c r="G8209" s="343"/>
      <c r="H8209" s="343"/>
      <c r="I8209" s="343"/>
      <c r="J8209" s="343"/>
      <c r="K8209" s="343"/>
      <c r="L8209" s="343"/>
    </row>
    <row r="8210" spans="4:12" x14ac:dyDescent="0.2">
      <c r="D8210" s="341"/>
      <c r="F8210" s="343"/>
      <c r="G8210" s="343"/>
      <c r="H8210" s="343"/>
      <c r="I8210" s="343"/>
      <c r="J8210" s="343"/>
      <c r="K8210" s="343"/>
      <c r="L8210" s="343"/>
    </row>
    <row r="8211" spans="4:12" x14ac:dyDescent="0.2">
      <c r="D8211" s="341"/>
      <c r="F8211" s="343"/>
      <c r="G8211" s="343"/>
      <c r="H8211" s="343"/>
      <c r="I8211" s="343"/>
      <c r="J8211" s="343"/>
      <c r="K8211" s="343"/>
      <c r="L8211" s="343"/>
    </row>
    <row r="8212" spans="4:12" x14ac:dyDescent="0.2">
      <c r="D8212" s="341"/>
      <c r="F8212" s="343"/>
      <c r="G8212" s="343"/>
      <c r="H8212" s="343"/>
      <c r="I8212" s="343"/>
      <c r="J8212" s="343"/>
      <c r="K8212" s="343"/>
      <c r="L8212" s="343"/>
    </row>
    <row r="8213" spans="4:12" x14ac:dyDescent="0.2">
      <c r="D8213" s="341"/>
      <c r="F8213" s="343"/>
      <c r="G8213" s="343"/>
      <c r="H8213" s="343"/>
      <c r="I8213" s="343"/>
      <c r="J8213" s="343"/>
      <c r="K8213" s="343"/>
      <c r="L8213" s="343"/>
    </row>
    <row r="8214" spans="4:12" x14ac:dyDescent="0.2">
      <c r="D8214" s="341"/>
      <c r="F8214" s="343"/>
      <c r="G8214" s="343"/>
      <c r="H8214" s="343"/>
      <c r="I8214" s="343"/>
      <c r="J8214" s="343"/>
      <c r="K8214" s="343"/>
      <c r="L8214" s="343"/>
    </row>
    <row r="8215" spans="4:12" x14ac:dyDescent="0.2">
      <c r="D8215" s="341"/>
      <c r="F8215" s="343"/>
      <c r="G8215" s="343"/>
      <c r="H8215" s="343"/>
      <c r="I8215" s="343"/>
      <c r="J8215" s="343"/>
      <c r="K8215" s="343"/>
      <c r="L8215" s="343"/>
    </row>
    <row r="8216" spans="4:12" x14ac:dyDescent="0.2">
      <c r="D8216" s="341"/>
      <c r="F8216" s="343"/>
      <c r="G8216" s="343"/>
      <c r="H8216" s="343"/>
      <c r="I8216" s="343"/>
      <c r="J8216" s="343"/>
      <c r="K8216" s="343"/>
      <c r="L8216" s="343"/>
    </row>
    <row r="8217" spans="4:12" x14ac:dyDescent="0.2">
      <c r="D8217" s="341"/>
      <c r="F8217" s="343"/>
      <c r="G8217" s="343"/>
      <c r="H8217" s="343"/>
      <c r="I8217" s="343"/>
      <c r="J8217" s="343"/>
      <c r="K8217" s="343"/>
      <c r="L8217" s="343"/>
    </row>
    <row r="8218" spans="4:12" x14ac:dyDescent="0.2">
      <c r="D8218" s="341"/>
      <c r="F8218" s="343"/>
      <c r="G8218" s="343"/>
      <c r="H8218" s="343"/>
      <c r="I8218" s="343"/>
      <c r="J8218" s="343"/>
      <c r="K8218" s="343"/>
      <c r="L8218" s="343"/>
    </row>
    <row r="8219" spans="4:12" x14ac:dyDescent="0.2">
      <c r="D8219" s="341"/>
      <c r="F8219" s="343"/>
      <c r="G8219" s="343"/>
      <c r="H8219" s="343"/>
      <c r="I8219" s="343"/>
      <c r="J8219" s="343"/>
      <c r="K8219" s="343"/>
      <c r="L8219" s="343"/>
    </row>
    <row r="8220" spans="4:12" x14ac:dyDescent="0.2">
      <c r="D8220" s="341"/>
      <c r="F8220" s="343"/>
      <c r="G8220" s="343"/>
      <c r="H8220" s="343"/>
      <c r="I8220" s="343"/>
      <c r="J8220" s="343"/>
      <c r="K8220" s="343"/>
      <c r="L8220" s="343"/>
    </row>
    <row r="8221" spans="4:12" x14ac:dyDescent="0.2">
      <c r="D8221" s="341"/>
      <c r="F8221" s="343"/>
      <c r="G8221" s="343"/>
      <c r="H8221" s="343"/>
      <c r="I8221" s="343"/>
      <c r="J8221" s="343"/>
      <c r="K8221" s="343"/>
      <c r="L8221" s="343"/>
    </row>
    <row r="8222" spans="4:12" x14ac:dyDescent="0.2">
      <c r="D8222" s="341"/>
      <c r="F8222" s="343"/>
      <c r="G8222" s="343"/>
      <c r="H8222" s="343"/>
      <c r="I8222" s="343"/>
      <c r="J8222" s="343"/>
      <c r="K8222" s="343"/>
      <c r="L8222" s="343"/>
    </row>
    <row r="8223" spans="4:12" x14ac:dyDescent="0.2">
      <c r="D8223" s="341"/>
      <c r="F8223" s="343"/>
      <c r="G8223" s="343"/>
      <c r="H8223" s="343"/>
      <c r="I8223" s="343"/>
      <c r="J8223" s="343"/>
      <c r="K8223" s="343"/>
      <c r="L8223" s="343"/>
    </row>
    <row r="8224" spans="4:12" x14ac:dyDescent="0.2">
      <c r="D8224" s="341"/>
      <c r="F8224" s="343"/>
      <c r="G8224" s="343"/>
      <c r="H8224" s="343"/>
      <c r="I8224" s="343"/>
      <c r="J8224" s="343"/>
      <c r="K8224" s="343"/>
      <c r="L8224" s="343"/>
    </row>
    <row r="8225" spans="4:12" x14ac:dyDescent="0.2">
      <c r="D8225" s="341"/>
      <c r="F8225" s="343"/>
      <c r="G8225" s="343"/>
      <c r="H8225" s="343"/>
      <c r="I8225" s="343"/>
      <c r="J8225" s="343"/>
      <c r="K8225" s="343"/>
      <c r="L8225" s="343"/>
    </row>
    <row r="8226" spans="4:12" x14ac:dyDescent="0.2">
      <c r="D8226" s="341"/>
      <c r="F8226" s="343"/>
      <c r="G8226" s="343"/>
      <c r="H8226" s="343"/>
      <c r="I8226" s="343"/>
      <c r="J8226" s="343"/>
      <c r="K8226" s="343"/>
      <c r="L8226" s="343"/>
    </row>
    <row r="8227" spans="4:12" x14ac:dyDescent="0.2">
      <c r="D8227" s="341"/>
      <c r="F8227" s="343"/>
      <c r="G8227" s="343"/>
      <c r="H8227" s="343"/>
      <c r="I8227" s="343"/>
      <c r="J8227" s="343"/>
      <c r="K8227" s="343"/>
      <c r="L8227" s="343"/>
    </row>
    <row r="8228" spans="4:12" x14ac:dyDescent="0.2">
      <c r="D8228" s="341"/>
      <c r="F8228" s="343"/>
      <c r="G8228" s="343"/>
      <c r="H8228" s="343"/>
      <c r="I8228" s="343"/>
      <c r="J8228" s="343"/>
      <c r="K8228" s="343"/>
      <c r="L8228" s="343"/>
    </row>
    <row r="8229" spans="4:12" x14ac:dyDescent="0.2">
      <c r="D8229" s="341"/>
      <c r="F8229" s="343"/>
      <c r="G8229" s="343"/>
      <c r="H8229" s="343"/>
      <c r="I8229" s="343"/>
      <c r="J8229" s="343"/>
      <c r="K8229" s="343"/>
      <c r="L8229" s="343"/>
    </row>
    <row r="8230" spans="4:12" x14ac:dyDescent="0.2">
      <c r="D8230" s="341"/>
      <c r="F8230" s="343"/>
      <c r="G8230" s="343"/>
      <c r="H8230" s="343"/>
      <c r="I8230" s="343"/>
      <c r="J8230" s="343"/>
      <c r="K8230" s="343"/>
      <c r="L8230" s="343"/>
    </row>
    <row r="8231" spans="4:12" x14ac:dyDescent="0.2">
      <c r="D8231" s="341"/>
      <c r="F8231" s="343"/>
      <c r="G8231" s="343"/>
      <c r="H8231" s="343"/>
      <c r="I8231" s="343"/>
      <c r="J8231" s="343"/>
      <c r="K8231" s="343"/>
      <c r="L8231" s="343"/>
    </row>
    <row r="8232" spans="4:12" x14ac:dyDescent="0.2">
      <c r="D8232" s="341"/>
      <c r="F8232" s="343"/>
      <c r="G8232" s="343"/>
      <c r="H8232" s="343"/>
      <c r="I8232" s="343"/>
      <c r="J8232" s="343"/>
      <c r="K8232" s="343"/>
      <c r="L8232" s="343"/>
    </row>
    <row r="8233" spans="4:12" x14ac:dyDescent="0.2">
      <c r="D8233" s="341"/>
      <c r="F8233" s="343"/>
      <c r="G8233" s="343"/>
      <c r="H8233" s="343"/>
      <c r="I8233" s="343"/>
      <c r="J8233" s="343"/>
      <c r="K8233" s="343"/>
      <c r="L8233" s="343"/>
    </row>
    <row r="8234" spans="4:12" x14ac:dyDescent="0.2">
      <c r="D8234" s="341"/>
      <c r="F8234" s="343"/>
      <c r="G8234" s="343"/>
      <c r="H8234" s="343"/>
      <c r="I8234" s="343"/>
      <c r="J8234" s="343"/>
      <c r="K8234" s="343"/>
      <c r="L8234" s="343"/>
    </row>
    <row r="8235" spans="4:12" x14ac:dyDescent="0.2">
      <c r="D8235" s="341"/>
      <c r="F8235" s="343"/>
      <c r="G8235" s="343"/>
      <c r="H8235" s="343"/>
      <c r="I8235" s="343"/>
      <c r="J8235" s="343"/>
      <c r="K8235" s="343"/>
      <c r="L8235" s="343"/>
    </row>
    <row r="8236" spans="4:12" x14ac:dyDescent="0.2">
      <c r="D8236" s="341"/>
      <c r="F8236" s="343"/>
      <c r="G8236" s="343"/>
      <c r="H8236" s="343"/>
      <c r="I8236" s="343"/>
      <c r="J8236" s="343"/>
      <c r="K8236" s="343"/>
      <c r="L8236" s="343"/>
    </row>
    <row r="8237" spans="4:12" x14ac:dyDescent="0.2">
      <c r="D8237" s="341"/>
      <c r="F8237" s="343"/>
      <c r="G8237" s="343"/>
      <c r="H8237" s="343"/>
      <c r="I8237" s="343"/>
      <c r="J8237" s="343"/>
      <c r="K8237" s="343"/>
      <c r="L8237" s="343"/>
    </row>
    <row r="8238" spans="4:12" x14ac:dyDescent="0.2">
      <c r="D8238" s="341"/>
      <c r="F8238" s="343"/>
      <c r="G8238" s="343"/>
      <c r="H8238" s="343"/>
      <c r="I8238" s="343"/>
      <c r="J8238" s="343"/>
      <c r="K8238" s="343"/>
      <c r="L8238" s="343"/>
    </row>
    <row r="8239" spans="4:12" x14ac:dyDescent="0.2">
      <c r="D8239" s="341"/>
      <c r="F8239" s="343"/>
      <c r="G8239" s="343"/>
      <c r="H8239" s="343"/>
      <c r="I8239" s="343"/>
      <c r="J8239" s="343"/>
      <c r="K8239" s="343"/>
      <c r="L8239" s="343"/>
    </row>
    <row r="8240" spans="4:12" x14ac:dyDescent="0.2">
      <c r="D8240" s="341"/>
      <c r="F8240" s="343"/>
      <c r="G8240" s="343"/>
      <c r="H8240" s="343"/>
      <c r="I8240" s="343"/>
      <c r="J8240" s="343"/>
      <c r="K8240" s="343"/>
      <c r="L8240" s="343"/>
    </row>
    <row r="8241" spans="4:12" x14ac:dyDescent="0.2">
      <c r="D8241" s="341"/>
      <c r="F8241" s="343"/>
      <c r="G8241" s="343"/>
      <c r="H8241" s="343"/>
      <c r="I8241" s="343"/>
      <c r="J8241" s="343"/>
      <c r="K8241" s="343"/>
      <c r="L8241" s="343"/>
    </row>
    <row r="8242" spans="4:12" x14ac:dyDescent="0.2">
      <c r="D8242" s="341"/>
      <c r="F8242" s="343"/>
      <c r="G8242" s="343"/>
      <c r="H8242" s="343"/>
      <c r="I8242" s="343"/>
      <c r="J8242" s="343"/>
      <c r="K8242" s="343"/>
      <c r="L8242" s="343"/>
    </row>
    <row r="8243" spans="4:12" x14ac:dyDescent="0.2">
      <c r="D8243" s="341"/>
      <c r="F8243" s="343"/>
      <c r="G8243" s="343"/>
      <c r="H8243" s="343"/>
      <c r="I8243" s="343"/>
      <c r="J8243" s="343"/>
      <c r="K8243" s="343"/>
      <c r="L8243" s="343"/>
    </row>
    <row r="8244" spans="4:12" x14ac:dyDescent="0.2">
      <c r="D8244" s="341"/>
      <c r="F8244" s="343"/>
      <c r="G8244" s="343"/>
      <c r="H8244" s="343"/>
      <c r="I8244" s="343"/>
      <c r="J8244" s="343"/>
      <c r="K8244" s="343"/>
      <c r="L8244" s="343"/>
    </row>
    <row r="8245" spans="4:12" x14ac:dyDescent="0.2">
      <c r="D8245" s="341"/>
      <c r="F8245" s="343"/>
      <c r="G8245" s="343"/>
      <c r="H8245" s="343"/>
      <c r="I8245" s="343"/>
      <c r="J8245" s="343"/>
      <c r="K8245" s="343"/>
      <c r="L8245" s="343"/>
    </row>
    <row r="8246" spans="4:12" x14ac:dyDescent="0.2">
      <c r="D8246" s="341"/>
      <c r="F8246" s="343"/>
      <c r="G8246" s="343"/>
      <c r="H8246" s="343"/>
      <c r="I8246" s="343"/>
      <c r="J8246" s="343"/>
      <c r="K8246" s="343"/>
      <c r="L8246" s="343"/>
    </row>
    <row r="8247" spans="4:12" x14ac:dyDescent="0.2">
      <c r="D8247" s="341"/>
      <c r="F8247" s="343"/>
      <c r="G8247" s="343"/>
      <c r="H8247" s="343"/>
      <c r="I8247" s="343"/>
      <c r="J8247" s="343"/>
      <c r="K8247" s="343"/>
      <c r="L8247" s="343"/>
    </row>
    <row r="8248" spans="4:12" x14ac:dyDescent="0.2">
      <c r="D8248" s="341"/>
      <c r="F8248" s="343"/>
      <c r="G8248" s="343"/>
      <c r="H8248" s="343"/>
      <c r="I8248" s="343"/>
      <c r="J8248" s="343"/>
      <c r="K8248" s="343"/>
      <c r="L8248" s="343"/>
    </row>
    <row r="8249" spans="4:12" x14ac:dyDescent="0.2">
      <c r="D8249" s="341"/>
      <c r="F8249" s="343"/>
      <c r="G8249" s="343"/>
      <c r="H8249" s="343"/>
      <c r="I8249" s="343"/>
      <c r="J8249" s="343"/>
      <c r="K8249" s="343"/>
      <c r="L8249" s="343"/>
    </row>
    <row r="8250" spans="4:12" x14ac:dyDescent="0.2">
      <c r="D8250" s="341"/>
      <c r="F8250" s="343"/>
      <c r="G8250" s="343"/>
      <c r="H8250" s="343"/>
      <c r="I8250" s="343"/>
      <c r="J8250" s="343"/>
      <c r="K8250" s="343"/>
      <c r="L8250" s="343"/>
    </row>
    <row r="8251" spans="4:12" x14ac:dyDescent="0.2">
      <c r="D8251" s="341"/>
      <c r="F8251" s="343"/>
      <c r="G8251" s="343"/>
      <c r="H8251" s="343"/>
      <c r="I8251" s="343"/>
      <c r="J8251" s="343"/>
      <c r="K8251" s="343"/>
      <c r="L8251" s="343"/>
    </row>
    <row r="8252" spans="4:12" x14ac:dyDescent="0.2">
      <c r="D8252" s="341"/>
      <c r="F8252" s="343"/>
      <c r="G8252" s="343"/>
      <c r="H8252" s="343"/>
      <c r="I8252" s="343"/>
      <c r="J8252" s="343"/>
      <c r="K8252" s="343"/>
      <c r="L8252" s="343"/>
    </row>
    <row r="8253" spans="4:12" x14ac:dyDescent="0.2">
      <c r="D8253" s="341"/>
      <c r="F8253" s="343"/>
      <c r="G8253" s="343"/>
      <c r="H8253" s="343"/>
      <c r="I8253" s="343"/>
      <c r="J8253" s="343"/>
      <c r="K8253" s="343"/>
      <c r="L8253" s="343"/>
    </row>
    <row r="8254" spans="4:12" x14ac:dyDescent="0.2">
      <c r="D8254" s="341"/>
      <c r="F8254" s="343"/>
      <c r="G8254" s="343"/>
      <c r="H8254" s="343"/>
      <c r="I8254" s="343"/>
      <c r="J8254" s="343"/>
      <c r="K8254" s="343"/>
      <c r="L8254" s="343"/>
    </row>
    <row r="8255" spans="4:12" x14ac:dyDescent="0.2">
      <c r="D8255" s="341"/>
      <c r="F8255" s="343"/>
      <c r="G8255" s="343"/>
      <c r="H8255" s="343"/>
      <c r="I8255" s="343"/>
      <c r="J8255" s="343"/>
      <c r="K8255" s="343"/>
      <c r="L8255" s="343"/>
    </row>
    <row r="8256" spans="4:12" x14ac:dyDescent="0.2">
      <c r="D8256" s="341"/>
      <c r="F8256" s="343"/>
      <c r="G8256" s="343"/>
      <c r="H8256" s="343"/>
      <c r="I8256" s="343"/>
      <c r="J8256" s="343"/>
      <c r="K8256" s="343"/>
      <c r="L8256" s="343"/>
    </row>
    <row r="8257" spans="4:12" x14ac:dyDescent="0.2">
      <c r="D8257" s="341"/>
      <c r="F8257" s="343"/>
      <c r="G8257" s="343"/>
      <c r="H8257" s="343"/>
      <c r="I8257" s="343"/>
      <c r="J8257" s="343"/>
      <c r="K8257" s="343"/>
      <c r="L8257" s="343"/>
    </row>
    <row r="8258" spans="4:12" x14ac:dyDescent="0.2">
      <c r="D8258" s="341"/>
      <c r="F8258" s="343"/>
      <c r="G8258" s="343"/>
      <c r="H8258" s="343"/>
      <c r="I8258" s="343"/>
      <c r="J8258" s="343"/>
      <c r="K8258" s="343"/>
      <c r="L8258" s="343"/>
    </row>
    <row r="8259" spans="4:12" x14ac:dyDescent="0.2">
      <c r="D8259" s="341"/>
      <c r="F8259" s="343"/>
      <c r="G8259" s="343"/>
      <c r="H8259" s="343"/>
      <c r="I8259" s="343"/>
      <c r="J8259" s="343"/>
      <c r="K8259" s="343"/>
      <c r="L8259" s="343"/>
    </row>
    <row r="8260" spans="4:12" x14ac:dyDescent="0.2">
      <c r="D8260" s="341"/>
      <c r="F8260" s="343"/>
      <c r="G8260" s="343"/>
      <c r="H8260" s="343"/>
      <c r="I8260" s="343"/>
      <c r="J8260" s="343"/>
      <c r="K8260" s="343"/>
      <c r="L8260" s="343"/>
    </row>
    <row r="8261" spans="4:12" x14ac:dyDescent="0.2">
      <c r="D8261" s="341"/>
      <c r="F8261" s="343"/>
      <c r="G8261" s="343"/>
      <c r="H8261" s="343"/>
      <c r="I8261" s="343"/>
      <c r="J8261" s="343"/>
      <c r="K8261" s="343"/>
      <c r="L8261" s="343"/>
    </row>
    <row r="8262" spans="4:12" x14ac:dyDescent="0.2">
      <c r="D8262" s="341"/>
      <c r="F8262" s="343"/>
      <c r="G8262" s="343"/>
      <c r="H8262" s="343"/>
      <c r="I8262" s="343"/>
      <c r="J8262" s="343"/>
      <c r="K8262" s="343"/>
      <c r="L8262" s="343"/>
    </row>
    <row r="8263" spans="4:12" x14ac:dyDescent="0.2">
      <c r="D8263" s="341"/>
      <c r="F8263" s="343"/>
      <c r="G8263" s="343"/>
      <c r="H8263" s="343"/>
      <c r="I8263" s="343"/>
      <c r="J8263" s="343"/>
      <c r="K8263" s="343"/>
      <c r="L8263" s="343"/>
    </row>
    <row r="8264" spans="4:12" x14ac:dyDescent="0.2">
      <c r="D8264" s="341"/>
      <c r="F8264" s="343"/>
      <c r="G8264" s="343"/>
      <c r="H8264" s="343"/>
      <c r="I8264" s="343"/>
      <c r="J8264" s="343"/>
      <c r="K8264" s="343"/>
      <c r="L8264" s="343"/>
    </row>
    <row r="8265" spans="4:12" x14ac:dyDescent="0.2">
      <c r="D8265" s="341"/>
      <c r="F8265" s="343"/>
      <c r="G8265" s="343"/>
      <c r="H8265" s="343"/>
      <c r="I8265" s="343"/>
      <c r="J8265" s="343"/>
      <c r="K8265" s="343"/>
      <c r="L8265" s="343"/>
    </row>
    <row r="8266" spans="4:12" x14ac:dyDescent="0.2">
      <c r="D8266" s="341"/>
      <c r="F8266" s="343"/>
      <c r="G8266" s="343"/>
      <c r="H8266" s="343"/>
      <c r="I8266" s="343"/>
      <c r="J8266" s="343"/>
      <c r="K8266" s="343"/>
      <c r="L8266" s="343"/>
    </row>
    <row r="8267" spans="4:12" x14ac:dyDescent="0.2">
      <c r="D8267" s="341"/>
      <c r="F8267" s="343"/>
      <c r="G8267" s="343"/>
      <c r="H8267" s="343"/>
      <c r="I8267" s="343"/>
      <c r="J8267" s="343"/>
      <c r="K8267" s="343"/>
      <c r="L8267" s="343"/>
    </row>
    <row r="8268" spans="4:12" x14ac:dyDescent="0.2">
      <c r="D8268" s="341"/>
      <c r="F8268" s="343"/>
      <c r="G8268" s="343"/>
      <c r="H8268" s="343"/>
      <c r="I8268" s="343"/>
      <c r="J8268" s="343"/>
      <c r="K8268" s="343"/>
      <c r="L8268" s="343"/>
    </row>
    <row r="8269" spans="4:12" x14ac:dyDescent="0.2">
      <c r="D8269" s="341"/>
      <c r="F8269" s="343"/>
      <c r="G8269" s="343"/>
      <c r="H8269" s="343"/>
      <c r="I8269" s="343"/>
      <c r="J8269" s="343"/>
      <c r="K8269" s="343"/>
      <c r="L8269" s="343"/>
    </row>
    <row r="8270" spans="4:12" x14ac:dyDescent="0.2">
      <c r="D8270" s="341"/>
      <c r="F8270" s="343"/>
      <c r="G8270" s="343"/>
      <c r="H8270" s="343"/>
      <c r="I8270" s="343"/>
      <c r="J8270" s="343"/>
      <c r="K8270" s="343"/>
      <c r="L8270" s="343"/>
    </row>
    <row r="8271" spans="4:12" x14ac:dyDescent="0.2">
      <c r="D8271" s="341"/>
      <c r="F8271" s="343"/>
      <c r="G8271" s="343"/>
      <c r="H8271" s="343"/>
      <c r="I8271" s="343"/>
      <c r="J8271" s="343"/>
      <c r="K8271" s="343"/>
      <c r="L8271" s="343"/>
    </row>
    <row r="8272" spans="4:12" x14ac:dyDescent="0.2">
      <c r="D8272" s="341"/>
      <c r="F8272" s="343"/>
      <c r="G8272" s="343"/>
      <c r="H8272" s="343"/>
      <c r="I8272" s="343"/>
      <c r="J8272" s="343"/>
      <c r="K8272" s="343"/>
      <c r="L8272" s="343"/>
    </row>
    <row r="8273" spans="4:12" x14ac:dyDescent="0.2">
      <c r="D8273" s="341"/>
      <c r="F8273" s="343"/>
      <c r="G8273" s="343"/>
      <c r="H8273" s="343"/>
      <c r="I8273" s="343"/>
      <c r="J8273" s="343"/>
      <c r="K8273" s="343"/>
      <c r="L8273" s="343"/>
    </row>
    <row r="8274" spans="4:12" x14ac:dyDescent="0.2">
      <c r="D8274" s="341"/>
      <c r="F8274" s="343"/>
      <c r="G8274" s="343"/>
      <c r="H8274" s="343"/>
      <c r="I8274" s="343"/>
      <c r="J8274" s="343"/>
      <c r="K8274" s="343"/>
      <c r="L8274" s="343"/>
    </row>
    <row r="8275" spans="4:12" x14ac:dyDescent="0.2">
      <c r="D8275" s="341"/>
      <c r="F8275" s="343"/>
      <c r="G8275" s="343"/>
      <c r="H8275" s="343"/>
      <c r="I8275" s="343"/>
      <c r="J8275" s="343"/>
      <c r="K8275" s="343"/>
      <c r="L8275" s="343"/>
    </row>
    <row r="8276" spans="4:12" x14ac:dyDescent="0.2">
      <c r="D8276" s="341"/>
      <c r="F8276" s="343"/>
      <c r="G8276" s="343"/>
      <c r="H8276" s="343"/>
      <c r="I8276" s="343"/>
      <c r="J8276" s="343"/>
      <c r="K8276" s="343"/>
      <c r="L8276" s="343"/>
    </row>
    <row r="8277" spans="4:12" x14ac:dyDescent="0.2">
      <c r="D8277" s="341"/>
      <c r="F8277" s="343"/>
      <c r="G8277" s="343"/>
      <c r="H8277" s="343"/>
      <c r="I8277" s="343"/>
      <c r="J8277" s="343"/>
      <c r="K8277" s="343"/>
      <c r="L8277" s="343"/>
    </row>
    <row r="8278" spans="4:12" x14ac:dyDescent="0.2">
      <c r="D8278" s="341"/>
      <c r="F8278" s="343"/>
      <c r="G8278" s="343"/>
      <c r="H8278" s="343"/>
      <c r="I8278" s="343"/>
      <c r="J8278" s="343"/>
      <c r="K8278" s="343"/>
      <c r="L8278" s="343"/>
    </row>
    <row r="8279" spans="4:12" x14ac:dyDescent="0.2">
      <c r="D8279" s="341"/>
      <c r="F8279" s="343"/>
      <c r="G8279" s="343"/>
      <c r="H8279" s="343"/>
      <c r="I8279" s="343"/>
      <c r="J8279" s="343"/>
      <c r="K8279" s="343"/>
      <c r="L8279" s="343"/>
    </row>
    <row r="8280" spans="4:12" x14ac:dyDescent="0.2">
      <c r="D8280" s="341"/>
      <c r="F8280" s="343"/>
      <c r="G8280" s="343"/>
      <c r="H8280" s="343"/>
      <c r="I8280" s="343"/>
      <c r="J8280" s="343"/>
      <c r="K8280" s="343"/>
      <c r="L8280" s="343"/>
    </row>
    <row r="8281" spans="4:12" x14ac:dyDescent="0.2">
      <c r="D8281" s="341"/>
      <c r="F8281" s="343"/>
      <c r="G8281" s="343"/>
      <c r="H8281" s="343"/>
      <c r="I8281" s="343"/>
      <c r="J8281" s="343"/>
      <c r="K8281" s="343"/>
      <c r="L8281" s="343"/>
    </row>
    <row r="8282" spans="4:12" x14ac:dyDescent="0.2">
      <c r="D8282" s="341"/>
      <c r="F8282" s="343"/>
      <c r="G8282" s="343"/>
      <c r="H8282" s="343"/>
      <c r="I8282" s="343"/>
      <c r="J8282" s="343"/>
      <c r="K8282" s="343"/>
      <c r="L8282" s="343"/>
    </row>
    <row r="8283" spans="4:12" x14ac:dyDescent="0.2">
      <c r="D8283" s="341"/>
      <c r="F8283" s="343"/>
      <c r="G8283" s="343"/>
      <c r="H8283" s="343"/>
      <c r="I8283" s="343"/>
      <c r="J8283" s="343"/>
      <c r="K8283" s="343"/>
      <c r="L8283" s="343"/>
    </row>
    <row r="8284" spans="4:12" x14ac:dyDescent="0.2">
      <c r="D8284" s="341"/>
      <c r="F8284" s="343"/>
      <c r="G8284" s="343"/>
      <c r="H8284" s="343"/>
      <c r="I8284" s="343"/>
      <c r="J8284" s="343"/>
      <c r="K8284" s="343"/>
      <c r="L8284" s="343"/>
    </row>
    <row r="8285" spans="4:12" x14ac:dyDescent="0.2">
      <c r="D8285" s="341"/>
      <c r="F8285" s="343"/>
      <c r="G8285" s="343"/>
      <c r="H8285" s="343"/>
      <c r="I8285" s="343"/>
      <c r="J8285" s="343"/>
      <c r="K8285" s="343"/>
      <c r="L8285" s="343"/>
    </row>
    <row r="8286" spans="4:12" x14ac:dyDescent="0.2">
      <c r="D8286" s="341"/>
      <c r="F8286" s="343"/>
      <c r="G8286" s="343"/>
      <c r="H8286" s="343"/>
      <c r="I8286" s="343"/>
      <c r="J8286" s="343"/>
      <c r="K8286" s="343"/>
      <c r="L8286" s="343"/>
    </row>
    <row r="8287" spans="4:12" x14ac:dyDescent="0.2">
      <c r="D8287" s="341"/>
      <c r="F8287" s="343"/>
      <c r="G8287" s="343"/>
      <c r="H8287" s="343"/>
      <c r="I8287" s="343"/>
      <c r="J8287" s="343"/>
      <c r="K8287" s="343"/>
      <c r="L8287" s="343"/>
    </row>
    <row r="8288" spans="4:12" x14ac:dyDescent="0.2">
      <c r="D8288" s="341"/>
      <c r="F8288" s="343"/>
      <c r="G8288" s="343"/>
      <c r="H8288" s="343"/>
      <c r="I8288" s="343"/>
      <c r="J8288" s="343"/>
      <c r="K8288" s="343"/>
      <c r="L8288" s="343"/>
    </row>
    <row r="8289" spans="4:12" x14ac:dyDescent="0.2">
      <c r="D8289" s="341"/>
      <c r="F8289" s="343"/>
      <c r="G8289" s="343"/>
      <c r="H8289" s="343"/>
      <c r="I8289" s="343"/>
      <c r="J8289" s="343"/>
      <c r="K8289" s="343"/>
      <c r="L8289" s="343"/>
    </row>
    <row r="8290" spans="4:12" x14ac:dyDescent="0.2">
      <c r="D8290" s="341"/>
      <c r="F8290" s="343"/>
      <c r="G8290" s="343"/>
      <c r="H8290" s="343"/>
      <c r="I8290" s="343"/>
      <c r="J8290" s="343"/>
      <c r="K8290" s="343"/>
      <c r="L8290" s="343"/>
    </row>
    <row r="8291" spans="4:12" x14ac:dyDescent="0.2">
      <c r="D8291" s="341"/>
      <c r="F8291" s="343"/>
      <c r="G8291" s="343"/>
      <c r="H8291" s="343"/>
      <c r="I8291" s="343"/>
      <c r="J8291" s="343"/>
      <c r="K8291" s="343"/>
      <c r="L8291" s="343"/>
    </row>
    <row r="8292" spans="4:12" x14ac:dyDescent="0.2">
      <c r="D8292" s="341"/>
      <c r="F8292" s="343"/>
      <c r="G8292" s="343"/>
      <c r="H8292" s="343"/>
      <c r="I8292" s="343"/>
      <c r="J8292" s="343"/>
      <c r="K8292" s="343"/>
      <c r="L8292" s="343"/>
    </row>
    <row r="8293" spans="4:12" x14ac:dyDescent="0.2">
      <c r="D8293" s="341"/>
      <c r="F8293" s="343"/>
      <c r="G8293" s="343"/>
      <c r="H8293" s="343"/>
      <c r="I8293" s="343"/>
      <c r="J8293" s="343"/>
      <c r="K8293" s="343"/>
      <c r="L8293" s="343"/>
    </row>
    <row r="8294" spans="4:12" x14ac:dyDescent="0.2">
      <c r="D8294" s="341"/>
      <c r="F8294" s="343"/>
      <c r="G8294" s="343"/>
      <c r="H8294" s="343"/>
      <c r="I8294" s="343"/>
      <c r="J8294" s="343"/>
      <c r="K8294" s="343"/>
      <c r="L8294" s="343"/>
    </row>
    <row r="8295" spans="4:12" x14ac:dyDescent="0.2">
      <c r="D8295" s="341"/>
      <c r="F8295" s="343"/>
      <c r="G8295" s="343"/>
      <c r="H8295" s="343"/>
      <c r="I8295" s="343"/>
      <c r="J8295" s="343"/>
      <c r="K8295" s="343"/>
      <c r="L8295" s="343"/>
    </row>
    <row r="8296" spans="4:12" x14ac:dyDescent="0.2">
      <c r="D8296" s="341"/>
      <c r="F8296" s="343"/>
      <c r="G8296" s="343"/>
      <c r="H8296" s="343"/>
      <c r="I8296" s="343"/>
      <c r="J8296" s="343"/>
      <c r="K8296" s="343"/>
      <c r="L8296" s="343"/>
    </row>
    <row r="8297" spans="4:12" x14ac:dyDescent="0.2">
      <c r="D8297" s="341"/>
      <c r="F8297" s="343"/>
      <c r="G8297" s="343"/>
      <c r="H8297" s="343"/>
      <c r="I8297" s="343"/>
      <c r="J8297" s="343"/>
      <c r="K8297" s="343"/>
      <c r="L8297" s="343"/>
    </row>
    <row r="8298" spans="4:12" x14ac:dyDescent="0.2">
      <c r="D8298" s="341"/>
      <c r="F8298" s="343"/>
      <c r="G8298" s="343"/>
      <c r="H8298" s="343"/>
      <c r="I8298" s="343"/>
      <c r="J8298" s="343"/>
      <c r="K8298" s="343"/>
      <c r="L8298" s="343"/>
    </row>
    <row r="8299" spans="4:12" x14ac:dyDescent="0.2">
      <c r="D8299" s="341"/>
      <c r="F8299" s="343"/>
      <c r="G8299" s="343"/>
      <c r="H8299" s="343"/>
      <c r="I8299" s="343"/>
      <c r="J8299" s="343"/>
      <c r="K8299" s="343"/>
      <c r="L8299" s="343"/>
    </row>
    <row r="8300" spans="4:12" x14ac:dyDescent="0.2">
      <c r="D8300" s="341"/>
      <c r="F8300" s="343"/>
      <c r="G8300" s="343"/>
      <c r="H8300" s="343"/>
      <c r="I8300" s="343"/>
      <c r="J8300" s="343"/>
      <c r="K8300" s="343"/>
      <c r="L8300" s="343"/>
    </row>
    <row r="8301" spans="4:12" x14ac:dyDescent="0.2">
      <c r="D8301" s="341"/>
      <c r="F8301" s="343"/>
      <c r="G8301" s="343"/>
      <c r="H8301" s="343"/>
      <c r="I8301" s="343"/>
      <c r="J8301" s="343"/>
      <c r="K8301" s="343"/>
      <c r="L8301" s="343"/>
    </row>
    <row r="8302" spans="4:12" x14ac:dyDescent="0.2">
      <c r="D8302" s="341"/>
      <c r="F8302" s="343"/>
      <c r="G8302" s="343"/>
      <c r="H8302" s="343"/>
      <c r="I8302" s="343"/>
      <c r="J8302" s="343"/>
      <c r="K8302" s="343"/>
      <c r="L8302" s="343"/>
    </row>
    <row r="8303" spans="4:12" x14ac:dyDescent="0.2">
      <c r="D8303" s="341"/>
      <c r="F8303" s="343"/>
      <c r="G8303" s="343"/>
      <c r="H8303" s="343"/>
      <c r="I8303" s="343"/>
      <c r="J8303" s="343"/>
      <c r="K8303" s="343"/>
      <c r="L8303" s="343"/>
    </row>
    <row r="8304" spans="4:12" x14ac:dyDescent="0.2">
      <c r="D8304" s="341"/>
      <c r="F8304" s="343"/>
      <c r="G8304" s="343"/>
      <c r="H8304" s="343"/>
      <c r="I8304" s="343"/>
      <c r="J8304" s="343"/>
      <c r="K8304" s="343"/>
      <c r="L8304" s="343"/>
    </row>
    <row r="8305" spans="4:12" x14ac:dyDescent="0.2">
      <c r="D8305" s="341"/>
      <c r="F8305" s="343"/>
      <c r="G8305" s="343"/>
      <c r="H8305" s="343"/>
      <c r="I8305" s="343"/>
      <c r="J8305" s="343"/>
      <c r="K8305" s="343"/>
      <c r="L8305" s="343"/>
    </row>
    <row r="8306" spans="4:12" x14ac:dyDescent="0.2">
      <c r="D8306" s="341"/>
      <c r="F8306" s="343"/>
      <c r="G8306" s="343"/>
      <c r="H8306" s="343"/>
      <c r="I8306" s="343"/>
      <c r="J8306" s="343"/>
      <c r="K8306" s="343"/>
      <c r="L8306" s="343"/>
    </row>
    <row r="8307" spans="4:12" x14ac:dyDescent="0.2">
      <c r="D8307" s="341"/>
      <c r="F8307" s="343"/>
      <c r="G8307" s="343"/>
      <c r="H8307" s="343"/>
      <c r="I8307" s="343"/>
      <c r="J8307" s="343"/>
      <c r="K8307" s="343"/>
      <c r="L8307" s="343"/>
    </row>
    <row r="8308" spans="4:12" x14ac:dyDescent="0.2">
      <c r="D8308" s="341"/>
      <c r="F8308" s="343"/>
      <c r="G8308" s="343"/>
      <c r="H8308" s="343"/>
      <c r="I8308" s="343"/>
      <c r="J8308" s="343"/>
      <c r="K8308" s="343"/>
      <c r="L8308" s="343"/>
    </row>
    <row r="8309" spans="4:12" x14ac:dyDescent="0.2">
      <c r="D8309" s="341"/>
      <c r="F8309" s="343"/>
      <c r="G8309" s="343"/>
      <c r="H8309" s="343"/>
      <c r="I8309" s="343"/>
      <c r="J8309" s="343"/>
      <c r="K8309" s="343"/>
      <c r="L8309" s="343"/>
    </row>
    <row r="8310" spans="4:12" x14ac:dyDescent="0.2">
      <c r="D8310" s="341"/>
      <c r="F8310" s="343"/>
      <c r="G8310" s="343"/>
      <c r="H8310" s="343"/>
      <c r="I8310" s="343"/>
      <c r="J8310" s="343"/>
      <c r="K8310" s="343"/>
      <c r="L8310" s="343"/>
    </row>
    <row r="8311" spans="4:12" x14ac:dyDescent="0.2">
      <c r="D8311" s="341"/>
      <c r="F8311" s="343"/>
      <c r="G8311" s="343"/>
      <c r="H8311" s="343"/>
      <c r="I8311" s="343"/>
      <c r="J8311" s="343"/>
      <c r="K8311" s="343"/>
      <c r="L8311" s="343"/>
    </row>
    <row r="8312" spans="4:12" x14ac:dyDescent="0.2">
      <c r="D8312" s="341"/>
      <c r="F8312" s="343"/>
      <c r="G8312" s="343"/>
      <c r="H8312" s="343"/>
      <c r="I8312" s="343"/>
      <c r="J8312" s="343"/>
      <c r="K8312" s="343"/>
      <c r="L8312" s="343"/>
    </row>
    <row r="8313" spans="4:12" x14ac:dyDescent="0.2">
      <c r="D8313" s="341"/>
      <c r="F8313" s="343"/>
      <c r="G8313" s="343"/>
      <c r="H8313" s="343"/>
      <c r="I8313" s="343"/>
      <c r="J8313" s="343"/>
      <c r="K8313" s="343"/>
      <c r="L8313" s="343"/>
    </row>
    <row r="8314" spans="4:12" x14ac:dyDescent="0.2">
      <c r="D8314" s="341"/>
      <c r="F8314" s="343"/>
      <c r="G8314" s="343"/>
      <c r="H8314" s="343"/>
      <c r="I8314" s="343"/>
      <c r="J8314" s="343"/>
      <c r="K8314" s="343"/>
      <c r="L8314" s="343"/>
    </row>
    <row r="8315" spans="4:12" x14ac:dyDescent="0.2">
      <c r="D8315" s="341"/>
      <c r="F8315" s="343"/>
      <c r="G8315" s="343"/>
      <c r="H8315" s="343"/>
      <c r="I8315" s="343"/>
      <c r="J8315" s="343"/>
      <c r="K8315" s="343"/>
      <c r="L8315" s="343"/>
    </row>
    <row r="8316" spans="4:12" x14ac:dyDescent="0.2">
      <c r="D8316" s="341"/>
      <c r="F8316" s="343"/>
      <c r="G8316" s="343"/>
      <c r="H8316" s="343"/>
      <c r="I8316" s="343"/>
      <c r="J8316" s="343"/>
      <c r="K8316" s="343"/>
      <c r="L8316" s="343"/>
    </row>
    <row r="8317" spans="4:12" x14ac:dyDescent="0.2">
      <c r="D8317" s="341"/>
      <c r="F8317" s="343"/>
      <c r="G8317" s="343"/>
      <c r="H8317" s="343"/>
      <c r="I8317" s="343"/>
      <c r="J8317" s="343"/>
      <c r="K8317" s="343"/>
      <c r="L8317" s="343"/>
    </row>
    <row r="8318" spans="4:12" x14ac:dyDescent="0.2">
      <c r="D8318" s="341"/>
      <c r="F8318" s="343"/>
      <c r="G8318" s="343"/>
      <c r="H8318" s="343"/>
      <c r="I8318" s="343"/>
      <c r="J8318" s="343"/>
      <c r="K8318" s="343"/>
      <c r="L8318" s="343"/>
    </row>
    <row r="8319" spans="4:12" x14ac:dyDescent="0.2">
      <c r="D8319" s="341"/>
      <c r="F8319" s="343"/>
      <c r="G8319" s="343"/>
      <c r="H8319" s="343"/>
      <c r="I8319" s="343"/>
      <c r="J8319" s="343"/>
      <c r="K8319" s="343"/>
      <c r="L8319" s="343"/>
    </row>
    <row r="8320" spans="4:12" x14ac:dyDescent="0.2">
      <c r="D8320" s="341"/>
      <c r="F8320" s="343"/>
      <c r="G8320" s="343"/>
      <c r="H8320" s="343"/>
      <c r="I8320" s="343"/>
      <c r="J8320" s="343"/>
      <c r="K8320" s="343"/>
      <c r="L8320" s="343"/>
    </row>
    <row r="8321" spans="4:12" x14ac:dyDescent="0.2">
      <c r="D8321" s="341"/>
      <c r="F8321" s="343"/>
      <c r="G8321" s="343"/>
      <c r="H8321" s="343"/>
      <c r="I8321" s="343"/>
      <c r="J8321" s="343"/>
      <c r="K8321" s="343"/>
      <c r="L8321" s="343"/>
    </row>
    <row r="8322" spans="4:12" x14ac:dyDescent="0.2">
      <c r="D8322" s="341"/>
      <c r="F8322" s="343"/>
      <c r="G8322" s="343"/>
      <c r="H8322" s="343"/>
      <c r="I8322" s="343"/>
      <c r="J8322" s="343"/>
      <c r="K8322" s="343"/>
      <c r="L8322" s="343"/>
    </row>
    <row r="8323" spans="4:12" x14ac:dyDescent="0.2">
      <c r="D8323" s="341"/>
      <c r="F8323" s="343"/>
      <c r="G8323" s="343"/>
      <c r="H8323" s="343"/>
      <c r="I8323" s="343"/>
      <c r="J8323" s="343"/>
      <c r="K8323" s="343"/>
      <c r="L8323" s="343"/>
    </row>
    <row r="8324" spans="4:12" x14ac:dyDescent="0.2">
      <c r="D8324" s="341"/>
      <c r="F8324" s="343"/>
      <c r="G8324" s="343"/>
      <c r="H8324" s="343"/>
      <c r="I8324" s="343"/>
      <c r="J8324" s="343"/>
      <c r="K8324" s="343"/>
      <c r="L8324" s="343"/>
    </row>
    <row r="8325" spans="4:12" x14ac:dyDescent="0.2">
      <c r="D8325" s="341"/>
      <c r="F8325" s="343"/>
      <c r="G8325" s="343"/>
      <c r="H8325" s="343"/>
      <c r="I8325" s="343"/>
      <c r="J8325" s="343"/>
      <c r="K8325" s="343"/>
      <c r="L8325" s="343"/>
    </row>
    <row r="8326" spans="4:12" x14ac:dyDescent="0.2">
      <c r="D8326" s="341"/>
      <c r="F8326" s="343"/>
      <c r="G8326" s="343"/>
      <c r="H8326" s="343"/>
      <c r="I8326" s="343"/>
      <c r="J8326" s="343"/>
      <c r="K8326" s="343"/>
      <c r="L8326" s="343"/>
    </row>
    <row r="8327" spans="4:12" x14ac:dyDescent="0.2">
      <c r="D8327" s="341"/>
      <c r="F8327" s="343"/>
      <c r="G8327" s="343"/>
      <c r="H8327" s="343"/>
      <c r="I8327" s="343"/>
      <c r="J8327" s="343"/>
      <c r="K8327" s="343"/>
      <c r="L8327" s="343"/>
    </row>
    <row r="8328" spans="4:12" x14ac:dyDescent="0.2">
      <c r="D8328" s="341"/>
      <c r="F8328" s="343"/>
      <c r="G8328" s="343"/>
      <c r="H8328" s="343"/>
      <c r="I8328" s="343"/>
      <c r="J8328" s="343"/>
      <c r="K8328" s="343"/>
      <c r="L8328" s="343"/>
    </row>
    <row r="8329" spans="4:12" x14ac:dyDescent="0.2">
      <c r="D8329" s="341"/>
      <c r="F8329" s="343"/>
      <c r="G8329" s="343"/>
      <c r="H8329" s="343"/>
      <c r="I8329" s="343"/>
      <c r="J8329" s="343"/>
      <c r="K8329" s="343"/>
      <c r="L8329" s="343"/>
    </row>
    <row r="8330" spans="4:12" x14ac:dyDescent="0.2">
      <c r="D8330" s="341"/>
      <c r="F8330" s="343"/>
      <c r="G8330" s="343"/>
      <c r="H8330" s="343"/>
      <c r="I8330" s="343"/>
      <c r="J8330" s="343"/>
      <c r="K8330" s="343"/>
      <c r="L8330" s="343"/>
    </row>
    <row r="8331" spans="4:12" x14ac:dyDescent="0.2">
      <c r="D8331" s="341"/>
      <c r="F8331" s="343"/>
      <c r="G8331" s="343"/>
      <c r="H8331" s="343"/>
      <c r="I8331" s="343"/>
      <c r="J8331" s="343"/>
      <c r="K8331" s="343"/>
      <c r="L8331" s="343"/>
    </row>
    <row r="8332" spans="4:12" x14ac:dyDescent="0.2">
      <c r="D8332" s="341"/>
      <c r="F8332" s="343"/>
      <c r="G8332" s="343"/>
      <c r="H8332" s="343"/>
      <c r="I8332" s="343"/>
      <c r="J8332" s="343"/>
      <c r="K8332" s="343"/>
      <c r="L8332" s="343"/>
    </row>
    <row r="8333" spans="4:12" x14ac:dyDescent="0.2">
      <c r="D8333" s="341"/>
      <c r="F8333" s="343"/>
      <c r="G8333" s="343"/>
      <c r="H8333" s="343"/>
      <c r="I8333" s="343"/>
      <c r="J8333" s="343"/>
      <c r="K8333" s="343"/>
      <c r="L8333" s="343"/>
    </row>
    <row r="8334" spans="4:12" x14ac:dyDescent="0.2">
      <c r="D8334" s="341"/>
      <c r="F8334" s="343"/>
      <c r="G8334" s="343"/>
      <c r="H8334" s="343"/>
      <c r="I8334" s="343"/>
      <c r="J8334" s="343"/>
      <c r="K8334" s="343"/>
      <c r="L8334" s="343"/>
    </row>
    <row r="8335" spans="4:12" x14ac:dyDescent="0.2">
      <c r="D8335" s="341"/>
      <c r="F8335" s="343"/>
      <c r="G8335" s="343"/>
      <c r="H8335" s="343"/>
      <c r="I8335" s="343"/>
      <c r="J8335" s="343"/>
      <c r="K8335" s="343"/>
      <c r="L8335" s="343"/>
    </row>
    <row r="8336" spans="4:12" x14ac:dyDescent="0.2">
      <c r="D8336" s="341"/>
      <c r="F8336" s="343"/>
      <c r="G8336" s="343"/>
      <c r="H8336" s="343"/>
      <c r="I8336" s="343"/>
      <c r="J8336" s="343"/>
      <c r="K8336" s="343"/>
      <c r="L8336" s="343"/>
    </row>
    <row r="8337" spans="4:12" x14ac:dyDescent="0.2">
      <c r="D8337" s="341"/>
      <c r="F8337" s="343"/>
      <c r="G8337" s="343"/>
      <c r="H8337" s="343"/>
      <c r="I8337" s="343"/>
      <c r="J8337" s="343"/>
      <c r="K8337" s="343"/>
      <c r="L8337" s="343"/>
    </row>
    <row r="8338" spans="4:12" x14ac:dyDescent="0.2">
      <c r="D8338" s="341"/>
      <c r="F8338" s="343"/>
      <c r="G8338" s="343"/>
      <c r="H8338" s="343"/>
      <c r="I8338" s="343"/>
      <c r="J8338" s="343"/>
      <c r="K8338" s="343"/>
      <c r="L8338" s="343"/>
    </row>
    <row r="8339" spans="4:12" x14ac:dyDescent="0.2">
      <c r="D8339" s="341"/>
      <c r="F8339" s="343"/>
      <c r="G8339" s="343"/>
      <c r="H8339" s="343"/>
      <c r="I8339" s="343"/>
      <c r="J8339" s="343"/>
      <c r="K8339" s="343"/>
      <c r="L8339" s="343"/>
    </row>
    <row r="8340" spans="4:12" x14ac:dyDescent="0.2">
      <c r="D8340" s="341"/>
      <c r="F8340" s="343"/>
      <c r="G8340" s="343"/>
      <c r="H8340" s="343"/>
      <c r="I8340" s="343"/>
      <c r="J8340" s="343"/>
      <c r="K8340" s="343"/>
      <c r="L8340" s="343"/>
    </row>
    <row r="8341" spans="4:12" x14ac:dyDescent="0.2">
      <c r="D8341" s="341"/>
      <c r="F8341" s="343"/>
      <c r="G8341" s="343"/>
      <c r="H8341" s="343"/>
      <c r="I8341" s="343"/>
      <c r="J8341" s="343"/>
      <c r="K8341" s="343"/>
      <c r="L8341" s="343"/>
    </row>
    <row r="8342" spans="4:12" x14ac:dyDescent="0.2">
      <c r="D8342" s="341"/>
      <c r="F8342" s="343"/>
      <c r="G8342" s="343"/>
      <c r="H8342" s="343"/>
      <c r="I8342" s="343"/>
      <c r="J8342" s="343"/>
      <c r="K8342" s="343"/>
      <c r="L8342" s="343"/>
    </row>
    <row r="8343" spans="4:12" x14ac:dyDescent="0.2">
      <c r="D8343" s="341"/>
      <c r="F8343" s="343"/>
      <c r="G8343" s="343"/>
      <c r="H8343" s="343"/>
      <c r="I8343" s="343"/>
      <c r="J8343" s="343"/>
      <c r="K8343" s="343"/>
      <c r="L8343" s="343"/>
    </row>
    <row r="8344" spans="4:12" x14ac:dyDescent="0.2">
      <c r="D8344" s="341"/>
      <c r="F8344" s="343"/>
      <c r="G8344" s="343"/>
      <c r="H8344" s="343"/>
      <c r="I8344" s="343"/>
      <c r="J8344" s="343"/>
      <c r="K8344" s="343"/>
      <c r="L8344" s="343"/>
    </row>
    <row r="8345" spans="4:12" x14ac:dyDescent="0.2">
      <c r="D8345" s="341"/>
      <c r="F8345" s="343"/>
      <c r="G8345" s="343"/>
      <c r="H8345" s="343"/>
      <c r="I8345" s="343"/>
      <c r="J8345" s="343"/>
      <c r="K8345" s="343"/>
      <c r="L8345" s="343"/>
    </row>
    <row r="8346" spans="4:12" x14ac:dyDescent="0.2">
      <c r="D8346" s="341"/>
      <c r="F8346" s="343"/>
      <c r="G8346" s="343"/>
      <c r="H8346" s="343"/>
      <c r="I8346" s="343"/>
      <c r="J8346" s="343"/>
      <c r="K8346" s="343"/>
      <c r="L8346" s="343"/>
    </row>
    <row r="8347" spans="4:12" x14ac:dyDescent="0.2">
      <c r="D8347" s="341"/>
      <c r="F8347" s="343"/>
      <c r="G8347" s="343"/>
      <c r="H8347" s="343"/>
      <c r="I8347" s="343"/>
      <c r="J8347" s="343"/>
      <c r="K8347" s="343"/>
      <c r="L8347" s="343"/>
    </row>
    <row r="8348" spans="4:12" x14ac:dyDescent="0.2">
      <c r="D8348" s="341"/>
      <c r="F8348" s="343"/>
      <c r="G8348" s="343"/>
      <c r="H8348" s="343"/>
      <c r="I8348" s="343"/>
      <c r="J8348" s="343"/>
      <c r="K8348" s="343"/>
      <c r="L8348" s="343"/>
    </row>
    <row r="8349" spans="4:12" x14ac:dyDescent="0.2">
      <c r="D8349" s="341"/>
      <c r="F8349" s="343"/>
      <c r="G8349" s="343"/>
      <c r="H8349" s="343"/>
      <c r="I8349" s="343"/>
      <c r="J8349" s="343"/>
      <c r="K8349" s="343"/>
      <c r="L8349" s="343"/>
    </row>
    <row r="8350" spans="4:12" x14ac:dyDescent="0.2">
      <c r="D8350" s="341"/>
      <c r="F8350" s="343"/>
      <c r="G8350" s="343"/>
      <c r="H8350" s="343"/>
      <c r="I8350" s="343"/>
      <c r="J8350" s="343"/>
      <c r="K8350" s="343"/>
      <c r="L8350" s="343"/>
    </row>
    <row r="8351" spans="4:12" x14ac:dyDescent="0.2">
      <c r="D8351" s="341"/>
      <c r="F8351" s="343"/>
      <c r="G8351" s="343"/>
      <c r="H8351" s="343"/>
      <c r="I8351" s="343"/>
      <c r="J8351" s="343"/>
      <c r="K8351" s="343"/>
      <c r="L8351" s="343"/>
    </row>
    <row r="8352" spans="4:12" x14ac:dyDescent="0.2">
      <c r="D8352" s="341"/>
      <c r="F8352" s="343"/>
      <c r="G8352" s="343"/>
      <c r="H8352" s="343"/>
      <c r="I8352" s="343"/>
      <c r="J8352" s="343"/>
      <c r="K8352" s="343"/>
      <c r="L8352" s="343"/>
    </row>
    <row r="8353" spans="4:12" x14ac:dyDescent="0.2">
      <c r="D8353" s="341"/>
      <c r="F8353" s="343"/>
      <c r="G8353" s="343"/>
      <c r="H8353" s="343"/>
      <c r="I8353" s="343"/>
      <c r="J8353" s="343"/>
      <c r="K8353" s="343"/>
      <c r="L8353" s="343"/>
    </row>
    <row r="8354" spans="4:12" x14ac:dyDescent="0.2">
      <c r="D8354" s="341"/>
      <c r="F8354" s="343"/>
      <c r="G8354" s="343"/>
      <c r="H8354" s="343"/>
      <c r="I8354" s="343"/>
      <c r="J8354" s="343"/>
      <c r="K8354" s="343"/>
      <c r="L8354" s="343"/>
    </row>
    <row r="8355" spans="4:12" x14ac:dyDescent="0.2">
      <c r="D8355" s="341"/>
      <c r="F8355" s="343"/>
      <c r="G8355" s="343"/>
      <c r="H8355" s="343"/>
      <c r="I8355" s="343"/>
      <c r="J8355" s="343"/>
      <c r="K8355" s="343"/>
      <c r="L8355" s="343"/>
    </row>
    <row r="8356" spans="4:12" x14ac:dyDescent="0.2">
      <c r="D8356" s="341"/>
      <c r="F8356" s="343"/>
      <c r="G8356" s="343"/>
      <c r="H8356" s="343"/>
      <c r="I8356" s="343"/>
      <c r="J8356" s="343"/>
      <c r="K8356" s="343"/>
      <c r="L8356" s="343"/>
    </row>
    <row r="8357" spans="4:12" x14ac:dyDescent="0.2">
      <c r="D8357" s="341"/>
      <c r="F8357" s="343"/>
      <c r="G8357" s="343"/>
      <c r="H8357" s="343"/>
      <c r="I8357" s="343"/>
      <c r="J8357" s="343"/>
      <c r="K8357" s="343"/>
      <c r="L8357" s="343"/>
    </row>
    <row r="8358" spans="4:12" x14ac:dyDescent="0.2">
      <c r="D8358" s="341"/>
      <c r="F8358" s="343"/>
      <c r="G8358" s="343"/>
      <c r="H8358" s="343"/>
      <c r="I8358" s="343"/>
      <c r="J8358" s="343"/>
      <c r="K8358" s="343"/>
      <c r="L8358" s="343"/>
    </row>
    <row r="8359" spans="4:12" x14ac:dyDescent="0.2">
      <c r="D8359" s="341"/>
      <c r="F8359" s="343"/>
      <c r="G8359" s="343"/>
      <c r="H8359" s="343"/>
      <c r="I8359" s="343"/>
      <c r="J8359" s="343"/>
      <c r="K8359" s="343"/>
      <c r="L8359" s="343"/>
    </row>
    <row r="8360" spans="4:12" x14ac:dyDescent="0.2">
      <c r="D8360" s="341"/>
      <c r="F8360" s="343"/>
      <c r="G8360" s="343"/>
      <c r="H8360" s="343"/>
      <c r="I8360" s="343"/>
      <c r="J8360" s="343"/>
      <c r="K8360" s="343"/>
      <c r="L8360" s="343"/>
    </row>
    <row r="8361" spans="4:12" x14ac:dyDescent="0.2">
      <c r="D8361" s="341"/>
      <c r="F8361" s="343"/>
      <c r="G8361" s="343"/>
      <c r="H8361" s="343"/>
      <c r="I8361" s="343"/>
      <c r="J8361" s="343"/>
      <c r="K8361" s="343"/>
      <c r="L8361" s="343"/>
    </row>
    <row r="8362" spans="4:12" x14ac:dyDescent="0.2">
      <c r="D8362" s="341"/>
      <c r="F8362" s="343"/>
      <c r="G8362" s="343"/>
      <c r="H8362" s="343"/>
      <c r="I8362" s="343"/>
      <c r="J8362" s="343"/>
      <c r="K8362" s="343"/>
      <c r="L8362" s="343"/>
    </row>
    <row r="8363" spans="4:12" x14ac:dyDescent="0.2">
      <c r="D8363" s="341"/>
      <c r="F8363" s="343"/>
      <c r="G8363" s="343"/>
      <c r="H8363" s="343"/>
      <c r="I8363" s="343"/>
      <c r="J8363" s="343"/>
      <c r="K8363" s="343"/>
      <c r="L8363" s="343"/>
    </row>
    <row r="8364" spans="4:12" x14ac:dyDescent="0.2">
      <c r="D8364" s="341"/>
      <c r="F8364" s="343"/>
      <c r="G8364" s="343"/>
      <c r="H8364" s="343"/>
      <c r="I8364" s="343"/>
      <c r="J8364" s="343"/>
      <c r="K8364" s="343"/>
      <c r="L8364" s="343"/>
    </row>
    <row r="8365" spans="4:12" x14ac:dyDescent="0.2">
      <c r="D8365" s="341"/>
      <c r="F8365" s="343"/>
      <c r="G8365" s="343"/>
      <c r="H8365" s="343"/>
      <c r="I8365" s="343"/>
      <c r="J8365" s="343"/>
      <c r="K8365" s="343"/>
      <c r="L8365" s="343"/>
    </row>
    <row r="8366" spans="4:12" x14ac:dyDescent="0.2">
      <c r="D8366" s="341"/>
      <c r="F8366" s="343"/>
      <c r="G8366" s="343"/>
      <c r="H8366" s="343"/>
      <c r="I8366" s="343"/>
      <c r="J8366" s="343"/>
      <c r="K8366" s="343"/>
      <c r="L8366" s="343"/>
    </row>
    <row r="8367" spans="4:12" x14ac:dyDescent="0.2">
      <c r="D8367" s="341"/>
      <c r="F8367" s="343"/>
      <c r="G8367" s="343"/>
      <c r="H8367" s="343"/>
      <c r="I8367" s="343"/>
      <c r="J8367" s="343"/>
      <c r="K8367" s="343"/>
      <c r="L8367" s="343"/>
    </row>
    <row r="8368" spans="4:12" x14ac:dyDescent="0.2">
      <c r="D8368" s="341"/>
      <c r="F8368" s="343"/>
      <c r="G8368" s="343"/>
      <c r="H8368" s="343"/>
      <c r="I8368" s="343"/>
      <c r="J8368" s="343"/>
      <c r="K8368" s="343"/>
      <c r="L8368" s="343"/>
    </row>
    <row r="8369" spans="4:12" x14ac:dyDescent="0.2">
      <c r="D8369" s="341"/>
      <c r="F8369" s="343"/>
      <c r="G8369" s="343"/>
      <c r="H8369" s="343"/>
      <c r="I8369" s="343"/>
      <c r="J8369" s="343"/>
      <c r="K8369" s="343"/>
      <c r="L8369" s="343"/>
    </row>
    <row r="8370" spans="4:12" x14ac:dyDescent="0.2">
      <c r="D8370" s="341"/>
      <c r="F8370" s="343"/>
      <c r="G8370" s="343"/>
      <c r="H8370" s="343"/>
      <c r="I8370" s="343"/>
      <c r="J8370" s="343"/>
      <c r="K8370" s="343"/>
      <c r="L8370" s="343"/>
    </row>
    <row r="8371" spans="4:12" x14ac:dyDescent="0.2">
      <c r="D8371" s="341"/>
      <c r="F8371" s="343"/>
      <c r="G8371" s="343"/>
      <c r="H8371" s="343"/>
      <c r="I8371" s="343"/>
      <c r="J8371" s="343"/>
      <c r="K8371" s="343"/>
      <c r="L8371" s="343"/>
    </row>
    <row r="8372" spans="4:12" x14ac:dyDescent="0.2">
      <c r="D8372" s="341"/>
      <c r="F8372" s="343"/>
      <c r="G8372" s="343"/>
      <c r="H8372" s="343"/>
      <c r="I8372" s="343"/>
      <c r="J8372" s="343"/>
      <c r="K8372" s="343"/>
      <c r="L8372" s="343"/>
    </row>
    <row r="8373" spans="4:12" x14ac:dyDescent="0.2">
      <c r="D8373" s="341"/>
      <c r="F8373" s="343"/>
      <c r="G8373" s="343"/>
      <c r="H8373" s="343"/>
      <c r="I8373" s="343"/>
      <c r="J8373" s="343"/>
      <c r="K8373" s="343"/>
      <c r="L8373" s="343"/>
    </row>
    <row r="8374" spans="4:12" x14ac:dyDescent="0.2">
      <c r="D8374" s="341"/>
      <c r="F8374" s="343"/>
      <c r="G8374" s="343"/>
      <c r="H8374" s="343"/>
      <c r="I8374" s="343"/>
      <c r="J8374" s="343"/>
      <c r="K8374" s="343"/>
      <c r="L8374" s="343"/>
    </row>
    <row r="8375" spans="4:12" x14ac:dyDescent="0.2">
      <c r="D8375" s="341"/>
      <c r="F8375" s="343"/>
      <c r="G8375" s="343"/>
      <c r="H8375" s="343"/>
      <c r="I8375" s="343"/>
      <c r="J8375" s="343"/>
      <c r="K8375" s="343"/>
      <c r="L8375" s="343"/>
    </row>
    <row r="8376" spans="4:12" x14ac:dyDescent="0.2">
      <c r="D8376" s="341"/>
      <c r="F8376" s="343"/>
      <c r="G8376" s="343"/>
      <c r="H8376" s="343"/>
      <c r="I8376" s="343"/>
      <c r="J8376" s="343"/>
      <c r="K8376" s="343"/>
      <c r="L8376" s="343"/>
    </row>
    <row r="8377" spans="4:12" x14ac:dyDescent="0.2">
      <c r="D8377" s="341"/>
      <c r="F8377" s="343"/>
      <c r="G8377" s="343"/>
      <c r="H8377" s="343"/>
      <c r="I8377" s="343"/>
      <c r="J8377" s="343"/>
      <c r="K8377" s="343"/>
      <c r="L8377" s="343"/>
    </row>
    <row r="8378" spans="4:12" x14ac:dyDescent="0.2">
      <c r="D8378" s="341"/>
      <c r="F8378" s="343"/>
      <c r="G8378" s="343"/>
      <c r="H8378" s="343"/>
      <c r="I8378" s="343"/>
      <c r="J8378" s="343"/>
      <c r="K8378" s="343"/>
      <c r="L8378" s="343"/>
    </row>
    <row r="8379" spans="4:12" x14ac:dyDescent="0.2">
      <c r="D8379" s="341"/>
      <c r="F8379" s="343"/>
      <c r="G8379" s="343"/>
      <c r="H8379" s="343"/>
      <c r="I8379" s="343"/>
      <c r="J8379" s="343"/>
      <c r="K8379" s="343"/>
      <c r="L8379" s="343"/>
    </row>
    <row r="8380" spans="4:12" x14ac:dyDescent="0.2">
      <c r="D8380" s="341"/>
      <c r="F8380" s="343"/>
      <c r="G8380" s="343"/>
      <c r="H8380" s="343"/>
      <c r="I8380" s="343"/>
      <c r="J8380" s="343"/>
      <c r="K8380" s="343"/>
      <c r="L8380" s="343"/>
    </row>
    <row r="8381" spans="4:12" x14ac:dyDescent="0.2">
      <c r="D8381" s="341"/>
      <c r="F8381" s="343"/>
      <c r="G8381" s="343"/>
      <c r="H8381" s="343"/>
      <c r="I8381" s="343"/>
      <c r="J8381" s="343"/>
      <c r="K8381" s="343"/>
      <c r="L8381" s="343"/>
    </row>
    <row r="8382" spans="4:12" x14ac:dyDescent="0.2">
      <c r="D8382" s="341"/>
      <c r="F8382" s="343"/>
      <c r="G8382" s="343"/>
      <c r="H8382" s="343"/>
      <c r="I8382" s="343"/>
      <c r="J8382" s="343"/>
      <c r="K8382" s="343"/>
      <c r="L8382" s="343"/>
    </row>
    <row r="8383" spans="4:12" x14ac:dyDescent="0.2">
      <c r="D8383" s="341"/>
      <c r="F8383" s="343"/>
      <c r="G8383" s="343"/>
      <c r="H8383" s="343"/>
      <c r="I8383" s="343"/>
      <c r="J8383" s="343"/>
      <c r="K8383" s="343"/>
      <c r="L8383" s="343"/>
    </row>
    <row r="8384" spans="4:12" x14ac:dyDescent="0.2">
      <c r="D8384" s="341"/>
      <c r="F8384" s="343"/>
      <c r="G8384" s="343"/>
      <c r="H8384" s="343"/>
      <c r="I8384" s="343"/>
      <c r="J8384" s="343"/>
      <c r="K8384" s="343"/>
      <c r="L8384" s="343"/>
    </row>
    <row r="8385" spans="4:12" x14ac:dyDescent="0.2">
      <c r="D8385" s="341"/>
      <c r="F8385" s="343"/>
      <c r="G8385" s="343"/>
      <c r="H8385" s="343"/>
      <c r="I8385" s="343"/>
      <c r="J8385" s="343"/>
      <c r="K8385" s="343"/>
      <c r="L8385" s="343"/>
    </row>
    <row r="8386" spans="4:12" x14ac:dyDescent="0.2">
      <c r="D8386" s="341"/>
      <c r="F8386" s="343"/>
      <c r="G8386" s="343"/>
      <c r="H8386" s="343"/>
      <c r="I8386" s="343"/>
      <c r="J8386" s="343"/>
      <c r="K8386" s="343"/>
      <c r="L8386" s="343"/>
    </row>
    <row r="8387" spans="4:12" x14ac:dyDescent="0.2">
      <c r="D8387" s="341"/>
      <c r="F8387" s="343"/>
      <c r="G8387" s="343"/>
      <c r="H8387" s="343"/>
      <c r="I8387" s="343"/>
      <c r="J8387" s="343"/>
      <c r="K8387" s="343"/>
      <c r="L8387" s="343"/>
    </row>
    <row r="8388" spans="4:12" x14ac:dyDescent="0.2">
      <c r="D8388" s="341"/>
      <c r="F8388" s="343"/>
      <c r="G8388" s="343"/>
      <c r="H8388" s="343"/>
      <c r="I8388" s="343"/>
      <c r="J8388" s="343"/>
      <c r="K8388" s="343"/>
      <c r="L8388" s="343"/>
    </row>
    <row r="8389" spans="4:12" x14ac:dyDescent="0.2">
      <c r="D8389" s="341"/>
      <c r="F8389" s="343"/>
      <c r="G8389" s="343"/>
      <c r="H8389" s="343"/>
      <c r="I8389" s="343"/>
      <c r="J8389" s="343"/>
      <c r="K8389" s="343"/>
      <c r="L8389" s="343"/>
    </row>
    <row r="8390" spans="4:12" x14ac:dyDescent="0.2">
      <c r="D8390" s="341"/>
      <c r="F8390" s="343"/>
      <c r="G8390" s="343"/>
      <c r="H8390" s="343"/>
      <c r="I8390" s="343"/>
      <c r="J8390" s="343"/>
      <c r="K8390" s="343"/>
      <c r="L8390" s="343"/>
    </row>
    <row r="8391" spans="4:12" x14ac:dyDescent="0.2">
      <c r="D8391" s="341"/>
      <c r="F8391" s="343"/>
      <c r="G8391" s="343"/>
      <c r="H8391" s="343"/>
      <c r="I8391" s="343"/>
      <c r="J8391" s="343"/>
      <c r="K8391" s="343"/>
      <c r="L8391" s="343"/>
    </row>
    <row r="8392" spans="4:12" x14ac:dyDescent="0.2">
      <c r="D8392" s="341"/>
      <c r="F8392" s="343"/>
      <c r="G8392" s="343"/>
      <c r="H8392" s="343"/>
      <c r="I8392" s="343"/>
      <c r="J8392" s="343"/>
      <c r="K8392" s="343"/>
      <c r="L8392" s="343"/>
    </row>
    <row r="8393" spans="4:12" x14ac:dyDescent="0.2">
      <c r="D8393" s="341"/>
      <c r="F8393" s="343"/>
      <c r="G8393" s="343"/>
      <c r="H8393" s="343"/>
      <c r="I8393" s="343"/>
      <c r="J8393" s="343"/>
      <c r="K8393" s="343"/>
      <c r="L8393" s="343"/>
    </row>
    <row r="8394" spans="4:12" x14ac:dyDescent="0.2">
      <c r="D8394" s="341"/>
      <c r="F8394" s="343"/>
      <c r="G8394" s="343"/>
      <c r="H8394" s="343"/>
      <c r="I8394" s="343"/>
      <c r="J8394" s="343"/>
      <c r="K8394" s="343"/>
      <c r="L8394" s="343"/>
    </row>
    <row r="8395" spans="4:12" x14ac:dyDescent="0.2">
      <c r="D8395" s="341"/>
      <c r="F8395" s="343"/>
      <c r="G8395" s="343"/>
      <c r="H8395" s="343"/>
      <c r="I8395" s="343"/>
      <c r="J8395" s="343"/>
      <c r="K8395" s="343"/>
      <c r="L8395" s="343"/>
    </row>
    <row r="8396" spans="4:12" x14ac:dyDescent="0.2">
      <c r="D8396" s="341"/>
      <c r="F8396" s="343"/>
      <c r="G8396" s="343"/>
      <c r="H8396" s="343"/>
      <c r="I8396" s="343"/>
      <c r="J8396" s="343"/>
      <c r="K8396" s="343"/>
      <c r="L8396" s="343"/>
    </row>
    <row r="8397" spans="4:12" x14ac:dyDescent="0.2">
      <c r="D8397" s="341"/>
      <c r="F8397" s="343"/>
      <c r="G8397" s="343"/>
      <c r="H8397" s="343"/>
      <c r="I8397" s="343"/>
      <c r="J8397" s="343"/>
      <c r="K8397" s="343"/>
      <c r="L8397" s="343"/>
    </row>
    <row r="8398" spans="4:12" x14ac:dyDescent="0.2">
      <c r="D8398" s="341"/>
      <c r="F8398" s="343"/>
      <c r="G8398" s="343"/>
      <c r="H8398" s="343"/>
      <c r="I8398" s="343"/>
      <c r="J8398" s="343"/>
      <c r="K8398" s="343"/>
      <c r="L8398" s="343"/>
    </row>
    <row r="8399" spans="4:12" x14ac:dyDescent="0.2">
      <c r="D8399" s="341"/>
      <c r="F8399" s="343"/>
      <c r="G8399" s="343"/>
      <c r="H8399" s="343"/>
      <c r="I8399" s="343"/>
      <c r="J8399" s="343"/>
      <c r="K8399" s="343"/>
      <c r="L8399" s="343"/>
    </row>
    <row r="8400" spans="4:12" x14ac:dyDescent="0.2">
      <c r="D8400" s="341"/>
      <c r="F8400" s="343"/>
      <c r="G8400" s="343"/>
      <c r="H8400" s="343"/>
      <c r="I8400" s="343"/>
      <c r="J8400" s="343"/>
      <c r="K8400" s="343"/>
      <c r="L8400" s="343"/>
    </row>
    <row r="8401" spans="4:12" x14ac:dyDescent="0.2">
      <c r="D8401" s="341"/>
      <c r="F8401" s="343"/>
      <c r="G8401" s="343"/>
      <c r="H8401" s="343"/>
      <c r="I8401" s="343"/>
      <c r="J8401" s="343"/>
      <c r="K8401" s="343"/>
      <c r="L8401" s="343"/>
    </row>
    <row r="8402" spans="4:12" x14ac:dyDescent="0.2">
      <c r="D8402" s="341"/>
      <c r="F8402" s="343"/>
      <c r="G8402" s="343"/>
      <c r="H8402" s="343"/>
      <c r="I8402" s="343"/>
      <c r="J8402" s="343"/>
      <c r="K8402" s="343"/>
      <c r="L8402" s="343"/>
    </row>
    <row r="8403" spans="4:12" x14ac:dyDescent="0.2">
      <c r="D8403" s="341"/>
      <c r="F8403" s="343"/>
      <c r="G8403" s="343"/>
      <c r="H8403" s="343"/>
      <c r="I8403" s="343"/>
      <c r="J8403" s="343"/>
      <c r="K8403" s="343"/>
      <c r="L8403" s="343"/>
    </row>
    <row r="8404" spans="4:12" x14ac:dyDescent="0.2">
      <c r="D8404" s="341"/>
      <c r="F8404" s="343"/>
      <c r="G8404" s="343"/>
      <c r="H8404" s="343"/>
      <c r="I8404" s="343"/>
      <c r="J8404" s="343"/>
      <c r="K8404" s="343"/>
      <c r="L8404" s="343"/>
    </row>
    <row r="8405" spans="4:12" x14ac:dyDescent="0.2">
      <c r="D8405" s="341"/>
      <c r="F8405" s="343"/>
      <c r="G8405" s="343"/>
      <c r="H8405" s="343"/>
      <c r="I8405" s="343"/>
      <c r="J8405" s="343"/>
      <c r="K8405" s="343"/>
      <c r="L8405" s="343"/>
    </row>
    <row r="8406" spans="4:12" x14ac:dyDescent="0.2">
      <c r="D8406" s="341"/>
      <c r="F8406" s="343"/>
      <c r="G8406" s="343"/>
      <c r="H8406" s="343"/>
      <c r="I8406" s="343"/>
      <c r="J8406" s="343"/>
      <c r="K8406" s="343"/>
      <c r="L8406" s="343"/>
    </row>
    <row r="8407" spans="4:12" x14ac:dyDescent="0.2">
      <c r="D8407" s="341"/>
      <c r="F8407" s="343"/>
      <c r="G8407" s="343"/>
      <c r="H8407" s="343"/>
      <c r="I8407" s="343"/>
      <c r="J8407" s="343"/>
      <c r="K8407" s="343"/>
      <c r="L8407" s="343"/>
    </row>
    <row r="8408" spans="4:12" x14ac:dyDescent="0.2">
      <c r="D8408" s="341"/>
      <c r="F8408" s="343"/>
      <c r="G8408" s="343"/>
      <c r="H8408" s="343"/>
      <c r="I8408" s="343"/>
      <c r="J8408" s="343"/>
      <c r="K8408" s="343"/>
      <c r="L8408" s="343"/>
    </row>
    <row r="8409" spans="4:12" x14ac:dyDescent="0.2">
      <c r="D8409" s="341"/>
      <c r="F8409" s="343"/>
      <c r="G8409" s="343"/>
      <c r="H8409" s="343"/>
      <c r="I8409" s="343"/>
      <c r="J8409" s="343"/>
      <c r="K8409" s="343"/>
      <c r="L8409" s="343"/>
    </row>
    <row r="8410" spans="4:12" x14ac:dyDescent="0.2">
      <c r="D8410" s="341"/>
      <c r="F8410" s="343"/>
      <c r="G8410" s="343"/>
      <c r="H8410" s="343"/>
      <c r="I8410" s="343"/>
      <c r="J8410" s="343"/>
      <c r="K8410" s="343"/>
      <c r="L8410" s="343"/>
    </row>
    <row r="8411" spans="4:12" x14ac:dyDescent="0.2">
      <c r="D8411" s="341"/>
      <c r="F8411" s="343"/>
      <c r="G8411" s="343"/>
      <c r="H8411" s="343"/>
      <c r="I8411" s="343"/>
      <c r="J8411" s="343"/>
      <c r="K8411" s="343"/>
      <c r="L8411" s="343"/>
    </row>
    <row r="8412" spans="4:12" x14ac:dyDescent="0.2">
      <c r="D8412" s="341"/>
      <c r="F8412" s="343"/>
      <c r="G8412" s="343"/>
      <c r="H8412" s="343"/>
      <c r="I8412" s="343"/>
      <c r="J8412" s="343"/>
      <c r="K8412" s="343"/>
      <c r="L8412" s="343"/>
    </row>
    <row r="8413" spans="4:12" x14ac:dyDescent="0.2">
      <c r="D8413" s="341"/>
      <c r="F8413" s="343"/>
      <c r="G8413" s="343"/>
      <c r="H8413" s="343"/>
      <c r="I8413" s="343"/>
      <c r="J8413" s="343"/>
      <c r="K8413" s="343"/>
      <c r="L8413" s="343"/>
    </row>
    <row r="8414" spans="4:12" x14ac:dyDescent="0.2">
      <c r="D8414" s="341"/>
      <c r="F8414" s="343"/>
      <c r="G8414" s="343"/>
      <c r="H8414" s="343"/>
      <c r="I8414" s="343"/>
      <c r="J8414" s="343"/>
      <c r="K8414" s="343"/>
      <c r="L8414" s="343"/>
    </row>
    <row r="8415" spans="4:12" x14ac:dyDescent="0.2">
      <c r="D8415" s="341"/>
      <c r="F8415" s="343"/>
      <c r="G8415" s="343"/>
      <c r="H8415" s="343"/>
      <c r="I8415" s="343"/>
      <c r="J8415" s="343"/>
      <c r="K8415" s="343"/>
      <c r="L8415" s="343"/>
    </row>
    <row r="8416" spans="4:12" x14ac:dyDescent="0.2">
      <c r="D8416" s="341"/>
      <c r="F8416" s="343"/>
      <c r="G8416" s="343"/>
      <c r="H8416" s="343"/>
      <c r="I8416" s="343"/>
      <c r="J8416" s="343"/>
      <c r="K8416" s="343"/>
      <c r="L8416" s="343"/>
    </row>
    <row r="8417" spans="4:12" x14ac:dyDescent="0.2">
      <c r="D8417" s="341"/>
      <c r="F8417" s="343"/>
      <c r="G8417" s="343"/>
      <c r="H8417" s="343"/>
      <c r="I8417" s="343"/>
      <c r="J8417" s="343"/>
      <c r="K8417" s="343"/>
      <c r="L8417" s="343"/>
    </row>
    <row r="8418" spans="4:12" x14ac:dyDescent="0.2">
      <c r="D8418" s="341"/>
      <c r="F8418" s="343"/>
      <c r="G8418" s="343"/>
      <c r="H8418" s="343"/>
      <c r="I8418" s="343"/>
      <c r="J8418" s="343"/>
      <c r="K8418" s="343"/>
      <c r="L8418" s="343"/>
    </row>
    <row r="8419" spans="4:12" x14ac:dyDescent="0.2">
      <c r="D8419" s="341"/>
      <c r="F8419" s="343"/>
      <c r="G8419" s="343"/>
      <c r="H8419" s="343"/>
      <c r="I8419" s="343"/>
      <c r="J8419" s="343"/>
      <c r="K8419" s="343"/>
      <c r="L8419" s="343"/>
    </row>
    <row r="8420" spans="4:12" x14ac:dyDescent="0.2">
      <c r="D8420" s="341"/>
      <c r="F8420" s="343"/>
      <c r="G8420" s="343"/>
      <c r="H8420" s="343"/>
      <c r="I8420" s="343"/>
      <c r="J8420" s="343"/>
      <c r="K8420" s="343"/>
      <c r="L8420" s="343"/>
    </row>
    <row r="8421" spans="4:12" x14ac:dyDescent="0.2">
      <c r="D8421" s="341"/>
      <c r="F8421" s="343"/>
      <c r="G8421" s="343"/>
      <c r="H8421" s="343"/>
      <c r="I8421" s="343"/>
      <c r="J8421" s="343"/>
      <c r="K8421" s="343"/>
      <c r="L8421" s="343"/>
    </row>
    <row r="8422" spans="4:12" x14ac:dyDescent="0.2">
      <c r="D8422" s="341"/>
      <c r="F8422" s="343"/>
      <c r="G8422" s="343"/>
      <c r="H8422" s="343"/>
      <c r="I8422" s="343"/>
      <c r="J8422" s="343"/>
      <c r="K8422" s="343"/>
      <c r="L8422" s="343"/>
    </row>
    <row r="8423" spans="4:12" x14ac:dyDescent="0.2">
      <c r="D8423" s="341"/>
      <c r="F8423" s="343"/>
      <c r="G8423" s="343"/>
      <c r="H8423" s="343"/>
      <c r="I8423" s="343"/>
      <c r="J8423" s="343"/>
      <c r="K8423" s="343"/>
      <c r="L8423" s="343"/>
    </row>
    <row r="8424" spans="4:12" x14ac:dyDescent="0.2">
      <c r="D8424" s="341"/>
      <c r="F8424" s="343"/>
      <c r="G8424" s="343"/>
      <c r="H8424" s="343"/>
      <c r="I8424" s="343"/>
      <c r="J8424" s="343"/>
      <c r="K8424" s="343"/>
      <c r="L8424" s="343"/>
    </row>
    <row r="8425" spans="4:12" x14ac:dyDescent="0.2">
      <c r="D8425" s="341"/>
      <c r="F8425" s="343"/>
      <c r="G8425" s="343"/>
      <c r="H8425" s="343"/>
      <c r="I8425" s="343"/>
      <c r="J8425" s="343"/>
      <c r="K8425" s="343"/>
      <c r="L8425" s="343"/>
    </row>
    <row r="8426" spans="4:12" x14ac:dyDescent="0.2">
      <c r="D8426" s="341"/>
      <c r="F8426" s="343"/>
      <c r="G8426" s="343"/>
      <c r="H8426" s="343"/>
      <c r="I8426" s="343"/>
      <c r="J8426" s="343"/>
      <c r="K8426" s="343"/>
      <c r="L8426" s="343"/>
    </row>
    <row r="8427" spans="4:12" x14ac:dyDescent="0.2">
      <c r="D8427" s="341"/>
      <c r="F8427" s="343"/>
      <c r="G8427" s="343"/>
      <c r="H8427" s="343"/>
      <c r="I8427" s="343"/>
      <c r="J8427" s="343"/>
      <c r="K8427" s="343"/>
      <c r="L8427" s="343"/>
    </row>
    <row r="8428" spans="4:12" x14ac:dyDescent="0.2">
      <c r="D8428" s="341"/>
      <c r="F8428" s="343"/>
      <c r="G8428" s="343"/>
      <c r="H8428" s="343"/>
      <c r="I8428" s="343"/>
      <c r="J8428" s="343"/>
      <c r="K8428" s="343"/>
      <c r="L8428" s="343"/>
    </row>
    <row r="8429" spans="4:12" x14ac:dyDescent="0.2">
      <c r="D8429" s="341"/>
      <c r="F8429" s="343"/>
      <c r="G8429" s="343"/>
      <c r="H8429" s="343"/>
      <c r="I8429" s="343"/>
      <c r="J8429" s="343"/>
      <c r="K8429" s="343"/>
      <c r="L8429" s="343"/>
    </row>
    <row r="8430" spans="4:12" x14ac:dyDescent="0.2">
      <c r="D8430" s="341"/>
      <c r="F8430" s="343"/>
      <c r="G8430" s="343"/>
      <c r="H8430" s="343"/>
      <c r="I8430" s="343"/>
      <c r="J8430" s="343"/>
      <c r="K8430" s="343"/>
      <c r="L8430" s="343"/>
    </row>
    <row r="8431" spans="4:12" x14ac:dyDescent="0.2">
      <c r="D8431" s="341"/>
      <c r="F8431" s="343"/>
      <c r="G8431" s="343"/>
      <c r="H8431" s="343"/>
      <c r="I8431" s="343"/>
      <c r="J8431" s="343"/>
      <c r="K8431" s="343"/>
      <c r="L8431" s="343"/>
    </row>
    <row r="8432" spans="4:12" x14ac:dyDescent="0.2">
      <c r="D8432" s="341"/>
      <c r="F8432" s="343"/>
      <c r="G8432" s="343"/>
      <c r="H8432" s="343"/>
      <c r="I8432" s="343"/>
      <c r="J8432" s="343"/>
      <c r="K8432" s="343"/>
      <c r="L8432" s="343"/>
    </row>
    <row r="8433" spans="4:12" x14ac:dyDescent="0.2">
      <c r="D8433" s="341"/>
      <c r="F8433" s="343"/>
      <c r="G8433" s="343"/>
      <c r="H8433" s="343"/>
      <c r="I8433" s="343"/>
      <c r="J8433" s="343"/>
      <c r="K8433" s="343"/>
      <c r="L8433" s="343"/>
    </row>
    <row r="8434" spans="4:12" x14ac:dyDescent="0.2">
      <c r="D8434" s="341"/>
      <c r="F8434" s="343"/>
      <c r="G8434" s="343"/>
      <c r="H8434" s="343"/>
      <c r="I8434" s="343"/>
      <c r="J8434" s="343"/>
      <c r="K8434" s="343"/>
      <c r="L8434" s="343"/>
    </row>
    <row r="8435" spans="4:12" x14ac:dyDescent="0.2">
      <c r="D8435" s="341"/>
      <c r="F8435" s="343"/>
      <c r="G8435" s="343"/>
      <c r="H8435" s="343"/>
      <c r="I8435" s="343"/>
      <c r="J8435" s="343"/>
      <c r="K8435" s="343"/>
      <c r="L8435" s="343"/>
    </row>
    <row r="8436" spans="4:12" x14ac:dyDescent="0.2">
      <c r="D8436" s="341"/>
      <c r="F8436" s="343"/>
      <c r="G8436" s="343"/>
      <c r="H8436" s="343"/>
      <c r="I8436" s="343"/>
      <c r="J8436" s="343"/>
      <c r="K8436" s="343"/>
      <c r="L8436" s="343"/>
    </row>
    <row r="8437" spans="4:12" x14ac:dyDescent="0.2">
      <c r="D8437" s="341"/>
      <c r="F8437" s="343"/>
      <c r="G8437" s="343"/>
      <c r="H8437" s="343"/>
      <c r="I8437" s="343"/>
      <c r="J8437" s="343"/>
      <c r="K8437" s="343"/>
      <c r="L8437" s="343"/>
    </row>
    <row r="8438" spans="4:12" x14ac:dyDescent="0.2">
      <c r="D8438" s="341"/>
      <c r="F8438" s="343"/>
      <c r="G8438" s="343"/>
      <c r="H8438" s="343"/>
      <c r="I8438" s="343"/>
      <c r="J8438" s="343"/>
      <c r="K8438" s="343"/>
      <c r="L8438" s="343"/>
    </row>
    <row r="8439" spans="4:12" x14ac:dyDescent="0.2">
      <c r="D8439" s="341"/>
      <c r="F8439" s="343"/>
      <c r="G8439" s="343"/>
      <c r="H8439" s="343"/>
      <c r="I8439" s="343"/>
      <c r="J8439" s="343"/>
      <c r="K8439" s="343"/>
      <c r="L8439" s="343"/>
    </row>
    <row r="8440" spans="4:12" x14ac:dyDescent="0.2">
      <c r="D8440" s="341"/>
      <c r="F8440" s="343"/>
      <c r="G8440" s="343"/>
      <c r="H8440" s="343"/>
      <c r="I8440" s="343"/>
      <c r="J8440" s="343"/>
      <c r="K8440" s="343"/>
      <c r="L8440" s="343"/>
    </row>
    <row r="8441" spans="4:12" x14ac:dyDescent="0.2">
      <c r="D8441" s="341"/>
      <c r="F8441" s="343"/>
      <c r="G8441" s="343"/>
      <c r="H8441" s="343"/>
      <c r="I8441" s="343"/>
      <c r="J8441" s="343"/>
      <c r="K8441" s="343"/>
      <c r="L8441" s="343"/>
    </row>
    <row r="8442" spans="4:12" x14ac:dyDescent="0.2">
      <c r="D8442" s="341"/>
      <c r="F8442" s="343"/>
      <c r="G8442" s="343"/>
      <c r="H8442" s="343"/>
      <c r="I8442" s="343"/>
      <c r="J8442" s="343"/>
      <c r="K8442" s="343"/>
      <c r="L8442" s="343"/>
    </row>
    <row r="8443" spans="4:12" x14ac:dyDescent="0.2">
      <c r="D8443" s="341"/>
      <c r="F8443" s="343"/>
      <c r="G8443" s="343"/>
      <c r="H8443" s="343"/>
      <c r="I8443" s="343"/>
      <c r="J8443" s="343"/>
      <c r="K8443" s="343"/>
      <c r="L8443" s="343"/>
    </row>
    <row r="8444" spans="4:12" x14ac:dyDescent="0.2">
      <c r="D8444" s="341"/>
      <c r="F8444" s="343"/>
      <c r="G8444" s="343"/>
      <c r="H8444" s="343"/>
      <c r="I8444" s="343"/>
      <c r="J8444" s="343"/>
      <c r="K8444" s="343"/>
      <c r="L8444" s="343"/>
    </row>
    <row r="8445" spans="4:12" x14ac:dyDescent="0.2">
      <c r="D8445" s="341"/>
      <c r="F8445" s="343"/>
      <c r="G8445" s="343"/>
      <c r="H8445" s="343"/>
      <c r="I8445" s="343"/>
      <c r="J8445" s="343"/>
      <c r="K8445" s="343"/>
      <c r="L8445" s="343"/>
    </row>
    <row r="8446" spans="4:12" x14ac:dyDescent="0.2">
      <c r="D8446" s="341"/>
      <c r="F8446" s="343"/>
      <c r="G8446" s="343"/>
      <c r="H8446" s="343"/>
      <c r="I8446" s="343"/>
      <c r="J8446" s="343"/>
      <c r="K8446" s="343"/>
      <c r="L8446" s="343"/>
    </row>
    <row r="8447" spans="4:12" x14ac:dyDescent="0.2">
      <c r="D8447" s="341"/>
      <c r="F8447" s="343"/>
      <c r="G8447" s="343"/>
      <c r="H8447" s="343"/>
      <c r="I8447" s="343"/>
      <c r="J8447" s="343"/>
      <c r="K8447" s="343"/>
      <c r="L8447" s="343"/>
    </row>
    <row r="8448" spans="4:12" x14ac:dyDescent="0.2">
      <c r="D8448" s="341"/>
      <c r="F8448" s="343"/>
      <c r="G8448" s="343"/>
      <c r="H8448" s="343"/>
      <c r="I8448" s="343"/>
      <c r="J8448" s="343"/>
      <c r="K8448" s="343"/>
      <c r="L8448" s="343"/>
    </row>
    <row r="8449" spans="4:12" x14ac:dyDescent="0.2">
      <c r="D8449" s="341"/>
      <c r="F8449" s="343"/>
      <c r="G8449" s="343"/>
      <c r="H8449" s="343"/>
      <c r="I8449" s="343"/>
      <c r="J8449" s="343"/>
      <c r="K8449" s="343"/>
      <c r="L8449" s="343"/>
    </row>
    <row r="8450" spans="4:12" x14ac:dyDescent="0.2">
      <c r="D8450" s="341"/>
      <c r="F8450" s="343"/>
      <c r="G8450" s="343"/>
      <c r="H8450" s="343"/>
      <c r="I8450" s="343"/>
      <c r="J8450" s="343"/>
      <c r="K8450" s="343"/>
      <c r="L8450" s="343"/>
    </row>
    <row r="8451" spans="4:12" x14ac:dyDescent="0.2">
      <c r="D8451" s="341"/>
      <c r="F8451" s="343"/>
      <c r="G8451" s="343"/>
      <c r="H8451" s="343"/>
      <c r="I8451" s="343"/>
      <c r="J8451" s="343"/>
      <c r="K8451" s="343"/>
      <c r="L8451" s="343"/>
    </row>
    <row r="8452" spans="4:12" x14ac:dyDescent="0.2">
      <c r="D8452" s="341"/>
      <c r="F8452" s="343"/>
      <c r="G8452" s="343"/>
      <c r="H8452" s="343"/>
      <c r="I8452" s="343"/>
      <c r="J8452" s="343"/>
      <c r="K8452" s="343"/>
      <c r="L8452" s="343"/>
    </row>
    <row r="8453" spans="4:12" x14ac:dyDescent="0.2">
      <c r="D8453" s="341"/>
      <c r="F8453" s="343"/>
      <c r="G8453" s="343"/>
      <c r="H8453" s="343"/>
      <c r="I8453" s="343"/>
      <c r="J8453" s="343"/>
      <c r="K8453" s="343"/>
      <c r="L8453" s="343"/>
    </row>
    <row r="8454" spans="4:12" x14ac:dyDescent="0.2">
      <c r="D8454" s="341"/>
      <c r="F8454" s="343"/>
      <c r="G8454" s="343"/>
      <c r="H8454" s="343"/>
      <c r="I8454" s="343"/>
      <c r="J8454" s="343"/>
      <c r="K8454" s="343"/>
      <c r="L8454" s="343"/>
    </row>
    <row r="8455" spans="4:12" x14ac:dyDescent="0.2">
      <c r="D8455" s="341"/>
      <c r="F8455" s="343"/>
      <c r="G8455" s="343"/>
      <c r="H8455" s="343"/>
      <c r="I8455" s="343"/>
      <c r="J8455" s="343"/>
      <c r="K8455" s="343"/>
      <c r="L8455" s="343"/>
    </row>
    <row r="8456" spans="4:12" x14ac:dyDescent="0.2">
      <c r="D8456" s="341"/>
      <c r="F8456" s="343"/>
      <c r="G8456" s="343"/>
      <c r="H8456" s="343"/>
      <c r="I8456" s="343"/>
      <c r="J8456" s="343"/>
      <c r="K8456" s="343"/>
      <c r="L8456" s="343"/>
    </row>
    <row r="8457" spans="4:12" x14ac:dyDescent="0.2">
      <c r="D8457" s="341"/>
      <c r="F8457" s="343"/>
      <c r="G8457" s="343"/>
      <c r="H8457" s="343"/>
      <c r="I8457" s="343"/>
      <c r="J8457" s="343"/>
      <c r="K8457" s="343"/>
      <c r="L8457" s="343"/>
    </row>
    <row r="8458" spans="4:12" x14ac:dyDescent="0.2">
      <c r="D8458" s="341"/>
      <c r="F8458" s="343"/>
      <c r="G8458" s="343"/>
      <c r="H8458" s="343"/>
      <c r="I8458" s="343"/>
      <c r="J8458" s="343"/>
      <c r="K8458" s="343"/>
      <c r="L8458" s="343"/>
    </row>
    <row r="8459" spans="4:12" x14ac:dyDescent="0.2">
      <c r="D8459" s="341"/>
      <c r="F8459" s="343"/>
      <c r="G8459" s="343"/>
      <c r="H8459" s="343"/>
      <c r="I8459" s="343"/>
      <c r="J8459" s="343"/>
      <c r="K8459" s="343"/>
      <c r="L8459" s="343"/>
    </row>
    <row r="8460" spans="4:12" x14ac:dyDescent="0.2">
      <c r="D8460" s="341"/>
      <c r="F8460" s="343"/>
      <c r="G8460" s="343"/>
      <c r="H8460" s="343"/>
      <c r="I8460" s="343"/>
      <c r="J8460" s="343"/>
      <c r="K8460" s="343"/>
      <c r="L8460" s="343"/>
    </row>
    <row r="8461" spans="4:12" x14ac:dyDescent="0.2">
      <c r="D8461" s="341"/>
      <c r="F8461" s="343"/>
      <c r="G8461" s="343"/>
      <c r="H8461" s="343"/>
      <c r="I8461" s="343"/>
      <c r="J8461" s="343"/>
      <c r="K8461" s="343"/>
      <c r="L8461" s="343"/>
    </row>
    <row r="8462" spans="4:12" x14ac:dyDescent="0.2">
      <c r="D8462" s="341"/>
      <c r="F8462" s="343"/>
      <c r="G8462" s="343"/>
      <c r="H8462" s="343"/>
      <c r="I8462" s="343"/>
      <c r="J8462" s="343"/>
      <c r="K8462" s="343"/>
      <c r="L8462" s="343"/>
    </row>
    <row r="8463" spans="4:12" x14ac:dyDescent="0.2">
      <c r="D8463" s="341"/>
      <c r="F8463" s="343"/>
      <c r="G8463" s="343"/>
      <c r="H8463" s="343"/>
      <c r="I8463" s="343"/>
      <c r="J8463" s="343"/>
      <c r="K8463" s="343"/>
      <c r="L8463" s="343"/>
    </row>
    <row r="8464" spans="4:12" x14ac:dyDescent="0.2">
      <c r="D8464" s="341"/>
      <c r="F8464" s="343"/>
      <c r="G8464" s="343"/>
      <c r="H8464" s="343"/>
      <c r="I8464" s="343"/>
      <c r="J8464" s="343"/>
      <c r="K8464" s="343"/>
      <c r="L8464" s="343"/>
    </row>
    <row r="8465" spans="4:12" x14ac:dyDescent="0.2">
      <c r="D8465" s="341"/>
      <c r="F8465" s="343"/>
      <c r="G8465" s="343"/>
      <c r="H8465" s="343"/>
      <c r="I8465" s="343"/>
      <c r="J8465" s="343"/>
      <c r="K8465" s="343"/>
      <c r="L8465" s="343"/>
    </row>
    <row r="8466" spans="4:12" x14ac:dyDescent="0.2">
      <c r="D8466" s="341"/>
      <c r="F8466" s="343"/>
      <c r="G8466" s="343"/>
      <c r="H8466" s="343"/>
      <c r="I8466" s="343"/>
      <c r="J8466" s="343"/>
      <c r="K8466" s="343"/>
      <c r="L8466" s="343"/>
    </row>
    <row r="8467" spans="4:12" x14ac:dyDescent="0.2">
      <c r="D8467" s="341"/>
      <c r="F8467" s="343"/>
      <c r="G8467" s="343"/>
      <c r="H8467" s="343"/>
      <c r="I8467" s="343"/>
      <c r="J8467" s="343"/>
      <c r="K8467" s="343"/>
      <c r="L8467" s="343"/>
    </row>
    <row r="8468" spans="4:12" x14ac:dyDescent="0.2">
      <c r="D8468" s="341"/>
      <c r="F8468" s="343"/>
      <c r="G8468" s="343"/>
      <c r="H8468" s="343"/>
      <c r="I8468" s="343"/>
      <c r="J8468" s="343"/>
      <c r="K8468" s="343"/>
      <c r="L8468" s="343"/>
    </row>
    <row r="8469" spans="4:12" x14ac:dyDescent="0.2">
      <c r="D8469" s="341"/>
      <c r="F8469" s="343"/>
      <c r="G8469" s="343"/>
      <c r="H8469" s="343"/>
      <c r="I8469" s="343"/>
      <c r="J8469" s="343"/>
      <c r="K8469" s="343"/>
      <c r="L8469" s="343"/>
    </row>
    <row r="8470" spans="4:12" x14ac:dyDescent="0.2">
      <c r="D8470" s="341"/>
      <c r="F8470" s="343"/>
      <c r="G8470" s="343"/>
      <c r="H8470" s="343"/>
      <c r="I8470" s="343"/>
      <c r="J8470" s="343"/>
      <c r="K8470" s="343"/>
      <c r="L8470" s="343"/>
    </row>
    <row r="8471" spans="4:12" x14ac:dyDescent="0.2">
      <c r="D8471" s="341"/>
      <c r="F8471" s="343"/>
      <c r="G8471" s="343"/>
      <c r="H8471" s="343"/>
      <c r="I8471" s="343"/>
      <c r="J8471" s="343"/>
      <c r="K8471" s="343"/>
      <c r="L8471" s="343"/>
    </row>
    <row r="8472" spans="4:12" x14ac:dyDescent="0.2">
      <c r="D8472" s="341"/>
      <c r="F8472" s="343"/>
      <c r="G8472" s="343"/>
      <c r="H8472" s="343"/>
      <c r="I8472" s="343"/>
      <c r="J8472" s="343"/>
      <c r="K8472" s="343"/>
      <c r="L8472" s="343"/>
    </row>
    <row r="8473" spans="4:12" x14ac:dyDescent="0.2">
      <c r="D8473" s="341"/>
      <c r="F8473" s="343"/>
      <c r="G8473" s="343"/>
      <c r="H8473" s="343"/>
      <c r="I8473" s="343"/>
      <c r="J8473" s="343"/>
      <c r="K8473" s="343"/>
      <c r="L8473" s="343"/>
    </row>
    <row r="8474" spans="4:12" x14ac:dyDescent="0.2">
      <c r="D8474" s="341"/>
      <c r="F8474" s="343"/>
      <c r="G8474" s="343"/>
      <c r="H8474" s="343"/>
      <c r="I8474" s="343"/>
      <c r="J8474" s="343"/>
      <c r="K8474" s="343"/>
      <c r="L8474" s="343"/>
    </row>
    <row r="8475" spans="4:12" x14ac:dyDescent="0.2">
      <c r="D8475" s="341"/>
      <c r="F8475" s="343"/>
      <c r="G8475" s="343"/>
      <c r="H8475" s="343"/>
      <c r="I8475" s="343"/>
      <c r="J8475" s="343"/>
      <c r="K8475" s="343"/>
      <c r="L8475" s="343"/>
    </row>
    <row r="8476" spans="4:12" x14ac:dyDescent="0.2">
      <c r="D8476" s="341"/>
      <c r="F8476" s="343"/>
      <c r="G8476" s="343"/>
      <c r="H8476" s="343"/>
      <c r="I8476" s="343"/>
      <c r="J8476" s="343"/>
      <c r="K8476" s="343"/>
      <c r="L8476" s="343"/>
    </row>
    <row r="8477" spans="4:12" x14ac:dyDescent="0.2">
      <c r="D8477" s="341"/>
      <c r="F8477" s="343"/>
      <c r="G8477" s="343"/>
      <c r="H8477" s="343"/>
      <c r="I8477" s="343"/>
      <c r="J8477" s="343"/>
      <c r="K8477" s="343"/>
      <c r="L8477" s="343"/>
    </row>
    <row r="8478" spans="4:12" x14ac:dyDescent="0.2">
      <c r="D8478" s="341"/>
      <c r="F8478" s="343"/>
      <c r="G8478" s="343"/>
      <c r="H8478" s="343"/>
      <c r="I8478" s="343"/>
      <c r="J8478" s="343"/>
      <c r="K8478" s="343"/>
      <c r="L8478" s="343"/>
    </row>
    <row r="8479" spans="4:12" x14ac:dyDescent="0.2">
      <c r="D8479" s="341"/>
      <c r="F8479" s="343"/>
      <c r="G8479" s="343"/>
      <c r="H8479" s="343"/>
      <c r="I8479" s="343"/>
      <c r="J8479" s="343"/>
      <c r="K8479" s="343"/>
      <c r="L8479" s="343"/>
    </row>
    <row r="8480" spans="4:12" x14ac:dyDescent="0.2">
      <c r="D8480" s="341"/>
      <c r="F8480" s="343"/>
      <c r="G8480" s="343"/>
      <c r="H8480" s="343"/>
      <c r="I8480" s="343"/>
      <c r="J8480" s="343"/>
      <c r="K8480" s="343"/>
      <c r="L8480" s="343"/>
    </row>
    <row r="8481" spans="4:12" x14ac:dyDescent="0.2">
      <c r="D8481" s="341"/>
      <c r="F8481" s="343"/>
      <c r="G8481" s="343"/>
      <c r="H8481" s="343"/>
      <c r="I8481" s="343"/>
      <c r="J8481" s="343"/>
      <c r="K8481" s="343"/>
      <c r="L8481" s="343"/>
    </row>
    <row r="8482" spans="4:12" x14ac:dyDescent="0.2">
      <c r="D8482" s="341"/>
      <c r="F8482" s="343"/>
      <c r="G8482" s="343"/>
      <c r="H8482" s="343"/>
      <c r="I8482" s="343"/>
      <c r="J8482" s="343"/>
      <c r="K8482" s="343"/>
      <c r="L8482" s="343"/>
    </row>
    <row r="8483" spans="4:12" x14ac:dyDescent="0.2">
      <c r="D8483" s="341"/>
      <c r="F8483" s="343"/>
      <c r="G8483" s="343"/>
      <c r="H8483" s="343"/>
      <c r="I8483" s="343"/>
      <c r="J8483" s="343"/>
      <c r="K8483" s="343"/>
      <c r="L8483" s="343"/>
    </row>
    <row r="8484" spans="4:12" x14ac:dyDescent="0.2">
      <c r="D8484" s="341"/>
      <c r="F8484" s="343"/>
      <c r="G8484" s="343"/>
      <c r="H8484" s="343"/>
      <c r="I8484" s="343"/>
      <c r="J8484" s="343"/>
      <c r="K8484" s="343"/>
      <c r="L8484" s="343"/>
    </row>
    <row r="8485" spans="4:12" x14ac:dyDescent="0.2">
      <c r="D8485" s="341"/>
      <c r="F8485" s="343"/>
      <c r="G8485" s="343"/>
      <c r="H8485" s="343"/>
      <c r="I8485" s="343"/>
      <c r="J8485" s="343"/>
      <c r="K8485" s="343"/>
      <c r="L8485" s="343"/>
    </row>
    <row r="8486" spans="4:12" x14ac:dyDescent="0.2">
      <c r="D8486" s="341"/>
      <c r="F8486" s="343"/>
      <c r="G8486" s="343"/>
      <c r="H8486" s="343"/>
      <c r="I8486" s="343"/>
      <c r="J8486" s="343"/>
      <c r="K8486" s="343"/>
      <c r="L8486" s="343"/>
    </row>
    <row r="8487" spans="4:12" x14ac:dyDescent="0.2">
      <c r="D8487" s="341"/>
      <c r="F8487" s="343"/>
      <c r="G8487" s="343"/>
      <c r="H8487" s="343"/>
      <c r="I8487" s="343"/>
      <c r="J8487" s="343"/>
      <c r="K8487" s="343"/>
      <c r="L8487" s="343"/>
    </row>
    <row r="8488" spans="4:12" x14ac:dyDescent="0.2">
      <c r="D8488" s="341"/>
      <c r="F8488" s="343"/>
      <c r="G8488" s="343"/>
      <c r="H8488" s="343"/>
      <c r="I8488" s="343"/>
      <c r="J8488" s="343"/>
      <c r="K8488" s="343"/>
      <c r="L8488" s="343"/>
    </row>
    <row r="8489" spans="4:12" x14ac:dyDescent="0.2">
      <c r="D8489" s="341"/>
      <c r="F8489" s="343"/>
      <c r="G8489" s="343"/>
      <c r="H8489" s="343"/>
      <c r="I8489" s="343"/>
      <c r="J8489" s="343"/>
      <c r="K8489" s="343"/>
      <c r="L8489" s="343"/>
    </row>
    <row r="8490" spans="4:12" x14ac:dyDescent="0.2">
      <c r="D8490" s="341"/>
      <c r="F8490" s="343"/>
      <c r="G8490" s="343"/>
      <c r="H8490" s="343"/>
      <c r="I8490" s="343"/>
      <c r="J8490" s="343"/>
      <c r="K8490" s="343"/>
      <c r="L8490" s="343"/>
    </row>
    <row r="8491" spans="4:12" x14ac:dyDescent="0.2">
      <c r="D8491" s="341"/>
      <c r="F8491" s="343"/>
      <c r="G8491" s="343"/>
      <c r="H8491" s="343"/>
      <c r="I8491" s="343"/>
      <c r="J8491" s="343"/>
      <c r="K8491" s="343"/>
      <c r="L8491" s="343"/>
    </row>
    <row r="8492" spans="4:12" x14ac:dyDescent="0.2">
      <c r="D8492" s="341"/>
      <c r="F8492" s="343"/>
      <c r="G8492" s="343"/>
      <c r="H8492" s="343"/>
      <c r="I8492" s="343"/>
      <c r="J8492" s="343"/>
      <c r="K8492" s="343"/>
      <c r="L8492" s="343"/>
    </row>
    <row r="8493" spans="4:12" x14ac:dyDescent="0.2">
      <c r="D8493" s="341"/>
      <c r="F8493" s="343"/>
      <c r="G8493" s="343"/>
      <c r="H8493" s="343"/>
      <c r="I8493" s="343"/>
      <c r="J8493" s="343"/>
      <c r="K8493" s="343"/>
      <c r="L8493" s="343"/>
    </row>
    <row r="8494" spans="4:12" x14ac:dyDescent="0.2">
      <c r="D8494" s="341"/>
      <c r="F8494" s="343"/>
      <c r="G8494" s="343"/>
      <c r="H8494" s="343"/>
      <c r="I8494" s="343"/>
      <c r="J8494" s="343"/>
      <c r="K8494" s="343"/>
      <c r="L8494" s="343"/>
    </row>
    <row r="8495" spans="4:12" x14ac:dyDescent="0.2">
      <c r="D8495" s="341"/>
      <c r="F8495" s="343"/>
      <c r="G8495" s="343"/>
      <c r="H8495" s="343"/>
      <c r="I8495" s="343"/>
      <c r="J8495" s="343"/>
      <c r="K8495" s="343"/>
      <c r="L8495" s="343"/>
    </row>
    <row r="8496" spans="4:12" x14ac:dyDescent="0.2">
      <c r="D8496" s="341"/>
      <c r="F8496" s="343"/>
      <c r="G8496" s="343"/>
      <c r="H8496" s="343"/>
      <c r="I8496" s="343"/>
      <c r="J8496" s="343"/>
      <c r="K8496" s="343"/>
      <c r="L8496" s="343"/>
    </row>
    <row r="8497" spans="4:12" x14ac:dyDescent="0.2">
      <c r="D8497" s="341"/>
      <c r="F8497" s="343"/>
      <c r="G8497" s="343"/>
      <c r="H8497" s="343"/>
      <c r="I8497" s="343"/>
      <c r="J8497" s="343"/>
      <c r="K8497" s="343"/>
      <c r="L8497" s="343"/>
    </row>
    <row r="8498" spans="4:12" x14ac:dyDescent="0.2">
      <c r="D8498" s="341"/>
      <c r="F8498" s="343"/>
      <c r="G8498" s="343"/>
      <c r="H8498" s="343"/>
      <c r="I8498" s="343"/>
      <c r="J8498" s="343"/>
      <c r="K8498" s="343"/>
      <c r="L8498" s="343"/>
    </row>
    <row r="8499" spans="4:12" x14ac:dyDescent="0.2">
      <c r="D8499" s="341"/>
      <c r="F8499" s="343"/>
      <c r="G8499" s="343"/>
      <c r="H8499" s="343"/>
      <c r="I8499" s="343"/>
      <c r="J8499" s="343"/>
      <c r="K8499" s="343"/>
      <c r="L8499" s="343"/>
    </row>
    <row r="8500" spans="4:12" x14ac:dyDescent="0.2">
      <c r="D8500" s="341"/>
      <c r="F8500" s="343"/>
      <c r="G8500" s="343"/>
      <c r="H8500" s="343"/>
      <c r="I8500" s="343"/>
      <c r="J8500" s="343"/>
      <c r="K8500" s="343"/>
      <c r="L8500" s="343"/>
    </row>
    <row r="8501" spans="4:12" x14ac:dyDescent="0.2">
      <c r="D8501" s="341"/>
      <c r="F8501" s="343"/>
      <c r="G8501" s="343"/>
      <c r="H8501" s="343"/>
      <c r="I8501" s="343"/>
      <c r="J8501" s="343"/>
      <c r="K8501" s="343"/>
      <c r="L8501" s="343"/>
    </row>
    <row r="8502" spans="4:12" x14ac:dyDescent="0.2">
      <c r="D8502" s="341"/>
      <c r="F8502" s="343"/>
      <c r="G8502" s="343"/>
      <c r="H8502" s="343"/>
      <c r="I8502" s="343"/>
      <c r="J8502" s="343"/>
      <c r="K8502" s="343"/>
      <c r="L8502" s="343"/>
    </row>
    <row r="8503" spans="4:12" x14ac:dyDescent="0.2">
      <c r="D8503" s="341"/>
      <c r="F8503" s="343"/>
      <c r="G8503" s="343"/>
      <c r="H8503" s="343"/>
      <c r="I8503" s="343"/>
      <c r="J8503" s="343"/>
      <c r="K8503" s="343"/>
      <c r="L8503" s="343"/>
    </row>
    <row r="8504" spans="4:12" x14ac:dyDescent="0.2">
      <c r="D8504" s="341"/>
      <c r="F8504" s="343"/>
      <c r="G8504" s="343"/>
      <c r="H8504" s="343"/>
      <c r="I8504" s="343"/>
      <c r="J8504" s="343"/>
      <c r="K8504" s="343"/>
      <c r="L8504" s="343"/>
    </row>
    <row r="8505" spans="4:12" x14ac:dyDescent="0.2">
      <c r="D8505" s="341"/>
      <c r="F8505" s="343"/>
      <c r="G8505" s="343"/>
      <c r="H8505" s="343"/>
      <c r="I8505" s="343"/>
      <c r="J8505" s="343"/>
      <c r="K8505" s="343"/>
      <c r="L8505" s="343"/>
    </row>
    <row r="8506" spans="4:12" x14ac:dyDescent="0.2">
      <c r="D8506" s="341"/>
      <c r="F8506" s="343"/>
      <c r="G8506" s="343"/>
      <c r="H8506" s="343"/>
      <c r="I8506" s="343"/>
      <c r="J8506" s="343"/>
      <c r="K8506" s="343"/>
      <c r="L8506" s="343"/>
    </row>
    <row r="8507" spans="4:12" x14ac:dyDescent="0.2">
      <c r="D8507" s="341"/>
      <c r="F8507" s="343"/>
      <c r="G8507" s="343"/>
      <c r="H8507" s="343"/>
      <c r="I8507" s="343"/>
      <c r="J8507" s="343"/>
      <c r="K8507" s="343"/>
      <c r="L8507" s="343"/>
    </row>
    <row r="8508" spans="4:12" x14ac:dyDescent="0.2">
      <c r="D8508" s="341"/>
      <c r="F8508" s="343"/>
      <c r="G8508" s="343"/>
      <c r="H8508" s="343"/>
      <c r="I8508" s="343"/>
      <c r="J8508" s="343"/>
      <c r="K8508" s="343"/>
      <c r="L8508" s="343"/>
    </row>
    <row r="8509" spans="4:12" x14ac:dyDescent="0.2">
      <c r="D8509" s="341"/>
      <c r="F8509" s="343"/>
      <c r="G8509" s="343"/>
      <c r="H8509" s="343"/>
      <c r="I8509" s="343"/>
      <c r="J8509" s="343"/>
      <c r="K8509" s="343"/>
      <c r="L8509" s="343"/>
    </row>
    <row r="8510" spans="4:12" x14ac:dyDescent="0.2">
      <c r="D8510" s="341"/>
      <c r="F8510" s="343"/>
      <c r="G8510" s="343"/>
      <c r="H8510" s="343"/>
      <c r="I8510" s="343"/>
      <c r="J8510" s="343"/>
      <c r="K8510" s="343"/>
      <c r="L8510" s="343"/>
    </row>
    <row r="8511" spans="4:12" x14ac:dyDescent="0.2">
      <c r="D8511" s="341"/>
      <c r="F8511" s="343"/>
      <c r="G8511" s="343"/>
      <c r="H8511" s="343"/>
      <c r="I8511" s="343"/>
      <c r="J8511" s="343"/>
      <c r="K8511" s="343"/>
      <c r="L8511" s="343"/>
    </row>
    <row r="8512" spans="4:12" x14ac:dyDescent="0.2">
      <c r="D8512" s="341"/>
      <c r="F8512" s="343"/>
      <c r="G8512" s="343"/>
      <c r="H8512" s="343"/>
      <c r="I8512" s="343"/>
      <c r="J8512" s="343"/>
      <c r="K8512" s="343"/>
      <c r="L8512" s="343"/>
    </row>
    <row r="8513" spans="4:12" x14ac:dyDescent="0.2">
      <c r="D8513" s="341"/>
      <c r="F8513" s="343"/>
      <c r="G8513" s="343"/>
      <c r="H8513" s="343"/>
      <c r="I8513" s="343"/>
      <c r="J8513" s="343"/>
      <c r="K8513" s="343"/>
      <c r="L8513" s="343"/>
    </row>
    <row r="8514" spans="4:12" x14ac:dyDescent="0.2">
      <c r="D8514" s="341"/>
      <c r="F8514" s="343"/>
      <c r="G8514" s="343"/>
      <c r="H8514" s="343"/>
      <c r="I8514" s="343"/>
      <c r="J8514" s="343"/>
      <c r="K8514" s="343"/>
      <c r="L8514" s="343"/>
    </row>
    <row r="8515" spans="4:12" x14ac:dyDescent="0.2">
      <c r="D8515" s="341"/>
      <c r="F8515" s="343"/>
      <c r="G8515" s="343"/>
      <c r="H8515" s="343"/>
      <c r="I8515" s="343"/>
      <c r="J8515" s="343"/>
      <c r="K8515" s="343"/>
      <c r="L8515" s="343"/>
    </row>
    <row r="8516" spans="4:12" x14ac:dyDescent="0.2">
      <c r="D8516" s="341"/>
      <c r="F8516" s="343"/>
      <c r="G8516" s="343"/>
      <c r="H8516" s="343"/>
      <c r="I8516" s="343"/>
      <c r="J8516" s="343"/>
      <c r="K8516" s="343"/>
      <c r="L8516" s="343"/>
    </row>
    <row r="8517" spans="4:12" x14ac:dyDescent="0.2">
      <c r="D8517" s="341"/>
      <c r="F8517" s="343"/>
      <c r="G8517" s="343"/>
      <c r="H8517" s="343"/>
      <c r="I8517" s="343"/>
      <c r="J8517" s="343"/>
      <c r="K8517" s="343"/>
      <c r="L8517" s="343"/>
    </row>
    <row r="8518" spans="4:12" x14ac:dyDescent="0.2">
      <c r="D8518" s="341"/>
      <c r="F8518" s="343"/>
      <c r="G8518" s="343"/>
      <c r="H8518" s="343"/>
      <c r="I8518" s="343"/>
      <c r="J8518" s="343"/>
      <c r="K8518" s="343"/>
      <c r="L8518" s="343"/>
    </row>
    <row r="8519" spans="4:12" x14ac:dyDescent="0.2">
      <c r="D8519" s="341"/>
      <c r="F8519" s="343"/>
      <c r="G8519" s="343"/>
      <c r="H8519" s="343"/>
      <c r="I8519" s="343"/>
      <c r="J8519" s="343"/>
      <c r="K8519" s="343"/>
      <c r="L8519" s="343"/>
    </row>
    <row r="8520" spans="4:12" x14ac:dyDescent="0.2">
      <c r="D8520" s="341"/>
      <c r="F8520" s="343"/>
      <c r="G8520" s="343"/>
      <c r="H8520" s="343"/>
      <c r="I8520" s="343"/>
      <c r="J8520" s="343"/>
      <c r="K8520" s="343"/>
      <c r="L8520" s="343"/>
    </row>
    <row r="8521" spans="4:12" x14ac:dyDescent="0.2">
      <c r="D8521" s="341"/>
      <c r="F8521" s="343"/>
      <c r="G8521" s="343"/>
      <c r="H8521" s="343"/>
      <c r="I8521" s="343"/>
      <c r="J8521" s="343"/>
      <c r="K8521" s="343"/>
      <c r="L8521" s="343"/>
    </row>
    <row r="8522" spans="4:12" x14ac:dyDescent="0.2">
      <c r="D8522" s="341"/>
      <c r="F8522" s="343"/>
      <c r="G8522" s="343"/>
      <c r="H8522" s="343"/>
      <c r="I8522" s="343"/>
      <c r="J8522" s="343"/>
      <c r="K8522" s="343"/>
      <c r="L8522" s="343"/>
    </row>
    <row r="8523" spans="4:12" x14ac:dyDescent="0.2">
      <c r="D8523" s="341"/>
      <c r="F8523" s="343"/>
      <c r="G8523" s="343"/>
      <c r="H8523" s="343"/>
      <c r="I8523" s="343"/>
      <c r="J8523" s="343"/>
      <c r="K8523" s="343"/>
      <c r="L8523" s="343"/>
    </row>
    <row r="8524" spans="4:12" x14ac:dyDescent="0.2">
      <c r="D8524" s="341"/>
      <c r="F8524" s="343"/>
      <c r="G8524" s="343"/>
      <c r="H8524" s="343"/>
      <c r="I8524" s="343"/>
      <c r="J8524" s="343"/>
      <c r="K8524" s="343"/>
      <c r="L8524" s="343"/>
    </row>
    <row r="8525" spans="4:12" x14ac:dyDescent="0.2">
      <c r="D8525" s="341"/>
      <c r="F8525" s="343"/>
      <c r="G8525" s="343"/>
      <c r="H8525" s="343"/>
      <c r="I8525" s="343"/>
      <c r="J8525" s="343"/>
      <c r="K8525" s="343"/>
      <c r="L8525" s="343"/>
    </row>
    <row r="8526" spans="4:12" x14ac:dyDescent="0.2">
      <c r="D8526" s="341"/>
      <c r="F8526" s="343"/>
      <c r="G8526" s="343"/>
      <c r="H8526" s="343"/>
      <c r="I8526" s="343"/>
      <c r="J8526" s="343"/>
      <c r="K8526" s="343"/>
      <c r="L8526" s="343"/>
    </row>
    <row r="8527" spans="4:12" x14ac:dyDescent="0.2">
      <c r="D8527" s="341"/>
      <c r="F8527" s="343"/>
      <c r="G8527" s="343"/>
      <c r="H8527" s="343"/>
      <c r="I8527" s="343"/>
      <c r="J8527" s="343"/>
      <c r="K8527" s="343"/>
      <c r="L8527" s="343"/>
    </row>
    <row r="8528" spans="4:12" x14ac:dyDescent="0.2">
      <c r="D8528" s="341"/>
      <c r="F8528" s="343"/>
      <c r="G8528" s="343"/>
      <c r="H8528" s="343"/>
      <c r="I8528" s="343"/>
      <c r="J8528" s="343"/>
      <c r="K8528" s="343"/>
      <c r="L8528" s="343"/>
    </row>
    <row r="8529" spans="4:12" x14ac:dyDescent="0.2">
      <c r="D8529" s="341"/>
      <c r="F8529" s="343"/>
      <c r="G8529" s="343"/>
      <c r="H8529" s="343"/>
      <c r="I8529" s="343"/>
      <c r="J8529" s="343"/>
      <c r="K8529" s="343"/>
      <c r="L8529" s="343"/>
    </row>
    <row r="8530" spans="4:12" x14ac:dyDescent="0.2">
      <c r="D8530" s="341"/>
      <c r="F8530" s="343"/>
      <c r="G8530" s="343"/>
      <c r="H8530" s="343"/>
      <c r="I8530" s="343"/>
      <c r="J8530" s="343"/>
      <c r="K8530" s="343"/>
      <c r="L8530" s="343"/>
    </row>
    <row r="8531" spans="4:12" x14ac:dyDescent="0.2">
      <c r="D8531" s="341"/>
      <c r="F8531" s="343"/>
      <c r="G8531" s="343"/>
      <c r="H8531" s="343"/>
      <c r="I8531" s="343"/>
      <c r="J8531" s="343"/>
      <c r="K8531" s="343"/>
      <c r="L8531" s="343"/>
    </row>
    <row r="8532" spans="4:12" x14ac:dyDescent="0.2">
      <c r="D8532" s="341"/>
      <c r="F8532" s="343"/>
      <c r="G8532" s="343"/>
      <c r="H8532" s="343"/>
      <c r="I8532" s="343"/>
      <c r="J8532" s="343"/>
      <c r="K8532" s="343"/>
      <c r="L8532" s="343"/>
    </row>
    <row r="8533" spans="4:12" x14ac:dyDescent="0.2">
      <c r="D8533" s="341"/>
      <c r="F8533" s="343"/>
      <c r="G8533" s="343"/>
      <c r="H8533" s="343"/>
      <c r="I8533" s="343"/>
      <c r="J8533" s="343"/>
      <c r="K8533" s="343"/>
      <c r="L8533" s="343"/>
    </row>
    <row r="8534" spans="4:12" x14ac:dyDescent="0.2">
      <c r="D8534" s="341"/>
      <c r="F8534" s="343"/>
      <c r="G8534" s="343"/>
      <c r="H8534" s="343"/>
      <c r="I8534" s="343"/>
      <c r="J8534" s="343"/>
      <c r="K8534" s="343"/>
      <c r="L8534" s="343"/>
    </row>
    <row r="8535" spans="4:12" x14ac:dyDescent="0.2">
      <c r="D8535" s="341"/>
      <c r="F8535" s="343"/>
      <c r="G8535" s="343"/>
      <c r="H8535" s="343"/>
      <c r="I8535" s="343"/>
      <c r="J8535" s="343"/>
      <c r="K8535" s="343"/>
      <c r="L8535" s="343"/>
    </row>
    <row r="8536" spans="4:12" x14ac:dyDescent="0.2">
      <c r="D8536" s="341"/>
      <c r="F8536" s="343"/>
      <c r="G8536" s="343"/>
      <c r="H8536" s="343"/>
      <c r="I8536" s="343"/>
      <c r="J8536" s="343"/>
      <c r="K8536" s="343"/>
      <c r="L8536" s="343"/>
    </row>
    <row r="8537" spans="4:12" x14ac:dyDescent="0.2">
      <c r="D8537" s="341"/>
      <c r="F8537" s="343"/>
      <c r="G8537" s="343"/>
      <c r="H8537" s="343"/>
      <c r="I8537" s="343"/>
      <c r="J8537" s="343"/>
      <c r="K8537" s="343"/>
      <c r="L8537" s="343"/>
    </row>
    <row r="8538" spans="4:12" x14ac:dyDescent="0.2">
      <c r="D8538" s="341"/>
      <c r="F8538" s="343"/>
      <c r="G8538" s="343"/>
      <c r="H8538" s="343"/>
      <c r="I8538" s="343"/>
      <c r="J8538" s="343"/>
      <c r="K8538" s="343"/>
      <c r="L8538" s="343"/>
    </row>
    <row r="8539" spans="4:12" x14ac:dyDescent="0.2">
      <c r="D8539" s="341"/>
      <c r="F8539" s="343"/>
      <c r="G8539" s="343"/>
      <c r="H8539" s="343"/>
      <c r="I8539" s="343"/>
      <c r="J8539" s="343"/>
      <c r="K8539" s="343"/>
      <c r="L8539" s="343"/>
    </row>
    <row r="8540" spans="4:12" x14ac:dyDescent="0.2">
      <c r="D8540" s="341"/>
      <c r="F8540" s="343"/>
      <c r="G8540" s="343"/>
      <c r="H8540" s="343"/>
      <c r="I8540" s="343"/>
      <c r="J8540" s="343"/>
      <c r="K8540" s="343"/>
      <c r="L8540" s="343"/>
    </row>
    <row r="8541" spans="4:12" x14ac:dyDescent="0.2">
      <c r="D8541" s="341"/>
      <c r="F8541" s="343"/>
      <c r="G8541" s="343"/>
      <c r="H8541" s="343"/>
      <c r="I8541" s="343"/>
      <c r="J8541" s="343"/>
      <c r="K8541" s="343"/>
      <c r="L8541" s="343"/>
    </row>
    <row r="8542" spans="4:12" x14ac:dyDescent="0.2">
      <c r="D8542" s="341"/>
      <c r="F8542" s="343"/>
      <c r="G8542" s="343"/>
      <c r="H8542" s="343"/>
      <c r="I8542" s="343"/>
      <c r="J8542" s="343"/>
      <c r="K8542" s="343"/>
      <c r="L8542" s="343"/>
    </row>
    <row r="8543" spans="4:12" x14ac:dyDescent="0.2">
      <c r="D8543" s="341"/>
      <c r="F8543" s="343"/>
      <c r="G8543" s="343"/>
      <c r="H8543" s="343"/>
      <c r="I8543" s="343"/>
      <c r="J8543" s="343"/>
      <c r="K8543" s="343"/>
      <c r="L8543" s="343"/>
    </row>
    <row r="8544" spans="4:12" x14ac:dyDescent="0.2">
      <c r="D8544" s="341"/>
      <c r="F8544" s="343"/>
      <c r="G8544" s="343"/>
      <c r="H8544" s="343"/>
      <c r="I8544" s="343"/>
      <c r="J8544" s="343"/>
      <c r="K8544" s="343"/>
      <c r="L8544" s="343"/>
    </row>
    <row r="8545" spans="4:12" x14ac:dyDescent="0.2">
      <c r="D8545" s="341"/>
      <c r="F8545" s="343"/>
      <c r="G8545" s="343"/>
      <c r="H8545" s="343"/>
      <c r="I8545" s="343"/>
      <c r="J8545" s="343"/>
      <c r="K8545" s="343"/>
      <c r="L8545" s="343"/>
    </row>
    <row r="8546" spans="4:12" x14ac:dyDescent="0.2">
      <c r="D8546" s="341"/>
      <c r="F8546" s="343"/>
      <c r="G8546" s="343"/>
      <c r="H8546" s="343"/>
      <c r="I8546" s="343"/>
      <c r="J8546" s="343"/>
      <c r="K8546" s="343"/>
      <c r="L8546" s="343"/>
    </row>
    <row r="8547" spans="4:12" x14ac:dyDescent="0.2">
      <c r="D8547" s="341"/>
      <c r="F8547" s="343"/>
      <c r="G8547" s="343"/>
      <c r="H8547" s="343"/>
      <c r="I8547" s="343"/>
      <c r="J8547" s="343"/>
      <c r="K8547" s="343"/>
      <c r="L8547" s="343"/>
    </row>
    <row r="8548" spans="4:12" x14ac:dyDescent="0.2">
      <c r="D8548" s="341"/>
      <c r="F8548" s="343"/>
      <c r="G8548" s="343"/>
      <c r="H8548" s="343"/>
      <c r="I8548" s="343"/>
      <c r="J8548" s="343"/>
      <c r="K8548" s="343"/>
      <c r="L8548" s="343"/>
    </row>
    <row r="8549" spans="4:12" x14ac:dyDescent="0.2">
      <c r="D8549" s="341"/>
      <c r="F8549" s="343"/>
      <c r="G8549" s="343"/>
      <c r="H8549" s="343"/>
      <c r="I8549" s="343"/>
      <c r="J8549" s="343"/>
      <c r="K8549" s="343"/>
      <c r="L8549" s="343"/>
    </row>
    <row r="8550" spans="4:12" x14ac:dyDescent="0.2">
      <c r="D8550" s="341"/>
      <c r="F8550" s="343"/>
      <c r="G8550" s="343"/>
      <c r="H8550" s="343"/>
      <c r="I8550" s="343"/>
      <c r="J8550" s="343"/>
      <c r="K8550" s="343"/>
      <c r="L8550" s="343"/>
    </row>
    <row r="8551" spans="4:12" x14ac:dyDescent="0.2">
      <c r="D8551" s="341"/>
      <c r="F8551" s="343"/>
      <c r="G8551" s="343"/>
      <c r="H8551" s="343"/>
      <c r="I8551" s="343"/>
      <c r="J8551" s="343"/>
      <c r="K8551" s="343"/>
      <c r="L8551" s="343"/>
    </row>
    <row r="8552" spans="4:12" x14ac:dyDescent="0.2">
      <c r="D8552" s="341"/>
      <c r="F8552" s="343"/>
      <c r="G8552" s="343"/>
      <c r="H8552" s="343"/>
      <c r="I8552" s="343"/>
      <c r="J8552" s="343"/>
      <c r="K8552" s="343"/>
      <c r="L8552" s="343"/>
    </row>
    <row r="8553" spans="4:12" x14ac:dyDescent="0.2">
      <c r="D8553" s="341"/>
      <c r="F8553" s="343"/>
      <c r="G8553" s="343"/>
      <c r="H8553" s="343"/>
      <c r="I8553" s="343"/>
      <c r="J8553" s="343"/>
      <c r="K8553" s="343"/>
      <c r="L8553" s="343"/>
    </row>
    <row r="8554" spans="4:12" x14ac:dyDescent="0.2">
      <c r="D8554" s="341"/>
      <c r="F8554" s="343"/>
      <c r="G8554" s="343"/>
      <c r="H8554" s="343"/>
      <c r="I8554" s="343"/>
      <c r="J8554" s="343"/>
      <c r="K8554" s="343"/>
      <c r="L8554" s="343"/>
    </row>
    <row r="8555" spans="4:12" x14ac:dyDescent="0.2">
      <c r="D8555" s="341"/>
      <c r="F8555" s="343"/>
      <c r="G8555" s="343"/>
      <c r="H8555" s="343"/>
      <c r="I8555" s="343"/>
      <c r="J8555" s="343"/>
      <c r="K8555" s="343"/>
      <c r="L8555" s="343"/>
    </row>
    <row r="8556" spans="4:12" x14ac:dyDescent="0.2">
      <c r="D8556" s="341"/>
      <c r="F8556" s="343"/>
      <c r="G8556" s="343"/>
      <c r="H8556" s="343"/>
      <c r="I8556" s="343"/>
      <c r="J8556" s="343"/>
      <c r="K8556" s="343"/>
      <c r="L8556" s="343"/>
    </row>
    <row r="8557" spans="4:12" x14ac:dyDescent="0.2">
      <c r="D8557" s="341"/>
      <c r="F8557" s="343"/>
      <c r="G8557" s="343"/>
      <c r="H8557" s="343"/>
      <c r="I8557" s="343"/>
      <c r="J8557" s="343"/>
      <c r="K8557" s="343"/>
      <c r="L8557" s="343"/>
    </row>
    <row r="8558" spans="4:12" x14ac:dyDescent="0.2">
      <c r="D8558" s="341"/>
      <c r="F8558" s="343"/>
      <c r="G8558" s="343"/>
      <c r="H8558" s="343"/>
      <c r="I8558" s="343"/>
      <c r="J8558" s="343"/>
      <c r="K8558" s="343"/>
      <c r="L8558" s="343"/>
    </row>
    <row r="8559" spans="4:12" x14ac:dyDescent="0.2">
      <c r="D8559" s="341"/>
      <c r="F8559" s="343"/>
      <c r="G8559" s="343"/>
      <c r="H8559" s="343"/>
      <c r="I8559" s="343"/>
      <c r="J8559" s="343"/>
      <c r="K8559" s="343"/>
      <c r="L8559" s="343"/>
    </row>
    <row r="8560" spans="4:12" x14ac:dyDescent="0.2">
      <c r="D8560" s="341"/>
      <c r="F8560" s="343"/>
      <c r="G8560" s="343"/>
      <c r="H8560" s="343"/>
      <c r="I8560" s="343"/>
      <c r="J8560" s="343"/>
      <c r="K8560" s="343"/>
      <c r="L8560" s="343"/>
    </row>
    <row r="8561" spans="4:12" x14ac:dyDescent="0.2">
      <c r="D8561" s="341"/>
      <c r="F8561" s="343"/>
      <c r="G8561" s="343"/>
      <c r="H8561" s="343"/>
      <c r="I8561" s="343"/>
      <c r="J8561" s="343"/>
      <c r="K8561" s="343"/>
      <c r="L8561" s="343"/>
    </row>
    <row r="8562" spans="4:12" x14ac:dyDescent="0.2">
      <c r="D8562" s="341"/>
      <c r="F8562" s="343"/>
      <c r="G8562" s="343"/>
      <c r="H8562" s="343"/>
      <c r="I8562" s="343"/>
      <c r="J8562" s="343"/>
      <c r="K8562" s="343"/>
      <c r="L8562" s="343"/>
    </row>
    <row r="8563" spans="4:12" x14ac:dyDescent="0.2">
      <c r="D8563" s="341"/>
      <c r="F8563" s="343"/>
      <c r="G8563" s="343"/>
      <c r="H8563" s="343"/>
      <c r="I8563" s="343"/>
      <c r="J8563" s="343"/>
      <c r="K8563" s="343"/>
      <c r="L8563" s="343"/>
    </row>
    <row r="8564" spans="4:12" x14ac:dyDescent="0.2">
      <c r="D8564" s="341"/>
      <c r="F8564" s="343"/>
      <c r="G8564" s="343"/>
      <c r="H8564" s="343"/>
      <c r="I8564" s="343"/>
      <c r="J8564" s="343"/>
      <c r="K8564" s="343"/>
      <c r="L8564" s="343"/>
    </row>
    <row r="8565" spans="4:12" x14ac:dyDescent="0.2">
      <c r="D8565" s="341"/>
      <c r="F8565" s="343"/>
      <c r="G8565" s="343"/>
      <c r="H8565" s="343"/>
      <c r="I8565" s="343"/>
      <c r="J8565" s="343"/>
      <c r="K8565" s="343"/>
      <c r="L8565" s="343"/>
    </row>
    <row r="8566" spans="4:12" x14ac:dyDescent="0.2">
      <c r="D8566" s="341"/>
      <c r="F8566" s="343"/>
      <c r="G8566" s="343"/>
      <c r="H8566" s="343"/>
      <c r="I8566" s="343"/>
      <c r="J8566" s="343"/>
      <c r="K8566" s="343"/>
      <c r="L8566" s="343"/>
    </row>
    <row r="8567" spans="4:12" x14ac:dyDescent="0.2">
      <c r="D8567" s="341"/>
      <c r="F8567" s="343"/>
      <c r="G8567" s="343"/>
      <c r="H8567" s="343"/>
      <c r="I8567" s="343"/>
      <c r="J8567" s="343"/>
      <c r="K8567" s="343"/>
      <c r="L8567" s="343"/>
    </row>
    <row r="8568" spans="4:12" x14ac:dyDescent="0.2">
      <c r="D8568" s="341"/>
      <c r="F8568" s="343"/>
      <c r="G8568" s="343"/>
      <c r="H8568" s="343"/>
      <c r="I8568" s="343"/>
      <c r="J8568" s="343"/>
      <c r="K8568" s="343"/>
      <c r="L8568" s="343"/>
    </row>
    <row r="8569" spans="4:12" x14ac:dyDescent="0.2">
      <c r="D8569" s="341"/>
      <c r="F8569" s="343"/>
      <c r="G8569" s="343"/>
      <c r="H8569" s="343"/>
      <c r="I8569" s="343"/>
      <c r="J8569" s="343"/>
      <c r="K8569" s="343"/>
      <c r="L8569" s="343"/>
    </row>
    <row r="8570" spans="4:12" x14ac:dyDescent="0.2">
      <c r="D8570" s="341"/>
      <c r="F8570" s="343"/>
      <c r="G8570" s="343"/>
      <c r="H8570" s="343"/>
      <c r="I8570" s="343"/>
      <c r="J8570" s="343"/>
      <c r="K8570" s="343"/>
      <c r="L8570" s="343"/>
    </row>
    <row r="8571" spans="4:12" x14ac:dyDescent="0.2">
      <c r="D8571" s="341"/>
      <c r="F8571" s="343"/>
      <c r="G8571" s="343"/>
      <c r="H8571" s="343"/>
      <c r="I8571" s="343"/>
      <c r="J8571" s="343"/>
      <c r="K8571" s="343"/>
      <c r="L8571" s="343"/>
    </row>
    <row r="8572" spans="4:12" x14ac:dyDescent="0.2">
      <c r="D8572" s="341"/>
      <c r="F8572" s="343"/>
      <c r="G8572" s="343"/>
      <c r="H8572" s="343"/>
      <c r="I8572" s="343"/>
      <c r="J8572" s="343"/>
      <c r="K8572" s="343"/>
      <c r="L8572" s="343"/>
    </row>
    <row r="8573" spans="4:12" x14ac:dyDescent="0.2">
      <c r="D8573" s="341"/>
      <c r="F8573" s="343"/>
      <c r="G8573" s="343"/>
      <c r="H8573" s="343"/>
      <c r="I8573" s="343"/>
      <c r="J8573" s="343"/>
      <c r="K8573" s="343"/>
      <c r="L8573" s="343"/>
    </row>
    <row r="8574" spans="4:12" x14ac:dyDescent="0.2">
      <c r="D8574" s="341"/>
      <c r="F8574" s="343"/>
      <c r="G8574" s="343"/>
      <c r="H8574" s="343"/>
      <c r="I8574" s="343"/>
      <c r="J8574" s="343"/>
      <c r="K8574" s="343"/>
      <c r="L8574" s="343"/>
    </row>
    <row r="8575" spans="4:12" x14ac:dyDescent="0.2">
      <c r="D8575" s="341"/>
      <c r="F8575" s="343"/>
      <c r="G8575" s="343"/>
      <c r="H8575" s="343"/>
      <c r="I8575" s="343"/>
      <c r="J8575" s="343"/>
      <c r="K8575" s="343"/>
      <c r="L8575" s="343"/>
    </row>
    <row r="8576" spans="4:12" x14ac:dyDescent="0.2">
      <c r="D8576" s="341"/>
      <c r="F8576" s="343"/>
      <c r="G8576" s="343"/>
      <c r="H8576" s="343"/>
      <c r="I8576" s="343"/>
      <c r="J8576" s="343"/>
      <c r="K8576" s="343"/>
      <c r="L8576" s="343"/>
    </row>
    <row r="8577" spans="4:12" x14ac:dyDescent="0.2">
      <c r="D8577" s="341"/>
      <c r="F8577" s="343"/>
      <c r="G8577" s="343"/>
      <c r="H8577" s="343"/>
      <c r="I8577" s="343"/>
      <c r="J8577" s="343"/>
      <c r="K8577" s="343"/>
      <c r="L8577" s="343"/>
    </row>
    <row r="8578" spans="4:12" x14ac:dyDescent="0.2">
      <c r="D8578" s="341"/>
      <c r="F8578" s="343"/>
      <c r="G8578" s="343"/>
      <c r="H8578" s="343"/>
      <c r="I8578" s="343"/>
      <c r="J8578" s="343"/>
      <c r="K8578" s="343"/>
      <c r="L8578" s="343"/>
    </row>
    <row r="8579" spans="4:12" x14ac:dyDescent="0.2">
      <c r="D8579" s="341"/>
      <c r="F8579" s="343"/>
      <c r="G8579" s="343"/>
      <c r="H8579" s="343"/>
      <c r="I8579" s="343"/>
      <c r="J8579" s="343"/>
      <c r="K8579" s="343"/>
      <c r="L8579" s="343"/>
    </row>
    <row r="8580" spans="4:12" x14ac:dyDescent="0.2">
      <c r="D8580" s="341"/>
      <c r="F8580" s="343"/>
      <c r="G8580" s="343"/>
      <c r="H8580" s="343"/>
      <c r="I8580" s="343"/>
      <c r="J8580" s="343"/>
      <c r="K8580" s="343"/>
      <c r="L8580" s="343"/>
    </row>
    <row r="8581" spans="4:12" x14ac:dyDescent="0.2">
      <c r="D8581" s="341"/>
      <c r="F8581" s="343"/>
      <c r="G8581" s="343"/>
      <c r="H8581" s="343"/>
      <c r="I8581" s="343"/>
      <c r="J8581" s="343"/>
      <c r="K8581" s="343"/>
      <c r="L8581" s="343"/>
    </row>
    <row r="8582" spans="4:12" x14ac:dyDescent="0.2">
      <c r="D8582" s="341"/>
      <c r="F8582" s="343"/>
      <c r="G8582" s="343"/>
      <c r="H8582" s="343"/>
      <c r="I8582" s="343"/>
      <c r="J8582" s="343"/>
      <c r="K8582" s="343"/>
      <c r="L8582" s="343"/>
    </row>
    <row r="8583" spans="4:12" x14ac:dyDescent="0.2">
      <c r="D8583" s="341"/>
      <c r="F8583" s="343"/>
      <c r="G8583" s="343"/>
      <c r="H8583" s="343"/>
      <c r="I8583" s="343"/>
      <c r="J8583" s="343"/>
      <c r="K8583" s="343"/>
      <c r="L8583" s="343"/>
    </row>
    <row r="8584" spans="4:12" x14ac:dyDescent="0.2">
      <c r="D8584" s="341"/>
      <c r="F8584" s="343"/>
      <c r="G8584" s="343"/>
      <c r="H8584" s="343"/>
      <c r="I8584" s="343"/>
      <c r="J8584" s="343"/>
      <c r="K8584" s="343"/>
      <c r="L8584" s="343"/>
    </row>
    <row r="8585" spans="4:12" x14ac:dyDescent="0.2">
      <c r="D8585" s="341"/>
      <c r="F8585" s="343"/>
      <c r="G8585" s="343"/>
      <c r="H8585" s="343"/>
      <c r="I8585" s="343"/>
      <c r="J8585" s="343"/>
      <c r="K8585" s="343"/>
      <c r="L8585" s="343"/>
    </row>
    <row r="8586" spans="4:12" x14ac:dyDescent="0.2">
      <c r="D8586" s="341"/>
      <c r="F8586" s="343"/>
      <c r="G8586" s="343"/>
      <c r="H8586" s="343"/>
      <c r="I8586" s="343"/>
      <c r="J8586" s="343"/>
      <c r="K8586" s="343"/>
      <c r="L8586" s="343"/>
    </row>
    <row r="8587" spans="4:12" x14ac:dyDescent="0.2">
      <c r="D8587" s="341"/>
      <c r="F8587" s="343"/>
      <c r="G8587" s="343"/>
      <c r="H8587" s="343"/>
      <c r="I8587" s="343"/>
      <c r="J8587" s="343"/>
      <c r="K8587" s="343"/>
      <c r="L8587" s="343"/>
    </row>
    <row r="8588" spans="4:12" x14ac:dyDescent="0.2">
      <c r="D8588" s="341"/>
      <c r="F8588" s="343"/>
      <c r="G8588" s="343"/>
      <c r="H8588" s="343"/>
      <c r="I8588" s="343"/>
      <c r="J8588" s="343"/>
      <c r="K8588" s="343"/>
      <c r="L8588" s="343"/>
    </row>
    <row r="8589" spans="4:12" x14ac:dyDescent="0.2">
      <c r="D8589" s="341"/>
      <c r="F8589" s="343"/>
      <c r="G8589" s="343"/>
      <c r="H8589" s="343"/>
      <c r="I8589" s="343"/>
      <c r="J8589" s="343"/>
      <c r="K8589" s="343"/>
      <c r="L8589" s="343"/>
    </row>
    <row r="8590" spans="4:12" x14ac:dyDescent="0.2">
      <c r="D8590" s="341"/>
      <c r="F8590" s="343"/>
      <c r="G8590" s="343"/>
      <c r="H8590" s="343"/>
      <c r="I8590" s="343"/>
      <c r="J8590" s="343"/>
      <c r="K8590" s="343"/>
      <c r="L8590" s="343"/>
    </row>
    <row r="8591" spans="4:12" x14ac:dyDescent="0.2">
      <c r="D8591" s="341"/>
      <c r="F8591" s="343"/>
      <c r="G8591" s="343"/>
      <c r="H8591" s="343"/>
      <c r="I8591" s="343"/>
      <c r="J8591" s="343"/>
      <c r="K8591" s="343"/>
      <c r="L8591" s="343"/>
    </row>
    <row r="8592" spans="4:12" x14ac:dyDescent="0.2">
      <c r="D8592" s="341"/>
      <c r="F8592" s="343"/>
      <c r="G8592" s="343"/>
      <c r="H8592" s="343"/>
      <c r="I8592" s="343"/>
      <c r="J8592" s="343"/>
      <c r="K8592" s="343"/>
      <c r="L8592" s="343"/>
    </row>
    <row r="8593" spans="4:12" x14ac:dyDescent="0.2">
      <c r="D8593" s="341"/>
      <c r="F8593" s="343"/>
      <c r="G8593" s="343"/>
      <c r="H8593" s="343"/>
      <c r="I8593" s="343"/>
      <c r="J8593" s="343"/>
      <c r="K8593" s="343"/>
      <c r="L8593" s="343"/>
    </row>
    <row r="8594" spans="4:12" x14ac:dyDescent="0.2">
      <c r="D8594" s="341"/>
      <c r="F8594" s="343"/>
      <c r="G8594" s="343"/>
      <c r="H8594" s="343"/>
      <c r="I8594" s="343"/>
      <c r="J8594" s="343"/>
      <c r="K8594" s="343"/>
      <c r="L8594" s="343"/>
    </row>
    <row r="8595" spans="4:12" x14ac:dyDescent="0.2">
      <c r="D8595" s="341"/>
      <c r="F8595" s="343"/>
      <c r="G8595" s="343"/>
      <c r="H8595" s="343"/>
      <c r="I8595" s="343"/>
      <c r="J8595" s="343"/>
      <c r="K8595" s="343"/>
      <c r="L8595" s="343"/>
    </row>
    <row r="8596" spans="4:12" x14ac:dyDescent="0.2">
      <c r="D8596" s="341"/>
      <c r="F8596" s="343"/>
      <c r="G8596" s="343"/>
      <c r="H8596" s="343"/>
      <c r="I8596" s="343"/>
      <c r="J8596" s="343"/>
      <c r="K8596" s="343"/>
      <c r="L8596" s="343"/>
    </row>
    <row r="8597" spans="4:12" x14ac:dyDescent="0.2">
      <c r="D8597" s="341"/>
      <c r="F8597" s="343"/>
      <c r="G8597" s="343"/>
      <c r="H8597" s="343"/>
      <c r="I8597" s="343"/>
      <c r="J8597" s="343"/>
      <c r="K8597" s="343"/>
      <c r="L8597" s="343"/>
    </row>
    <row r="8598" spans="4:12" x14ac:dyDescent="0.2">
      <c r="D8598" s="341"/>
      <c r="F8598" s="343"/>
      <c r="G8598" s="343"/>
      <c r="H8598" s="343"/>
      <c r="I8598" s="343"/>
      <c r="J8598" s="343"/>
      <c r="K8598" s="343"/>
      <c r="L8598" s="343"/>
    </row>
    <row r="8599" spans="4:12" x14ac:dyDescent="0.2">
      <c r="D8599" s="341"/>
      <c r="F8599" s="343"/>
      <c r="G8599" s="343"/>
      <c r="H8599" s="343"/>
      <c r="I8599" s="343"/>
      <c r="J8599" s="343"/>
      <c r="K8599" s="343"/>
      <c r="L8599" s="343"/>
    </row>
    <row r="8600" spans="4:12" x14ac:dyDescent="0.2">
      <c r="D8600" s="341"/>
      <c r="F8600" s="343"/>
      <c r="G8600" s="343"/>
      <c r="H8600" s="343"/>
      <c r="I8600" s="343"/>
      <c r="J8600" s="343"/>
      <c r="K8600" s="343"/>
      <c r="L8600" s="343"/>
    </row>
    <row r="8601" spans="4:12" x14ac:dyDescent="0.2">
      <c r="D8601" s="341"/>
      <c r="F8601" s="343"/>
      <c r="G8601" s="343"/>
      <c r="H8601" s="343"/>
      <c r="I8601" s="343"/>
      <c r="J8601" s="343"/>
      <c r="K8601" s="343"/>
      <c r="L8601" s="343"/>
    </row>
    <row r="8602" spans="4:12" x14ac:dyDescent="0.2">
      <c r="D8602" s="341"/>
      <c r="F8602" s="343"/>
      <c r="G8602" s="343"/>
      <c r="H8602" s="343"/>
      <c r="I8602" s="343"/>
      <c r="J8602" s="343"/>
      <c r="K8602" s="343"/>
      <c r="L8602" s="343"/>
    </row>
    <row r="8603" spans="4:12" x14ac:dyDescent="0.2">
      <c r="D8603" s="341"/>
      <c r="F8603" s="343"/>
      <c r="G8603" s="343"/>
      <c r="H8603" s="343"/>
      <c r="I8603" s="343"/>
      <c r="J8603" s="343"/>
      <c r="K8603" s="343"/>
      <c r="L8603" s="343"/>
    </row>
    <row r="8604" spans="4:12" x14ac:dyDescent="0.2">
      <c r="D8604" s="341"/>
      <c r="F8604" s="343"/>
      <c r="G8604" s="343"/>
      <c r="H8604" s="343"/>
      <c r="I8604" s="343"/>
      <c r="J8604" s="343"/>
      <c r="K8604" s="343"/>
      <c r="L8604" s="343"/>
    </row>
    <row r="8605" spans="4:12" x14ac:dyDescent="0.2">
      <c r="D8605" s="341"/>
      <c r="F8605" s="343"/>
      <c r="G8605" s="343"/>
      <c r="H8605" s="343"/>
      <c r="I8605" s="343"/>
      <c r="J8605" s="343"/>
      <c r="K8605" s="343"/>
      <c r="L8605" s="343"/>
    </row>
    <row r="8606" spans="4:12" x14ac:dyDescent="0.2">
      <c r="D8606" s="341"/>
      <c r="F8606" s="343"/>
      <c r="G8606" s="343"/>
      <c r="H8606" s="343"/>
      <c r="I8606" s="343"/>
      <c r="J8606" s="343"/>
      <c r="K8606" s="343"/>
      <c r="L8606" s="343"/>
    </row>
    <row r="8607" spans="4:12" x14ac:dyDescent="0.2">
      <c r="D8607" s="341"/>
      <c r="F8607" s="343"/>
      <c r="G8607" s="343"/>
      <c r="H8607" s="343"/>
      <c r="I8607" s="343"/>
      <c r="J8607" s="343"/>
      <c r="K8607" s="343"/>
      <c r="L8607" s="343"/>
    </row>
    <row r="8608" spans="4:12" x14ac:dyDescent="0.2">
      <c r="D8608" s="341"/>
      <c r="F8608" s="343"/>
      <c r="G8608" s="343"/>
      <c r="H8608" s="343"/>
      <c r="I8608" s="343"/>
      <c r="J8608" s="343"/>
      <c r="K8608" s="343"/>
      <c r="L8608" s="343"/>
    </row>
    <row r="8609" spans="4:12" x14ac:dyDescent="0.2">
      <c r="D8609" s="341"/>
      <c r="F8609" s="343"/>
      <c r="G8609" s="343"/>
      <c r="H8609" s="343"/>
      <c r="I8609" s="343"/>
      <c r="J8609" s="343"/>
      <c r="K8609" s="343"/>
      <c r="L8609" s="343"/>
    </row>
    <row r="8610" spans="4:12" x14ac:dyDescent="0.2">
      <c r="D8610" s="341"/>
      <c r="F8610" s="343"/>
      <c r="G8610" s="343"/>
      <c r="H8610" s="343"/>
      <c r="I8610" s="343"/>
      <c r="J8610" s="343"/>
      <c r="K8610" s="343"/>
      <c r="L8610" s="343"/>
    </row>
    <row r="8611" spans="4:12" x14ac:dyDescent="0.2">
      <c r="D8611" s="341"/>
      <c r="F8611" s="343"/>
      <c r="G8611" s="343"/>
      <c r="H8611" s="343"/>
      <c r="I8611" s="343"/>
      <c r="J8611" s="343"/>
      <c r="K8611" s="343"/>
      <c r="L8611" s="343"/>
    </row>
    <row r="8612" spans="4:12" x14ac:dyDescent="0.2">
      <c r="D8612" s="341"/>
      <c r="F8612" s="343"/>
      <c r="G8612" s="343"/>
      <c r="H8612" s="343"/>
      <c r="I8612" s="343"/>
      <c r="J8612" s="343"/>
      <c r="K8612" s="343"/>
      <c r="L8612" s="343"/>
    </row>
    <row r="8613" spans="4:12" x14ac:dyDescent="0.2">
      <c r="D8613" s="341"/>
      <c r="F8613" s="343"/>
      <c r="G8613" s="343"/>
      <c r="H8613" s="343"/>
      <c r="I8613" s="343"/>
      <c r="J8613" s="343"/>
      <c r="K8613" s="343"/>
      <c r="L8613" s="343"/>
    </row>
    <row r="8614" spans="4:12" x14ac:dyDescent="0.2">
      <c r="D8614" s="341"/>
      <c r="F8614" s="343"/>
      <c r="G8614" s="343"/>
      <c r="H8614" s="343"/>
      <c r="I8614" s="343"/>
      <c r="J8614" s="343"/>
      <c r="K8614" s="343"/>
      <c r="L8614" s="343"/>
    </row>
    <row r="8615" spans="4:12" x14ac:dyDescent="0.2">
      <c r="D8615" s="341"/>
      <c r="F8615" s="343"/>
      <c r="G8615" s="343"/>
      <c r="H8615" s="343"/>
      <c r="I8615" s="343"/>
      <c r="J8615" s="343"/>
      <c r="K8615" s="343"/>
      <c r="L8615" s="343"/>
    </row>
    <row r="8616" spans="4:12" x14ac:dyDescent="0.2">
      <c r="D8616" s="341"/>
      <c r="F8616" s="343"/>
      <c r="G8616" s="343"/>
      <c r="H8616" s="343"/>
      <c r="I8616" s="343"/>
      <c r="J8616" s="343"/>
      <c r="K8616" s="343"/>
      <c r="L8616" s="343"/>
    </row>
    <row r="8617" spans="4:12" x14ac:dyDescent="0.2">
      <c r="D8617" s="341"/>
      <c r="F8617" s="343"/>
      <c r="G8617" s="343"/>
      <c r="H8617" s="343"/>
      <c r="I8617" s="343"/>
      <c r="J8617" s="343"/>
      <c r="K8617" s="343"/>
      <c r="L8617" s="343"/>
    </row>
    <row r="8618" spans="4:12" x14ac:dyDescent="0.2">
      <c r="D8618" s="341"/>
      <c r="F8618" s="343"/>
      <c r="G8618" s="343"/>
      <c r="H8618" s="343"/>
      <c r="I8618" s="343"/>
      <c r="J8618" s="343"/>
      <c r="K8618" s="343"/>
      <c r="L8618" s="343"/>
    </row>
    <row r="8619" spans="4:12" x14ac:dyDescent="0.2">
      <c r="D8619" s="341"/>
      <c r="F8619" s="343"/>
      <c r="G8619" s="343"/>
      <c r="H8619" s="343"/>
      <c r="I8619" s="343"/>
      <c r="J8619" s="343"/>
      <c r="K8619" s="343"/>
      <c r="L8619" s="343"/>
    </row>
    <row r="8620" spans="4:12" x14ac:dyDescent="0.2">
      <c r="D8620" s="341"/>
      <c r="F8620" s="343"/>
      <c r="G8620" s="343"/>
      <c r="H8620" s="343"/>
      <c r="I8620" s="343"/>
      <c r="J8620" s="343"/>
      <c r="K8620" s="343"/>
      <c r="L8620" s="343"/>
    </row>
    <row r="8621" spans="4:12" x14ac:dyDescent="0.2">
      <c r="D8621" s="341"/>
      <c r="F8621" s="343"/>
      <c r="G8621" s="343"/>
      <c r="H8621" s="343"/>
      <c r="I8621" s="343"/>
      <c r="J8621" s="343"/>
      <c r="K8621" s="343"/>
      <c r="L8621" s="343"/>
    </row>
    <row r="8622" spans="4:12" x14ac:dyDescent="0.2">
      <c r="D8622" s="341"/>
      <c r="F8622" s="343"/>
      <c r="G8622" s="343"/>
      <c r="H8622" s="343"/>
      <c r="I8622" s="343"/>
      <c r="J8622" s="343"/>
      <c r="K8622" s="343"/>
      <c r="L8622" s="343"/>
    </row>
    <row r="8623" spans="4:12" x14ac:dyDescent="0.2">
      <c r="D8623" s="341"/>
      <c r="F8623" s="343"/>
      <c r="G8623" s="343"/>
      <c r="H8623" s="343"/>
      <c r="I8623" s="343"/>
      <c r="J8623" s="343"/>
      <c r="K8623" s="343"/>
      <c r="L8623" s="343"/>
    </row>
    <row r="8624" spans="4:12" x14ac:dyDescent="0.2">
      <c r="D8624" s="341"/>
      <c r="F8624" s="343"/>
      <c r="G8624" s="343"/>
      <c r="H8624" s="343"/>
      <c r="I8624" s="343"/>
      <c r="J8624" s="343"/>
      <c r="K8624" s="343"/>
      <c r="L8624" s="343"/>
    </row>
    <row r="8625" spans="4:12" x14ac:dyDescent="0.2">
      <c r="D8625" s="341"/>
      <c r="F8625" s="343"/>
      <c r="G8625" s="343"/>
      <c r="H8625" s="343"/>
      <c r="I8625" s="343"/>
      <c r="J8625" s="343"/>
      <c r="K8625" s="343"/>
      <c r="L8625" s="343"/>
    </row>
    <row r="8626" spans="4:12" x14ac:dyDescent="0.2">
      <c r="D8626" s="341"/>
      <c r="F8626" s="343"/>
      <c r="G8626" s="343"/>
      <c r="H8626" s="343"/>
      <c r="I8626" s="343"/>
      <c r="J8626" s="343"/>
      <c r="K8626" s="343"/>
      <c r="L8626" s="343"/>
    </row>
    <row r="8627" spans="4:12" x14ac:dyDescent="0.2">
      <c r="D8627" s="341"/>
      <c r="F8627" s="343"/>
      <c r="G8627" s="343"/>
      <c r="H8627" s="343"/>
      <c r="I8627" s="343"/>
      <c r="J8627" s="343"/>
      <c r="K8627" s="343"/>
      <c r="L8627" s="343"/>
    </row>
    <row r="8628" spans="4:12" x14ac:dyDescent="0.2">
      <c r="D8628" s="341"/>
      <c r="F8628" s="343"/>
      <c r="G8628" s="343"/>
      <c r="H8628" s="343"/>
      <c r="I8628" s="343"/>
      <c r="J8628" s="343"/>
      <c r="K8628" s="343"/>
      <c r="L8628" s="343"/>
    </row>
    <row r="8629" spans="4:12" x14ac:dyDescent="0.2">
      <c r="D8629" s="341"/>
      <c r="F8629" s="343"/>
      <c r="G8629" s="343"/>
      <c r="H8629" s="343"/>
      <c r="I8629" s="343"/>
      <c r="J8629" s="343"/>
      <c r="K8629" s="343"/>
      <c r="L8629" s="343"/>
    </row>
    <row r="8630" spans="4:12" x14ac:dyDescent="0.2">
      <c r="D8630" s="341"/>
      <c r="F8630" s="343"/>
      <c r="G8630" s="343"/>
      <c r="H8630" s="343"/>
      <c r="I8630" s="343"/>
      <c r="J8630" s="343"/>
      <c r="K8630" s="343"/>
      <c r="L8630" s="343"/>
    </row>
    <row r="8631" spans="4:12" x14ac:dyDescent="0.2">
      <c r="D8631" s="341"/>
      <c r="F8631" s="343"/>
      <c r="G8631" s="343"/>
      <c r="H8631" s="343"/>
      <c r="I8631" s="343"/>
      <c r="J8631" s="343"/>
      <c r="K8631" s="343"/>
      <c r="L8631" s="343"/>
    </row>
    <row r="8632" spans="4:12" x14ac:dyDescent="0.2">
      <c r="D8632" s="341"/>
      <c r="F8632" s="343"/>
      <c r="G8632" s="343"/>
      <c r="H8632" s="343"/>
      <c r="I8632" s="343"/>
      <c r="J8632" s="343"/>
      <c r="K8632" s="343"/>
      <c r="L8632" s="343"/>
    </row>
    <row r="8633" spans="4:12" x14ac:dyDescent="0.2">
      <c r="D8633" s="341"/>
      <c r="F8633" s="343"/>
      <c r="G8633" s="343"/>
      <c r="H8633" s="343"/>
      <c r="I8633" s="343"/>
      <c r="J8633" s="343"/>
      <c r="K8633" s="343"/>
      <c r="L8633" s="343"/>
    </row>
    <row r="8634" spans="4:12" x14ac:dyDescent="0.2">
      <c r="D8634" s="341"/>
      <c r="F8634" s="343"/>
      <c r="G8634" s="343"/>
      <c r="H8634" s="343"/>
      <c r="I8634" s="343"/>
      <c r="J8634" s="343"/>
      <c r="K8634" s="343"/>
      <c r="L8634" s="343"/>
    </row>
    <row r="8635" spans="4:12" x14ac:dyDescent="0.2">
      <c r="D8635" s="341"/>
      <c r="F8635" s="343"/>
      <c r="G8635" s="343"/>
      <c r="H8635" s="343"/>
      <c r="I8635" s="343"/>
      <c r="J8635" s="343"/>
      <c r="K8635" s="343"/>
      <c r="L8635" s="343"/>
    </row>
    <row r="8636" spans="4:12" x14ac:dyDescent="0.2">
      <c r="D8636" s="341"/>
      <c r="F8636" s="343"/>
      <c r="G8636" s="343"/>
      <c r="H8636" s="343"/>
      <c r="I8636" s="343"/>
      <c r="J8636" s="343"/>
      <c r="K8636" s="343"/>
      <c r="L8636" s="343"/>
    </row>
    <row r="8637" spans="4:12" x14ac:dyDescent="0.2">
      <c r="D8637" s="341"/>
      <c r="F8637" s="343"/>
      <c r="G8637" s="343"/>
      <c r="H8637" s="343"/>
      <c r="I8637" s="343"/>
      <c r="J8637" s="343"/>
      <c r="K8637" s="343"/>
      <c r="L8637" s="343"/>
    </row>
    <row r="8638" spans="4:12" x14ac:dyDescent="0.2">
      <c r="D8638" s="341"/>
      <c r="F8638" s="343"/>
      <c r="G8638" s="343"/>
      <c r="H8638" s="343"/>
      <c r="I8638" s="343"/>
      <c r="J8638" s="343"/>
      <c r="K8638" s="343"/>
      <c r="L8638" s="343"/>
    </row>
    <row r="8639" spans="4:12" x14ac:dyDescent="0.2">
      <c r="D8639" s="341"/>
      <c r="F8639" s="343"/>
      <c r="G8639" s="343"/>
      <c r="H8639" s="343"/>
      <c r="I8639" s="343"/>
      <c r="J8639" s="343"/>
      <c r="K8639" s="343"/>
      <c r="L8639" s="343"/>
    </row>
    <row r="8640" spans="4:12" x14ac:dyDescent="0.2">
      <c r="D8640" s="341"/>
      <c r="F8640" s="343"/>
      <c r="G8640" s="343"/>
      <c r="H8640" s="343"/>
      <c r="I8640" s="343"/>
      <c r="J8640" s="343"/>
      <c r="K8640" s="343"/>
      <c r="L8640" s="343"/>
    </row>
    <row r="8641" spans="4:12" x14ac:dyDescent="0.2">
      <c r="D8641" s="341"/>
      <c r="F8641" s="343"/>
      <c r="G8641" s="343"/>
      <c r="H8641" s="343"/>
      <c r="I8641" s="343"/>
      <c r="J8641" s="343"/>
      <c r="K8641" s="343"/>
      <c r="L8641" s="343"/>
    </row>
    <row r="8642" spans="4:12" x14ac:dyDescent="0.2">
      <c r="D8642" s="341"/>
      <c r="F8642" s="343"/>
      <c r="G8642" s="343"/>
      <c r="H8642" s="343"/>
      <c r="I8642" s="343"/>
      <c r="J8642" s="343"/>
      <c r="K8642" s="343"/>
      <c r="L8642" s="343"/>
    </row>
    <row r="8643" spans="4:12" x14ac:dyDescent="0.2">
      <c r="D8643" s="341"/>
      <c r="F8643" s="343"/>
      <c r="G8643" s="343"/>
      <c r="H8643" s="343"/>
      <c r="I8643" s="343"/>
      <c r="J8643" s="343"/>
      <c r="K8643" s="343"/>
      <c r="L8643" s="343"/>
    </row>
    <row r="8644" spans="4:12" x14ac:dyDescent="0.2">
      <c r="D8644" s="341"/>
      <c r="F8644" s="343"/>
      <c r="G8644" s="343"/>
      <c r="H8644" s="343"/>
      <c r="I8644" s="343"/>
      <c r="J8644" s="343"/>
      <c r="K8644" s="343"/>
      <c r="L8644" s="343"/>
    </row>
    <row r="8645" spans="4:12" x14ac:dyDescent="0.2">
      <c r="D8645" s="341"/>
      <c r="F8645" s="343"/>
      <c r="G8645" s="343"/>
      <c r="H8645" s="343"/>
      <c r="I8645" s="343"/>
      <c r="J8645" s="343"/>
      <c r="K8645" s="343"/>
      <c r="L8645" s="343"/>
    </row>
    <row r="8646" spans="4:12" x14ac:dyDescent="0.2">
      <c r="D8646" s="341"/>
      <c r="F8646" s="343"/>
      <c r="G8646" s="343"/>
      <c r="H8646" s="343"/>
      <c r="I8646" s="343"/>
      <c r="J8646" s="343"/>
      <c r="K8646" s="343"/>
      <c r="L8646" s="343"/>
    </row>
    <row r="8647" spans="4:12" x14ac:dyDescent="0.2">
      <c r="D8647" s="341"/>
      <c r="F8647" s="343"/>
      <c r="G8647" s="343"/>
      <c r="H8647" s="343"/>
      <c r="I8647" s="343"/>
      <c r="J8647" s="343"/>
      <c r="K8647" s="343"/>
      <c r="L8647" s="343"/>
    </row>
    <row r="8648" spans="4:12" x14ac:dyDescent="0.2">
      <c r="D8648" s="341"/>
      <c r="F8648" s="343"/>
      <c r="G8648" s="343"/>
      <c r="H8648" s="343"/>
      <c r="I8648" s="343"/>
      <c r="J8648" s="343"/>
      <c r="K8648" s="343"/>
      <c r="L8648" s="343"/>
    </row>
    <row r="8649" spans="4:12" x14ac:dyDescent="0.2">
      <c r="D8649" s="341"/>
      <c r="F8649" s="343"/>
      <c r="G8649" s="343"/>
      <c r="H8649" s="343"/>
      <c r="I8649" s="343"/>
      <c r="J8649" s="343"/>
      <c r="K8649" s="343"/>
      <c r="L8649" s="343"/>
    </row>
    <row r="8650" spans="4:12" x14ac:dyDescent="0.2">
      <c r="D8650" s="341"/>
      <c r="F8650" s="343"/>
      <c r="G8650" s="343"/>
      <c r="H8650" s="343"/>
      <c r="I8650" s="343"/>
      <c r="J8650" s="343"/>
      <c r="K8650" s="343"/>
      <c r="L8650" s="343"/>
    </row>
    <row r="8651" spans="4:12" x14ac:dyDescent="0.2">
      <c r="D8651" s="341"/>
      <c r="F8651" s="343"/>
      <c r="G8651" s="343"/>
      <c r="H8651" s="343"/>
      <c r="I8651" s="343"/>
      <c r="J8651" s="343"/>
      <c r="K8651" s="343"/>
      <c r="L8651" s="343"/>
    </row>
    <row r="8652" spans="4:12" x14ac:dyDescent="0.2">
      <c r="D8652" s="341"/>
      <c r="F8652" s="343"/>
      <c r="G8652" s="343"/>
      <c r="H8652" s="343"/>
      <c r="I8652" s="343"/>
      <c r="J8652" s="343"/>
      <c r="K8652" s="343"/>
      <c r="L8652" s="343"/>
    </row>
    <row r="8653" spans="4:12" x14ac:dyDescent="0.2">
      <c r="D8653" s="341"/>
      <c r="F8653" s="343"/>
      <c r="G8653" s="343"/>
      <c r="H8653" s="343"/>
      <c r="I8653" s="343"/>
      <c r="J8653" s="343"/>
      <c r="K8653" s="343"/>
      <c r="L8653" s="343"/>
    </row>
    <row r="8654" spans="4:12" x14ac:dyDescent="0.2">
      <c r="D8654" s="341"/>
      <c r="F8654" s="343"/>
      <c r="G8654" s="343"/>
      <c r="H8654" s="343"/>
      <c r="I8654" s="343"/>
      <c r="J8654" s="343"/>
      <c r="K8654" s="343"/>
      <c r="L8654" s="343"/>
    </row>
    <row r="8655" spans="4:12" x14ac:dyDescent="0.2">
      <c r="D8655" s="341"/>
      <c r="F8655" s="343"/>
      <c r="G8655" s="343"/>
      <c r="H8655" s="343"/>
      <c r="I8655" s="343"/>
      <c r="J8655" s="343"/>
      <c r="K8655" s="343"/>
      <c r="L8655" s="343"/>
    </row>
    <row r="8656" spans="4:12" x14ac:dyDescent="0.2">
      <c r="D8656" s="341"/>
      <c r="F8656" s="343"/>
      <c r="G8656" s="343"/>
      <c r="H8656" s="343"/>
      <c r="I8656" s="343"/>
      <c r="J8656" s="343"/>
      <c r="K8656" s="343"/>
      <c r="L8656" s="343"/>
    </row>
    <row r="8657" spans="4:12" x14ac:dyDescent="0.2">
      <c r="D8657" s="341"/>
      <c r="F8657" s="343"/>
      <c r="G8657" s="343"/>
      <c r="H8657" s="343"/>
      <c r="I8657" s="343"/>
      <c r="J8657" s="343"/>
      <c r="K8657" s="343"/>
      <c r="L8657" s="343"/>
    </row>
    <row r="8658" spans="4:12" x14ac:dyDescent="0.2">
      <c r="D8658" s="341"/>
      <c r="F8658" s="343"/>
      <c r="G8658" s="343"/>
      <c r="H8658" s="343"/>
      <c r="I8658" s="343"/>
      <c r="J8658" s="343"/>
      <c r="K8658" s="343"/>
      <c r="L8658" s="343"/>
    </row>
    <row r="8659" spans="4:12" x14ac:dyDescent="0.2">
      <c r="D8659" s="341"/>
      <c r="F8659" s="343"/>
      <c r="G8659" s="343"/>
      <c r="H8659" s="343"/>
      <c r="I8659" s="343"/>
      <c r="J8659" s="343"/>
      <c r="K8659" s="343"/>
      <c r="L8659" s="343"/>
    </row>
    <row r="8660" spans="4:12" x14ac:dyDescent="0.2">
      <c r="D8660" s="341"/>
      <c r="F8660" s="343"/>
      <c r="G8660" s="343"/>
      <c r="H8660" s="343"/>
      <c r="I8660" s="343"/>
      <c r="J8660" s="343"/>
      <c r="K8660" s="343"/>
      <c r="L8660" s="343"/>
    </row>
    <row r="8661" spans="4:12" x14ac:dyDescent="0.2">
      <c r="D8661" s="341"/>
      <c r="F8661" s="343"/>
      <c r="G8661" s="343"/>
      <c r="H8661" s="343"/>
      <c r="I8661" s="343"/>
      <c r="J8661" s="343"/>
      <c r="K8661" s="343"/>
      <c r="L8661" s="343"/>
    </row>
    <row r="8662" spans="4:12" x14ac:dyDescent="0.2">
      <c r="D8662" s="341"/>
      <c r="F8662" s="343"/>
      <c r="G8662" s="343"/>
      <c r="H8662" s="343"/>
      <c r="I8662" s="343"/>
      <c r="J8662" s="343"/>
      <c r="K8662" s="343"/>
      <c r="L8662" s="343"/>
    </row>
    <row r="8663" spans="4:12" x14ac:dyDescent="0.2">
      <c r="D8663" s="341"/>
      <c r="F8663" s="343"/>
      <c r="G8663" s="343"/>
      <c r="H8663" s="343"/>
      <c r="I8663" s="343"/>
      <c r="J8663" s="343"/>
      <c r="K8663" s="343"/>
      <c r="L8663" s="343"/>
    </row>
    <row r="8664" spans="4:12" x14ac:dyDescent="0.2">
      <c r="D8664" s="341"/>
      <c r="F8664" s="343"/>
      <c r="G8664" s="343"/>
      <c r="H8664" s="343"/>
      <c r="I8664" s="343"/>
      <c r="J8664" s="343"/>
      <c r="K8664" s="343"/>
      <c r="L8664" s="343"/>
    </row>
    <row r="8665" spans="4:12" x14ac:dyDescent="0.2">
      <c r="D8665" s="341"/>
      <c r="F8665" s="343"/>
      <c r="G8665" s="343"/>
      <c r="H8665" s="343"/>
      <c r="I8665" s="343"/>
      <c r="J8665" s="343"/>
      <c r="K8665" s="343"/>
      <c r="L8665" s="343"/>
    </row>
    <row r="8666" spans="4:12" x14ac:dyDescent="0.2">
      <c r="D8666" s="341"/>
      <c r="F8666" s="343"/>
      <c r="G8666" s="343"/>
      <c r="H8666" s="343"/>
      <c r="I8666" s="343"/>
      <c r="J8666" s="343"/>
      <c r="K8666" s="343"/>
      <c r="L8666" s="343"/>
    </row>
    <row r="8667" spans="4:12" x14ac:dyDescent="0.2">
      <c r="D8667" s="341"/>
      <c r="F8667" s="343"/>
      <c r="G8667" s="343"/>
      <c r="H8667" s="343"/>
      <c r="I8667" s="343"/>
      <c r="J8667" s="343"/>
      <c r="K8667" s="343"/>
      <c r="L8667" s="343"/>
    </row>
    <row r="8668" spans="4:12" x14ac:dyDescent="0.2">
      <c r="D8668" s="341"/>
      <c r="F8668" s="343"/>
      <c r="G8668" s="343"/>
      <c r="H8668" s="343"/>
      <c r="I8668" s="343"/>
      <c r="J8668" s="343"/>
      <c r="K8668" s="343"/>
      <c r="L8668" s="343"/>
    </row>
    <row r="8669" spans="4:12" x14ac:dyDescent="0.2">
      <c r="D8669" s="341"/>
      <c r="F8669" s="343"/>
      <c r="G8669" s="343"/>
      <c r="H8669" s="343"/>
      <c r="I8669" s="343"/>
      <c r="J8669" s="343"/>
      <c r="K8669" s="343"/>
      <c r="L8669" s="343"/>
    </row>
    <row r="8670" spans="4:12" x14ac:dyDescent="0.2">
      <c r="D8670" s="341"/>
      <c r="F8670" s="343"/>
      <c r="G8670" s="343"/>
      <c r="H8670" s="343"/>
      <c r="I8670" s="343"/>
      <c r="J8670" s="343"/>
      <c r="K8670" s="343"/>
      <c r="L8670" s="343"/>
    </row>
    <row r="8671" spans="4:12" x14ac:dyDescent="0.2">
      <c r="D8671" s="341"/>
      <c r="F8671" s="343"/>
      <c r="G8671" s="343"/>
      <c r="H8671" s="343"/>
      <c r="I8671" s="343"/>
      <c r="J8671" s="343"/>
      <c r="K8671" s="343"/>
      <c r="L8671" s="343"/>
    </row>
    <row r="8672" spans="4:12" x14ac:dyDescent="0.2">
      <c r="D8672" s="341"/>
      <c r="F8672" s="343"/>
      <c r="G8672" s="343"/>
      <c r="H8672" s="343"/>
      <c r="I8672" s="343"/>
      <c r="J8672" s="343"/>
      <c r="K8672" s="343"/>
      <c r="L8672" s="343"/>
    </row>
    <row r="8673" spans="4:12" x14ac:dyDescent="0.2">
      <c r="D8673" s="341"/>
      <c r="F8673" s="343"/>
      <c r="G8673" s="343"/>
      <c r="H8673" s="343"/>
      <c r="I8673" s="343"/>
      <c r="J8673" s="343"/>
      <c r="K8673" s="343"/>
      <c r="L8673" s="343"/>
    </row>
    <row r="8674" spans="4:12" x14ac:dyDescent="0.2">
      <c r="D8674" s="341"/>
      <c r="F8674" s="343"/>
      <c r="G8674" s="343"/>
      <c r="H8674" s="343"/>
      <c r="I8674" s="343"/>
      <c r="J8674" s="343"/>
      <c r="K8674" s="343"/>
      <c r="L8674" s="343"/>
    </row>
    <row r="8675" spans="4:12" x14ac:dyDescent="0.2">
      <c r="D8675" s="341"/>
      <c r="F8675" s="343"/>
      <c r="G8675" s="343"/>
      <c r="H8675" s="343"/>
      <c r="I8675" s="343"/>
      <c r="J8675" s="343"/>
      <c r="K8675" s="343"/>
      <c r="L8675" s="343"/>
    </row>
    <row r="8676" spans="4:12" x14ac:dyDescent="0.2">
      <c r="D8676" s="341"/>
      <c r="F8676" s="343"/>
      <c r="G8676" s="343"/>
      <c r="H8676" s="343"/>
      <c r="I8676" s="343"/>
      <c r="J8676" s="343"/>
      <c r="K8676" s="343"/>
      <c r="L8676" s="343"/>
    </row>
    <row r="8677" spans="4:12" x14ac:dyDescent="0.2">
      <c r="D8677" s="341"/>
      <c r="F8677" s="343"/>
      <c r="G8677" s="343"/>
      <c r="H8677" s="343"/>
      <c r="I8677" s="343"/>
      <c r="J8677" s="343"/>
      <c r="K8677" s="343"/>
      <c r="L8677" s="343"/>
    </row>
    <row r="8678" spans="4:12" x14ac:dyDescent="0.2">
      <c r="D8678" s="341"/>
      <c r="F8678" s="343"/>
      <c r="G8678" s="343"/>
      <c r="H8678" s="343"/>
      <c r="I8678" s="343"/>
      <c r="J8678" s="343"/>
      <c r="K8678" s="343"/>
      <c r="L8678" s="343"/>
    </row>
    <row r="8679" spans="4:12" x14ac:dyDescent="0.2">
      <c r="D8679" s="341"/>
      <c r="F8679" s="343"/>
      <c r="G8679" s="343"/>
      <c r="H8679" s="343"/>
      <c r="I8679" s="343"/>
      <c r="J8679" s="343"/>
      <c r="K8679" s="343"/>
      <c r="L8679" s="343"/>
    </row>
    <row r="8680" spans="4:12" x14ac:dyDescent="0.2">
      <c r="D8680" s="341"/>
      <c r="F8680" s="343"/>
      <c r="G8680" s="343"/>
      <c r="H8680" s="343"/>
      <c r="I8680" s="343"/>
      <c r="J8680" s="343"/>
      <c r="K8680" s="343"/>
      <c r="L8680" s="343"/>
    </row>
    <row r="8681" spans="4:12" x14ac:dyDescent="0.2">
      <c r="D8681" s="341"/>
      <c r="F8681" s="343"/>
      <c r="G8681" s="343"/>
      <c r="H8681" s="343"/>
      <c r="I8681" s="343"/>
      <c r="J8681" s="343"/>
      <c r="K8681" s="343"/>
      <c r="L8681" s="343"/>
    </row>
    <row r="8682" spans="4:12" x14ac:dyDescent="0.2">
      <c r="D8682" s="341"/>
      <c r="F8682" s="343"/>
      <c r="G8682" s="343"/>
      <c r="H8682" s="343"/>
      <c r="I8682" s="343"/>
      <c r="J8682" s="343"/>
      <c r="K8682" s="343"/>
      <c r="L8682" s="343"/>
    </row>
    <row r="8683" spans="4:12" x14ac:dyDescent="0.2">
      <c r="D8683" s="341"/>
      <c r="F8683" s="343"/>
      <c r="G8683" s="343"/>
      <c r="H8683" s="343"/>
      <c r="I8683" s="343"/>
      <c r="J8683" s="343"/>
      <c r="K8683" s="343"/>
      <c r="L8683" s="343"/>
    </row>
    <row r="8684" spans="4:12" x14ac:dyDescent="0.2">
      <c r="D8684" s="341"/>
      <c r="F8684" s="343"/>
      <c r="G8684" s="343"/>
      <c r="H8684" s="343"/>
      <c r="I8684" s="343"/>
      <c r="J8684" s="343"/>
      <c r="K8684" s="343"/>
      <c r="L8684" s="343"/>
    </row>
    <row r="8685" spans="4:12" x14ac:dyDescent="0.2">
      <c r="D8685" s="341"/>
      <c r="F8685" s="343"/>
      <c r="G8685" s="343"/>
      <c r="H8685" s="343"/>
      <c r="I8685" s="343"/>
      <c r="J8685" s="343"/>
      <c r="K8685" s="343"/>
      <c r="L8685" s="343"/>
    </row>
    <row r="8686" spans="4:12" x14ac:dyDescent="0.2">
      <c r="D8686" s="341"/>
      <c r="F8686" s="343"/>
      <c r="G8686" s="343"/>
      <c r="H8686" s="343"/>
      <c r="I8686" s="343"/>
      <c r="J8686" s="343"/>
      <c r="K8686" s="343"/>
      <c r="L8686" s="343"/>
    </row>
    <row r="8687" spans="4:12" x14ac:dyDescent="0.2">
      <c r="D8687" s="341"/>
      <c r="F8687" s="343"/>
      <c r="G8687" s="343"/>
      <c r="H8687" s="343"/>
      <c r="I8687" s="343"/>
      <c r="J8687" s="343"/>
      <c r="K8687" s="343"/>
      <c r="L8687" s="343"/>
    </row>
    <row r="8688" spans="4:12" x14ac:dyDescent="0.2">
      <c r="D8688" s="341"/>
      <c r="F8688" s="343"/>
      <c r="G8688" s="343"/>
      <c r="H8688" s="343"/>
      <c r="I8688" s="343"/>
      <c r="J8688" s="343"/>
      <c r="K8688" s="343"/>
      <c r="L8688" s="343"/>
    </row>
    <row r="8689" spans="4:12" x14ac:dyDescent="0.2">
      <c r="D8689" s="341"/>
      <c r="F8689" s="343"/>
      <c r="G8689" s="343"/>
      <c r="H8689" s="343"/>
      <c r="I8689" s="343"/>
      <c r="J8689" s="343"/>
      <c r="K8689" s="343"/>
      <c r="L8689" s="343"/>
    </row>
    <row r="8690" spans="4:12" x14ac:dyDescent="0.2">
      <c r="D8690" s="341"/>
      <c r="F8690" s="343"/>
      <c r="G8690" s="343"/>
      <c r="H8690" s="343"/>
      <c r="I8690" s="343"/>
      <c r="J8690" s="343"/>
      <c r="K8690" s="343"/>
      <c r="L8690" s="343"/>
    </row>
    <row r="8691" spans="4:12" x14ac:dyDescent="0.2">
      <c r="D8691" s="341"/>
      <c r="F8691" s="343"/>
      <c r="G8691" s="343"/>
      <c r="H8691" s="343"/>
      <c r="I8691" s="343"/>
      <c r="J8691" s="343"/>
      <c r="K8691" s="343"/>
      <c r="L8691" s="343"/>
    </row>
    <row r="8692" spans="4:12" x14ac:dyDescent="0.2">
      <c r="D8692" s="341"/>
      <c r="F8692" s="343"/>
      <c r="G8692" s="343"/>
      <c r="H8692" s="343"/>
      <c r="I8692" s="343"/>
      <c r="J8692" s="343"/>
      <c r="K8692" s="343"/>
      <c r="L8692" s="343"/>
    </row>
    <row r="8693" spans="4:12" x14ac:dyDescent="0.2">
      <c r="D8693" s="341"/>
      <c r="F8693" s="343"/>
      <c r="G8693" s="343"/>
      <c r="H8693" s="343"/>
      <c r="I8693" s="343"/>
      <c r="J8693" s="343"/>
      <c r="K8693" s="343"/>
      <c r="L8693" s="343"/>
    </row>
    <row r="8694" spans="4:12" x14ac:dyDescent="0.2">
      <c r="D8694" s="341"/>
      <c r="F8694" s="343"/>
      <c r="G8694" s="343"/>
      <c r="H8694" s="343"/>
      <c r="I8694" s="343"/>
      <c r="J8694" s="343"/>
      <c r="K8694" s="343"/>
      <c r="L8694" s="343"/>
    </row>
    <row r="8695" spans="4:12" x14ac:dyDescent="0.2">
      <c r="D8695" s="341"/>
      <c r="F8695" s="343"/>
      <c r="G8695" s="343"/>
      <c r="H8695" s="343"/>
      <c r="I8695" s="343"/>
      <c r="J8695" s="343"/>
      <c r="K8695" s="343"/>
      <c r="L8695" s="343"/>
    </row>
    <row r="8696" spans="4:12" x14ac:dyDescent="0.2">
      <c r="D8696" s="341"/>
      <c r="F8696" s="343"/>
      <c r="G8696" s="343"/>
      <c r="H8696" s="343"/>
      <c r="I8696" s="343"/>
      <c r="J8696" s="343"/>
      <c r="K8696" s="343"/>
      <c r="L8696" s="343"/>
    </row>
    <row r="8697" spans="4:12" x14ac:dyDescent="0.2">
      <c r="D8697" s="341"/>
      <c r="F8697" s="343"/>
      <c r="G8697" s="343"/>
      <c r="H8697" s="343"/>
      <c r="I8697" s="343"/>
      <c r="J8697" s="343"/>
      <c r="K8697" s="343"/>
      <c r="L8697" s="343"/>
    </row>
    <row r="8698" spans="4:12" x14ac:dyDescent="0.2">
      <c r="D8698" s="341"/>
      <c r="F8698" s="343"/>
      <c r="G8698" s="343"/>
      <c r="H8698" s="343"/>
      <c r="I8698" s="343"/>
      <c r="J8698" s="343"/>
      <c r="K8698" s="343"/>
      <c r="L8698" s="343"/>
    </row>
    <row r="8699" spans="4:12" x14ac:dyDescent="0.2">
      <c r="D8699" s="341"/>
      <c r="F8699" s="343"/>
      <c r="G8699" s="343"/>
      <c r="H8699" s="343"/>
      <c r="I8699" s="343"/>
      <c r="J8699" s="343"/>
      <c r="K8699" s="343"/>
      <c r="L8699" s="343"/>
    </row>
    <row r="8700" spans="4:12" x14ac:dyDescent="0.2">
      <c r="D8700" s="341"/>
      <c r="F8700" s="343"/>
      <c r="G8700" s="343"/>
      <c r="H8700" s="343"/>
      <c r="I8700" s="343"/>
      <c r="J8700" s="343"/>
      <c r="K8700" s="343"/>
      <c r="L8700" s="343"/>
    </row>
    <row r="8701" spans="4:12" x14ac:dyDescent="0.2">
      <c r="D8701" s="341"/>
      <c r="F8701" s="343"/>
      <c r="G8701" s="343"/>
      <c r="H8701" s="343"/>
      <c r="I8701" s="343"/>
      <c r="J8701" s="343"/>
      <c r="K8701" s="343"/>
      <c r="L8701" s="343"/>
    </row>
    <row r="8702" spans="4:12" x14ac:dyDescent="0.2">
      <c r="D8702" s="341"/>
      <c r="F8702" s="343"/>
      <c r="G8702" s="343"/>
      <c r="H8702" s="343"/>
      <c r="I8702" s="343"/>
      <c r="J8702" s="343"/>
      <c r="K8702" s="343"/>
      <c r="L8702" s="343"/>
    </row>
    <row r="8703" spans="4:12" x14ac:dyDescent="0.2">
      <c r="D8703" s="341"/>
      <c r="F8703" s="343"/>
      <c r="G8703" s="343"/>
      <c r="H8703" s="343"/>
      <c r="I8703" s="343"/>
      <c r="J8703" s="343"/>
      <c r="K8703" s="343"/>
      <c r="L8703" s="343"/>
    </row>
    <row r="8704" spans="4:12" x14ac:dyDescent="0.2">
      <c r="D8704" s="341"/>
      <c r="F8704" s="343"/>
      <c r="G8704" s="343"/>
      <c r="H8704" s="343"/>
      <c r="I8704" s="343"/>
      <c r="J8704" s="343"/>
      <c r="K8704" s="343"/>
      <c r="L8704" s="343"/>
    </row>
    <row r="8705" spans="4:12" x14ac:dyDescent="0.2">
      <c r="D8705" s="341"/>
      <c r="F8705" s="343"/>
      <c r="G8705" s="343"/>
      <c r="H8705" s="343"/>
      <c r="I8705" s="343"/>
      <c r="J8705" s="343"/>
      <c r="K8705" s="343"/>
      <c r="L8705" s="343"/>
    </row>
    <row r="8706" spans="4:12" x14ac:dyDescent="0.2">
      <c r="D8706" s="341"/>
      <c r="F8706" s="343"/>
      <c r="G8706" s="343"/>
      <c r="H8706" s="343"/>
      <c r="I8706" s="343"/>
      <c r="J8706" s="343"/>
      <c r="K8706" s="343"/>
      <c r="L8706" s="343"/>
    </row>
    <row r="8707" spans="4:12" x14ac:dyDescent="0.2">
      <c r="D8707" s="341"/>
      <c r="F8707" s="343"/>
      <c r="G8707" s="343"/>
      <c r="H8707" s="343"/>
      <c r="I8707" s="343"/>
      <c r="J8707" s="343"/>
      <c r="K8707" s="343"/>
      <c r="L8707" s="343"/>
    </row>
    <row r="8708" spans="4:12" x14ac:dyDescent="0.2">
      <c r="D8708" s="341"/>
      <c r="F8708" s="343"/>
      <c r="G8708" s="343"/>
      <c r="H8708" s="343"/>
      <c r="I8708" s="343"/>
      <c r="J8708" s="343"/>
      <c r="K8708" s="343"/>
      <c r="L8708" s="343"/>
    </row>
    <row r="8709" spans="4:12" x14ac:dyDescent="0.2">
      <c r="D8709" s="341"/>
      <c r="F8709" s="343"/>
      <c r="G8709" s="343"/>
      <c r="H8709" s="343"/>
      <c r="I8709" s="343"/>
      <c r="J8709" s="343"/>
      <c r="K8709" s="343"/>
      <c r="L8709" s="343"/>
    </row>
    <row r="8710" spans="4:12" x14ac:dyDescent="0.2">
      <c r="D8710" s="341"/>
      <c r="F8710" s="343"/>
      <c r="G8710" s="343"/>
      <c r="H8710" s="343"/>
      <c r="I8710" s="343"/>
      <c r="J8710" s="343"/>
      <c r="K8710" s="343"/>
      <c r="L8710" s="343"/>
    </row>
    <row r="8711" spans="4:12" x14ac:dyDescent="0.2">
      <c r="D8711" s="341"/>
      <c r="F8711" s="343"/>
      <c r="G8711" s="343"/>
      <c r="H8711" s="343"/>
      <c r="I8711" s="343"/>
      <c r="J8711" s="343"/>
      <c r="K8711" s="343"/>
      <c r="L8711" s="343"/>
    </row>
    <row r="8712" spans="4:12" x14ac:dyDescent="0.2">
      <c r="D8712" s="341"/>
      <c r="F8712" s="343"/>
      <c r="G8712" s="343"/>
      <c r="H8712" s="343"/>
      <c r="I8712" s="343"/>
      <c r="J8712" s="343"/>
      <c r="K8712" s="343"/>
      <c r="L8712" s="343"/>
    </row>
    <row r="8713" spans="4:12" x14ac:dyDescent="0.2">
      <c r="D8713" s="341"/>
      <c r="F8713" s="343"/>
      <c r="G8713" s="343"/>
      <c r="H8713" s="343"/>
      <c r="I8713" s="343"/>
      <c r="J8713" s="343"/>
      <c r="K8713" s="343"/>
      <c r="L8713" s="343"/>
    </row>
    <row r="8714" spans="4:12" x14ac:dyDescent="0.2">
      <c r="D8714" s="341"/>
      <c r="F8714" s="343"/>
      <c r="G8714" s="343"/>
      <c r="H8714" s="343"/>
      <c r="I8714" s="343"/>
      <c r="J8714" s="343"/>
      <c r="K8714" s="343"/>
      <c r="L8714" s="343"/>
    </row>
    <row r="8715" spans="4:12" x14ac:dyDescent="0.2">
      <c r="D8715" s="341"/>
      <c r="F8715" s="343"/>
      <c r="G8715" s="343"/>
      <c r="H8715" s="343"/>
      <c r="I8715" s="343"/>
      <c r="J8715" s="343"/>
      <c r="K8715" s="343"/>
      <c r="L8715" s="343"/>
    </row>
    <row r="8716" spans="4:12" x14ac:dyDescent="0.2">
      <c r="D8716" s="341"/>
      <c r="F8716" s="343"/>
      <c r="G8716" s="343"/>
      <c r="H8716" s="343"/>
      <c r="I8716" s="343"/>
      <c r="J8716" s="343"/>
      <c r="K8716" s="343"/>
      <c r="L8716" s="343"/>
    </row>
    <row r="8717" spans="4:12" x14ac:dyDescent="0.2">
      <c r="D8717" s="341"/>
      <c r="F8717" s="343"/>
      <c r="G8717" s="343"/>
      <c r="H8717" s="343"/>
      <c r="I8717" s="343"/>
      <c r="J8717" s="343"/>
      <c r="K8717" s="343"/>
      <c r="L8717" s="343"/>
    </row>
    <row r="8718" spans="4:12" x14ac:dyDescent="0.2">
      <c r="D8718" s="341"/>
      <c r="F8718" s="343"/>
      <c r="G8718" s="343"/>
      <c r="H8718" s="343"/>
      <c r="I8718" s="343"/>
      <c r="J8718" s="343"/>
      <c r="K8718" s="343"/>
      <c r="L8718" s="343"/>
    </row>
    <row r="8719" spans="4:12" x14ac:dyDescent="0.2">
      <c r="D8719" s="341"/>
      <c r="F8719" s="343"/>
      <c r="G8719" s="343"/>
      <c r="H8719" s="343"/>
      <c r="I8719" s="343"/>
      <c r="J8719" s="343"/>
      <c r="K8719" s="343"/>
      <c r="L8719" s="343"/>
    </row>
    <row r="8720" spans="4:12" x14ac:dyDescent="0.2">
      <c r="D8720" s="341"/>
      <c r="F8720" s="343"/>
      <c r="G8720" s="343"/>
      <c r="H8720" s="343"/>
      <c r="I8720" s="343"/>
      <c r="J8720" s="343"/>
      <c r="K8720" s="343"/>
      <c r="L8720" s="343"/>
    </row>
    <row r="8721" spans="4:12" x14ac:dyDescent="0.2">
      <c r="D8721" s="341"/>
      <c r="F8721" s="343"/>
      <c r="G8721" s="343"/>
      <c r="H8721" s="343"/>
      <c r="I8721" s="343"/>
      <c r="J8721" s="343"/>
      <c r="K8721" s="343"/>
      <c r="L8721" s="343"/>
    </row>
    <row r="8722" spans="4:12" x14ac:dyDescent="0.2">
      <c r="D8722" s="341"/>
      <c r="F8722" s="343"/>
      <c r="G8722" s="343"/>
      <c r="H8722" s="343"/>
      <c r="I8722" s="343"/>
      <c r="J8722" s="343"/>
      <c r="K8722" s="343"/>
      <c r="L8722" s="343"/>
    </row>
    <row r="8723" spans="4:12" x14ac:dyDescent="0.2">
      <c r="D8723" s="341"/>
      <c r="F8723" s="343"/>
      <c r="G8723" s="343"/>
      <c r="H8723" s="343"/>
      <c r="I8723" s="343"/>
      <c r="J8723" s="343"/>
      <c r="K8723" s="343"/>
      <c r="L8723" s="343"/>
    </row>
    <row r="8724" spans="4:12" x14ac:dyDescent="0.2">
      <c r="D8724" s="341"/>
      <c r="F8724" s="343"/>
      <c r="G8724" s="343"/>
      <c r="H8724" s="343"/>
      <c r="I8724" s="343"/>
      <c r="J8724" s="343"/>
      <c r="K8724" s="343"/>
      <c r="L8724" s="343"/>
    </row>
    <row r="8725" spans="4:12" x14ac:dyDescent="0.2">
      <c r="D8725" s="341"/>
      <c r="F8725" s="343"/>
      <c r="G8725" s="343"/>
      <c r="H8725" s="343"/>
      <c r="I8725" s="343"/>
      <c r="J8725" s="343"/>
      <c r="K8725" s="343"/>
      <c r="L8725" s="343"/>
    </row>
    <row r="8726" spans="4:12" x14ac:dyDescent="0.2">
      <c r="D8726" s="341"/>
      <c r="F8726" s="343"/>
      <c r="G8726" s="343"/>
      <c r="H8726" s="343"/>
      <c r="I8726" s="343"/>
      <c r="J8726" s="343"/>
      <c r="K8726" s="343"/>
      <c r="L8726" s="343"/>
    </row>
    <row r="8727" spans="4:12" x14ac:dyDescent="0.2">
      <c r="D8727" s="341"/>
      <c r="F8727" s="343"/>
      <c r="G8727" s="343"/>
      <c r="H8727" s="343"/>
      <c r="I8727" s="343"/>
      <c r="J8727" s="343"/>
      <c r="K8727" s="343"/>
      <c r="L8727" s="343"/>
    </row>
    <row r="8728" spans="4:12" x14ac:dyDescent="0.2">
      <c r="D8728" s="341"/>
      <c r="F8728" s="343"/>
      <c r="G8728" s="343"/>
      <c r="H8728" s="343"/>
      <c r="I8728" s="343"/>
      <c r="J8728" s="343"/>
      <c r="K8728" s="343"/>
      <c r="L8728" s="343"/>
    </row>
    <row r="8729" spans="4:12" x14ac:dyDescent="0.2">
      <c r="D8729" s="341"/>
      <c r="F8729" s="343"/>
      <c r="G8729" s="343"/>
      <c r="H8729" s="343"/>
      <c r="I8729" s="343"/>
      <c r="J8729" s="343"/>
      <c r="K8729" s="343"/>
      <c r="L8729" s="343"/>
    </row>
    <row r="8730" spans="4:12" x14ac:dyDescent="0.2">
      <c r="D8730" s="341"/>
      <c r="F8730" s="343"/>
      <c r="G8730" s="343"/>
      <c r="H8730" s="343"/>
      <c r="I8730" s="343"/>
      <c r="J8730" s="343"/>
      <c r="K8730" s="343"/>
      <c r="L8730" s="343"/>
    </row>
    <row r="8731" spans="4:12" x14ac:dyDescent="0.2">
      <c r="D8731" s="341"/>
      <c r="F8731" s="343"/>
      <c r="G8731" s="343"/>
      <c r="H8731" s="343"/>
      <c r="I8731" s="343"/>
      <c r="J8731" s="343"/>
      <c r="K8731" s="343"/>
      <c r="L8731" s="343"/>
    </row>
    <row r="8732" spans="4:12" x14ac:dyDescent="0.2">
      <c r="D8732" s="341"/>
      <c r="F8732" s="343"/>
      <c r="G8732" s="343"/>
      <c r="H8732" s="343"/>
      <c r="I8732" s="343"/>
      <c r="J8732" s="343"/>
      <c r="K8732" s="343"/>
      <c r="L8732" s="343"/>
    </row>
    <row r="8733" spans="4:12" x14ac:dyDescent="0.2">
      <c r="D8733" s="341"/>
      <c r="F8733" s="343"/>
      <c r="G8733" s="343"/>
      <c r="H8733" s="343"/>
      <c r="I8733" s="343"/>
      <c r="J8733" s="343"/>
      <c r="K8733" s="343"/>
      <c r="L8733" s="343"/>
    </row>
    <row r="8734" spans="4:12" x14ac:dyDescent="0.2">
      <c r="D8734" s="341"/>
      <c r="F8734" s="343"/>
      <c r="G8734" s="343"/>
      <c r="H8734" s="343"/>
      <c r="I8734" s="343"/>
      <c r="J8734" s="343"/>
      <c r="K8734" s="343"/>
      <c r="L8734" s="343"/>
    </row>
    <row r="8735" spans="4:12" x14ac:dyDescent="0.2">
      <c r="D8735" s="341"/>
      <c r="F8735" s="343"/>
      <c r="G8735" s="343"/>
      <c r="H8735" s="343"/>
      <c r="I8735" s="343"/>
      <c r="J8735" s="343"/>
      <c r="K8735" s="343"/>
      <c r="L8735" s="343"/>
    </row>
    <row r="8736" spans="4:12" x14ac:dyDescent="0.2">
      <c r="D8736" s="341"/>
      <c r="F8736" s="343"/>
      <c r="G8736" s="343"/>
      <c r="H8736" s="343"/>
      <c r="I8736" s="343"/>
      <c r="J8736" s="343"/>
      <c r="K8736" s="343"/>
      <c r="L8736" s="343"/>
    </row>
    <row r="8737" spans="4:12" x14ac:dyDescent="0.2">
      <c r="D8737" s="341"/>
      <c r="F8737" s="343"/>
      <c r="G8737" s="343"/>
      <c r="H8737" s="343"/>
      <c r="I8737" s="343"/>
      <c r="J8737" s="343"/>
      <c r="K8737" s="343"/>
      <c r="L8737" s="343"/>
    </row>
    <row r="8738" spans="4:12" x14ac:dyDescent="0.2">
      <c r="D8738" s="341"/>
      <c r="F8738" s="343"/>
      <c r="G8738" s="343"/>
      <c r="H8738" s="343"/>
      <c r="I8738" s="343"/>
      <c r="J8738" s="343"/>
      <c r="K8738" s="343"/>
      <c r="L8738" s="343"/>
    </row>
    <row r="8739" spans="4:12" x14ac:dyDescent="0.2">
      <c r="D8739" s="341"/>
      <c r="F8739" s="343"/>
      <c r="G8739" s="343"/>
      <c r="H8739" s="343"/>
      <c r="I8739" s="343"/>
      <c r="J8739" s="343"/>
      <c r="K8739" s="343"/>
      <c r="L8739" s="343"/>
    </row>
    <row r="8740" spans="4:12" x14ac:dyDescent="0.2">
      <c r="D8740" s="341"/>
      <c r="F8740" s="343"/>
      <c r="G8740" s="343"/>
      <c r="H8740" s="343"/>
      <c r="I8740" s="343"/>
      <c r="J8740" s="343"/>
      <c r="K8740" s="343"/>
      <c r="L8740" s="343"/>
    </row>
    <row r="8741" spans="4:12" x14ac:dyDescent="0.2">
      <c r="D8741" s="341"/>
      <c r="F8741" s="343"/>
      <c r="G8741" s="343"/>
      <c r="H8741" s="343"/>
      <c r="I8741" s="343"/>
      <c r="J8741" s="343"/>
      <c r="K8741" s="343"/>
      <c r="L8741" s="343"/>
    </row>
    <row r="8742" spans="4:12" x14ac:dyDescent="0.2">
      <c r="D8742" s="341"/>
      <c r="F8742" s="343"/>
      <c r="G8742" s="343"/>
      <c r="H8742" s="343"/>
      <c r="I8742" s="343"/>
      <c r="J8742" s="343"/>
      <c r="K8742" s="343"/>
      <c r="L8742" s="343"/>
    </row>
    <row r="8743" spans="4:12" x14ac:dyDescent="0.2">
      <c r="D8743" s="341"/>
      <c r="F8743" s="343"/>
      <c r="G8743" s="343"/>
      <c r="H8743" s="343"/>
      <c r="I8743" s="343"/>
      <c r="J8743" s="343"/>
      <c r="K8743" s="343"/>
      <c r="L8743" s="343"/>
    </row>
    <row r="8744" spans="4:12" x14ac:dyDescent="0.2">
      <c r="D8744" s="341"/>
      <c r="F8744" s="343"/>
      <c r="G8744" s="343"/>
      <c r="H8744" s="343"/>
      <c r="I8744" s="343"/>
      <c r="J8744" s="343"/>
      <c r="K8744" s="343"/>
      <c r="L8744" s="343"/>
    </row>
    <row r="8745" spans="4:12" x14ac:dyDescent="0.2">
      <c r="D8745" s="341"/>
      <c r="F8745" s="343"/>
      <c r="G8745" s="343"/>
      <c r="H8745" s="343"/>
      <c r="I8745" s="343"/>
      <c r="J8745" s="343"/>
      <c r="K8745" s="343"/>
      <c r="L8745" s="343"/>
    </row>
    <row r="8746" spans="4:12" x14ac:dyDescent="0.2">
      <c r="D8746" s="341"/>
      <c r="F8746" s="343"/>
      <c r="G8746" s="343"/>
      <c r="H8746" s="343"/>
      <c r="I8746" s="343"/>
      <c r="J8746" s="343"/>
      <c r="K8746" s="343"/>
      <c r="L8746" s="343"/>
    </row>
    <row r="8747" spans="4:12" x14ac:dyDescent="0.2">
      <c r="D8747" s="341"/>
      <c r="F8747" s="343"/>
      <c r="G8747" s="343"/>
      <c r="H8747" s="343"/>
      <c r="I8747" s="343"/>
      <c r="J8747" s="343"/>
      <c r="K8747" s="343"/>
      <c r="L8747" s="343"/>
    </row>
    <row r="8748" spans="4:12" x14ac:dyDescent="0.2">
      <c r="D8748" s="341"/>
      <c r="F8748" s="343"/>
      <c r="G8748" s="343"/>
      <c r="H8748" s="343"/>
      <c r="I8748" s="343"/>
      <c r="J8748" s="343"/>
      <c r="K8748" s="343"/>
      <c r="L8748" s="343"/>
    </row>
    <row r="8749" spans="4:12" x14ac:dyDescent="0.2">
      <c r="D8749" s="341"/>
      <c r="F8749" s="343"/>
      <c r="G8749" s="343"/>
      <c r="H8749" s="343"/>
      <c r="I8749" s="343"/>
      <c r="J8749" s="343"/>
      <c r="K8749" s="343"/>
      <c r="L8749" s="343"/>
    </row>
    <row r="8750" spans="4:12" x14ac:dyDescent="0.2">
      <c r="D8750" s="341"/>
      <c r="F8750" s="343"/>
      <c r="G8750" s="343"/>
      <c r="H8750" s="343"/>
      <c r="I8750" s="343"/>
      <c r="J8750" s="343"/>
      <c r="K8750" s="343"/>
      <c r="L8750" s="343"/>
    </row>
    <row r="8751" spans="4:12" x14ac:dyDescent="0.2">
      <c r="D8751" s="341"/>
      <c r="F8751" s="343"/>
      <c r="G8751" s="343"/>
      <c r="H8751" s="343"/>
      <c r="I8751" s="343"/>
      <c r="J8751" s="343"/>
      <c r="K8751" s="343"/>
      <c r="L8751" s="343"/>
    </row>
    <row r="8752" spans="4:12" x14ac:dyDescent="0.2">
      <c r="D8752" s="341"/>
      <c r="F8752" s="343"/>
      <c r="G8752" s="343"/>
      <c r="H8752" s="343"/>
      <c r="I8752" s="343"/>
      <c r="J8752" s="343"/>
      <c r="K8752" s="343"/>
      <c r="L8752" s="343"/>
    </row>
    <row r="8753" spans="4:12" x14ac:dyDescent="0.2">
      <c r="D8753" s="341"/>
      <c r="F8753" s="343"/>
      <c r="G8753" s="343"/>
      <c r="H8753" s="343"/>
      <c r="I8753" s="343"/>
      <c r="J8753" s="343"/>
      <c r="K8753" s="343"/>
      <c r="L8753" s="343"/>
    </row>
    <row r="8754" spans="4:12" x14ac:dyDescent="0.2">
      <c r="D8754" s="341"/>
      <c r="F8754" s="343"/>
      <c r="G8754" s="343"/>
      <c r="H8754" s="343"/>
      <c r="I8754" s="343"/>
      <c r="J8754" s="343"/>
      <c r="K8754" s="343"/>
      <c r="L8754" s="343"/>
    </row>
    <row r="8755" spans="4:12" x14ac:dyDescent="0.2">
      <c r="D8755" s="341"/>
      <c r="F8755" s="343"/>
      <c r="G8755" s="343"/>
      <c r="H8755" s="343"/>
      <c r="I8755" s="343"/>
      <c r="J8755" s="343"/>
      <c r="K8755" s="343"/>
      <c r="L8755" s="343"/>
    </row>
    <row r="8756" spans="4:12" x14ac:dyDescent="0.2">
      <c r="D8756" s="341"/>
      <c r="F8756" s="343"/>
      <c r="G8756" s="343"/>
      <c r="H8756" s="343"/>
      <c r="I8756" s="343"/>
      <c r="J8756" s="343"/>
      <c r="K8756" s="343"/>
      <c r="L8756" s="343"/>
    </row>
    <row r="8757" spans="4:12" x14ac:dyDescent="0.2">
      <c r="D8757" s="341"/>
      <c r="F8757" s="343"/>
      <c r="G8757" s="343"/>
      <c r="H8757" s="343"/>
      <c r="I8757" s="343"/>
      <c r="J8757" s="343"/>
      <c r="K8757" s="343"/>
      <c r="L8757" s="343"/>
    </row>
    <row r="8758" spans="4:12" x14ac:dyDescent="0.2">
      <c r="D8758" s="341"/>
      <c r="F8758" s="343"/>
      <c r="G8758" s="343"/>
      <c r="H8758" s="343"/>
      <c r="I8758" s="343"/>
      <c r="J8758" s="343"/>
      <c r="K8758" s="343"/>
      <c r="L8758" s="343"/>
    </row>
    <row r="8759" spans="4:12" x14ac:dyDescent="0.2">
      <c r="D8759" s="341"/>
      <c r="F8759" s="343"/>
      <c r="G8759" s="343"/>
      <c r="H8759" s="343"/>
      <c r="I8759" s="343"/>
      <c r="J8759" s="343"/>
      <c r="K8759" s="343"/>
      <c r="L8759" s="343"/>
    </row>
    <row r="8760" spans="4:12" x14ac:dyDescent="0.2">
      <c r="D8760" s="341"/>
      <c r="F8760" s="343"/>
      <c r="G8760" s="343"/>
      <c r="H8760" s="343"/>
      <c r="I8760" s="343"/>
      <c r="J8760" s="343"/>
      <c r="K8760" s="343"/>
      <c r="L8760" s="343"/>
    </row>
    <row r="8761" spans="4:12" x14ac:dyDescent="0.2">
      <c r="D8761" s="341"/>
      <c r="F8761" s="343"/>
      <c r="G8761" s="343"/>
      <c r="H8761" s="343"/>
      <c r="I8761" s="343"/>
      <c r="J8761" s="343"/>
      <c r="K8761" s="343"/>
      <c r="L8761" s="343"/>
    </row>
    <row r="8762" spans="4:12" x14ac:dyDescent="0.2">
      <c r="D8762" s="341"/>
      <c r="F8762" s="343"/>
      <c r="G8762" s="343"/>
      <c r="H8762" s="343"/>
      <c r="I8762" s="343"/>
      <c r="J8762" s="343"/>
      <c r="K8762" s="343"/>
      <c r="L8762" s="343"/>
    </row>
    <row r="8763" spans="4:12" x14ac:dyDescent="0.2">
      <c r="D8763" s="341"/>
      <c r="F8763" s="343"/>
      <c r="G8763" s="343"/>
      <c r="H8763" s="343"/>
      <c r="I8763" s="343"/>
      <c r="J8763" s="343"/>
      <c r="K8763" s="343"/>
      <c r="L8763" s="343"/>
    </row>
    <row r="8764" spans="4:12" x14ac:dyDescent="0.2">
      <c r="D8764" s="341"/>
      <c r="F8764" s="343"/>
      <c r="G8764" s="343"/>
      <c r="H8764" s="343"/>
      <c r="I8764" s="343"/>
      <c r="J8764" s="343"/>
      <c r="K8764" s="343"/>
      <c r="L8764" s="343"/>
    </row>
    <row r="8765" spans="4:12" x14ac:dyDescent="0.2">
      <c r="D8765" s="341"/>
      <c r="F8765" s="343"/>
      <c r="G8765" s="343"/>
      <c r="H8765" s="343"/>
      <c r="I8765" s="343"/>
      <c r="J8765" s="343"/>
      <c r="K8765" s="343"/>
      <c r="L8765" s="343"/>
    </row>
    <row r="8766" spans="4:12" x14ac:dyDescent="0.2">
      <c r="D8766" s="341"/>
      <c r="F8766" s="343"/>
      <c r="G8766" s="343"/>
      <c r="H8766" s="343"/>
      <c r="I8766" s="343"/>
      <c r="J8766" s="343"/>
      <c r="K8766" s="343"/>
      <c r="L8766" s="343"/>
    </row>
    <row r="8767" spans="4:12" x14ac:dyDescent="0.2">
      <c r="D8767" s="341"/>
      <c r="F8767" s="343"/>
      <c r="G8767" s="343"/>
      <c r="H8767" s="343"/>
      <c r="I8767" s="343"/>
      <c r="J8767" s="343"/>
      <c r="K8767" s="343"/>
      <c r="L8767" s="343"/>
    </row>
    <row r="8768" spans="4:12" x14ac:dyDescent="0.2">
      <c r="D8768" s="341"/>
      <c r="F8768" s="343"/>
      <c r="G8768" s="343"/>
      <c r="H8768" s="343"/>
      <c r="I8768" s="343"/>
      <c r="J8768" s="343"/>
      <c r="K8768" s="343"/>
      <c r="L8768" s="343"/>
    </row>
    <row r="8769" spans="4:12" x14ac:dyDescent="0.2">
      <c r="D8769" s="341"/>
      <c r="F8769" s="343"/>
      <c r="G8769" s="343"/>
      <c r="H8769" s="343"/>
      <c r="I8769" s="343"/>
      <c r="J8769" s="343"/>
      <c r="K8769" s="343"/>
      <c r="L8769" s="343"/>
    </row>
    <row r="8770" spans="4:12" x14ac:dyDescent="0.2">
      <c r="D8770" s="341"/>
      <c r="F8770" s="343"/>
      <c r="G8770" s="343"/>
      <c r="H8770" s="343"/>
      <c r="I8770" s="343"/>
      <c r="J8770" s="343"/>
      <c r="K8770" s="343"/>
      <c r="L8770" s="343"/>
    </row>
    <row r="8771" spans="4:12" x14ac:dyDescent="0.2">
      <c r="D8771" s="341"/>
      <c r="F8771" s="343"/>
      <c r="G8771" s="343"/>
      <c r="H8771" s="343"/>
      <c r="I8771" s="343"/>
      <c r="J8771" s="343"/>
      <c r="K8771" s="343"/>
      <c r="L8771" s="343"/>
    </row>
    <row r="8772" spans="4:12" x14ac:dyDescent="0.2">
      <c r="D8772" s="341"/>
      <c r="F8772" s="343"/>
      <c r="G8772" s="343"/>
      <c r="H8772" s="343"/>
      <c r="I8772" s="343"/>
      <c r="J8772" s="343"/>
      <c r="K8772" s="343"/>
      <c r="L8772" s="343"/>
    </row>
    <row r="8773" spans="4:12" x14ac:dyDescent="0.2">
      <c r="D8773" s="341"/>
      <c r="F8773" s="343"/>
      <c r="G8773" s="343"/>
      <c r="H8773" s="343"/>
      <c r="I8773" s="343"/>
      <c r="J8773" s="343"/>
      <c r="K8773" s="343"/>
      <c r="L8773" s="343"/>
    </row>
    <row r="8774" spans="4:12" x14ac:dyDescent="0.2">
      <c r="D8774" s="341"/>
      <c r="F8774" s="343"/>
      <c r="G8774" s="343"/>
      <c r="H8774" s="343"/>
      <c r="I8774" s="343"/>
      <c r="J8774" s="343"/>
      <c r="K8774" s="343"/>
      <c r="L8774" s="343"/>
    </row>
    <row r="8775" spans="4:12" x14ac:dyDescent="0.2">
      <c r="D8775" s="341"/>
      <c r="F8775" s="343"/>
      <c r="G8775" s="343"/>
      <c r="H8775" s="343"/>
      <c r="I8775" s="343"/>
      <c r="J8775" s="343"/>
      <c r="K8775" s="343"/>
      <c r="L8775" s="343"/>
    </row>
    <row r="8776" spans="4:12" x14ac:dyDescent="0.2">
      <c r="D8776" s="341"/>
      <c r="F8776" s="343"/>
      <c r="G8776" s="343"/>
      <c r="H8776" s="343"/>
      <c r="I8776" s="343"/>
      <c r="J8776" s="343"/>
      <c r="K8776" s="343"/>
      <c r="L8776" s="343"/>
    </row>
    <row r="8777" spans="4:12" x14ac:dyDescent="0.2">
      <c r="D8777" s="341"/>
      <c r="F8777" s="343"/>
      <c r="G8777" s="343"/>
      <c r="H8777" s="343"/>
      <c r="I8777" s="343"/>
      <c r="J8777" s="343"/>
      <c r="K8777" s="343"/>
      <c r="L8777" s="343"/>
    </row>
    <row r="8778" spans="4:12" x14ac:dyDescent="0.2">
      <c r="D8778" s="341"/>
      <c r="F8778" s="343"/>
      <c r="G8778" s="343"/>
      <c r="H8778" s="343"/>
      <c r="I8778" s="343"/>
      <c r="J8778" s="343"/>
      <c r="K8778" s="343"/>
      <c r="L8778" s="343"/>
    </row>
    <row r="8779" spans="4:12" x14ac:dyDescent="0.2">
      <c r="D8779" s="341"/>
      <c r="F8779" s="343"/>
      <c r="G8779" s="343"/>
      <c r="H8779" s="343"/>
      <c r="I8779" s="343"/>
      <c r="J8779" s="343"/>
      <c r="K8779" s="343"/>
      <c r="L8779" s="343"/>
    </row>
    <row r="8780" spans="4:12" x14ac:dyDescent="0.2">
      <c r="D8780" s="341"/>
      <c r="F8780" s="343"/>
      <c r="G8780" s="343"/>
      <c r="H8780" s="343"/>
      <c r="I8780" s="343"/>
      <c r="J8780" s="343"/>
      <c r="K8780" s="343"/>
      <c r="L8780" s="343"/>
    </row>
    <row r="8781" spans="4:12" x14ac:dyDescent="0.2">
      <c r="D8781" s="341"/>
      <c r="F8781" s="343"/>
      <c r="G8781" s="343"/>
      <c r="H8781" s="343"/>
      <c r="I8781" s="343"/>
      <c r="J8781" s="343"/>
      <c r="K8781" s="343"/>
      <c r="L8781" s="343"/>
    </row>
    <row r="8782" spans="4:12" x14ac:dyDescent="0.2">
      <c r="D8782" s="341"/>
      <c r="F8782" s="343"/>
      <c r="G8782" s="343"/>
      <c r="H8782" s="343"/>
      <c r="I8782" s="343"/>
      <c r="J8782" s="343"/>
      <c r="K8782" s="343"/>
      <c r="L8782" s="343"/>
    </row>
    <row r="8783" spans="4:12" x14ac:dyDescent="0.2">
      <c r="D8783" s="341"/>
      <c r="F8783" s="343"/>
      <c r="G8783" s="343"/>
      <c r="H8783" s="343"/>
      <c r="I8783" s="343"/>
      <c r="J8783" s="343"/>
      <c r="K8783" s="343"/>
      <c r="L8783" s="343"/>
    </row>
    <row r="8784" spans="4:12" x14ac:dyDescent="0.2">
      <c r="D8784" s="341"/>
      <c r="F8784" s="343"/>
      <c r="G8784" s="343"/>
      <c r="H8784" s="343"/>
      <c r="I8784" s="343"/>
      <c r="J8784" s="343"/>
      <c r="K8784" s="343"/>
      <c r="L8784" s="343"/>
    </row>
    <row r="8785" spans="4:12" x14ac:dyDescent="0.2">
      <c r="D8785" s="341"/>
      <c r="F8785" s="343"/>
      <c r="G8785" s="343"/>
      <c r="H8785" s="343"/>
      <c r="I8785" s="343"/>
      <c r="J8785" s="343"/>
      <c r="K8785" s="343"/>
      <c r="L8785" s="343"/>
    </row>
    <row r="8786" spans="4:12" x14ac:dyDescent="0.2">
      <c r="D8786" s="341"/>
      <c r="F8786" s="343"/>
      <c r="G8786" s="343"/>
      <c r="H8786" s="343"/>
      <c r="I8786" s="343"/>
      <c r="J8786" s="343"/>
      <c r="K8786" s="343"/>
      <c r="L8786" s="343"/>
    </row>
    <row r="8787" spans="4:12" x14ac:dyDescent="0.2">
      <c r="D8787" s="341"/>
      <c r="F8787" s="343"/>
      <c r="G8787" s="343"/>
      <c r="H8787" s="343"/>
      <c r="I8787" s="343"/>
      <c r="J8787" s="343"/>
      <c r="K8787" s="343"/>
      <c r="L8787" s="343"/>
    </row>
    <row r="8788" spans="4:12" x14ac:dyDescent="0.2">
      <c r="D8788" s="341"/>
      <c r="F8788" s="343"/>
      <c r="G8788" s="343"/>
      <c r="H8788" s="343"/>
      <c r="I8788" s="343"/>
      <c r="J8788" s="343"/>
      <c r="K8788" s="343"/>
      <c r="L8788" s="343"/>
    </row>
    <row r="8789" spans="4:12" x14ac:dyDescent="0.2">
      <c r="D8789" s="341"/>
      <c r="F8789" s="343"/>
      <c r="G8789" s="343"/>
      <c r="H8789" s="343"/>
      <c r="I8789" s="343"/>
      <c r="J8789" s="343"/>
      <c r="K8789" s="343"/>
      <c r="L8789" s="343"/>
    </row>
    <row r="8790" spans="4:12" x14ac:dyDescent="0.2">
      <c r="D8790" s="341"/>
      <c r="F8790" s="343"/>
      <c r="G8790" s="343"/>
      <c r="H8790" s="343"/>
      <c r="I8790" s="343"/>
      <c r="J8790" s="343"/>
      <c r="K8790" s="343"/>
      <c r="L8790" s="343"/>
    </row>
    <row r="8791" spans="4:12" x14ac:dyDescent="0.2">
      <c r="D8791" s="341"/>
      <c r="F8791" s="343"/>
      <c r="G8791" s="343"/>
      <c r="H8791" s="343"/>
      <c r="I8791" s="343"/>
      <c r="J8791" s="343"/>
      <c r="K8791" s="343"/>
      <c r="L8791" s="343"/>
    </row>
    <row r="8792" spans="4:12" x14ac:dyDescent="0.2">
      <c r="D8792" s="341"/>
      <c r="F8792" s="343"/>
      <c r="G8792" s="343"/>
      <c r="H8792" s="343"/>
      <c r="I8792" s="343"/>
      <c r="J8792" s="343"/>
      <c r="K8792" s="343"/>
      <c r="L8792" s="343"/>
    </row>
    <row r="8793" spans="4:12" x14ac:dyDescent="0.2">
      <c r="D8793" s="341"/>
      <c r="F8793" s="343"/>
      <c r="G8793" s="343"/>
      <c r="H8793" s="343"/>
      <c r="I8793" s="343"/>
      <c r="J8793" s="343"/>
      <c r="K8793" s="343"/>
      <c r="L8793" s="343"/>
    </row>
    <row r="8794" spans="4:12" x14ac:dyDescent="0.2">
      <c r="D8794" s="341"/>
      <c r="F8794" s="343"/>
      <c r="G8794" s="343"/>
      <c r="H8794" s="343"/>
      <c r="I8794" s="343"/>
      <c r="J8794" s="343"/>
      <c r="K8794" s="343"/>
      <c r="L8794" s="343"/>
    </row>
    <row r="8795" spans="4:12" x14ac:dyDescent="0.2">
      <c r="D8795" s="341"/>
      <c r="F8795" s="343"/>
      <c r="G8795" s="343"/>
      <c r="H8795" s="343"/>
      <c r="I8795" s="343"/>
      <c r="J8795" s="343"/>
      <c r="K8795" s="343"/>
      <c r="L8795" s="343"/>
    </row>
    <row r="8796" spans="4:12" x14ac:dyDescent="0.2">
      <c r="D8796" s="341"/>
      <c r="F8796" s="343"/>
      <c r="G8796" s="343"/>
      <c r="H8796" s="343"/>
      <c r="I8796" s="343"/>
      <c r="J8796" s="343"/>
      <c r="K8796" s="343"/>
      <c r="L8796" s="343"/>
    </row>
    <row r="8797" spans="4:12" x14ac:dyDescent="0.2">
      <c r="D8797" s="341"/>
      <c r="F8797" s="343"/>
      <c r="G8797" s="343"/>
      <c r="H8797" s="343"/>
      <c r="I8797" s="343"/>
      <c r="J8797" s="343"/>
      <c r="K8797" s="343"/>
      <c r="L8797" s="343"/>
    </row>
    <row r="8798" spans="4:12" x14ac:dyDescent="0.2">
      <c r="D8798" s="341"/>
      <c r="F8798" s="343"/>
      <c r="G8798" s="343"/>
      <c r="H8798" s="343"/>
      <c r="I8798" s="343"/>
      <c r="J8798" s="343"/>
      <c r="K8798" s="343"/>
      <c r="L8798" s="343"/>
    </row>
    <row r="8799" spans="4:12" x14ac:dyDescent="0.2">
      <c r="D8799" s="341"/>
      <c r="F8799" s="343"/>
      <c r="G8799" s="343"/>
      <c r="H8799" s="343"/>
      <c r="I8799" s="343"/>
      <c r="J8799" s="343"/>
      <c r="K8799" s="343"/>
      <c r="L8799" s="343"/>
    </row>
    <row r="8800" spans="4:12" x14ac:dyDescent="0.2">
      <c r="D8800" s="341"/>
      <c r="F8800" s="343"/>
      <c r="G8800" s="343"/>
      <c r="H8800" s="343"/>
      <c r="I8800" s="343"/>
      <c r="J8800" s="343"/>
      <c r="K8800" s="343"/>
      <c r="L8800" s="343"/>
    </row>
    <row r="8801" spans="4:12" x14ac:dyDescent="0.2">
      <c r="D8801" s="341"/>
      <c r="F8801" s="343"/>
      <c r="G8801" s="343"/>
      <c r="H8801" s="343"/>
      <c r="I8801" s="343"/>
      <c r="J8801" s="343"/>
      <c r="K8801" s="343"/>
      <c r="L8801" s="343"/>
    </row>
    <row r="8802" spans="4:12" x14ac:dyDescent="0.2">
      <c r="D8802" s="341"/>
      <c r="F8802" s="343"/>
      <c r="G8802" s="343"/>
      <c r="H8802" s="343"/>
      <c r="I8802" s="343"/>
      <c r="J8802" s="343"/>
      <c r="K8802" s="343"/>
      <c r="L8802" s="343"/>
    </row>
    <row r="8803" spans="4:12" x14ac:dyDescent="0.2">
      <c r="D8803" s="341"/>
      <c r="F8803" s="343"/>
      <c r="G8803" s="343"/>
      <c r="H8803" s="343"/>
      <c r="I8803" s="343"/>
      <c r="J8803" s="343"/>
      <c r="K8803" s="343"/>
      <c r="L8803" s="343"/>
    </row>
    <row r="8804" spans="4:12" x14ac:dyDescent="0.2">
      <c r="D8804" s="341"/>
      <c r="F8804" s="343"/>
      <c r="G8804" s="343"/>
      <c r="H8804" s="343"/>
      <c r="I8804" s="343"/>
      <c r="J8804" s="343"/>
      <c r="K8804" s="343"/>
      <c r="L8804" s="343"/>
    </row>
    <row r="8805" spans="4:12" x14ac:dyDescent="0.2">
      <c r="D8805" s="341"/>
      <c r="F8805" s="343"/>
      <c r="G8805" s="343"/>
      <c r="H8805" s="343"/>
      <c r="I8805" s="343"/>
      <c r="J8805" s="343"/>
      <c r="K8805" s="343"/>
      <c r="L8805" s="343"/>
    </row>
    <row r="8806" spans="4:12" x14ac:dyDescent="0.2">
      <c r="D8806" s="341"/>
      <c r="F8806" s="343"/>
      <c r="G8806" s="343"/>
      <c r="H8806" s="343"/>
      <c r="I8806" s="343"/>
      <c r="J8806" s="343"/>
      <c r="K8806" s="343"/>
      <c r="L8806" s="343"/>
    </row>
    <row r="8807" spans="4:12" x14ac:dyDescent="0.2">
      <c r="D8807" s="341"/>
      <c r="F8807" s="343"/>
      <c r="G8807" s="343"/>
      <c r="H8807" s="343"/>
      <c r="I8807" s="343"/>
      <c r="J8807" s="343"/>
      <c r="K8807" s="343"/>
      <c r="L8807" s="343"/>
    </row>
    <row r="8808" spans="4:12" x14ac:dyDescent="0.2">
      <c r="D8808" s="341"/>
      <c r="F8808" s="343"/>
      <c r="G8808" s="343"/>
      <c r="H8808" s="343"/>
      <c r="I8808" s="343"/>
      <c r="J8808" s="343"/>
      <c r="K8808" s="343"/>
      <c r="L8808" s="343"/>
    </row>
    <row r="8809" spans="4:12" x14ac:dyDescent="0.2">
      <c r="D8809" s="341"/>
      <c r="F8809" s="343"/>
      <c r="G8809" s="343"/>
      <c r="H8809" s="343"/>
      <c r="I8809" s="343"/>
      <c r="J8809" s="343"/>
      <c r="K8809" s="343"/>
      <c r="L8809" s="343"/>
    </row>
    <row r="8810" spans="4:12" x14ac:dyDescent="0.2">
      <c r="D8810" s="341"/>
      <c r="F8810" s="343"/>
      <c r="G8810" s="343"/>
      <c r="H8810" s="343"/>
      <c r="I8810" s="343"/>
      <c r="J8810" s="343"/>
      <c r="K8810" s="343"/>
      <c r="L8810" s="343"/>
    </row>
    <row r="8811" spans="4:12" x14ac:dyDescent="0.2">
      <c r="D8811" s="341"/>
      <c r="F8811" s="343"/>
      <c r="G8811" s="343"/>
      <c r="H8811" s="343"/>
      <c r="I8811" s="343"/>
      <c r="J8811" s="343"/>
      <c r="K8811" s="343"/>
      <c r="L8811" s="343"/>
    </row>
    <row r="8812" spans="4:12" x14ac:dyDescent="0.2">
      <c r="D8812" s="341"/>
      <c r="F8812" s="343"/>
      <c r="G8812" s="343"/>
      <c r="H8812" s="343"/>
      <c r="I8812" s="343"/>
      <c r="J8812" s="343"/>
      <c r="K8812" s="343"/>
      <c r="L8812" s="343"/>
    </row>
    <row r="8813" spans="4:12" x14ac:dyDescent="0.2">
      <c r="D8813" s="341"/>
      <c r="F8813" s="343"/>
      <c r="G8813" s="343"/>
      <c r="H8813" s="343"/>
      <c r="I8813" s="343"/>
      <c r="J8813" s="343"/>
      <c r="K8813" s="343"/>
      <c r="L8813" s="343"/>
    </row>
    <row r="8814" spans="4:12" x14ac:dyDescent="0.2">
      <c r="D8814" s="341"/>
      <c r="F8814" s="343"/>
      <c r="G8814" s="343"/>
      <c r="H8814" s="343"/>
      <c r="I8814" s="343"/>
      <c r="J8814" s="343"/>
      <c r="K8814" s="343"/>
      <c r="L8814" s="343"/>
    </row>
    <row r="8815" spans="4:12" x14ac:dyDescent="0.2">
      <c r="D8815" s="341"/>
      <c r="F8815" s="343"/>
      <c r="G8815" s="343"/>
      <c r="H8815" s="343"/>
      <c r="I8815" s="343"/>
      <c r="J8815" s="343"/>
      <c r="K8815" s="343"/>
      <c r="L8815" s="343"/>
    </row>
    <row r="8816" spans="4:12" x14ac:dyDescent="0.2">
      <c r="D8816" s="341"/>
      <c r="F8816" s="343"/>
      <c r="G8816" s="343"/>
      <c r="H8816" s="343"/>
      <c r="I8816" s="343"/>
      <c r="J8816" s="343"/>
      <c r="K8816" s="343"/>
      <c r="L8816" s="343"/>
    </row>
    <row r="8817" spans="4:12" x14ac:dyDescent="0.2">
      <c r="D8817" s="341"/>
      <c r="F8817" s="343"/>
      <c r="G8817" s="343"/>
      <c r="H8817" s="343"/>
      <c r="I8817" s="343"/>
      <c r="J8817" s="343"/>
      <c r="K8817" s="343"/>
      <c r="L8817" s="343"/>
    </row>
    <row r="8818" spans="4:12" x14ac:dyDescent="0.2">
      <c r="D8818" s="341"/>
      <c r="F8818" s="343"/>
      <c r="G8818" s="343"/>
      <c r="H8818" s="343"/>
      <c r="I8818" s="343"/>
      <c r="J8818" s="343"/>
      <c r="K8818" s="343"/>
      <c r="L8818" s="343"/>
    </row>
    <row r="8819" spans="4:12" x14ac:dyDescent="0.2">
      <c r="D8819" s="341"/>
      <c r="F8819" s="343"/>
      <c r="G8819" s="343"/>
      <c r="H8819" s="343"/>
      <c r="I8819" s="343"/>
      <c r="J8819" s="343"/>
      <c r="K8819" s="343"/>
      <c r="L8819" s="343"/>
    </row>
    <row r="8820" spans="4:12" x14ac:dyDescent="0.2">
      <c r="D8820" s="341"/>
      <c r="F8820" s="343"/>
      <c r="G8820" s="343"/>
      <c r="H8820" s="343"/>
      <c r="I8820" s="343"/>
      <c r="J8820" s="343"/>
      <c r="K8820" s="343"/>
      <c r="L8820" s="343"/>
    </row>
    <row r="8821" spans="4:12" x14ac:dyDescent="0.2">
      <c r="D8821" s="341"/>
      <c r="F8821" s="343"/>
      <c r="G8821" s="343"/>
      <c r="H8821" s="343"/>
      <c r="I8821" s="343"/>
      <c r="J8821" s="343"/>
      <c r="K8821" s="343"/>
      <c r="L8821" s="343"/>
    </row>
    <row r="8822" spans="4:12" x14ac:dyDescent="0.2">
      <c r="D8822" s="341"/>
      <c r="F8822" s="343"/>
      <c r="G8822" s="343"/>
      <c r="H8822" s="343"/>
      <c r="I8822" s="343"/>
      <c r="J8822" s="343"/>
      <c r="K8822" s="343"/>
      <c r="L8822" s="343"/>
    </row>
    <row r="8823" spans="4:12" x14ac:dyDescent="0.2">
      <c r="D8823" s="341"/>
      <c r="F8823" s="343"/>
      <c r="G8823" s="343"/>
      <c r="H8823" s="343"/>
      <c r="I8823" s="343"/>
      <c r="J8823" s="343"/>
      <c r="K8823" s="343"/>
      <c r="L8823" s="343"/>
    </row>
    <row r="8824" spans="4:12" x14ac:dyDescent="0.2">
      <c r="D8824" s="341"/>
      <c r="F8824" s="343"/>
      <c r="G8824" s="343"/>
      <c r="H8824" s="343"/>
      <c r="I8824" s="343"/>
      <c r="J8824" s="343"/>
      <c r="K8824" s="343"/>
      <c r="L8824" s="343"/>
    </row>
    <row r="8825" spans="4:12" x14ac:dyDescent="0.2">
      <c r="D8825" s="341"/>
      <c r="F8825" s="343"/>
      <c r="G8825" s="343"/>
      <c r="H8825" s="343"/>
      <c r="I8825" s="343"/>
      <c r="J8825" s="343"/>
      <c r="K8825" s="343"/>
      <c r="L8825" s="343"/>
    </row>
    <row r="8826" spans="4:12" x14ac:dyDescent="0.2">
      <c r="D8826" s="341"/>
      <c r="F8826" s="343"/>
      <c r="G8826" s="343"/>
      <c r="H8826" s="343"/>
      <c r="I8826" s="343"/>
      <c r="J8826" s="343"/>
      <c r="K8826" s="343"/>
      <c r="L8826" s="343"/>
    </row>
    <row r="8827" spans="4:12" x14ac:dyDescent="0.2">
      <c r="D8827" s="341"/>
      <c r="F8827" s="343"/>
      <c r="G8827" s="343"/>
      <c r="H8827" s="343"/>
      <c r="I8827" s="343"/>
      <c r="J8827" s="343"/>
      <c r="K8827" s="343"/>
      <c r="L8827" s="343"/>
    </row>
    <row r="8828" spans="4:12" x14ac:dyDescent="0.2">
      <c r="D8828" s="341"/>
      <c r="F8828" s="343"/>
      <c r="G8828" s="343"/>
      <c r="H8828" s="343"/>
      <c r="I8828" s="343"/>
      <c r="J8828" s="343"/>
      <c r="K8828" s="343"/>
      <c r="L8828" s="343"/>
    </row>
    <row r="8829" spans="4:12" x14ac:dyDescent="0.2">
      <c r="D8829" s="341"/>
      <c r="F8829" s="343"/>
      <c r="G8829" s="343"/>
      <c r="H8829" s="343"/>
      <c r="I8829" s="343"/>
      <c r="J8829" s="343"/>
      <c r="K8829" s="343"/>
      <c r="L8829" s="343"/>
    </row>
    <row r="8830" spans="4:12" x14ac:dyDescent="0.2">
      <c r="D8830" s="341"/>
      <c r="F8830" s="343"/>
      <c r="G8830" s="343"/>
      <c r="H8830" s="343"/>
      <c r="I8830" s="343"/>
      <c r="J8830" s="343"/>
      <c r="K8830" s="343"/>
      <c r="L8830" s="343"/>
    </row>
    <row r="8831" spans="4:12" x14ac:dyDescent="0.2">
      <c r="D8831" s="341"/>
      <c r="F8831" s="343"/>
      <c r="G8831" s="343"/>
      <c r="H8831" s="343"/>
      <c r="I8831" s="343"/>
      <c r="J8831" s="343"/>
      <c r="K8831" s="343"/>
      <c r="L8831" s="343"/>
    </row>
    <row r="8832" spans="4:12" x14ac:dyDescent="0.2">
      <c r="D8832" s="341"/>
      <c r="F8832" s="343"/>
      <c r="G8832" s="343"/>
      <c r="H8832" s="343"/>
      <c r="I8832" s="343"/>
      <c r="J8832" s="343"/>
      <c r="K8832" s="343"/>
      <c r="L8832" s="343"/>
    </row>
    <row r="8833" spans="4:12" x14ac:dyDescent="0.2">
      <c r="D8833" s="341"/>
      <c r="F8833" s="343"/>
      <c r="G8833" s="343"/>
      <c r="H8833" s="343"/>
      <c r="I8833" s="343"/>
      <c r="J8833" s="343"/>
      <c r="K8833" s="343"/>
      <c r="L8833" s="343"/>
    </row>
    <row r="8834" spans="4:12" x14ac:dyDescent="0.2">
      <c r="D8834" s="341"/>
      <c r="F8834" s="343"/>
      <c r="G8834" s="343"/>
      <c r="H8834" s="343"/>
      <c r="I8834" s="343"/>
      <c r="J8834" s="343"/>
      <c r="K8834" s="343"/>
      <c r="L8834" s="343"/>
    </row>
    <row r="8835" spans="4:12" x14ac:dyDescent="0.2">
      <c r="D8835" s="341"/>
      <c r="F8835" s="343"/>
      <c r="G8835" s="343"/>
      <c r="H8835" s="343"/>
      <c r="I8835" s="343"/>
      <c r="J8835" s="343"/>
      <c r="K8835" s="343"/>
      <c r="L8835" s="343"/>
    </row>
    <row r="8836" spans="4:12" x14ac:dyDescent="0.2">
      <c r="D8836" s="341"/>
      <c r="F8836" s="343"/>
      <c r="G8836" s="343"/>
      <c r="H8836" s="343"/>
      <c r="I8836" s="343"/>
      <c r="J8836" s="343"/>
      <c r="K8836" s="343"/>
      <c r="L8836" s="343"/>
    </row>
    <row r="8837" spans="4:12" x14ac:dyDescent="0.2">
      <c r="D8837" s="341"/>
      <c r="F8837" s="343"/>
      <c r="G8837" s="343"/>
      <c r="H8837" s="343"/>
      <c r="I8837" s="343"/>
      <c r="J8837" s="343"/>
      <c r="K8837" s="343"/>
      <c r="L8837" s="343"/>
    </row>
    <row r="8838" spans="4:12" x14ac:dyDescent="0.2">
      <c r="D8838" s="341"/>
      <c r="F8838" s="343"/>
      <c r="G8838" s="343"/>
      <c r="H8838" s="343"/>
      <c r="I8838" s="343"/>
      <c r="J8838" s="343"/>
      <c r="K8838" s="343"/>
      <c r="L8838" s="343"/>
    </row>
    <row r="8839" spans="4:12" x14ac:dyDescent="0.2">
      <c r="D8839" s="341"/>
      <c r="F8839" s="343"/>
      <c r="G8839" s="343"/>
      <c r="H8839" s="343"/>
      <c r="I8839" s="343"/>
      <c r="J8839" s="343"/>
      <c r="K8839" s="343"/>
      <c r="L8839" s="343"/>
    </row>
    <row r="8840" spans="4:12" x14ac:dyDescent="0.2">
      <c r="D8840" s="341"/>
      <c r="F8840" s="343"/>
      <c r="G8840" s="343"/>
      <c r="H8840" s="343"/>
      <c r="I8840" s="343"/>
      <c r="J8840" s="343"/>
      <c r="K8840" s="343"/>
      <c r="L8840" s="343"/>
    </row>
    <row r="8841" spans="4:12" x14ac:dyDescent="0.2">
      <c r="D8841" s="341"/>
      <c r="F8841" s="343"/>
      <c r="G8841" s="343"/>
      <c r="H8841" s="343"/>
      <c r="I8841" s="343"/>
      <c r="J8841" s="343"/>
      <c r="K8841" s="343"/>
      <c r="L8841" s="343"/>
    </row>
    <row r="8842" spans="4:12" x14ac:dyDescent="0.2">
      <c r="D8842" s="341"/>
      <c r="F8842" s="343"/>
      <c r="G8842" s="343"/>
      <c r="H8842" s="343"/>
      <c r="I8842" s="343"/>
      <c r="J8842" s="343"/>
      <c r="K8842" s="343"/>
      <c r="L8842" s="343"/>
    </row>
    <row r="8843" spans="4:12" x14ac:dyDescent="0.2">
      <c r="D8843" s="341"/>
      <c r="F8843" s="343"/>
      <c r="G8843" s="343"/>
      <c r="H8843" s="343"/>
      <c r="I8843" s="343"/>
      <c r="J8843" s="343"/>
      <c r="K8843" s="343"/>
      <c r="L8843" s="343"/>
    </row>
    <row r="8844" spans="4:12" x14ac:dyDescent="0.2">
      <c r="D8844" s="341"/>
      <c r="F8844" s="343"/>
      <c r="G8844" s="343"/>
      <c r="H8844" s="343"/>
      <c r="I8844" s="343"/>
      <c r="J8844" s="343"/>
      <c r="K8844" s="343"/>
      <c r="L8844" s="343"/>
    </row>
    <row r="8845" spans="4:12" x14ac:dyDescent="0.2">
      <c r="D8845" s="341"/>
      <c r="F8845" s="343"/>
      <c r="G8845" s="343"/>
      <c r="H8845" s="343"/>
      <c r="I8845" s="343"/>
      <c r="J8845" s="343"/>
      <c r="K8845" s="343"/>
      <c r="L8845" s="343"/>
    </row>
    <row r="8846" spans="4:12" x14ac:dyDescent="0.2">
      <c r="D8846" s="341"/>
      <c r="F8846" s="343"/>
      <c r="G8846" s="343"/>
      <c r="H8846" s="343"/>
      <c r="I8846" s="343"/>
      <c r="J8846" s="343"/>
      <c r="K8846" s="343"/>
      <c r="L8846" s="343"/>
    </row>
    <row r="8847" spans="4:12" x14ac:dyDescent="0.2">
      <c r="D8847" s="341"/>
      <c r="F8847" s="343"/>
      <c r="G8847" s="343"/>
      <c r="H8847" s="343"/>
      <c r="I8847" s="343"/>
      <c r="J8847" s="343"/>
      <c r="K8847" s="343"/>
      <c r="L8847" s="343"/>
    </row>
    <row r="8848" spans="4:12" x14ac:dyDescent="0.2">
      <c r="D8848" s="341"/>
      <c r="F8848" s="343"/>
      <c r="G8848" s="343"/>
      <c r="H8848" s="343"/>
      <c r="I8848" s="343"/>
      <c r="J8848" s="343"/>
      <c r="K8848" s="343"/>
      <c r="L8848" s="343"/>
    </row>
    <row r="8849" spans="4:12" x14ac:dyDescent="0.2">
      <c r="D8849" s="341"/>
      <c r="F8849" s="343"/>
      <c r="G8849" s="343"/>
      <c r="H8849" s="343"/>
      <c r="I8849" s="343"/>
      <c r="J8849" s="343"/>
      <c r="K8849" s="343"/>
      <c r="L8849" s="343"/>
    </row>
    <row r="8850" spans="4:12" x14ac:dyDescent="0.2">
      <c r="D8850" s="341"/>
      <c r="F8850" s="343"/>
      <c r="G8850" s="343"/>
      <c r="H8850" s="343"/>
      <c r="I8850" s="343"/>
      <c r="J8850" s="343"/>
      <c r="K8850" s="343"/>
      <c r="L8850" s="343"/>
    </row>
    <row r="8851" spans="4:12" x14ac:dyDescent="0.2">
      <c r="D8851" s="341"/>
      <c r="F8851" s="343"/>
      <c r="G8851" s="343"/>
      <c r="H8851" s="343"/>
      <c r="I8851" s="343"/>
      <c r="J8851" s="343"/>
      <c r="K8851" s="343"/>
      <c r="L8851" s="343"/>
    </row>
    <row r="8852" spans="4:12" x14ac:dyDescent="0.2">
      <c r="D8852" s="341"/>
      <c r="F8852" s="343"/>
      <c r="G8852" s="343"/>
      <c r="H8852" s="343"/>
      <c r="I8852" s="343"/>
      <c r="J8852" s="343"/>
      <c r="K8852" s="343"/>
      <c r="L8852" s="343"/>
    </row>
    <row r="8853" spans="4:12" x14ac:dyDescent="0.2">
      <c r="D8853" s="341"/>
      <c r="F8853" s="343"/>
      <c r="G8853" s="343"/>
      <c r="H8853" s="343"/>
      <c r="I8853" s="343"/>
      <c r="J8853" s="343"/>
      <c r="K8853" s="343"/>
      <c r="L8853" s="343"/>
    </row>
    <row r="8854" spans="4:12" x14ac:dyDescent="0.2">
      <c r="D8854" s="341"/>
      <c r="F8854" s="343"/>
      <c r="G8854" s="343"/>
      <c r="H8854" s="343"/>
      <c r="I8854" s="343"/>
      <c r="J8854" s="343"/>
      <c r="K8854" s="343"/>
      <c r="L8854" s="343"/>
    </row>
    <row r="8855" spans="4:12" x14ac:dyDescent="0.2">
      <c r="D8855" s="341"/>
      <c r="F8855" s="343"/>
      <c r="G8855" s="343"/>
      <c r="H8855" s="343"/>
      <c r="I8855" s="343"/>
      <c r="J8855" s="343"/>
      <c r="K8855" s="343"/>
      <c r="L8855" s="343"/>
    </row>
    <row r="8856" spans="4:12" x14ac:dyDescent="0.2">
      <c r="D8856" s="341"/>
      <c r="F8856" s="343"/>
      <c r="G8856" s="343"/>
      <c r="H8856" s="343"/>
      <c r="I8856" s="343"/>
      <c r="J8856" s="343"/>
      <c r="K8856" s="343"/>
      <c r="L8856" s="343"/>
    </row>
    <row r="8857" spans="4:12" x14ac:dyDescent="0.2">
      <c r="D8857" s="341"/>
      <c r="F8857" s="343"/>
      <c r="G8857" s="343"/>
      <c r="H8857" s="343"/>
      <c r="I8857" s="343"/>
      <c r="J8857" s="343"/>
      <c r="K8857" s="343"/>
      <c r="L8857" s="343"/>
    </row>
    <row r="8858" spans="4:12" x14ac:dyDescent="0.2">
      <c r="D8858" s="341"/>
      <c r="F8858" s="343"/>
      <c r="G8858" s="343"/>
      <c r="H8858" s="343"/>
      <c r="I8858" s="343"/>
      <c r="J8858" s="343"/>
      <c r="K8858" s="343"/>
      <c r="L8858" s="343"/>
    </row>
    <row r="8859" spans="4:12" x14ac:dyDescent="0.2">
      <c r="D8859" s="341"/>
      <c r="F8859" s="343"/>
      <c r="G8859" s="343"/>
      <c r="H8859" s="343"/>
      <c r="I8859" s="343"/>
      <c r="J8859" s="343"/>
      <c r="K8859" s="343"/>
      <c r="L8859" s="343"/>
    </row>
    <row r="8860" spans="4:12" x14ac:dyDescent="0.2">
      <c r="D8860" s="341"/>
      <c r="F8860" s="343"/>
      <c r="G8860" s="343"/>
      <c r="H8860" s="343"/>
      <c r="I8860" s="343"/>
      <c r="J8860" s="343"/>
      <c r="K8860" s="343"/>
      <c r="L8860" s="343"/>
    </row>
    <row r="8861" spans="4:12" x14ac:dyDescent="0.2">
      <c r="D8861" s="341"/>
      <c r="F8861" s="343"/>
      <c r="G8861" s="343"/>
      <c r="H8861" s="343"/>
      <c r="I8861" s="343"/>
      <c r="J8861" s="343"/>
      <c r="K8861" s="343"/>
      <c r="L8861" s="343"/>
    </row>
    <row r="8862" spans="4:12" x14ac:dyDescent="0.2">
      <c r="D8862" s="341"/>
      <c r="F8862" s="343"/>
      <c r="G8862" s="343"/>
      <c r="H8862" s="343"/>
      <c r="I8862" s="343"/>
      <c r="J8862" s="343"/>
      <c r="K8862" s="343"/>
      <c r="L8862" s="343"/>
    </row>
    <row r="8863" spans="4:12" x14ac:dyDescent="0.2">
      <c r="D8863" s="341"/>
      <c r="F8863" s="343"/>
      <c r="G8863" s="343"/>
      <c r="H8863" s="343"/>
      <c r="I8863" s="343"/>
      <c r="J8863" s="343"/>
      <c r="K8863" s="343"/>
      <c r="L8863" s="343"/>
    </row>
    <row r="8864" spans="4:12" x14ac:dyDescent="0.2">
      <c r="D8864" s="341"/>
      <c r="F8864" s="343"/>
      <c r="G8864" s="343"/>
      <c r="H8864" s="343"/>
      <c r="I8864" s="343"/>
      <c r="J8864" s="343"/>
      <c r="K8864" s="343"/>
      <c r="L8864" s="343"/>
    </row>
    <row r="8865" spans="4:12" x14ac:dyDescent="0.2">
      <c r="D8865" s="341"/>
      <c r="F8865" s="343"/>
      <c r="G8865" s="343"/>
      <c r="H8865" s="343"/>
      <c r="I8865" s="343"/>
      <c r="J8865" s="343"/>
      <c r="K8865" s="343"/>
      <c r="L8865" s="343"/>
    </row>
    <row r="8866" spans="4:12" x14ac:dyDescent="0.2">
      <c r="D8866" s="341"/>
      <c r="F8866" s="343"/>
      <c r="G8866" s="343"/>
      <c r="H8866" s="343"/>
      <c r="I8866" s="343"/>
      <c r="J8866" s="343"/>
      <c r="K8866" s="343"/>
      <c r="L8866" s="343"/>
    </row>
    <row r="8867" spans="4:12" x14ac:dyDescent="0.2">
      <c r="D8867" s="341"/>
      <c r="F8867" s="343"/>
      <c r="G8867" s="343"/>
      <c r="H8867" s="343"/>
      <c r="I8867" s="343"/>
      <c r="J8867" s="343"/>
      <c r="K8867" s="343"/>
      <c r="L8867" s="343"/>
    </row>
    <row r="8868" spans="4:12" x14ac:dyDescent="0.2">
      <c r="D8868" s="341"/>
      <c r="F8868" s="343"/>
      <c r="G8868" s="343"/>
      <c r="H8868" s="343"/>
      <c r="I8868" s="343"/>
      <c r="J8868" s="343"/>
      <c r="K8868" s="343"/>
      <c r="L8868" s="343"/>
    </row>
    <row r="8869" spans="4:12" x14ac:dyDescent="0.2">
      <c r="D8869" s="341"/>
      <c r="F8869" s="343"/>
      <c r="G8869" s="343"/>
      <c r="H8869" s="343"/>
      <c r="I8869" s="343"/>
      <c r="J8869" s="343"/>
      <c r="K8869" s="343"/>
      <c r="L8869" s="343"/>
    </row>
    <row r="8870" spans="4:12" x14ac:dyDescent="0.2">
      <c r="D8870" s="341"/>
      <c r="F8870" s="343"/>
      <c r="G8870" s="343"/>
      <c r="H8870" s="343"/>
      <c r="I8870" s="343"/>
      <c r="J8870" s="343"/>
      <c r="K8870" s="343"/>
      <c r="L8870" s="343"/>
    </row>
    <row r="8871" spans="4:12" x14ac:dyDescent="0.2">
      <c r="D8871" s="341"/>
      <c r="F8871" s="343"/>
      <c r="G8871" s="343"/>
      <c r="H8871" s="343"/>
      <c r="I8871" s="343"/>
      <c r="J8871" s="343"/>
      <c r="K8871" s="343"/>
      <c r="L8871" s="343"/>
    </row>
    <row r="8872" spans="4:12" x14ac:dyDescent="0.2">
      <c r="D8872" s="341"/>
      <c r="F8872" s="343"/>
      <c r="G8872" s="343"/>
      <c r="H8872" s="343"/>
      <c r="I8872" s="343"/>
      <c r="J8872" s="343"/>
      <c r="K8872" s="343"/>
      <c r="L8872" s="343"/>
    </row>
    <row r="8873" spans="4:12" x14ac:dyDescent="0.2">
      <c r="D8873" s="341"/>
      <c r="F8873" s="343"/>
      <c r="G8873" s="343"/>
      <c r="H8873" s="343"/>
      <c r="I8873" s="343"/>
      <c r="J8873" s="343"/>
      <c r="K8873" s="343"/>
      <c r="L8873" s="343"/>
    </row>
    <row r="8874" spans="4:12" x14ac:dyDescent="0.2">
      <c r="D8874" s="341"/>
      <c r="F8874" s="343"/>
      <c r="G8874" s="343"/>
      <c r="H8874" s="343"/>
      <c r="I8874" s="343"/>
      <c r="J8874" s="343"/>
      <c r="K8874" s="343"/>
      <c r="L8874" s="343"/>
    </row>
    <row r="8875" spans="4:12" x14ac:dyDescent="0.2">
      <c r="D8875" s="341"/>
      <c r="F8875" s="343"/>
      <c r="G8875" s="343"/>
      <c r="H8875" s="343"/>
      <c r="I8875" s="343"/>
      <c r="J8875" s="343"/>
      <c r="K8875" s="343"/>
      <c r="L8875" s="343"/>
    </row>
    <row r="8876" spans="4:12" x14ac:dyDescent="0.2">
      <c r="D8876" s="341"/>
      <c r="F8876" s="343"/>
      <c r="G8876" s="343"/>
      <c r="H8876" s="343"/>
      <c r="I8876" s="343"/>
      <c r="J8876" s="343"/>
      <c r="K8876" s="343"/>
      <c r="L8876" s="343"/>
    </row>
    <row r="8877" spans="4:12" x14ac:dyDescent="0.2">
      <c r="D8877" s="341"/>
      <c r="F8877" s="343"/>
      <c r="G8877" s="343"/>
      <c r="H8877" s="343"/>
      <c r="I8877" s="343"/>
      <c r="J8877" s="343"/>
      <c r="K8877" s="343"/>
      <c r="L8877" s="343"/>
    </row>
    <row r="8878" spans="4:12" x14ac:dyDescent="0.2">
      <c r="D8878" s="341"/>
      <c r="F8878" s="343"/>
      <c r="G8878" s="343"/>
      <c r="H8878" s="343"/>
      <c r="I8878" s="343"/>
      <c r="J8878" s="343"/>
      <c r="K8878" s="343"/>
      <c r="L8878" s="343"/>
    </row>
    <row r="8879" spans="4:12" x14ac:dyDescent="0.2">
      <c r="D8879" s="341"/>
      <c r="F8879" s="343"/>
      <c r="G8879" s="343"/>
      <c r="H8879" s="343"/>
      <c r="I8879" s="343"/>
      <c r="J8879" s="343"/>
      <c r="K8879" s="343"/>
      <c r="L8879" s="343"/>
    </row>
    <row r="8880" spans="4:12" x14ac:dyDescent="0.2">
      <c r="D8880" s="341"/>
      <c r="F8880" s="343"/>
      <c r="G8880" s="343"/>
      <c r="H8880" s="343"/>
      <c r="I8880" s="343"/>
      <c r="J8880" s="343"/>
      <c r="K8880" s="343"/>
      <c r="L8880" s="343"/>
    </row>
    <row r="8881" spans="4:12" x14ac:dyDescent="0.2">
      <c r="D8881" s="341"/>
      <c r="F8881" s="343"/>
      <c r="G8881" s="343"/>
      <c r="H8881" s="343"/>
      <c r="I8881" s="343"/>
      <c r="J8881" s="343"/>
      <c r="K8881" s="343"/>
      <c r="L8881" s="343"/>
    </row>
    <row r="8882" spans="4:12" x14ac:dyDescent="0.2">
      <c r="D8882" s="341"/>
      <c r="F8882" s="343"/>
      <c r="G8882" s="343"/>
      <c r="H8882" s="343"/>
      <c r="I8882" s="343"/>
      <c r="J8882" s="343"/>
      <c r="K8882" s="343"/>
      <c r="L8882" s="343"/>
    </row>
    <row r="8883" spans="4:12" x14ac:dyDescent="0.2">
      <c r="D8883" s="341"/>
      <c r="F8883" s="343"/>
      <c r="G8883" s="343"/>
      <c r="H8883" s="343"/>
      <c r="I8883" s="343"/>
      <c r="J8883" s="343"/>
      <c r="K8883" s="343"/>
      <c r="L8883" s="343"/>
    </row>
    <row r="8884" spans="4:12" x14ac:dyDescent="0.2">
      <c r="D8884" s="341"/>
      <c r="F8884" s="343"/>
      <c r="G8884" s="343"/>
      <c r="H8884" s="343"/>
      <c r="I8884" s="343"/>
      <c r="J8884" s="343"/>
      <c r="K8884" s="343"/>
      <c r="L8884" s="343"/>
    </row>
    <row r="8885" spans="4:12" x14ac:dyDescent="0.2">
      <c r="D8885" s="341"/>
      <c r="F8885" s="343"/>
      <c r="G8885" s="343"/>
      <c r="H8885" s="343"/>
      <c r="I8885" s="343"/>
      <c r="J8885" s="343"/>
      <c r="K8885" s="343"/>
      <c r="L8885" s="343"/>
    </row>
    <row r="8886" spans="4:12" x14ac:dyDescent="0.2">
      <c r="D8886" s="341"/>
      <c r="F8886" s="343"/>
      <c r="G8886" s="343"/>
      <c r="H8886" s="343"/>
      <c r="I8886" s="343"/>
      <c r="J8886" s="343"/>
      <c r="K8886" s="343"/>
      <c r="L8886" s="343"/>
    </row>
    <row r="8887" spans="4:12" x14ac:dyDescent="0.2">
      <c r="D8887" s="341"/>
      <c r="F8887" s="343"/>
      <c r="G8887" s="343"/>
      <c r="H8887" s="343"/>
      <c r="I8887" s="343"/>
      <c r="J8887" s="343"/>
      <c r="K8887" s="343"/>
      <c r="L8887" s="343"/>
    </row>
    <row r="8888" spans="4:12" x14ac:dyDescent="0.2">
      <c r="D8888" s="341"/>
      <c r="F8888" s="343"/>
      <c r="G8888" s="343"/>
      <c r="H8888" s="343"/>
      <c r="I8888" s="343"/>
      <c r="J8888" s="343"/>
      <c r="K8888" s="343"/>
      <c r="L8888" s="343"/>
    </row>
    <row r="8889" spans="4:12" x14ac:dyDescent="0.2">
      <c r="D8889" s="341"/>
      <c r="F8889" s="343"/>
      <c r="G8889" s="343"/>
      <c r="H8889" s="343"/>
      <c r="I8889" s="343"/>
      <c r="J8889" s="343"/>
      <c r="K8889" s="343"/>
      <c r="L8889" s="343"/>
    </row>
    <row r="8890" spans="4:12" x14ac:dyDescent="0.2">
      <c r="D8890" s="341"/>
      <c r="F8890" s="343"/>
      <c r="G8890" s="343"/>
      <c r="H8890" s="343"/>
      <c r="I8890" s="343"/>
      <c r="J8890" s="343"/>
      <c r="K8890" s="343"/>
      <c r="L8890" s="343"/>
    </row>
    <row r="8891" spans="4:12" x14ac:dyDescent="0.2">
      <c r="D8891" s="341"/>
      <c r="F8891" s="343"/>
      <c r="G8891" s="343"/>
      <c r="H8891" s="343"/>
      <c r="I8891" s="343"/>
      <c r="J8891" s="343"/>
      <c r="K8891" s="343"/>
      <c r="L8891" s="343"/>
    </row>
    <row r="8892" spans="4:12" x14ac:dyDescent="0.2">
      <c r="D8892" s="341"/>
      <c r="F8892" s="343"/>
      <c r="G8892" s="343"/>
      <c r="H8892" s="343"/>
      <c r="I8892" s="343"/>
      <c r="J8892" s="343"/>
      <c r="K8892" s="343"/>
      <c r="L8892" s="343"/>
    </row>
    <row r="8893" spans="4:12" x14ac:dyDescent="0.2">
      <c r="D8893" s="341"/>
      <c r="F8893" s="343"/>
      <c r="G8893" s="343"/>
      <c r="H8893" s="343"/>
      <c r="I8893" s="343"/>
      <c r="J8893" s="343"/>
      <c r="K8893" s="343"/>
      <c r="L8893" s="343"/>
    </row>
    <row r="8894" spans="4:12" x14ac:dyDescent="0.2">
      <c r="D8894" s="341"/>
      <c r="F8894" s="343"/>
      <c r="G8894" s="343"/>
      <c r="H8894" s="343"/>
      <c r="I8894" s="343"/>
      <c r="J8894" s="343"/>
      <c r="K8894" s="343"/>
      <c r="L8894" s="343"/>
    </row>
    <row r="8895" spans="4:12" x14ac:dyDescent="0.2">
      <c r="D8895" s="341"/>
      <c r="F8895" s="343"/>
      <c r="G8895" s="343"/>
      <c r="H8895" s="343"/>
      <c r="I8895" s="343"/>
      <c r="J8895" s="343"/>
      <c r="K8895" s="343"/>
      <c r="L8895" s="343"/>
    </row>
    <row r="8896" spans="4:12" x14ac:dyDescent="0.2">
      <c r="D8896" s="341"/>
      <c r="F8896" s="343"/>
      <c r="G8896" s="343"/>
      <c r="H8896" s="343"/>
      <c r="I8896" s="343"/>
      <c r="J8896" s="343"/>
      <c r="K8896" s="343"/>
      <c r="L8896" s="343"/>
    </row>
    <row r="8897" spans="4:12" x14ac:dyDescent="0.2">
      <c r="D8897" s="341"/>
      <c r="F8897" s="343"/>
      <c r="G8897" s="343"/>
      <c r="H8897" s="343"/>
      <c r="I8897" s="343"/>
      <c r="J8897" s="343"/>
      <c r="K8897" s="343"/>
      <c r="L8897" s="343"/>
    </row>
    <row r="8898" spans="4:12" x14ac:dyDescent="0.2">
      <c r="D8898" s="341"/>
      <c r="F8898" s="343"/>
      <c r="G8898" s="343"/>
      <c r="H8898" s="343"/>
      <c r="I8898" s="343"/>
      <c r="J8898" s="343"/>
      <c r="K8898" s="343"/>
      <c r="L8898" s="343"/>
    </row>
    <row r="8899" spans="4:12" x14ac:dyDescent="0.2">
      <c r="D8899" s="341"/>
      <c r="F8899" s="343"/>
      <c r="G8899" s="343"/>
      <c r="H8899" s="343"/>
      <c r="I8899" s="343"/>
      <c r="J8899" s="343"/>
      <c r="K8899" s="343"/>
      <c r="L8899" s="343"/>
    </row>
    <row r="8900" spans="4:12" x14ac:dyDescent="0.2">
      <c r="D8900" s="341"/>
      <c r="F8900" s="343"/>
      <c r="G8900" s="343"/>
      <c r="H8900" s="343"/>
      <c r="I8900" s="343"/>
      <c r="J8900" s="343"/>
      <c r="K8900" s="343"/>
      <c r="L8900" s="343"/>
    </row>
    <row r="8901" spans="4:12" x14ac:dyDescent="0.2">
      <c r="D8901" s="341"/>
      <c r="F8901" s="343"/>
      <c r="G8901" s="343"/>
      <c r="H8901" s="343"/>
      <c r="I8901" s="343"/>
      <c r="J8901" s="343"/>
      <c r="K8901" s="343"/>
      <c r="L8901" s="343"/>
    </row>
    <row r="8902" spans="4:12" x14ac:dyDescent="0.2">
      <c r="D8902" s="341"/>
      <c r="F8902" s="343"/>
      <c r="G8902" s="343"/>
      <c r="H8902" s="343"/>
      <c r="I8902" s="343"/>
      <c r="J8902" s="343"/>
      <c r="K8902" s="343"/>
      <c r="L8902" s="343"/>
    </row>
    <row r="8903" spans="4:12" x14ac:dyDescent="0.2">
      <c r="D8903" s="341"/>
      <c r="F8903" s="343"/>
      <c r="G8903" s="343"/>
      <c r="H8903" s="343"/>
      <c r="I8903" s="343"/>
      <c r="J8903" s="343"/>
      <c r="K8903" s="343"/>
      <c r="L8903" s="343"/>
    </row>
    <row r="8904" spans="4:12" x14ac:dyDescent="0.2">
      <c r="D8904" s="341"/>
      <c r="F8904" s="343"/>
      <c r="G8904" s="343"/>
      <c r="H8904" s="343"/>
      <c r="I8904" s="343"/>
      <c r="J8904" s="343"/>
      <c r="K8904" s="343"/>
      <c r="L8904" s="343"/>
    </row>
    <row r="8905" spans="4:12" x14ac:dyDescent="0.2">
      <c r="D8905" s="341"/>
      <c r="F8905" s="343"/>
      <c r="G8905" s="343"/>
      <c r="H8905" s="343"/>
      <c r="I8905" s="343"/>
      <c r="J8905" s="343"/>
      <c r="K8905" s="343"/>
      <c r="L8905" s="343"/>
    </row>
    <row r="8906" spans="4:12" x14ac:dyDescent="0.2">
      <c r="D8906" s="341"/>
      <c r="F8906" s="343"/>
      <c r="G8906" s="343"/>
      <c r="H8906" s="343"/>
      <c r="I8906" s="343"/>
      <c r="J8906" s="343"/>
      <c r="K8906" s="343"/>
      <c r="L8906" s="343"/>
    </row>
    <row r="8907" spans="4:12" x14ac:dyDescent="0.2">
      <c r="D8907" s="341"/>
      <c r="F8907" s="343"/>
      <c r="G8907" s="343"/>
      <c r="H8907" s="343"/>
      <c r="I8907" s="343"/>
      <c r="J8907" s="343"/>
      <c r="K8907" s="343"/>
      <c r="L8907" s="343"/>
    </row>
    <row r="8908" spans="4:12" x14ac:dyDescent="0.2">
      <c r="D8908" s="341"/>
      <c r="F8908" s="343"/>
      <c r="G8908" s="343"/>
      <c r="H8908" s="343"/>
      <c r="I8908" s="343"/>
      <c r="J8908" s="343"/>
      <c r="K8908" s="343"/>
      <c r="L8908" s="343"/>
    </row>
    <row r="8909" spans="4:12" x14ac:dyDescent="0.2">
      <c r="D8909" s="341"/>
      <c r="F8909" s="343"/>
      <c r="G8909" s="343"/>
      <c r="H8909" s="343"/>
      <c r="I8909" s="343"/>
      <c r="J8909" s="343"/>
      <c r="K8909" s="343"/>
      <c r="L8909" s="343"/>
    </row>
    <row r="8910" spans="4:12" x14ac:dyDescent="0.2">
      <c r="D8910" s="341"/>
      <c r="F8910" s="343"/>
      <c r="G8910" s="343"/>
      <c r="H8910" s="343"/>
      <c r="I8910" s="343"/>
      <c r="J8910" s="343"/>
      <c r="K8910" s="343"/>
      <c r="L8910" s="343"/>
    </row>
    <row r="8911" spans="4:12" x14ac:dyDescent="0.2">
      <c r="D8911" s="341"/>
      <c r="F8911" s="343"/>
      <c r="G8911" s="343"/>
      <c r="H8911" s="343"/>
      <c r="I8911" s="343"/>
      <c r="J8911" s="343"/>
      <c r="K8911" s="343"/>
      <c r="L8911" s="343"/>
    </row>
    <row r="8912" spans="4:12" x14ac:dyDescent="0.2">
      <c r="D8912" s="341"/>
      <c r="F8912" s="343"/>
      <c r="G8912" s="343"/>
      <c r="H8912" s="343"/>
      <c r="I8912" s="343"/>
      <c r="J8912" s="343"/>
      <c r="K8912" s="343"/>
      <c r="L8912" s="343"/>
    </row>
    <row r="8913" spans="4:12" x14ac:dyDescent="0.2">
      <c r="D8913" s="341"/>
      <c r="F8913" s="343"/>
      <c r="G8913" s="343"/>
      <c r="H8913" s="343"/>
      <c r="I8913" s="343"/>
      <c r="J8913" s="343"/>
      <c r="K8913" s="343"/>
      <c r="L8913" s="343"/>
    </row>
    <row r="8914" spans="4:12" x14ac:dyDescent="0.2">
      <c r="D8914" s="341"/>
      <c r="F8914" s="343"/>
      <c r="G8914" s="343"/>
      <c r="H8914" s="343"/>
      <c r="I8914" s="343"/>
      <c r="J8914" s="343"/>
      <c r="K8914" s="343"/>
      <c r="L8914" s="343"/>
    </row>
    <row r="8915" spans="4:12" x14ac:dyDescent="0.2">
      <c r="D8915" s="341"/>
      <c r="F8915" s="343"/>
      <c r="G8915" s="343"/>
      <c r="H8915" s="343"/>
      <c r="I8915" s="343"/>
      <c r="J8915" s="343"/>
      <c r="K8915" s="343"/>
      <c r="L8915" s="343"/>
    </row>
    <row r="8916" spans="4:12" x14ac:dyDescent="0.2">
      <c r="D8916" s="341"/>
      <c r="F8916" s="343"/>
      <c r="G8916" s="343"/>
      <c r="H8916" s="343"/>
      <c r="I8916" s="343"/>
      <c r="J8916" s="343"/>
      <c r="K8916" s="343"/>
      <c r="L8916" s="343"/>
    </row>
    <row r="8917" spans="4:12" x14ac:dyDescent="0.2">
      <c r="D8917" s="341"/>
      <c r="F8917" s="343"/>
      <c r="G8917" s="343"/>
      <c r="H8917" s="343"/>
      <c r="I8917" s="343"/>
      <c r="J8917" s="343"/>
      <c r="K8917" s="343"/>
      <c r="L8917" s="343"/>
    </row>
    <row r="8918" spans="4:12" x14ac:dyDescent="0.2">
      <c r="D8918" s="341"/>
      <c r="F8918" s="343"/>
      <c r="G8918" s="343"/>
      <c r="H8918" s="343"/>
      <c r="I8918" s="343"/>
      <c r="J8918" s="343"/>
      <c r="K8918" s="343"/>
      <c r="L8918" s="343"/>
    </row>
    <row r="8919" spans="4:12" x14ac:dyDescent="0.2">
      <c r="D8919" s="341"/>
      <c r="F8919" s="343"/>
      <c r="G8919" s="343"/>
      <c r="H8919" s="343"/>
      <c r="I8919" s="343"/>
      <c r="J8919" s="343"/>
      <c r="K8919" s="343"/>
      <c r="L8919" s="343"/>
    </row>
    <row r="8920" spans="4:12" x14ac:dyDescent="0.2">
      <c r="D8920" s="341"/>
      <c r="F8920" s="343"/>
      <c r="G8920" s="343"/>
      <c r="H8920" s="343"/>
      <c r="I8920" s="343"/>
      <c r="J8920" s="343"/>
      <c r="K8920" s="343"/>
      <c r="L8920" s="343"/>
    </row>
    <row r="8921" spans="4:12" x14ac:dyDescent="0.2">
      <c r="D8921" s="341"/>
      <c r="F8921" s="343"/>
      <c r="G8921" s="343"/>
      <c r="H8921" s="343"/>
      <c r="I8921" s="343"/>
      <c r="J8921" s="343"/>
      <c r="K8921" s="343"/>
      <c r="L8921" s="343"/>
    </row>
    <row r="8922" spans="4:12" x14ac:dyDescent="0.2">
      <c r="D8922" s="341"/>
      <c r="F8922" s="343"/>
      <c r="G8922" s="343"/>
      <c r="H8922" s="343"/>
      <c r="I8922" s="343"/>
      <c r="J8922" s="343"/>
      <c r="K8922" s="343"/>
      <c r="L8922" s="343"/>
    </row>
    <row r="8923" spans="4:12" x14ac:dyDescent="0.2">
      <c r="D8923" s="341"/>
      <c r="F8923" s="343"/>
      <c r="G8923" s="343"/>
      <c r="H8923" s="343"/>
      <c r="I8923" s="343"/>
      <c r="J8923" s="343"/>
      <c r="K8923" s="343"/>
      <c r="L8923" s="343"/>
    </row>
    <row r="8924" spans="4:12" x14ac:dyDescent="0.2">
      <c r="D8924" s="341"/>
      <c r="F8924" s="343"/>
      <c r="G8924" s="343"/>
      <c r="H8924" s="343"/>
      <c r="I8924" s="343"/>
      <c r="J8924" s="343"/>
      <c r="K8924" s="343"/>
      <c r="L8924" s="343"/>
    </row>
    <row r="8925" spans="4:12" x14ac:dyDescent="0.2">
      <c r="D8925" s="341"/>
      <c r="F8925" s="343"/>
      <c r="G8925" s="343"/>
      <c r="H8925" s="343"/>
      <c r="I8925" s="343"/>
      <c r="J8925" s="343"/>
      <c r="K8925" s="343"/>
      <c r="L8925" s="343"/>
    </row>
    <row r="8926" spans="4:12" x14ac:dyDescent="0.2">
      <c r="D8926" s="341"/>
      <c r="F8926" s="343"/>
      <c r="G8926" s="343"/>
      <c r="H8926" s="343"/>
      <c r="I8926" s="343"/>
      <c r="J8926" s="343"/>
      <c r="K8926" s="343"/>
      <c r="L8926" s="343"/>
    </row>
    <row r="8927" spans="4:12" x14ac:dyDescent="0.2">
      <c r="D8927" s="341"/>
      <c r="F8927" s="343"/>
      <c r="G8927" s="343"/>
      <c r="H8927" s="343"/>
      <c r="I8927" s="343"/>
      <c r="J8927" s="343"/>
      <c r="K8927" s="343"/>
      <c r="L8927" s="343"/>
    </row>
    <row r="8928" spans="4:12" x14ac:dyDescent="0.2">
      <c r="D8928" s="341"/>
      <c r="F8928" s="343"/>
      <c r="G8928" s="343"/>
      <c r="H8928" s="343"/>
      <c r="I8928" s="343"/>
      <c r="J8928" s="343"/>
      <c r="K8928" s="343"/>
      <c r="L8928" s="343"/>
    </row>
    <row r="8929" spans="4:12" x14ac:dyDescent="0.2">
      <c r="D8929" s="341"/>
      <c r="F8929" s="343"/>
      <c r="G8929" s="343"/>
      <c r="H8929" s="343"/>
      <c r="I8929" s="343"/>
      <c r="J8929" s="343"/>
      <c r="K8929" s="343"/>
      <c r="L8929" s="343"/>
    </row>
    <row r="8930" spans="4:12" x14ac:dyDescent="0.2">
      <c r="D8930" s="341"/>
      <c r="F8930" s="343"/>
      <c r="G8930" s="343"/>
      <c r="H8930" s="343"/>
      <c r="I8930" s="343"/>
      <c r="J8930" s="343"/>
      <c r="K8930" s="343"/>
      <c r="L8930" s="343"/>
    </row>
    <row r="8931" spans="4:12" x14ac:dyDescent="0.2">
      <c r="D8931" s="341"/>
      <c r="F8931" s="343"/>
      <c r="G8931" s="343"/>
      <c r="H8931" s="343"/>
      <c r="I8931" s="343"/>
      <c r="J8931" s="343"/>
      <c r="K8931" s="343"/>
      <c r="L8931" s="343"/>
    </row>
    <row r="8932" spans="4:12" x14ac:dyDescent="0.2">
      <c r="D8932" s="341"/>
      <c r="F8932" s="343"/>
      <c r="G8932" s="343"/>
      <c r="H8932" s="343"/>
      <c r="I8932" s="343"/>
      <c r="J8932" s="343"/>
      <c r="K8932" s="343"/>
      <c r="L8932" s="343"/>
    </row>
    <row r="8933" spans="4:12" x14ac:dyDescent="0.2">
      <c r="D8933" s="341"/>
      <c r="F8933" s="343"/>
      <c r="G8933" s="343"/>
      <c r="H8933" s="343"/>
      <c r="I8933" s="343"/>
      <c r="J8933" s="343"/>
      <c r="K8933" s="343"/>
      <c r="L8933" s="343"/>
    </row>
    <row r="8934" spans="4:12" x14ac:dyDescent="0.2">
      <c r="D8934" s="341"/>
      <c r="F8934" s="343"/>
      <c r="G8934" s="343"/>
      <c r="H8934" s="343"/>
      <c r="I8934" s="343"/>
      <c r="J8934" s="343"/>
      <c r="K8934" s="343"/>
      <c r="L8934" s="343"/>
    </row>
    <row r="8935" spans="4:12" x14ac:dyDescent="0.2">
      <c r="D8935" s="341"/>
      <c r="F8935" s="343"/>
      <c r="G8935" s="343"/>
      <c r="H8935" s="343"/>
      <c r="I8935" s="343"/>
      <c r="J8935" s="343"/>
      <c r="K8935" s="343"/>
      <c r="L8935" s="343"/>
    </row>
    <row r="8936" spans="4:12" x14ac:dyDescent="0.2">
      <c r="D8936" s="341"/>
      <c r="F8936" s="343"/>
      <c r="G8936" s="343"/>
      <c r="H8936" s="343"/>
      <c r="I8936" s="343"/>
      <c r="J8936" s="343"/>
      <c r="K8936" s="343"/>
      <c r="L8936" s="343"/>
    </row>
    <row r="8937" spans="4:12" x14ac:dyDescent="0.2">
      <c r="D8937" s="341"/>
      <c r="F8937" s="343"/>
      <c r="G8937" s="343"/>
      <c r="H8937" s="343"/>
      <c r="I8937" s="343"/>
      <c r="J8937" s="343"/>
      <c r="K8937" s="343"/>
      <c r="L8937" s="343"/>
    </row>
    <row r="8938" spans="4:12" x14ac:dyDescent="0.2">
      <c r="D8938" s="341"/>
      <c r="F8938" s="343"/>
      <c r="G8938" s="343"/>
      <c r="H8938" s="343"/>
      <c r="I8938" s="343"/>
      <c r="J8938" s="343"/>
      <c r="K8938" s="343"/>
      <c r="L8938" s="343"/>
    </row>
    <row r="8939" spans="4:12" x14ac:dyDescent="0.2">
      <c r="D8939" s="341"/>
      <c r="F8939" s="343"/>
      <c r="G8939" s="343"/>
      <c r="H8939" s="343"/>
      <c r="I8939" s="343"/>
      <c r="J8939" s="343"/>
      <c r="K8939" s="343"/>
      <c r="L8939" s="343"/>
    </row>
    <row r="8940" spans="4:12" x14ac:dyDescent="0.2">
      <c r="D8940" s="341"/>
      <c r="F8940" s="343"/>
      <c r="G8940" s="343"/>
      <c r="H8940" s="343"/>
      <c r="I8940" s="343"/>
      <c r="J8940" s="343"/>
      <c r="K8940" s="343"/>
      <c r="L8940" s="343"/>
    </row>
    <row r="8941" spans="4:12" x14ac:dyDescent="0.2">
      <c r="D8941" s="341"/>
      <c r="F8941" s="343"/>
      <c r="G8941" s="343"/>
      <c r="H8941" s="343"/>
      <c r="I8941" s="343"/>
      <c r="J8941" s="343"/>
      <c r="K8941" s="343"/>
      <c r="L8941" s="343"/>
    </row>
    <row r="8942" spans="4:12" x14ac:dyDescent="0.2">
      <c r="D8942" s="341"/>
      <c r="F8942" s="343"/>
      <c r="G8942" s="343"/>
      <c r="H8942" s="343"/>
      <c r="I8942" s="343"/>
      <c r="J8942" s="343"/>
      <c r="K8942" s="343"/>
      <c r="L8942" s="343"/>
    </row>
    <row r="8943" spans="4:12" x14ac:dyDescent="0.2">
      <c r="D8943" s="341"/>
      <c r="F8943" s="343"/>
      <c r="G8943" s="343"/>
      <c r="H8943" s="343"/>
      <c r="I8943" s="343"/>
      <c r="J8943" s="343"/>
      <c r="K8943" s="343"/>
      <c r="L8943" s="343"/>
    </row>
    <row r="8944" spans="4:12" x14ac:dyDescent="0.2">
      <c r="D8944" s="341"/>
      <c r="F8944" s="343"/>
      <c r="G8944" s="343"/>
      <c r="H8944" s="343"/>
      <c r="I8944" s="343"/>
      <c r="J8944" s="343"/>
      <c r="K8944" s="343"/>
      <c r="L8944" s="343"/>
    </row>
    <row r="8945" spans="4:12" x14ac:dyDescent="0.2">
      <c r="D8945" s="341"/>
      <c r="F8945" s="343"/>
      <c r="G8945" s="343"/>
      <c r="H8945" s="343"/>
      <c r="I8945" s="343"/>
      <c r="J8945" s="343"/>
      <c r="K8945" s="343"/>
      <c r="L8945" s="343"/>
    </row>
    <row r="8946" spans="4:12" x14ac:dyDescent="0.2">
      <c r="D8946" s="341"/>
      <c r="F8946" s="343"/>
      <c r="G8946" s="343"/>
      <c r="H8946" s="343"/>
      <c r="I8946" s="343"/>
      <c r="J8946" s="343"/>
      <c r="K8946" s="343"/>
      <c r="L8946" s="343"/>
    </row>
    <row r="8947" spans="4:12" x14ac:dyDescent="0.2">
      <c r="D8947" s="341"/>
      <c r="F8947" s="343"/>
      <c r="G8947" s="343"/>
      <c r="H8947" s="343"/>
      <c r="I8947" s="343"/>
      <c r="J8947" s="343"/>
      <c r="K8947" s="343"/>
      <c r="L8947" s="343"/>
    </row>
    <row r="8948" spans="4:12" x14ac:dyDescent="0.2">
      <c r="D8948" s="341"/>
      <c r="F8948" s="343"/>
      <c r="G8948" s="343"/>
      <c r="H8948" s="343"/>
      <c r="I8948" s="343"/>
      <c r="J8948" s="343"/>
      <c r="K8948" s="343"/>
      <c r="L8948" s="343"/>
    </row>
    <row r="8949" spans="4:12" x14ac:dyDescent="0.2">
      <c r="D8949" s="341"/>
      <c r="F8949" s="343"/>
      <c r="G8949" s="343"/>
      <c r="H8949" s="343"/>
      <c r="I8949" s="343"/>
      <c r="J8949" s="343"/>
      <c r="K8949" s="343"/>
      <c r="L8949" s="343"/>
    </row>
    <row r="8950" spans="4:12" x14ac:dyDescent="0.2">
      <c r="D8950" s="341"/>
      <c r="F8950" s="343"/>
      <c r="G8950" s="343"/>
      <c r="H8950" s="343"/>
      <c r="I8950" s="343"/>
      <c r="J8950" s="343"/>
      <c r="K8950" s="343"/>
      <c r="L8950" s="343"/>
    </row>
    <row r="8951" spans="4:12" x14ac:dyDescent="0.2">
      <c r="D8951" s="341"/>
      <c r="F8951" s="343"/>
      <c r="G8951" s="343"/>
      <c r="H8951" s="343"/>
      <c r="I8951" s="343"/>
      <c r="J8951" s="343"/>
      <c r="K8951" s="343"/>
      <c r="L8951" s="343"/>
    </row>
    <row r="8952" spans="4:12" x14ac:dyDescent="0.2">
      <c r="D8952" s="341"/>
      <c r="F8952" s="343"/>
      <c r="G8952" s="343"/>
      <c r="H8952" s="343"/>
      <c r="I8952" s="343"/>
      <c r="J8952" s="343"/>
      <c r="K8952" s="343"/>
      <c r="L8952" s="343"/>
    </row>
    <row r="8953" spans="4:12" x14ac:dyDescent="0.2">
      <c r="D8953" s="341"/>
      <c r="F8953" s="343"/>
      <c r="G8953" s="343"/>
      <c r="H8953" s="343"/>
      <c r="I8953" s="343"/>
      <c r="J8953" s="343"/>
      <c r="K8953" s="343"/>
      <c r="L8953" s="343"/>
    </row>
    <row r="8954" spans="4:12" x14ac:dyDescent="0.2">
      <c r="D8954" s="341"/>
      <c r="F8954" s="343"/>
      <c r="G8954" s="343"/>
      <c r="H8954" s="343"/>
      <c r="I8954" s="343"/>
      <c r="J8954" s="343"/>
      <c r="K8954" s="343"/>
      <c r="L8954" s="343"/>
    </row>
    <row r="8955" spans="4:12" x14ac:dyDescent="0.2">
      <c r="D8955" s="341"/>
      <c r="F8955" s="343"/>
      <c r="G8955" s="343"/>
      <c r="H8955" s="343"/>
      <c r="I8955" s="343"/>
      <c r="J8955" s="343"/>
      <c r="K8955" s="343"/>
      <c r="L8955" s="343"/>
    </row>
    <row r="8956" spans="4:12" x14ac:dyDescent="0.2">
      <c r="D8956" s="341"/>
      <c r="F8956" s="343"/>
      <c r="G8956" s="343"/>
      <c r="H8956" s="343"/>
      <c r="I8956" s="343"/>
      <c r="J8956" s="343"/>
      <c r="K8956" s="343"/>
      <c r="L8956" s="343"/>
    </row>
    <row r="8957" spans="4:12" x14ac:dyDescent="0.2">
      <c r="D8957" s="341"/>
      <c r="F8957" s="343"/>
      <c r="G8957" s="343"/>
      <c r="H8957" s="343"/>
      <c r="I8957" s="343"/>
      <c r="J8957" s="343"/>
      <c r="K8957" s="343"/>
      <c r="L8957" s="343"/>
    </row>
    <row r="8958" spans="4:12" x14ac:dyDescent="0.2">
      <c r="D8958" s="341"/>
      <c r="F8958" s="343"/>
      <c r="G8958" s="343"/>
      <c r="H8958" s="343"/>
      <c r="I8958" s="343"/>
      <c r="J8958" s="343"/>
      <c r="K8958" s="343"/>
      <c r="L8958" s="343"/>
    </row>
    <row r="8959" spans="4:12" x14ac:dyDescent="0.2">
      <c r="D8959" s="341"/>
      <c r="F8959" s="343"/>
      <c r="G8959" s="343"/>
      <c r="H8959" s="343"/>
      <c r="I8959" s="343"/>
      <c r="J8959" s="343"/>
      <c r="K8959" s="343"/>
      <c r="L8959" s="343"/>
    </row>
    <row r="8960" spans="4:12" x14ac:dyDescent="0.2">
      <c r="D8960" s="341"/>
      <c r="F8960" s="343"/>
      <c r="G8960" s="343"/>
      <c r="H8960" s="343"/>
      <c r="I8960" s="343"/>
      <c r="J8960" s="343"/>
      <c r="K8960" s="343"/>
      <c r="L8960" s="343"/>
    </row>
    <row r="8961" spans="4:12" x14ac:dyDescent="0.2">
      <c r="D8961" s="341"/>
      <c r="F8961" s="343"/>
      <c r="G8961" s="343"/>
      <c r="H8961" s="343"/>
      <c r="I8961" s="343"/>
      <c r="J8961" s="343"/>
      <c r="K8961" s="343"/>
      <c r="L8961" s="343"/>
    </row>
    <row r="8962" spans="4:12" x14ac:dyDescent="0.2">
      <c r="D8962" s="341"/>
      <c r="F8962" s="343"/>
      <c r="G8962" s="343"/>
      <c r="H8962" s="343"/>
      <c r="I8962" s="343"/>
      <c r="J8962" s="343"/>
      <c r="K8962" s="343"/>
      <c r="L8962" s="343"/>
    </row>
    <row r="8963" spans="4:12" x14ac:dyDescent="0.2">
      <c r="D8963" s="341"/>
      <c r="F8963" s="343"/>
      <c r="G8963" s="343"/>
      <c r="H8963" s="343"/>
      <c r="I8963" s="343"/>
      <c r="J8963" s="343"/>
      <c r="K8963" s="343"/>
      <c r="L8963" s="343"/>
    </row>
    <row r="8964" spans="4:12" x14ac:dyDescent="0.2">
      <c r="D8964" s="341"/>
      <c r="F8964" s="343"/>
      <c r="G8964" s="343"/>
      <c r="H8964" s="343"/>
      <c r="I8964" s="343"/>
      <c r="J8964" s="343"/>
      <c r="K8964" s="343"/>
      <c r="L8964" s="343"/>
    </row>
    <row r="8965" spans="4:12" x14ac:dyDescent="0.2">
      <c r="D8965" s="341"/>
      <c r="F8965" s="343"/>
      <c r="G8965" s="343"/>
      <c r="H8965" s="343"/>
      <c r="I8965" s="343"/>
      <c r="J8965" s="343"/>
      <c r="K8965" s="343"/>
      <c r="L8965" s="343"/>
    </row>
    <row r="8966" spans="4:12" x14ac:dyDescent="0.2">
      <c r="D8966" s="341"/>
      <c r="F8966" s="343"/>
      <c r="G8966" s="343"/>
      <c r="H8966" s="343"/>
      <c r="I8966" s="343"/>
      <c r="J8966" s="343"/>
      <c r="K8966" s="343"/>
      <c r="L8966" s="343"/>
    </row>
    <row r="8967" spans="4:12" x14ac:dyDescent="0.2">
      <c r="D8967" s="341"/>
      <c r="F8967" s="343"/>
      <c r="G8967" s="343"/>
      <c r="H8967" s="343"/>
      <c r="I8967" s="343"/>
      <c r="J8967" s="343"/>
      <c r="K8967" s="343"/>
      <c r="L8967" s="343"/>
    </row>
    <row r="8968" spans="4:12" x14ac:dyDescent="0.2">
      <c r="D8968" s="341"/>
      <c r="F8968" s="343"/>
      <c r="G8968" s="343"/>
      <c r="H8968" s="343"/>
      <c r="I8968" s="343"/>
      <c r="J8968" s="343"/>
      <c r="K8968" s="343"/>
      <c r="L8968" s="343"/>
    </row>
    <row r="8969" spans="4:12" x14ac:dyDescent="0.2">
      <c r="D8969" s="341"/>
      <c r="F8969" s="343"/>
      <c r="G8969" s="343"/>
      <c r="H8969" s="343"/>
      <c r="I8969" s="343"/>
      <c r="J8969" s="343"/>
      <c r="K8969" s="343"/>
      <c r="L8969" s="343"/>
    </row>
    <row r="8970" spans="4:12" x14ac:dyDescent="0.2">
      <c r="D8970" s="341"/>
      <c r="F8970" s="343"/>
      <c r="G8970" s="343"/>
      <c r="H8970" s="343"/>
      <c r="I8970" s="343"/>
      <c r="J8970" s="343"/>
      <c r="K8970" s="343"/>
      <c r="L8970" s="343"/>
    </row>
    <row r="8971" spans="4:12" x14ac:dyDescent="0.2">
      <c r="D8971" s="341"/>
      <c r="F8971" s="343"/>
      <c r="G8971" s="343"/>
      <c r="H8971" s="343"/>
      <c r="I8971" s="343"/>
      <c r="J8971" s="343"/>
      <c r="K8971" s="343"/>
      <c r="L8971" s="343"/>
    </row>
    <row r="8972" spans="4:12" x14ac:dyDescent="0.2">
      <c r="D8972" s="341"/>
      <c r="F8972" s="343"/>
      <c r="G8972" s="343"/>
      <c r="H8972" s="343"/>
      <c r="I8972" s="343"/>
      <c r="J8972" s="343"/>
      <c r="K8972" s="343"/>
      <c r="L8972" s="343"/>
    </row>
    <row r="8973" spans="4:12" x14ac:dyDescent="0.2">
      <c r="D8973" s="341"/>
      <c r="F8973" s="343"/>
      <c r="G8973" s="343"/>
      <c r="H8973" s="343"/>
      <c r="I8973" s="343"/>
      <c r="J8973" s="343"/>
      <c r="K8973" s="343"/>
      <c r="L8973" s="343"/>
    </row>
    <row r="8974" spans="4:12" x14ac:dyDescent="0.2">
      <c r="D8974" s="341"/>
      <c r="F8974" s="343"/>
      <c r="G8974" s="343"/>
      <c r="H8974" s="343"/>
      <c r="I8974" s="343"/>
      <c r="J8974" s="343"/>
      <c r="K8974" s="343"/>
      <c r="L8974" s="343"/>
    </row>
    <row r="8975" spans="4:12" x14ac:dyDescent="0.2">
      <c r="D8975" s="341"/>
      <c r="F8975" s="343"/>
      <c r="G8975" s="343"/>
      <c r="H8975" s="343"/>
      <c r="I8975" s="343"/>
      <c r="J8975" s="343"/>
      <c r="K8975" s="343"/>
      <c r="L8975" s="343"/>
    </row>
    <row r="8976" spans="4:12" x14ac:dyDescent="0.2">
      <c r="D8976" s="341"/>
      <c r="F8976" s="343"/>
      <c r="G8976" s="343"/>
      <c r="H8976" s="343"/>
      <c r="I8976" s="343"/>
      <c r="J8976" s="343"/>
      <c r="K8976" s="343"/>
      <c r="L8976" s="343"/>
    </row>
    <row r="8977" spans="4:12" x14ac:dyDescent="0.2">
      <c r="D8977" s="341"/>
      <c r="F8977" s="343"/>
      <c r="G8977" s="343"/>
      <c r="H8977" s="343"/>
      <c r="I8977" s="343"/>
      <c r="J8977" s="343"/>
      <c r="K8977" s="343"/>
      <c r="L8977" s="343"/>
    </row>
    <row r="8978" spans="4:12" x14ac:dyDescent="0.2">
      <c r="D8978" s="341"/>
      <c r="F8978" s="343"/>
      <c r="G8978" s="343"/>
      <c r="H8978" s="343"/>
      <c r="I8978" s="343"/>
      <c r="J8978" s="343"/>
      <c r="K8978" s="343"/>
      <c r="L8978" s="343"/>
    </row>
    <row r="8979" spans="4:12" x14ac:dyDescent="0.2">
      <c r="D8979" s="341"/>
      <c r="F8979" s="343"/>
      <c r="G8979" s="343"/>
      <c r="H8979" s="343"/>
      <c r="I8979" s="343"/>
      <c r="J8979" s="343"/>
      <c r="K8979" s="343"/>
      <c r="L8979" s="343"/>
    </row>
    <row r="8980" spans="4:12" x14ac:dyDescent="0.2">
      <c r="D8980" s="341"/>
      <c r="F8980" s="343"/>
      <c r="G8980" s="343"/>
      <c r="H8980" s="343"/>
      <c r="I8980" s="343"/>
      <c r="J8980" s="343"/>
      <c r="K8980" s="343"/>
      <c r="L8980" s="343"/>
    </row>
    <row r="8981" spans="4:12" x14ac:dyDescent="0.2">
      <c r="D8981" s="341"/>
      <c r="F8981" s="343"/>
      <c r="G8981" s="343"/>
      <c r="H8981" s="343"/>
      <c r="I8981" s="343"/>
      <c r="J8981" s="343"/>
      <c r="K8981" s="343"/>
      <c r="L8981" s="343"/>
    </row>
    <row r="8982" spans="4:12" x14ac:dyDescent="0.2">
      <c r="D8982" s="341"/>
      <c r="F8982" s="343"/>
      <c r="G8982" s="343"/>
      <c r="H8982" s="343"/>
      <c r="I8982" s="343"/>
      <c r="J8982" s="343"/>
      <c r="K8982" s="343"/>
      <c r="L8982" s="343"/>
    </row>
    <row r="8983" spans="4:12" x14ac:dyDescent="0.2">
      <c r="D8983" s="341"/>
      <c r="F8983" s="343"/>
      <c r="G8983" s="343"/>
      <c r="H8983" s="343"/>
      <c r="I8983" s="343"/>
      <c r="J8983" s="343"/>
      <c r="K8983" s="343"/>
      <c r="L8983" s="343"/>
    </row>
    <row r="8984" spans="4:12" x14ac:dyDescent="0.2">
      <c r="D8984" s="341"/>
      <c r="F8984" s="343"/>
      <c r="G8984" s="343"/>
      <c r="H8984" s="343"/>
      <c r="I8984" s="343"/>
      <c r="J8984" s="343"/>
      <c r="K8984" s="343"/>
      <c r="L8984" s="343"/>
    </row>
    <row r="8985" spans="4:12" x14ac:dyDescent="0.2">
      <c r="D8985" s="341"/>
      <c r="F8985" s="343"/>
      <c r="G8985" s="343"/>
      <c r="H8985" s="343"/>
      <c r="I8985" s="343"/>
      <c r="J8985" s="343"/>
      <c r="K8985" s="343"/>
      <c r="L8985" s="343"/>
    </row>
    <row r="8986" spans="4:12" x14ac:dyDescent="0.2">
      <c r="D8986" s="341"/>
      <c r="F8986" s="343"/>
      <c r="G8986" s="343"/>
      <c r="H8986" s="343"/>
      <c r="I8986" s="343"/>
      <c r="J8986" s="343"/>
      <c r="K8986" s="343"/>
      <c r="L8986" s="343"/>
    </row>
    <row r="8987" spans="4:12" x14ac:dyDescent="0.2">
      <c r="D8987" s="341"/>
      <c r="F8987" s="343"/>
      <c r="G8987" s="343"/>
      <c r="H8987" s="343"/>
      <c r="I8987" s="343"/>
      <c r="J8987" s="343"/>
      <c r="K8987" s="343"/>
      <c r="L8987" s="343"/>
    </row>
    <row r="8988" spans="4:12" x14ac:dyDescent="0.2">
      <c r="D8988" s="341"/>
      <c r="F8988" s="343"/>
      <c r="G8988" s="343"/>
      <c r="H8988" s="343"/>
      <c r="I8988" s="343"/>
      <c r="J8988" s="343"/>
      <c r="K8988" s="343"/>
      <c r="L8988" s="343"/>
    </row>
    <row r="8989" spans="4:12" x14ac:dyDescent="0.2">
      <c r="D8989" s="341"/>
      <c r="F8989" s="343"/>
      <c r="G8989" s="343"/>
      <c r="H8989" s="343"/>
      <c r="I8989" s="343"/>
      <c r="J8989" s="343"/>
      <c r="K8989" s="343"/>
      <c r="L8989" s="343"/>
    </row>
    <row r="8990" spans="4:12" x14ac:dyDescent="0.2">
      <c r="D8990" s="341"/>
      <c r="F8990" s="343"/>
      <c r="G8990" s="343"/>
      <c r="H8990" s="343"/>
      <c r="I8990" s="343"/>
      <c r="J8990" s="343"/>
      <c r="K8990" s="343"/>
      <c r="L8990" s="343"/>
    </row>
    <row r="8991" spans="4:12" x14ac:dyDescent="0.2">
      <c r="D8991" s="341"/>
      <c r="F8991" s="343"/>
      <c r="G8991" s="343"/>
      <c r="H8991" s="343"/>
      <c r="I8991" s="343"/>
      <c r="J8991" s="343"/>
      <c r="K8991" s="343"/>
      <c r="L8991" s="343"/>
    </row>
    <row r="8992" spans="4:12" x14ac:dyDescent="0.2">
      <c r="D8992" s="341"/>
      <c r="F8992" s="343"/>
      <c r="G8992" s="343"/>
      <c r="H8992" s="343"/>
      <c r="I8992" s="343"/>
      <c r="J8992" s="343"/>
      <c r="K8992" s="343"/>
      <c r="L8992" s="343"/>
    </row>
    <row r="8993" spans="4:12" x14ac:dyDescent="0.2">
      <c r="D8993" s="341"/>
      <c r="F8993" s="343"/>
      <c r="G8993" s="343"/>
      <c r="H8993" s="343"/>
      <c r="I8993" s="343"/>
      <c r="J8993" s="343"/>
      <c r="K8993" s="343"/>
      <c r="L8993" s="343"/>
    </row>
    <row r="8994" spans="4:12" x14ac:dyDescent="0.2">
      <c r="D8994" s="341"/>
      <c r="F8994" s="343"/>
      <c r="G8994" s="343"/>
      <c r="H8994" s="343"/>
      <c r="I8994" s="343"/>
      <c r="J8994" s="343"/>
      <c r="K8994" s="343"/>
      <c r="L8994" s="343"/>
    </row>
    <row r="8995" spans="4:12" x14ac:dyDescent="0.2">
      <c r="D8995" s="341"/>
      <c r="F8995" s="343"/>
      <c r="G8995" s="343"/>
      <c r="H8995" s="343"/>
      <c r="I8995" s="343"/>
      <c r="J8995" s="343"/>
      <c r="K8995" s="343"/>
      <c r="L8995" s="343"/>
    </row>
    <row r="8996" spans="4:12" x14ac:dyDescent="0.2">
      <c r="D8996" s="341"/>
      <c r="F8996" s="343"/>
      <c r="G8996" s="343"/>
      <c r="H8996" s="343"/>
      <c r="I8996" s="343"/>
      <c r="J8996" s="343"/>
      <c r="K8996" s="343"/>
      <c r="L8996" s="343"/>
    </row>
    <row r="8997" spans="4:12" x14ac:dyDescent="0.2">
      <c r="D8997" s="341"/>
      <c r="F8997" s="343"/>
      <c r="G8997" s="343"/>
      <c r="H8997" s="343"/>
      <c r="I8997" s="343"/>
      <c r="J8997" s="343"/>
      <c r="K8997" s="343"/>
      <c r="L8997" s="343"/>
    </row>
    <row r="8998" spans="4:12" x14ac:dyDescent="0.2">
      <c r="D8998" s="341"/>
      <c r="F8998" s="343"/>
      <c r="G8998" s="343"/>
      <c r="H8998" s="343"/>
      <c r="I8998" s="343"/>
      <c r="J8998" s="343"/>
      <c r="K8998" s="343"/>
      <c r="L8998" s="343"/>
    </row>
    <row r="8999" spans="4:12" x14ac:dyDescent="0.2">
      <c r="D8999" s="341"/>
      <c r="F8999" s="343"/>
      <c r="G8999" s="343"/>
      <c r="H8999" s="343"/>
      <c r="I8999" s="343"/>
      <c r="J8999" s="343"/>
      <c r="K8999" s="343"/>
      <c r="L8999" s="343"/>
    </row>
    <row r="9000" spans="4:12" x14ac:dyDescent="0.2">
      <c r="D9000" s="341"/>
      <c r="F9000" s="343"/>
      <c r="G9000" s="343"/>
      <c r="H9000" s="343"/>
      <c r="I9000" s="343"/>
      <c r="J9000" s="343"/>
      <c r="K9000" s="343"/>
      <c r="L9000" s="343"/>
    </row>
    <row r="9001" spans="4:12" x14ac:dyDescent="0.2">
      <c r="D9001" s="341"/>
      <c r="F9001" s="343"/>
      <c r="G9001" s="343"/>
      <c r="H9001" s="343"/>
      <c r="I9001" s="343"/>
      <c r="J9001" s="343"/>
      <c r="K9001" s="343"/>
      <c r="L9001" s="343"/>
    </row>
    <row r="9002" spans="4:12" x14ac:dyDescent="0.2">
      <c r="D9002" s="341"/>
      <c r="F9002" s="343"/>
      <c r="G9002" s="343"/>
      <c r="H9002" s="343"/>
      <c r="I9002" s="343"/>
      <c r="J9002" s="343"/>
      <c r="K9002" s="343"/>
      <c r="L9002" s="343"/>
    </row>
    <row r="9003" spans="4:12" x14ac:dyDescent="0.2">
      <c r="D9003" s="341"/>
      <c r="F9003" s="343"/>
      <c r="G9003" s="343"/>
      <c r="H9003" s="343"/>
      <c r="I9003" s="343"/>
      <c r="J9003" s="343"/>
      <c r="K9003" s="343"/>
      <c r="L9003" s="343"/>
    </row>
    <row r="9004" spans="4:12" x14ac:dyDescent="0.2">
      <c r="D9004" s="341"/>
      <c r="F9004" s="343"/>
      <c r="G9004" s="343"/>
      <c r="H9004" s="343"/>
      <c r="I9004" s="343"/>
      <c r="J9004" s="343"/>
      <c r="K9004" s="343"/>
      <c r="L9004" s="343"/>
    </row>
    <row r="9005" spans="4:12" x14ac:dyDescent="0.2">
      <c r="D9005" s="341"/>
      <c r="F9005" s="343"/>
      <c r="G9005" s="343"/>
      <c r="H9005" s="343"/>
      <c r="I9005" s="343"/>
      <c r="J9005" s="343"/>
      <c r="K9005" s="343"/>
      <c r="L9005" s="343"/>
    </row>
    <row r="9006" spans="4:12" x14ac:dyDescent="0.2">
      <c r="D9006" s="341"/>
      <c r="F9006" s="343"/>
      <c r="G9006" s="343"/>
      <c r="H9006" s="343"/>
      <c r="I9006" s="343"/>
      <c r="J9006" s="343"/>
      <c r="K9006" s="343"/>
      <c r="L9006" s="343"/>
    </row>
    <row r="9007" spans="4:12" x14ac:dyDescent="0.2">
      <c r="D9007" s="341"/>
      <c r="F9007" s="343"/>
      <c r="G9007" s="343"/>
      <c r="H9007" s="343"/>
      <c r="I9007" s="343"/>
      <c r="J9007" s="343"/>
      <c r="K9007" s="343"/>
      <c r="L9007" s="343"/>
    </row>
    <row r="9008" spans="4:12" x14ac:dyDescent="0.2">
      <c r="D9008" s="341"/>
      <c r="F9008" s="343"/>
      <c r="G9008" s="343"/>
      <c r="H9008" s="343"/>
      <c r="I9008" s="343"/>
      <c r="J9008" s="343"/>
      <c r="K9008" s="343"/>
      <c r="L9008" s="343"/>
    </row>
    <row r="9009" spans="4:12" x14ac:dyDescent="0.2">
      <c r="D9009" s="341"/>
      <c r="F9009" s="343"/>
      <c r="G9009" s="343"/>
      <c r="H9009" s="343"/>
      <c r="I9009" s="343"/>
      <c r="J9009" s="343"/>
      <c r="K9009" s="343"/>
      <c r="L9009" s="343"/>
    </row>
    <row r="9010" spans="4:12" x14ac:dyDescent="0.2">
      <c r="D9010" s="341"/>
      <c r="F9010" s="343"/>
      <c r="G9010" s="343"/>
      <c r="H9010" s="343"/>
      <c r="I9010" s="343"/>
      <c r="J9010" s="343"/>
      <c r="K9010" s="343"/>
      <c r="L9010" s="343"/>
    </row>
    <row r="9011" spans="4:12" x14ac:dyDescent="0.2">
      <c r="D9011" s="341"/>
      <c r="F9011" s="343"/>
      <c r="G9011" s="343"/>
      <c r="H9011" s="343"/>
      <c r="I9011" s="343"/>
      <c r="J9011" s="343"/>
      <c r="K9011" s="343"/>
      <c r="L9011" s="343"/>
    </row>
    <row r="9012" spans="4:12" x14ac:dyDescent="0.2">
      <c r="D9012" s="341"/>
      <c r="F9012" s="343"/>
      <c r="G9012" s="343"/>
      <c r="H9012" s="343"/>
      <c r="I9012" s="343"/>
      <c r="J9012" s="343"/>
      <c r="K9012" s="343"/>
      <c r="L9012" s="343"/>
    </row>
    <row r="9013" spans="4:12" x14ac:dyDescent="0.2">
      <c r="D9013" s="341"/>
      <c r="F9013" s="343"/>
      <c r="G9013" s="343"/>
      <c r="H9013" s="343"/>
      <c r="I9013" s="343"/>
      <c r="J9013" s="343"/>
      <c r="K9013" s="343"/>
      <c r="L9013" s="343"/>
    </row>
    <row r="9014" spans="4:12" x14ac:dyDescent="0.2">
      <c r="D9014" s="341"/>
      <c r="F9014" s="343"/>
      <c r="G9014" s="343"/>
      <c r="H9014" s="343"/>
      <c r="I9014" s="343"/>
      <c r="J9014" s="343"/>
      <c r="K9014" s="343"/>
      <c r="L9014" s="343"/>
    </row>
    <row r="9015" spans="4:12" x14ac:dyDescent="0.2">
      <c r="D9015" s="341"/>
      <c r="F9015" s="343"/>
      <c r="G9015" s="343"/>
      <c r="H9015" s="343"/>
      <c r="I9015" s="343"/>
      <c r="J9015" s="343"/>
      <c r="K9015" s="343"/>
      <c r="L9015" s="343"/>
    </row>
    <row r="9016" spans="4:12" x14ac:dyDescent="0.2">
      <c r="D9016" s="341"/>
      <c r="F9016" s="343"/>
      <c r="G9016" s="343"/>
      <c r="H9016" s="343"/>
      <c r="I9016" s="343"/>
      <c r="J9016" s="343"/>
      <c r="K9016" s="343"/>
      <c r="L9016" s="343"/>
    </row>
    <row r="9017" spans="4:12" x14ac:dyDescent="0.2">
      <c r="D9017" s="341"/>
      <c r="F9017" s="343"/>
      <c r="G9017" s="343"/>
      <c r="H9017" s="343"/>
      <c r="I9017" s="343"/>
      <c r="J9017" s="343"/>
      <c r="K9017" s="343"/>
      <c r="L9017" s="343"/>
    </row>
    <row r="9018" spans="4:12" x14ac:dyDescent="0.2">
      <c r="D9018" s="341"/>
      <c r="F9018" s="343"/>
      <c r="G9018" s="343"/>
      <c r="H9018" s="343"/>
      <c r="I9018" s="343"/>
      <c r="J9018" s="343"/>
      <c r="K9018" s="343"/>
      <c r="L9018" s="343"/>
    </row>
    <row r="9019" spans="4:12" x14ac:dyDescent="0.2">
      <c r="D9019" s="341"/>
      <c r="F9019" s="343"/>
      <c r="G9019" s="343"/>
      <c r="H9019" s="343"/>
      <c r="I9019" s="343"/>
      <c r="J9019" s="343"/>
      <c r="K9019" s="343"/>
      <c r="L9019" s="343"/>
    </row>
    <row r="9020" spans="4:12" x14ac:dyDescent="0.2">
      <c r="D9020" s="341"/>
      <c r="F9020" s="343"/>
      <c r="G9020" s="343"/>
      <c r="H9020" s="343"/>
      <c r="I9020" s="343"/>
      <c r="J9020" s="343"/>
      <c r="K9020" s="343"/>
      <c r="L9020" s="343"/>
    </row>
    <row r="9021" spans="4:12" x14ac:dyDescent="0.2">
      <c r="D9021" s="341"/>
      <c r="F9021" s="343"/>
      <c r="G9021" s="343"/>
      <c r="H9021" s="343"/>
      <c r="I9021" s="343"/>
      <c r="J9021" s="343"/>
      <c r="K9021" s="343"/>
      <c r="L9021" s="343"/>
    </row>
    <row r="9022" spans="4:12" x14ac:dyDescent="0.2">
      <c r="D9022" s="341"/>
      <c r="F9022" s="343"/>
      <c r="G9022" s="343"/>
      <c r="H9022" s="343"/>
      <c r="I9022" s="343"/>
      <c r="J9022" s="343"/>
      <c r="K9022" s="343"/>
      <c r="L9022" s="343"/>
    </row>
    <row r="9023" spans="4:12" x14ac:dyDescent="0.2">
      <c r="D9023" s="341"/>
      <c r="F9023" s="343"/>
      <c r="G9023" s="343"/>
      <c r="H9023" s="343"/>
      <c r="I9023" s="343"/>
      <c r="J9023" s="343"/>
      <c r="K9023" s="343"/>
      <c r="L9023" s="343"/>
    </row>
    <row r="9024" spans="4:12" x14ac:dyDescent="0.2">
      <c r="D9024" s="341"/>
      <c r="F9024" s="343"/>
      <c r="G9024" s="343"/>
      <c r="H9024" s="343"/>
      <c r="I9024" s="343"/>
      <c r="J9024" s="343"/>
      <c r="K9024" s="343"/>
      <c r="L9024" s="343"/>
    </row>
    <row r="9025" spans="4:12" x14ac:dyDescent="0.2">
      <c r="D9025" s="341"/>
      <c r="F9025" s="343"/>
      <c r="G9025" s="343"/>
      <c r="H9025" s="343"/>
      <c r="I9025" s="343"/>
      <c r="J9025" s="343"/>
      <c r="K9025" s="343"/>
      <c r="L9025" s="343"/>
    </row>
    <row r="9026" spans="4:12" x14ac:dyDescent="0.2">
      <c r="D9026" s="341"/>
      <c r="F9026" s="343"/>
      <c r="G9026" s="343"/>
      <c r="H9026" s="343"/>
      <c r="I9026" s="343"/>
      <c r="J9026" s="343"/>
      <c r="K9026" s="343"/>
      <c r="L9026" s="343"/>
    </row>
    <row r="9027" spans="4:12" x14ac:dyDescent="0.2">
      <c r="D9027" s="341"/>
      <c r="F9027" s="343"/>
      <c r="G9027" s="343"/>
      <c r="H9027" s="343"/>
      <c r="I9027" s="343"/>
      <c r="J9027" s="343"/>
      <c r="K9027" s="343"/>
      <c r="L9027" s="343"/>
    </row>
    <row r="9028" spans="4:12" x14ac:dyDescent="0.2">
      <c r="D9028" s="341"/>
      <c r="F9028" s="343"/>
      <c r="G9028" s="343"/>
      <c r="H9028" s="343"/>
      <c r="I9028" s="343"/>
      <c r="J9028" s="343"/>
      <c r="K9028" s="343"/>
      <c r="L9028" s="343"/>
    </row>
    <row r="9029" spans="4:12" x14ac:dyDescent="0.2">
      <c r="D9029" s="341"/>
      <c r="F9029" s="343"/>
      <c r="G9029" s="343"/>
      <c r="H9029" s="343"/>
      <c r="I9029" s="343"/>
      <c r="J9029" s="343"/>
      <c r="K9029" s="343"/>
      <c r="L9029" s="343"/>
    </row>
    <row r="9030" spans="4:12" x14ac:dyDescent="0.2">
      <c r="D9030" s="341"/>
      <c r="F9030" s="343"/>
      <c r="G9030" s="343"/>
      <c r="H9030" s="343"/>
      <c r="I9030" s="343"/>
      <c r="J9030" s="343"/>
      <c r="K9030" s="343"/>
      <c r="L9030" s="343"/>
    </row>
    <row r="9031" spans="4:12" x14ac:dyDescent="0.2">
      <c r="D9031" s="341"/>
      <c r="F9031" s="343"/>
      <c r="G9031" s="343"/>
      <c r="H9031" s="343"/>
      <c r="I9031" s="343"/>
      <c r="J9031" s="343"/>
      <c r="K9031" s="343"/>
      <c r="L9031" s="343"/>
    </row>
    <row r="9032" spans="4:12" x14ac:dyDescent="0.2">
      <c r="D9032" s="341"/>
      <c r="F9032" s="343"/>
      <c r="G9032" s="343"/>
      <c r="H9032" s="343"/>
      <c r="I9032" s="343"/>
      <c r="J9032" s="343"/>
      <c r="K9032" s="343"/>
      <c r="L9032" s="343"/>
    </row>
    <row r="9033" spans="4:12" x14ac:dyDescent="0.2">
      <c r="D9033" s="341"/>
      <c r="F9033" s="343"/>
      <c r="G9033" s="343"/>
      <c r="H9033" s="343"/>
      <c r="I9033" s="343"/>
      <c r="J9033" s="343"/>
      <c r="K9033" s="343"/>
      <c r="L9033" s="343"/>
    </row>
    <row r="9034" spans="4:12" x14ac:dyDescent="0.2">
      <c r="D9034" s="341"/>
      <c r="F9034" s="343"/>
      <c r="G9034" s="343"/>
      <c r="H9034" s="343"/>
      <c r="I9034" s="343"/>
      <c r="J9034" s="343"/>
      <c r="K9034" s="343"/>
      <c r="L9034" s="343"/>
    </row>
    <row r="9035" spans="4:12" x14ac:dyDescent="0.2">
      <c r="D9035" s="341"/>
      <c r="F9035" s="343"/>
      <c r="G9035" s="343"/>
      <c r="H9035" s="343"/>
      <c r="I9035" s="343"/>
      <c r="J9035" s="343"/>
      <c r="K9035" s="343"/>
      <c r="L9035" s="343"/>
    </row>
    <row r="9036" spans="4:12" x14ac:dyDescent="0.2">
      <c r="D9036" s="341"/>
      <c r="F9036" s="343"/>
      <c r="G9036" s="343"/>
      <c r="H9036" s="343"/>
      <c r="I9036" s="343"/>
      <c r="J9036" s="343"/>
      <c r="K9036" s="343"/>
      <c r="L9036" s="343"/>
    </row>
    <row r="9037" spans="4:12" x14ac:dyDescent="0.2">
      <c r="D9037" s="341"/>
      <c r="F9037" s="343"/>
      <c r="G9037" s="343"/>
      <c r="H9037" s="343"/>
      <c r="I9037" s="343"/>
      <c r="J9037" s="343"/>
      <c r="K9037" s="343"/>
      <c r="L9037" s="343"/>
    </row>
    <row r="9038" spans="4:12" x14ac:dyDescent="0.2">
      <c r="D9038" s="341"/>
      <c r="F9038" s="343"/>
      <c r="G9038" s="343"/>
      <c r="H9038" s="343"/>
      <c r="I9038" s="343"/>
      <c r="J9038" s="343"/>
      <c r="K9038" s="343"/>
      <c r="L9038" s="343"/>
    </row>
    <row r="9039" spans="4:12" x14ac:dyDescent="0.2">
      <c r="D9039" s="341"/>
      <c r="F9039" s="343"/>
      <c r="G9039" s="343"/>
      <c r="H9039" s="343"/>
      <c r="I9039" s="343"/>
      <c r="J9039" s="343"/>
      <c r="K9039" s="343"/>
      <c r="L9039" s="343"/>
    </row>
    <row r="9040" spans="4:12" x14ac:dyDescent="0.2">
      <c r="D9040" s="341"/>
      <c r="F9040" s="343"/>
      <c r="G9040" s="343"/>
      <c r="H9040" s="343"/>
      <c r="I9040" s="343"/>
      <c r="J9040" s="343"/>
      <c r="K9040" s="343"/>
      <c r="L9040" s="343"/>
    </row>
    <row r="9041" spans="4:12" x14ac:dyDescent="0.2">
      <c r="D9041" s="341"/>
      <c r="F9041" s="343"/>
      <c r="G9041" s="343"/>
      <c r="H9041" s="343"/>
      <c r="I9041" s="343"/>
      <c r="J9041" s="343"/>
      <c r="K9041" s="343"/>
      <c r="L9041" s="343"/>
    </row>
    <row r="9042" spans="4:12" x14ac:dyDescent="0.2">
      <c r="D9042" s="341"/>
      <c r="F9042" s="343"/>
      <c r="G9042" s="343"/>
      <c r="H9042" s="343"/>
      <c r="I9042" s="343"/>
      <c r="J9042" s="343"/>
      <c r="K9042" s="343"/>
      <c r="L9042" s="343"/>
    </row>
    <row r="9043" spans="4:12" x14ac:dyDescent="0.2">
      <c r="D9043" s="341"/>
      <c r="F9043" s="343"/>
      <c r="G9043" s="343"/>
      <c r="H9043" s="343"/>
      <c r="I9043" s="343"/>
      <c r="J9043" s="343"/>
      <c r="K9043" s="343"/>
      <c r="L9043" s="343"/>
    </row>
    <row r="9044" spans="4:12" x14ac:dyDescent="0.2">
      <c r="D9044" s="341"/>
      <c r="F9044" s="343"/>
      <c r="G9044" s="343"/>
      <c r="H9044" s="343"/>
      <c r="I9044" s="343"/>
      <c r="J9044" s="343"/>
      <c r="K9044" s="343"/>
      <c r="L9044" s="343"/>
    </row>
    <row r="9045" spans="4:12" x14ac:dyDescent="0.2">
      <c r="D9045" s="341"/>
      <c r="F9045" s="343"/>
      <c r="G9045" s="343"/>
      <c r="H9045" s="343"/>
      <c r="I9045" s="343"/>
      <c r="J9045" s="343"/>
      <c r="K9045" s="343"/>
      <c r="L9045" s="343"/>
    </row>
    <row r="9046" spans="4:12" x14ac:dyDescent="0.2">
      <c r="D9046" s="341"/>
      <c r="F9046" s="343"/>
      <c r="G9046" s="343"/>
      <c r="H9046" s="343"/>
      <c r="I9046" s="343"/>
      <c r="J9046" s="343"/>
      <c r="K9046" s="343"/>
      <c r="L9046" s="343"/>
    </row>
    <row r="9047" spans="4:12" x14ac:dyDescent="0.2">
      <c r="D9047" s="341"/>
      <c r="F9047" s="343"/>
      <c r="G9047" s="343"/>
      <c r="H9047" s="343"/>
      <c r="I9047" s="343"/>
      <c r="J9047" s="343"/>
      <c r="K9047" s="343"/>
      <c r="L9047" s="343"/>
    </row>
    <row r="9048" spans="4:12" x14ac:dyDescent="0.2">
      <c r="D9048" s="341"/>
      <c r="F9048" s="343"/>
      <c r="G9048" s="343"/>
      <c r="H9048" s="343"/>
      <c r="I9048" s="343"/>
      <c r="J9048" s="343"/>
      <c r="K9048" s="343"/>
      <c r="L9048" s="343"/>
    </row>
    <row r="9049" spans="4:12" x14ac:dyDescent="0.2">
      <c r="D9049" s="341"/>
      <c r="F9049" s="343"/>
      <c r="G9049" s="343"/>
      <c r="H9049" s="343"/>
      <c r="I9049" s="343"/>
      <c r="J9049" s="343"/>
      <c r="K9049" s="343"/>
      <c r="L9049" s="343"/>
    </row>
    <row r="9050" spans="4:12" x14ac:dyDescent="0.2">
      <c r="D9050" s="341"/>
      <c r="F9050" s="343"/>
      <c r="G9050" s="343"/>
      <c r="H9050" s="343"/>
      <c r="I9050" s="343"/>
      <c r="J9050" s="343"/>
      <c r="K9050" s="343"/>
      <c r="L9050" s="343"/>
    </row>
    <row r="9051" spans="4:12" x14ac:dyDescent="0.2">
      <c r="D9051" s="341"/>
      <c r="F9051" s="343"/>
      <c r="G9051" s="343"/>
      <c r="H9051" s="343"/>
      <c r="I9051" s="343"/>
      <c r="J9051" s="343"/>
      <c r="K9051" s="343"/>
      <c r="L9051" s="343"/>
    </row>
    <row r="9052" spans="4:12" x14ac:dyDescent="0.2">
      <c r="D9052" s="341"/>
      <c r="F9052" s="343"/>
      <c r="G9052" s="343"/>
      <c r="H9052" s="343"/>
      <c r="I9052" s="343"/>
      <c r="J9052" s="343"/>
      <c r="K9052" s="343"/>
      <c r="L9052" s="343"/>
    </row>
    <row r="9053" spans="4:12" x14ac:dyDescent="0.2">
      <c r="D9053" s="341"/>
      <c r="F9053" s="343"/>
      <c r="G9053" s="343"/>
      <c r="H9053" s="343"/>
      <c r="I9053" s="343"/>
      <c r="J9053" s="343"/>
      <c r="K9053" s="343"/>
      <c r="L9053" s="343"/>
    </row>
    <row r="9054" spans="4:12" x14ac:dyDescent="0.2">
      <c r="D9054" s="341"/>
      <c r="F9054" s="343"/>
      <c r="G9054" s="343"/>
      <c r="H9054" s="343"/>
      <c r="I9054" s="343"/>
      <c r="J9054" s="343"/>
      <c r="K9054" s="343"/>
      <c r="L9054" s="343"/>
    </row>
    <row r="9055" spans="4:12" x14ac:dyDescent="0.2">
      <c r="D9055" s="341"/>
      <c r="F9055" s="343"/>
      <c r="G9055" s="343"/>
      <c r="H9055" s="343"/>
      <c r="I9055" s="343"/>
      <c r="J9055" s="343"/>
      <c r="K9055" s="343"/>
      <c r="L9055" s="343"/>
    </row>
    <row r="9056" spans="4:12" x14ac:dyDescent="0.2">
      <c r="D9056" s="341"/>
      <c r="F9056" s="343"/>
      <c r="G9056" s="343"/>
      <c r="H9056" s="343"/>
      <c r="I9056" s="343"/>
      <c r="J9056" s="343"/>
      <c r="K9056" s="343"/>
      <c r="L9056" s="343"/>
    </row>
    <row r="9057" spans="4:12" x14ac:dyDescent="0.2">
      <c r="D9057" s="341"/>
      <c r="F9057" s="343"/>
      <c r="G9057" s="343"/>
      <c r="H9057" s="343"/>
      <c r="I9057" s="343"/>
      <c r="J9057" s="343"/>
      <c r="K9057" s="343"/>
      <c r="L9057" s="343"/>
    </row>
    <row r="9058" spans="4:12" x14ac:dyDescent="0.2">
      <c r="D9058" s="341"/>
      <c r="F9058" s="343"/>
      <c r="G9058" s="343"/>
      <c r="H9058" s="343"/>
      <c r="I9058" s="343"/>
      <c r="J9058" s="343"/>
      <c r="K9058" s="343"/>
      <c r="L9058" s="343"/>
    </row>
    <row r="9059" spans="4:12" x14ac:dyDescent="0.2">
      <c r="D9059" s="341"/>
      <c r="F9059" s="343"/>
      <c r="G9059" s="343"/>
      <c r="H9059" s="343"/>
      <c r="I9059" s="343"/>
      <c r="J9059" s="343"/>
      <c r="K9059" s="343"/>
      <c r="L9059" s="343"/>
    </row>
    <row r="9060" spans="4:12" x14ac:dyDescent="0.2">
      <c r="D9060" s="341"/>
      <c r="F9060" s="343"/>
      <c r="G9060" s="343"/>
      <c r="H9060" s="343"/>
      <c r="I9060" s="343"/>
      <c r="J9060" s="343"/>
      <c r="K9060" s="343"/>
      <c r="L9060" s="343"/>
    </row>
    <row r="9061" spans="4:12" x14ac:dyDescent="0.2">
      <c r="D9061" s="341"/>
      <c r="F9061" s="343"/>
      <c r="G9061" s="343"/>
      <c r="H9061" s="343"/>
      <c r="I9061" s="343"/>
      <c r="J9061" s="343"/>
      <c r="K9061" s="343"/>
      <c r="L9061" s="343"/>
    </row>
    <row r="9062" spans="4:12" x14ac:dyDescent="0.2">
      <c r="D9062" s="341"/>
      <c r="F9062" s="343"/>
      <c r="G9062" s="343"/>
      <c r="H9062" s="343"/>
      <c r="I9062" s="343"/>
      <c r="J9062" s="343"/>
      <c r="K9062" s="343"/>
      <c r="L9062" s="343"/>
    </row>
    <row r="9063" spans="4:12" x14ac:dyDescent="0.2">
      <c r="D9063" s="341"/>
      <c r="F9063" s="343"/>
      <c r="G9063" s="343"/>
      <c r="H9063" s="343"/>
      <c r="I9063" s="343"/>
      <c r="J9063" s="343"/>
      <c r="K9063" s="343"/>
      <c r="L9063" s="343"/>
    </row>
    <row r="9064" spans="4:12" x14ac:dyDescent="0.2">
      <c r="D9064" s="341"/>
      <c r="F9064" s="343"/>
      <c r="G9064" s="343"/>
      <c r="H9064" s="343"/>
      <c r="I9064" s="343"/>
      <c r="J9064" s="343"/>
      <c r="K9064" s="343"/>
      <c r="L9064" s="343"/>
    </row>
    <row r="9065" spans="4:12" x14ac:dyDescent="0.2">
      <c r="D9065" s="341"/>
      <c r="F9065" s="343"/>
      <c r="G9065" s="343"/>
      <c r="H9065" s="343"/>
      <c r="I9065" s="343"/>
      <c r="J9065" s="343"/>
      <c r="K9065" s="343"/>
      <c r="L9065" s="343"/>
    </row>
    <row r="9066" spans="4:12" x14ac:dyDescent="0.2">
      <c r="D9066" s="341"/>
      <c r="F9066" s="343"/>
      <c r="G9066" s="343"/>
      <c r="H9066" s="343"/>
      <c r="I9066" s="343"/>
      <c r="J9066" s="343"/>
      <c r="K9066" s="343"/>
      <c r="L9066" s="343"/>
    </row>
    <row r="9067" spans="4:12" x14ac:dyDescent="0.2">
      <c r="D9067" s="341"/>
      <c r="F9067" s="343"/>
      <c r="G9067" s="343"/>
      <c r="H9067" s="343"/>
      <c r="I9067" s="343"/>
      <c r="J9067" s="343"/>
      <c r="K9067" s="343"/>
      <c r="L9067" s="343"/>
    </row>
    <row r="9068" spans="4:12" x14ac:dyDescent="0.2">
      <c r="D9068" s="341"/>
      <c r="F9068" s="343"/>
      <c r="G9068" s="343"/>
      <c r="H9068" s="343"/>
      <c r="I9068" s="343"/>
      <c r="J9068" s="343"/>
      <c r="K9068" s="343"/>
      <c r="L9068" s="343"/>
    </row>
    <row r="9069" spans="4:12" x14ac:dyDescent="0.2">
      <c r="D9069" s="341"/>
      <c r="F9069" s="343"/>
      <c r="G9069" s="343"/>
      <c r="H9069" s="343"/>
      <c r="I9069" s="343"/>
      <c r="J9069" s="343"/>
      <c r="K9069" s="343"/>
      <c r="L9069" s="343"/>
    </row>
    <row r="9070" spans="4:12" x14ac:dyDescent="0.2">
      <c r="D9070" s="341"/>
      <c r="F9070" s="343"/>
      <c r="G9070" s="343"/>
      <c r="H9070" s="343"/>
      <c r="I9070" s="343"/>
      <c r="J9070" s="343"/>
      <c r="K9070" s="343"/>
      <c r="L9070" s="343"/>
    </row>
    <row r="9071" spans="4:12" x14ac:dyDescent="0.2">
      <c r="D9071" s="341"/>
      <c r="F9071" s="343"/>
      <c r="G9071" s="343"/>
      <c r="H9071" s="343"/>
      <c r="I9071" s="343"/>
      <c r="J9071" s="343"/>
      <c r="K9071" s="343"/>
      <c r="L9071" s="343"/>
    </row>
    <row r="9072" spans="4:12" x14ac:dyDescent="0.2">
      <c r="D9072" s="341"/>
      <c r="F9072" s="343"/>
      <c r="G9072" s="343"/>
      <c r="H9072" s="343"/>
      <c r="I9072" s="343"/>
      <c r="J9072" s="343"/>
      <c r="K9072" s="343"/>
      <c r="L9072" s="343"/>
    </row>
    <row r="9073" spans="4:12" x14ac:dyDescent="0.2">
      <c r="D9073" s="341"/>
      <c r="F9073" s="343"/>
      <c r="G9073" s="343"/>
      <c r="H9073" s="343"/>
      <c r="I9073" s="343"/>
      <c r="J9073" s="343"/>
      <c r="K9073" s="343"/>
      <c r="L9073" s="343"/>
    </row>
    <row r="9074" spans="4:12" x14ac:dyDescent="0.2">
      <c r="D9074" s="341"/>
      <c r="F9074" s="343"/>
      <c r="G9074" s="343"/>
      <c r="H9074" s="343"/>
      <c r="I9074" s="343"/>
      <c r="J9074" s="343"/>
      <c r="K9074" s="343"/>
      <c r="L9074" s="343"/>
    </row>
    <row r="9075" spans="4:12" x14ac:dyDescent="0.2">
      <c r="D9075" s="341"/>
      <c r="F9075" s="343"/>
      <c r="G9075" s="343"/>
      <c r="H9075" s="343"/>
      <c r="I9075" s="343"/>
      <c r="J9075" s="343"/>
      <c r="K9075" s="343"/>
      <c r="L9075" s="343"/>
    </row>
    <row r="9076" spans="4:12" x14ac:dyDescent="0.2">
      <c r="D9076" s="341"/>
      <c r="F9076" s="343"/>
      <c r="G9076" s="343"/>
      <c r="H9076" s="343"/>
      <c r="I9076" s="343"/>
      <c r="J9076" s="343"/>
      <c r="K9076" s="343"/>
      <c r="L9076" s="343"/>
    </row>
    <row r="9077" spans="4:12" x14ac:dyDescent="0.2">
      <c r="D9077" s="341"/>
      <c r="F9077" s="343"/>
      <c r="G9077" s="343"/>
      <c r="H9077" s="343"/>
      <c r="I9077" s="343"/>
      <c r="J9077" s="343"/>
      <c r="K9077" s="343"/>
      <c r="L9077" s="343"/>
    </row>
    <row r="9078" spans="4:12" x14ac:dyDescent="0.2">
      <c r="D9078" s="341"/>
      <c r="F9078" s="343"/>
      <c r="G9078" s="343"/>
      <c r="H9078" s="343"/>
      <c r="I9078" s="343"/>
      <c r="J9078" s="343"/>
      <c r="K9078" s="343"/>
      <c r="L9078" s="343"/>
    </row>
    <row r="9079" spans="4:12" x14ac:dyDescent="0.2">
      <c r="D9079" s="341"/>
      <c r="F9079" s="343"/>
      <c r="G9079" s="343"/>
      <c r="H9079" s="343"/>
      <c r="I9079" s="343"/>
      <c r="J9079" s="343"/>
      <c r="K9079" s="343"/>
      <c r="L9079" s="343"/>
    </row>
    <row r="9080" spans="4:12" x14ac:dyDescent="0.2">
      <c r="D9080" s="341"/>
      <c r="F9080" s="343"/>
      <c r="G9080" s="343"/>
      <c r="H9080" s="343"/>
      <c r="I9080" s="343"/>
      <c r="J9080" s="343"/>
      <c r="K9080" s="343"/>
      <c r="L9080" s="343"/>
    </row>
    <row r="9081" spans="4:12" x14ac:dyDescent="0.2">
      <c r="D9081" s="341"/>
      <c r="F9081" s="343"/>
      <c r="G9081" s="343"/>
      <c r="H9081" s="343"/>
      <c r="I9081" s="343"/>
      <c r="J9081" s="343"/>
      <c r="K9081" s="343"/>
      <c r="L9081" s="343"/>
    </row>
    <row r="9082" spans="4:12" x14ac:dyDescent="0.2">
      <c r="D9082" s="341"/>
      <c r="F9082" s="343"/>
      <c r="G9082" s="343"/>
      <c r="H9082" s="343"/>
      <c r="I9082" s="343"/>
      <c r="J9082" s="343"/>
      <c r="K9082" s="343"/>
      <c r="L9082" s="343"/>
    </row>
    <row r="9083" spans="4:12" x14ac:dyDescent="0.2">
      <c r="D9083" s="341"/>
      <c r="F9083" s="343"/>
      <c r="G9083" s="343"/>
      <c r="H9083" s="343"/>
      <c r="I9083" s="343"/>
      <c r="J9083" s="343"/>
      <c r="K9083" s="343"/>
      <c r="L9083" s="343"/>
    </row>
    <row r="9084" spans="4:12" x14ac:dyDescent="0.2">
      <c r="D9084" s="341"/>
      <c r="F9084" s="343"/>
      <c r="G9084" s="343"/>
      <c r="H9084" s="343"/>
      <c r="I9084" s="343"/>
      <c r="J9084" s="343"/>
      <c r="K9084" s="343"/>
      <c r="L9084" s="343"/>
    </row>
    <row r="9085" spans="4:12" x14ac:dyDescent="0.2">
      <c r="D9085" s="341"/>
      <c r="F9085" s="343"/>
      <c r="G9085" s="343"/>
      <c r="H9085" s="343"/>
      <c r="I9085" s="343"/>
      <c r="J9085" s="343"/>
      <c r="K9085" s="343"/>
      <c r="L9085" s="343"/>
    </row>
    <row r="9086" spans="4:12" x14ac:dyDescent="0.2">
      <c r="D9086" s="341"/>
      <c r="F9086" s="343"/>
      <c r="G9086" s="343"/>
      <c r="H9086" s="343"/>
      <c r="I9086" s="343"/>
      <c r="J9086" s="343"/>
      <c r="K9086" s="343"/>
      <c r="L9086" s="343"/>
    </row>
    <row r="9087" spans="4:12" x14ac:dyDescent="0.2">
      <c r="D9087" s="341"/>
      <c r="F9087" s="343"/>
      <c r="G9087" s="343"/>
      <c r="H9087" s="343"/>
      <c r="I9087" s="343"/>
      <c r="J9087" s="343"/>
      <c r="K9087" s="343"/>
      <c r="L9087" s="343"/>
    </row>
    <row r="9088" spans="4:12" x14ac:dyDescent="0.2">
      <c r="D9088" s="341"/>
      <c r="F9088" s="343"/>
      <c r="G9088" s="343"/>
      <c r="H9088" s="343"/>
      <c r="I9088" s="343"/>
      <c r="J9088" s="343"/>
      <c r="K9088" s="343"/>
      <c r="L9088" s="343"/>
    </row>
    <row r="9089" spans="4:12" x14ac:dyDescent="0.2">
      <c r="D9089" s="341"/>
      <c r="F9089" s="343"/>
      <c r="G9089" s="343"/>
      <c r="H9089" s="343"/>
      <c r="I9089" s="343"/>
      <c r="J9089" s="343"/>
      <c r="K9089" s="343"/>
      <c r="L9089" s="343"/>
    </row>
    <row r="9090" spans="4:12" x14ac:dyDescent="0.2">
      <c r="D9090" s="341"/>
      <c r="F9090" s="343"/>
      <c r="G9090" s="343"/>
      <c r="H9090" s="343"/>
      <c r="I9090" s="343"/>
      <c r="J9090" s="343"/>
      <c r="K9090" s="343"/>
      <c r="L9090" s="343"/>
    </row>
    <row r="9091" spans="4:12" x14ac:dyDescent="0.2">
      <c r="D9091" s="341"/>
      <c r="F9091" s="343"/>
      <c r="G9091" s="343"/>
      <c r="H9091" s="343"/>
      <c r="I9091" s="343"/>
      <c r="J9091" s="343"/>
      <c r="K9091" s="343"/>
      <c r="L9091" s="343"/>
    </row>
    <row r="9092" spans="4:12" x14ac:dyDescent="0.2">
      <c r="D9092" s="341"/>
      <c r="F9092" s="343"/>
      <c r="G9092" s="343"/>
      <c r="H9092" s="343"/>
      <c r="I9092" s="343"/>
      <c r="J9092" s="343"/>
      <c r="K9092" s="343"/>
      <c r="L9092" s="343"/>
    </row>
    <row r="9093" spans="4:12" x14ac:dyDescent="0.2">
      <c r="D9093" s="341"/>
      <c r="F9093" s="343"/>
      <c r="G9093" s="343"/>
      <c r="H9093" s="343"/>
      <c r="I9093" s="343"/>
      <c r="J9093" s="343"/>
      <c r="K9093" s="343"/>
      <c r="L9093" s="343"/>
    </row>
    <row r="9094" spans="4:12" x14ac:dyDescent="0.2">
      <c r="D9094" s="341"/>
      <c r="F9094" s="343"/>
      <c r="G9094" s="343"/>
      <c r="H9094" s="343"/>
      <c r="I9094" s="343"/>
      <c r="J9094" s="343"/>
      <c r="K9094" s="343"/>
      <c r="L9094" s="343"/>
    </row>
    <row r="9095" spans="4:12" x14ac:dyDescent="0.2">
      <c r="D9095" s="341"/>
      <c r="F9095" s="343"/>
      <c r="G9095" s="343"/>
      <c r="H9095" s="343"/>
      <c r="I9095" s="343"/>
      <c r="J9095" s="343"/>
      <c r="K9095" s="343"/>
      <c r="L9095" s="343"/>
    </row>
    <row r="9096" spans="4:12" x14ac:dyDescent="0.2">
      <c r="D9096" s="341"/>
      <c r="F9096" s="343"/>
      <c r="G9096" s="343"/>
      <c r="H9096" s="343"/>
      <c r="I9096" s="343"/>
      <c r="J9096" s="343"/>
      <c r="K9096" s="343"/>
      <c r="L9096" s="343"/>
    </row>
    <row r="9097" spans="4:12" x14ac:dyDescent="0.2">
      <c r="D9097" s="341"/>
      <c r="F9097" s="343"/>
      <c r="G9097" s="343"/>
      <c r="H9097" s="343"/>
      <c r="I9097" s="343"/>
      <c r="J9097" s="343"/>
      <c r="K9097" s="343"/>
      <c r="L9097" s="343"/>
    </row>
    <row r="9098" spans="4:12" x14ac:dyDescent="0.2">
      <c r="D9098" s="341"/>
      <c r="F9098" s="343"/>
      <c r="G9098" s="343"/>
      <c r="H9098" s="343"/>
      <c r="I9098" s="343"/>
      <c r="J9098" s="343"/>
      <c r="K9098" s="343"/>
      <c r="L9098" s="343"/>
    </row>
    <row r="9099" spans="4:12" x14ac:dyDescent="0.2">
      <c r="D9099" s="341"/>
      <c r="F9099" s="343"/>
      <c r="G9099" s="343"/>
      <c r="H9099" s="343"/>
      <c r="I9099" s="343"/>
      <c r="J9099" s="343"/>
      <c r="K9099" s="343"/>
      <c r="L9099" s="343"/>
    </row>
    <row r="9100" spans="4:12" x14ac:dyDescent="0.2">
      <c r="D9100" s="341"/>
      <c r="F9100" s="343"/>
      <c r="G9100" s="343"/>
      <c r="H9100" s="343"/>
      <c r="I9100" s="343"/>
      <c r="J9100" s="343"/>
      <c r="K9100" s="343"/>
      <c r="L9100" s="343"/>
    </row>
    <row r="9101" spans="4:12" x14ac:dyDescent="0.2">
      <c r="D9101" s="341"/>
      <c r="F9101" s="343"/>
      <c r="G9101" s="343"/>
      <c r="H9101" s="343"/>
      <c r="I9101" s="343"/>
      <c r="J9101" s="343"/>
      <c r="K9101" s="343"/>
      <c r="L9101" s="343"/>
    </row>
    <row r="9102" spans="4:12" x14ac:dyDescent="0.2">
      <c r="D9102" s="341"/>
      <c r="F9102" s="343"/>
      <c r="G9102" s="343"/>
      <c r="H9102" s="343"/>
      <c r="I9102" s="343"/>
      <c r="J9102" s="343"/>
      <c r="K9102" s="343"/>
      <c r="L9102" s="343"/>
    </row>
    <row r="9103" spans="4:12" x14ac:dyDescent="0.2">
      <c r="D9103" s="341"/>
      <c r="F9103" s="343"/>
      <c r="G9103" s="343"/>
      <c r="H9103" s="343"/>
      <c r="I9103" s="343"/>
      <c r="J9103" s="343"/>
      <c r="K9103" s="343"/>
      <c r="L9103" s="343"/>
    </row>
    <row r="9104" spans="4:12" x14ac:dyDescent="0.2">
      <c r="D9104" s="341"/>
      <c r="F9104" s="343"/>
      <c r="G9104" s="343"/>
      <c r="H9104" s="343"/>
      <c r="I9104" s="343"/>
      <c r="J9104" s="343"/>
      <c r="K9104" s="343"/>
      <c r="L9104" s="343"/>
    </row>
    <row r="9105" spans="4:12" x14ac:dyDescent="0.2">
      <c r="D9105" s="341"/>
      <c r="F9105" s="343"/>
      <c r="G9105" s="343"/>
      <c r="H9105" s="343"/>
      <c r="I9105" s="343"/>
      <c r="J9105" s="343"/>
      <c r="K9105" s="343"/>
      <c r="L9105" s="343"/>
    </row>
    <row r="9106" spans="4:12" x14ac:dyDescent="0.2">
      <c r="D9106" s="341"/>
      <c r="F9106" s="343"/>
      <c r="G9106" s="343"/>
      <c r="H9106" s="343"/>
      <c r="I9106" s="343"/>
      <c r="J9106" s="343"/>
      <c r="K9106" s="343"/>
      <c r="L9106" s="343"/>
    </row>
    <row r="9107" spans="4:12" x14ac:dyDescent="0.2">
      <c r="D9107" s="341"/>
      <c r="F9107" s="343"/>
      <c r="G9107" s="343"/>
      <c r="H9107" s="343"/>
      <c r="I9107" s="343"/>
      <c r="J9107" s="343"/>
      <c r="K9107" s="343"/>
      <c r="L9107" s="343"/>
    </row>
    <row r="9108" spans="4:12" x14ac:dyDescent="0.2">
      <c r="D9108" s="341"/>
      <c r="F9108" s="343"/>
      <c r="G9108" s="343"/>
      <c r="H9108" s="343"/>
      <c r="I9108" s="343"/>
      <c r="J9108" s="343"/>
      <c r="K9108" s="343"/>
      <c r="L9108" s="343"/>
    </row>
    <row r="9109" spans="4:12" x14ac:dyDescent="0.2">
      <c r="D9109" s="341"/>
      <c r="F9109" s="343"/>
      <c r="G9109" s="343"/>
      <c r="H9109" s="343"/>
      <c r="I9109" s="343"/>
      <c r="J9109" s="343"/>
      <c r="K9109" s="343"/>
      <c r="L9109" s="343"/>
    </row>
    <row r="9110" spans="4:12" x14ac:dyDescent="0.2">
      <c r="D9110" s="341"/>
      <c r="F9110" s="343"/>
      <c r="G9110" s="343"/>
      <c r="H9110" s="343"/>
      <c r="I9110" s="343"/>
      <c r="J9110" s="343"/>
      <c r="K9110" s="343"/>
      <c r="L9110" s="343"/>
    </row>
    <row r="9111" spans="4:12" x14ac:dyDescent="0.2">
      <c r="D9111" s="341"/>
      <c r="F9111" s="343"/>
      <c r="G9111" s="343"/>
      <c r="H9111" s="343"/>
      <c r="I9111" s="343"/>
      <c r="J9111" s="343"/>
      <c r="K9111" s="343"/>
      <c r="L9111" s="343"/>
    </row>
    <row r="9112" spans="4:12" x14ac:dyDescent="0.2">
      <c r="D9112" s="341"/>
      <c r="F9112" s="343"/>
      <c r="G9112" s="343"/>
      <c r="H9112" s="343"/>
      <c r="I9112" s="343"/>
      <c r="J9112" s="343"/>
      <c r="K9112" s="343"/>
      <c r="L9112" s="343"/>
    </row>
    <row r="9113" spans="4:12" x14ac:dyDescent="0.2">
      <c r="D9113" s="341"/>
      <c r="F9113" s="343"/>
      <c r="G9113" s="343"/>
      <c r="H9113" s="343"/>
      <c r="I9113" s="343"/>
      <c r="J9113" s="343"/>
      <c r="K9113" s="343"/>
      <c r="L9113" s="343"/>
    </row>
    <row r="9114" spans="4:12" x14ac:dyDescent="0.2">
      <c r="D9114" s="341"/>
      <c r="F9114" s="343"/>
      <c r="G9114" s="343"/>
      <c r="H9114" s="343"/>
      <c r="I9114" s="343"/>
      <c r="J9114" s="343"/>
      <c r="K9114" s="343"/>
      <c r="L9114" s="343"/>
    </row>
    <row r="9115" spans="4:12" x14ac:dyDescent="0.2">
      <c r="D9115" s="341"/>
      <c r="F9115" s="343"/>
      <c r="G9115" s="343"/>
      <c r="H9115" s="343"/>
      <c r="I9115" s="343"/>
      <c r="J9115" s="343"/>
      <c r="K9115" s="343"/>
      <c r="L9115" s="343"/>
    </row>
    <row r="9116" spans="4:12" x14ac:dyDescent="0.2">
      <c r="D9116" s="341"/>
      <c r="F9116" s="343"/>
      <c r="G9116" s="343"/>
      <c r="H9116" s="343"/>
      <c r="I9116" s="343"/>
      <c r="J9116" s="343"/>
      <c r="K9116" s="343"/>
      <c r="L9116" s="343"/>
    </row>
    <row r="9117" spans="4:12" x14ac:dyDescent="0.2">
      <c r="D9117" s="341"/>
      <c r="F9117" s="343"/>
      <c r="G9117" s="343"/>
      <c r="H9117" s="343"/>
      <c r="I9117" s="343"/>
      <c r="J9117" s="343"/>
      <c r="K9117" s="343"/>
      <c r="L9117" s="343"/>
    </row>
    <row r="9118" spans="4:12" x14ac:dyDescent="0.2">
      <c r="D9118" s="341"/>
      <c r="F9118" s="343"/>
      <c r="G9118" s="343"/>
      <c r="H9118" s="343"/>
      <c r="I9118" s="343"/>
      <c r="J9118" s="343"/>
      <c r="K9118" s="343"/>
      <c r="L9118" s="343"/>
    </row>
    <row r="9119" spans="4:12" x14ac:dyDescent="0.2">
      <c r="D9119" s="341"/>
      <c r="F9119" s="343"/>
      <c r="G9119" s="343"/>
      <c r="H9119" s="343"/>
      <c r="I9119" s="343"/>
      <c r="J9119" s="343"/>
      <c r="K9119" s="343"/>
      <c r="L9119" s="343"/>
    </row>
    <row r="9120" spans="4:12" x14ac:dyDescent="0.2">
      <c r="D9120" s="341"/>
      <c r="F9120" s="343"/>
      <c r="G9120" s="343"/>
      <c r="H9120" s="343"/>
      <c r="I9120" s="343"/>
      <c r="J9120" s="343"/>
      <c r="K9120" s="343"/>
      <c r="L9120" s="343"/>
    </row>
    <row r="9121" spans="4:12" x14ac:dyDescent="0.2">
      <c r="D9121" s="341"/>
      <c r="F9121" s="343"/>
      <c r="G9121" s="343"/>
      <c r="H9121" s="343"/>
      <c r="I9121" s="343"/>
      <c r="J9121" s="343"/>
      <c r="K9121" s="343"/>
      <c r="L9121" s="343"/>
    </row>
    <row r="9122" spans="4:12" x14ac:dyDescent="0.2">
      <c r="D9122" s="341"/>
      <c r="F9122" s="343"/>
      <c r="G9122" s="343"/>
      <c r="H9122" s="343"/>
      <c r="I9122" s="343"/>
      <c r="J9122" s="343"/>
      <c r="K9122" s="343"/>
      <c r="L9122" s="343"/>
    </row>
    <row r="9123" spans="4:12" x14ac:dyDescent="0.2">
      <c r="D9123" s="341"/>
      <c r="F9123" s="343"/>
      <c r="G9123" s="343"/>
      <c r="H9123" s="343"/>
      <c r="I9123" s="343"/>
      <c r="J9123" s="343"/>
      <c r="K9123" s="343"/>
      <c r="L9123" s="343"/>
    </row>
    <row r="9124" spans="4:12" x14ac:dyDescent="0.2">
      <c r="D9124" s="341"/>
      <c r="F9124" s="343"/>
      <c r="G9124" s="343"/>
      <c r="H9124" s="343"/>
      <c r="I9124" s="343"/>
      <c r="J9124" s="343"/>
      <c r="K9124" s="343"/>
      <c r="L9124" s="343"/>
    </row>
    <row r="9125" spans="4:12" x14ac:dyDescent="0.2">
      <c r="D9125" s="341"/>
      <c r="F9125" s="343"/>
      <c r="G9125" s="343"/>
      <c r="H9125" s="343"/>
      <c r="I9125" s="343"/>
      <c r="J9125" s="343"/>
      <c r="K9125" s="343"/>
      <c r="L9125" s="343"/>
    </row>
    <row r="9126" spans="4:12" x14ac:dyDescent="0.2">
      <c r="D9126" s="341"/>
      <c r="F9126" s="343"/>
      <c r="G9126" s="343"/>
      <c r="H9126" s="343"/>
      <c r="I9126" s="343"/>
      <c r="J9126" s="343"/>
      <c r="K9126" s="343"/>
      <c r="L9126" s="343"/>
    </row>
    <row r="9127" spans="4:12" x14ac:dyDescent="0.2">
      <c r="D9127" s="341"/>
      <c r="F9127" s="343"/>
      <c r="G9127" s="343"/>
      <c r="H9127" s="343"/>
      <c r="I9127" s="343"/>
      <c r="J9127" s="343"/>
      <c r="K9127" s="343"/>
      <c r="L9127" s="343"/>
    </row>
    <row r="9128" spans="4:12" x14ac:dyDescent="0.2">
      <c r="D9128" s="341"/>
      <c r="F9128" s="343"/>
      <c r="G9128" s="343"/>
      <c r="H9128" s="343"/>
      <c r="I9128" s="343"/>
      <c r="J9128" s="343"/>
      <c r="K9128" s="343"/>
      <c r="L9128" s="343"/>
    </row>
    <row r="9129" spans="4:12" x14ac:dyDescent="0.2">
      <c r="D9129" s="341"/>
      <c r="F9129" s="343"/>
      <c r="G9129" s="343"/>
      <c r="H9129" s="343"/>
      <c r="I9129" s="343"/>
      <c r="J9129" s="343"/>
      <c r="K9129" s="343"/>
      <c r="L9129" s="343"/>
    </row>
    <row r="9130" spans="4:12" x14ac:dyDescent="0.2">
      <c r="D9130" s="341"/>
      <c r="F9130" s="343"/>
      <c r="G9130" s="343"/>
      <c r="H9130" s="343"/>
      <c r="I9130" s="343"/>
      <c r="J9130" s="343"/>
      <c r="K9130" s="343"/>
      <c r="L9130" s="343"/>
    </row>
    <row r="9131" spans="4:12" x14ac:dyDescent="0.2">
      <c r="D9131" s="341"/>
      <c r="F9131" s="343"/>
      <c r="G9131" s="343"/>
      <c r="H9131" s="343"/>
      <c r="I9131" s="343"/>
      <c r="J9131" s="343"/>
      <c r="K9131" s="343"/>
      <c r="L9131" s="343"/>
    </row>
    <row r="9132" spans="4:12" x14ac:dyDescent="0.2">
      <c r="D9132" s="341"/>
      <c r="F9132" s="343"/>
      <c r="G9132" s="343"/>
      <c r="H9132" s="343"/>
      <c r="I9132" s="343"/>
      <c r="J9132" s="343"/>
      <c r="K9132" s="343"/>
      <c r="L9132" s="343"/>
    </row>
    <row r="9133" spans="4:12" x14ac:dyDescent="0.2">
      <c r="D9133" s="341"/>
      <c r="F9133" s="343"/>
      <c r="G9133" s="343"/>
      <c r="H9133" s="343"/>
      <c r="I9133" s="343"/>
      <c r="J9133" s="343"/>
      <c r="K9133" s="343"/>
      <c r="L9133" s="343"/>
    </row>
    <row r="9134" spans="4:12" x14ac:dyDescent="0.2">
      <c r="D9134" s="341"/>
      <c r="F9134" s="343"/>
      <c r="G9134" s="343"/>
      <c r="H9134" s="343"/>
      <c r="I9134" s="343"/>
      <c r="J9134" s="343"/>
      <c r="K9134" s="343"/>
      <c r="L9134" s="343"/>
    </row>
    <row r="9135" spans="4:12" x14ac:dyDescent="0.2">
      <c r="D9135" s="341"/>
      <c r="F9135" s="343"/>
      <c r="G9135" s="343"/>
      <c r="H9135" s="343"/>
      <c r="I9135" s="343"/>
      <c r="J9135" s="343"/>
      <c r="K9135" s="343"/>
      <c r="L9135" s="343"/>
    </row>
    <row r="9136" spans="4:12" x14ac:dyDescent="0.2">
      <c r="D9136" s="341"/>
      <c r="F9136" s="343"/>
      <c r="G9136" s="343"/>
      <c r="H9136" s="343"/>
      <c r="I9136" s="343"/>
      <c r="J9136" s="343"/>
      <c r="K9136" s="343"/>
      <c r="L9136" s="343"/>
    </row>
    <row r="9137" spans="4:12" x14ac:dyDescent="0.2">
      <c r="D9137" s="341"/>
      <c r="F9137" s="343"/>
      <c r="G9137" s="343"/>
      <c r="H9137" s="343"/>
      <c r="I9137" s="343"/>
      <c r="J9137" s="343"/>
      <c r="K9137" s="343"/>
      <c r="L9137" s="343"/>
    </row>
    <row r="9138" spans="4:12" x14ac:dyDescent="0.2">
      <c r="D9138" s="341"/>
      <c r="F9138" s="343"/>
      <c r="G9138" s="343"/>
      <c r="H9138" s="343"/>
      <c r="I9138" s="343"/>
      <c r="J9138" s="343"/>
      <c r="K9138" s="343"/>
      <c r="L9138" s="343"/>
    </row>
    <row r="9139" spans="4:12" x14ac:dyDescent="0.2">
      <c r="D9139" s="341"/>
      <c r="F9139" s="343"/>
      <c r="G9139" s="343"/>
      <c r="H9139" s="343"/>
      <c r="I9139" s="343"/>
      <c r="J9139" s="343"/>
      <c r="K9139" s="343"/>
      <c r="L9139" s="343"/>
    </row>
    <row r="9140" spans="4:12" x14ac:dyDescent="0.2">
      <c r="D9140" s="341"/>
      <c r="F9140" s="343"/>
      <c r="G9140" s="343"/>
      <c r="H9140" s="343"/>
      <c r="I9140" s="343"/>
      <c r="J9140" s="343"/>
      <c r="K9140" s="343"/>
      <c r="L9140" s="343"/>
    </row>
    <row r="9141" spans="4:12" x14ac:dyDescent="0.2">
      <c r="D9141" s="341"/>
      <c r="F9141" s="343"/>
      <c r="G9141" s="343"/>
      <c r="H9141" s="343"/>
      <c r="I9141" s="343"/>
      <c r="J9141" s="343"/>
      <c r="K9141" s="343"/>
      <c r="L9141" s="343"/>
    </row>
    <row r="9142" spans="4:12" x14ac:dyDescent="0.2">
      <c r="D9142" s="341"/>
      <c r="F9142" s="343"/>
      <c r="G9142" s="343"/>
      <c r="H9142" s="343"/>
      <c r="I9142" s="343"/>
      <c r="J9142" s="343"/>
      <c r="K9142" s="343"/>
      <c r="L9142" s="343"/>
    </row>
    <row r="9143" spans="4:12" x14ac:dyDescent="0.2">
      <c r="D9143" s="341"/>
      <c r="F9143" s="343"/>
      <c r="G9143" s="343"/>
      <c r="H9143" s="343"/>
      <c r="I9143" s="343"/>
      <c r="J9143" s="343"/>
      <c r="K9143" s="343"/>
      <c r="L9143" s="343"/>
    </row>
    <row r="9144" spans="4:12" x14ac:dyDescent="0.2">
      <c r="D9144" s="341"/>
      <c r="F9144" s="343"/>
      <c r="G9144" s="343"/>
      <c r="H9144" s="343"/>
      <c r="I9144" s="343"/>
      <c r="J9144" s="343"/>
      <c r="K9144" s="343"/>
      <c r="L9144" s="343"/>
    </row>
    <row r="9145" spans="4:12" x14ac:dyDescent="0.2">
      <c r="D9145" s="341"/>
      <c r="F9145" s="343"/>
      <c r="G9145" s="343"/>
      <c r="H9145" s="343"/>
      <c r="I9145" s="343"/>
      <c r="J9145" s="343"/>
      <c r="K9145" s="343"/>
      <c r="L9145" s="343"/>
    </row>
    <row r="9146" spans="4:12" x14ac:dyDescent="0.2">
      <c r="D9146" s="341"/>
      <c r="F9146" s="343"/>
      <c r="G9146" s="343"/>
      <c r="H9146" s="343"/>
      <c r="I9146" s="343"/>
      <c r="J9146" s="343"/>
      <c r="K9146" s="343"/>
      <c r="L9146" s="343"/>
    </row>
    <row r="9147" spans="4:12" x14ac:dyDescent="0.2">
      <c r="D9147" s="341"/>
      <c r="F9147" s="343"/>
      <c r="G9147" s="343"/>
      <c r="H9147" s="343"/>
      <c r="I9147" s="343"/>
      <c r="J9147" s="343"/>
      <c r="K9147" s="343"/>
      <c r="L9147" s="343"/>
    </row>
    <row r="9148" spans="4:12" x14ac:dyDescent="0.2">
      <c r="D9148" s="341"/>
      <c r="F9148" s="343"/>
      <c r="G9148" s="343"/>
      <c r="H9148" s="343"/>
      <c r="I9148" s="343"/>
      <c r="J9148" s="343"/>
      <c r="K9148" s="343"/>
      <c r="L9148" s="343"/>
    </row>
    <row r="9149" spans="4:12" x14ac:dyDescent="0.2">
      <c r="D9149" s="341"/>
      <c r="F9149" s="343"/>
      <c r="G9149" s="343"/>
      <c r="H9149" s="343"/>
      <c r="I9149" s="343"/>
      <c r="J9149" s="343"/>
      <c r="K9149" s="343"/>
      <c r="L9149" s="343"/>
    </row>
    <row r="9150" spans="4:12" x14ac:dyDescent="0.2">
      <c r="D9150" s="341"/>
      <c r="F9150" s="343"/>
      <c r="G9150" s="343"/>
      <c r="H9150" s="343"/>
      <c r="I9150" s="343"/>
      <c r="J9150" s="343"/>
      <c r="K9150" s="343"/>
      <c r="L9150" s="343"/>
    </row>
    <row r="9151" spans="4:12" x14ac:dyDescent="0.2">
      <c r="D9151" s="341"/>
      <c r="F9151" s="343"/>
      <c r="G9151" s="343"/>
      <c r="H9151" s="343"/>
      <c r="I9151" s="343"/>
      <c r="J9151" s="343"/>
      <c r="K9151" s="343"/>
      <c r="L9151" s="343"/>
    </row>
    <row r="9152" spans="4:12" x14ac:dyDescent="0.2">
      <c r="D9152" s="341"/>
      <c r="F9152" s="343"/>
      <c r="G9152" s="343"/>
      <c r="H9152" s="343"/>
      <c r="I9152" s="343"/>
      <c r="J9152" s="343"/>
      <c r="K9152" s="343"/>
      <c r="L9152" s="343"/>
    </row>
    <row r="9153" spans="4:12" x14ac:dyDescent="0.2">
      <c r="D9153" s="341"/>
      <c r="F9153" s="343"/>
      <c r="G9153" s="343"/>
      <c r="H9153" s="343"/>
      <c r="I9153" s="343"/>
      <c r="J9153" s="343"/>
      <c r="K9153" s="343"/>
      <c r="L9153" s="343"/>
    </row>
    <row r="9154" spans="4:12" x14ac:dyDescent="0.2">
      <c r="D9154" s="341"/>
      <c r="F9154" s="343"/>
      <c r="G9154" s="343"/>
      <c r="H9154" s="343"/>
      <c r="I9154" s="343"/>
      <c r="J9154" s="343"/>
      <c r="K9154" s="343"/>
      <c r="L9154" s="343"/>
    </row>
    <row r="9155" spans="4:12" x14ac:dyDescent="0.2">
      <c r="D9155" s="341"/>
      <c r="F9155" s="343"/>
      <c r="G9155" s="343"/>
      <c r="H9155" s="343"/>
      <c r="I9155" s="343"/>
      <c r="J9155" s="343"/>
      <c r="K9155" s="343"/>
      <c r="L9155" s="343"/>
    </row>
    <row r="9156" spans="4:12" x14ac:dyDescent="0.2">
      <c r="D9156" s="341"/>
      <c r="F9156" s="343"/>
      <c r="G9156" s="343"/>
      <c r="H9156" s="343"/>
      <c r="I9156" s="343"/>
      <c r="J9156" s="343"/>
      <c r="K9156" s="343"/>
      <c r="L9156" s="343"/>
    </row>
    <row r="9157" spans="4:12" x14ac:dyDescent="0.2">
      <c r="D9157" s="341"/>
      <c r="F9157" s="343"/>
      <c r="G9157" s="343"/>
      <c r="H9157" s="343"/>
      <c r="I9157" s="343"/>
      <c r="J9157" s="343"/>
      <c r="K9157" s="343"/>
      <c r="L9157" s="343"/>
    </row>
    <row r="9158" spans="4:12" x14ac:dyDescent="0.2">
      <c r="D9158" s="341"/>
      <c r="F9158" s="343"/>
      <c r="G9158" s="343"/>
      <c r="H9158" s="343"/>
      <c r="I9158" s="343"/>
      <c r="J9158" s="343"/>
      <c r="K9158" s="343"/>
      <c r="L9158" s="343"/>
    </row>
    <row r="9159" spans="4:12" x14ac:dyDescent="0.2">
      <c r="D9159" s="341"/>
      <c r="F9159" s="343"/>
      <c r="G9159" s="343"/>
      <c r="H9159" s="343"/>
      <c r="I9159" s="343"/>
      <c r="J9159" s="343"/>
      <c r="K9159" s="343"/>
      <c r="L9159" s="343"/>
    </row>
    <row r="9160" spans="4:12" x14ac:dyDescent="0.2">
      <c r="D9160" s="341"/>
      <c r="F9160" s="343"/>
      <c r="G9160" s="343"/>
      <c r="H9160" s="343"/>
      <c r="I9160" s="343"/>
      <c r="J9160" s="343"/>
      <c r="K9160" s="343"/>
      <c r="L9160" s="343"/>
    </row>
    <row r="9161" spans="4:12" x14ac:dyDescent="0.2">
      <c r="D9161" s="341"/>
      <c r="F9161" s="343"/>
      <c r="G9161" s="343"/>
      <c r="H9161" s="343"/>
      <c r="I9161" s="343"/>
      <c r="J9161" s="343"/>
      <c r="K9161" s="343"/>
      <c r="L9161" s="343"/>
    </row>
    <row r="9162" spans="4:12" x14ac:dyDescent="0.2">
      <c r="D9162" s="341"/>
      <c r="F9162" s="343"/>
      <c r="G9162" s="343"/>
      <c r="H9162" s="343"/>
      <c r="I9162" s="343"/>
      <c r="J9162" s="343"/>
      <c r="K9162" s="343"/>
      <c r="L9162" s="343"/>
    </row>
    <row r="9163" spans="4:12" x14ac:dyDescent="0.2">
      <c r="D9163" s="341"/>
      <c r="F9163" s="343"/>
      <c r="G9163" s="343"/>
      <c r="H9163" s="343"/>
      <c r="I9163" s="343"/>
      <c r="J9163" s="343"/>
      <c r="K9163" s="343"/>
      <c r="L9163" s="343"/>
    </row>
    <row r="9164" spans="4:12" x14ac:dyDescent="0.2">
      <c r="D9164" s="341"/>
      <c r="F9164" s="343"/>
      <c r="G9164" s="343"/>
      <c r="H9164" s="343"/>
      <c r="I9164" s="343"/>
      <c r="J9164" s="343"/>
      <c r="K9164" s="343"/>
      <c r="L9164" s="343"/>
    </row>
    <row r="9165" spans="4:12" x14ac:dyDescent="0.2">
      <c r="D9165" s="341"/>
      <c r="F9165" s="343"/>
      <c r="G9165" s="343"/>
      <c r="H9165" s="343"/>
      <c r="I9165" s="343"/>
      <c r="J9165" s="343"/>
      <c r="K9165" s="343"/>
      <c r="L9165" s="343"/>
    </row>
    <row r="9166" spans="4:12" x14ac:dyDescent="0.2">
      <c r="D9166" s="341"/>
      <c r="F9166" s="343"/>
      <c r="G9166" s="343"/>
      <c r="H9166" s="343"/>
      <c r="I9166" s="343"/>
      <c r="J9166" s="343"/>
      <c r="K9166" s="343"/>
      <c r="L9166" s="343"/>
    </row>
    <row r="9167" spans="4:12" x14ac:dyDescent="0.2">
      <c r="D9167" s="341"/>
      <c r="F9167" s="343"/>
      <c r="G9167" s="343"/>
      <c r="H9167" s="343"/>
      <c r="I9167" s="343"/>
      <c r="J9167" s="343"/>
      <c r="K9167" s="343"/>
      <c r="L9167" s="343"/>
    </row>
    <row r="9168" spans="4:12" x14ac:dyDescent="0.2">
      <c r="D9168" s="341"/>
      <c r="F9168" s="343"/>
      <c r="G9168" s="343"/>
      <c r="H9168" s="343"/>
      <c r="I9168" s="343"/>
      <c r="J9168" s="343"/>
      <c r="K9168" s="343"/>
      <c r="L9168" s="343"/>
    </row>
    <row r="9169" spans="4:12" x14ac:dyDescent="0.2">
      <c r="D9169" s="341"/>
      <c r="F9169" s="343"/>
      <c r="G9169" s="343"/>
      <c r="H9169" s="343"/>
      <c r="I9169" s="343"/>
      <c r="J9169" s="343"/>
      <c r="K9169" s="343"/>
      <c r="L9169" s="343"/>
    </row>
    <row r="9170" spans="4:12" x14ac:dyDescent="0.2">
      <c r="D9170" s="341"/>
      <c r="F9170" s="343"/>
      <c r="G9170" s="343"/>
      <c r="H9170" s="343"/>
      <c r="I9170" s="343"/>
      <c r="J9170" s="343"/>
      <c r="K9170" s="343"/>
      <c r="L9170" s="343"/>
    </row>
    <row r="9171" spans="4:12" x14ac:dyDescent="0.2">
      <c r="D9171" s="341"/>
      <c r="F9171" s="343"/>
      <c r="G9171" s="343"/>
      <c r="H9171" s="343"/>
      <c r="I9171" s="343"/>
      <c r="J9171" s="343"/>
      <c r="K9171" s="343"/>
      <c r="L9171" s="343"/>
    </row>
    <row r="9172" spans="4:12" x14ac:dyDescent="0.2">
      <c r="D9172" s="341"/>
      <c r="F9172" s="343"/>
      <c r="G9172" s="343"/>
      <c r="H9172" s="343"/>
      <c r="I9172" s="343"/>
      <c r="J9172" s="343"/>
      <c r="K9172" s="343"/>
      <c r="L9172" s="343"/>
    </row>
    <row r="9173" spans="4:12" x14ac:dyDescent="0.2">
      <c r="D9173" s="341"/>
      <c r="F9173" s="343"/>
      <c r="G9173" s="343"/>
      <c r="H9173" s="343"/>
      <c r="I9173" s="343"/>
      <c r="J9173" s="343"/>
      <c r="K9173" s="343"/>
      <c r="L9173" s="343"/>
    </row>
    <row r="9174" spans="4:12" x14ac:dyDescent="0.2">
      <c r="D9174" s="341"/>
      <c r="F9174" s="343"/>
      <c r="G9174" s="343"/>
      <c r="H9174" s="343"/>
      <c r="I9174" s="343"/>
      <c r="J9174" s="343"/>
      <c r="K9174" s="343"/>
      <c r="L9174" s="343"/>
    </row>
    <row r="9175" spans="4:12" x14ac:dyDescent="0.2">
      <c r="D9175" s="341"/>
      <c r="F9175" s="343"/>
      <c r="G9175" s="343"/>
      <c r="H9175" s="343"/>
      <c r="I9175" s="343"/>
      <c r="J9175" s="343"/>
      <c r="K9175" s="343"/>
      <c r="L9175" s="343"/>
    </row>
    <row r="9176" spans="4:12" x14ac:dyDescent="0.2">
      <c r="D9176" s="341"/>
      <c r="F9176" s="343"/>
      <c r="G9176" s="343"/>
      <c r="H9176" s="343"/>
      <c r="I9176" s="343"/>
      <c r="J9176" s="343"/>
      <c r="K9176" s="343"/>
      <c r="L9176" s="343"/>
    </row>
    <row r="9177" spans="4:12" x14ac:dyDescent="0.2">
      <c r="D9177" s="341"/>
      <c r="F9177" s="343"/>
      <c r="G9177" s="343"/>
      <c r="H9177" s="343"/>
      <c r="I9177" s="343"/>
      <c r="J9177" s="343"/>
      <c r="K9177" s="343"/>
      <c r="L9177" s="343"/>
    </row>
    <row r="9178" spans="4:12" x14ac:dyDescent="0.2">
      <c r="D9178" s="341"/>
      <c r="F9178" s="343"/>
      <c r="G9178" s="343"/>
      <c r="H9178" s="343"/>
      <c r="I9178" s="343"/>
      <c r="J9178" s="343"/>
      <c r="K9178" s="343"/>
      <c r="L9178" s="343"/>
    </row>
    <row r="9179" spans="4:12" x14ac:dyDescent="0.2">
      <c r="D9179" s="341"/>
      <c r="F9179" s="343"/>
      <c r="G9179" s="343"/>
      <c r="H9179" s="343"/>
      <c r="I9179" s="343"/>
      <c r="J9179" s="343"/>
      <c r="K9179" s="343"/>
      <c r="L9179" s="343"/>
    </row>
    <row r="9180" spans="4:12" x14ac:dyDescent="0.2">
      <c r="D9180" s="341"/>
      <c r="F9180" s="343"/>
      <c r="G9180" s="343"/>
      <c r="H9180" s="343"/>
      <c r="I9180" s="343"/>
      <c r="J9180" s="343"/>
      <c r="K9180" s="343"/>
      <c r="L9180" s="343"/>
    </row>
    <row r="9181" spans="4:12" x14ac:dyDescent="0.2">
      <c r="D9181" s="341"/>
      <c r="F9181" s="343"/>
      <c r="G9181" s="343"/>
      <c r="H9181" s="343"/>
      <c r="I9181" s="343"/>
      <c r="J9181" s="343"/>
      <c r="K9181" s="343"/>
      <c r="L9181" s="343"/>
    </row>
    <row r="9182" spans="4:12" x14ac:dyDescent="0.2">
      <c r="D9182" s="341"/>
      <c r="F9182" s="343"/>
      <c r="G9182" s="343"/>
      <c r="H9182" s="343"/>
      <c r="I9182" s="343"/>
      <c r="J9182" s="343"/>
      <c r="K9182" s="343"/>
      <c r="L9182" s="343"/>
    </row>
    <row r="9183" spans="4:12" x14ac:dyDescent="0.2">
      <c r="D9183" s="341"/>
      <c r="F9183" s="343"/>
      <c r="G9183" s="343"/>
      <c r="H9183" s="343"/>
      <c r="I9183" s="343"/>
      <c r="J9183" s="343"/>
      <c r="K9183" s="343"/>
      <c r="L9183" s="343"/>
    </row>
    <row r="9184" spans="4:12" x14ac:dyDescent="0.2">
      <c r="D9184" s="341"/>
      <c r="F9184" s="343"/>
      <c r="G9184" s="343"/>
      <c r="H9184" s="343"/>
      <c r="I9184" s="343"/>
      <c r="J9184" s="343"/>
      <c r="K9184" s="343"/>
      <c r="L9184" s="343"/>
    </row>
    <row r="9185" spans="4:12" x14ac:dyDescent="0.2">
      <c r="D9185" s="341"/>
      <c r="F9185" s="343"/>
      <c r="G9185" s="343"/>
      <c r="H9185" s="343"/>
      <c r="I9185" s="343"/>
      <c r="J9185" s="343"/>
      <c r="K9185" s="343"/>
      <c r="L9185" s="343"/>
    </row>
    <row r="9186" spans="4:12" x14ac:dyDescent="0.2">
      <c r="D9186" s="341"/>
      <c r="F9186" s="343"/>
      <c r="G9186" s="343"/>
      <c r="H9186" s="343"/>
      <c r="I9186" s="343"/>
      <c r="J9186" s="343"/>
      <c r="K9186" s="343"/>
      <c r="L9186" s="343"/>
    </row>
    <row r="9187" spans="4:12" x14ac:dyDescent="0.2">
      <c r="D9187" s="341"/>
      <c r="F9187" s="343"/>
      <c r="G9187" s="343"/>
      <c r="H9187" s="343"/>
      <c r="I9187" s="343"/>
      <c r="J9187" s="343"/>
      <c r="K9187" s="343"/>
      <c r="L9187" s="343"/>
    </row>
    <row r="9188" spans="4:12" x14ac:dyDescent="0.2">
      <c r="D9188" s="341"/>
      <c r="F9188" s="343"/>
      <c r="G9188" s="343"/>
      <c r="H9188" s="343"/>
      <c r="I9188" s="343"/>
      <c r="J9188" s="343"/>
      <c r="K9188" s="343"/>
      <c r="L9188" s="343"/>
    </row>
    <row r="9189" spans="4:12" x14ac:dyDescent="0.2">
      <c r="D9189" s="341"/>
      <c r="F9189" s="343"/>
      <c r="G9189" s="343"/>
      <c r="H9189" s="343"/>
      <c r="I9189" s="343"/>
      <c r="J9189" s="343"/>
      <c r="K9189" s="343"/>
      <c r="L9189" s="343"/>
    </row>
    <row r="9190" spans="4:12" x14ac:dyDescent="0.2">
      <c r="D9190" s="341"/>
      <c r="F9190" s="343"/>
      <c r="G9190" s="343"/>
      <c r="H9190" s="343"/>
      <c r="I9190" s="343"/>
      <c r="J9190" s="343"/>
      <c r="K9190" s="343"/>
      <c r="L9190" s="343"/>
    </row>
    <row r="9191" spans="4:12" x14ac:dyDescent="0.2">
      <c r="D9191" s="341"/>
      <c r="F9191" s="343"/>
      <c r="G9191" s="343"/>
      <c r="H9191" s="343"/>
      <c r="I9191" s="343"/>
      <c r="J9191" s="343"/>
      <c r="K9191" s="343"/>
      <c r="L9191" s="343"/>
    </row>
    <row r="9192" spans="4:12" x14ac:dyDescent="0.2">
      <c r="D9192" s="341"/>
      <c r="F9192" s="343"/>
      <c r="G9192" s="343"/>
      <c r="H9192" s="343"/>
      <c r="I9192" s="343"/>
      <c r="J9192" s="343"/>
      <c r="K9192" s="343"/>
      <c r="L9192" s="343"/>
    </row>
    <row r="9193" spans="4:12" x14ac:dyDescent="0.2">
      <c r="D9193" s="341"/>
      <c r="F9193" s="343"/>
      <c r="G9193" s="343"/>
      <c r="H9193" s="343"/>
      <c r="I9193" s="343"/>
      <c r="J9193" s="343"/>
      <c r="K9193" s="343"/>
      <c r="L9193" s="343"/>
    </row>
    <row r="9194" spans="4:12" x14ac:dyDescent="0.2">
      <c r="D9194" s="341"/>
      <c r="F9194" s="343"/>
      <c r="G9194" s="343"/>
      <c r="H9194" s="343"/>
      <c r="I9194" s="343"/>
      <c r="J9194" s="343"/>
      <c r="K9194" s="343"/>
      <c r="L9194" s="343"/>
    </row>
    <row r="9195" spans="4:12" x14ac:dyDescent="0.2">
      <c r="D9195" s="341"/>
      <c r="F9195" s="343"/>
      <c r="G9195" s="343"/>
      <c r="H9195" s="343"/>
      <c r="I9195" s="343"/>
      <c r="J9195" s="343"/>
      <c r="K9195" s="343"/>
      <c r="L9195" s="343"/>
    </row>
    <row r="9196" spans="4:12" x14ac:dyDescent="0.2">
      <c r="D9196" s="341"/>
      <c r="F9196" s="343"/>
      <c r="G9196" s="343"/>
      <c r="H9196" s="343"/>
      <c r="I9196" s="343"/>
      <c r="J9196" s="343"/>
      <c r="K9196" s="343"/>
      <c r="L9196" s="343"/>
    </row>
    <row r="9197" spans="4:12" x14ac:dyDescent="0.2">
      <c r="D9197" s="341"/>
      <c r="F9197" s="343"/>
      <c r="G9197" s="343"/>
      <c r="H9197" s="343"/>
      <c r="I9197" s="343"/>
      <c r="J9197" s="343"/>
      <c r="K9197" s="343"/>
      <c r="L9197" s="343"/>
    </row>
    <row r="9198" spans="4:12" x14ac:dyDescent="0.2">
      <c r="D9198" s="341"/>
      <c r="F9198" s="343"/>
      <c r="G9198" s="343"/>
      <c r="H9198" s="343"/>
      <c r="I9198" s="343"/>
      <c r="J9198" s="343"/>
      <c r="K9198" s="343"/>
      <c r="L9198" s="343"/>
    </row>
    <row r="9199" spans="4:12" x14ac:dyDescent="0.2">
      <c r="D9199" s="341"/>
      <c r="F9199" s="343"/>
      <c r="G9199" s="343"/>
      <c r="H9199" s="343"/>
      <c r="I9199" s="343"/>
      <c r="J9199" s="343"/>
      <c r="K9199" s="343"/>
      <c r="L9199" s="343"/>
    </row>
    <row r="9200" spans="4:12" x14ac:dyDescent="0.2">
      <c r="D9200" s="341"/>
      <c r="F9200" s="343"/>
      <c r="G9200" s="343"/>
      <c r="H9200" s="343"/>
      <c r="I9200" s="343"/>
      <c r="J9200" s="343"/>
      <c r="K9200" s="343"/>
      <c r="L9200" s="343"/>
    </row>
    <row r="9201" spans="4:12" x14ac:dyDescent="0.2">
      <c r="D9201" s="341"/>
      <c r="F9201" s="343"/>
      <c r="G9201" s="343"/>
      <c r="H9201" s="343"/>
      <c r="I9201" s="343"/>
      <c r="J9201" s="343"/>
      <c r="K9201" s="343"/>
      <c r="L9201" s="343"/>
    </row>
    <row r="9202" spans="4:12" x14ac:dyDescent="0.2">
      <c r="D9202" s="341"/>
      <c r="F9202" s="343"/>
      <c r="G9202" s="343"/>
      <c r="H9202" s="343"/>
      <c r="I9202" s="343"/>
      <c r="J9202" s="343"/>
      <c r="K9202" s="343"/>
      <c r="L9202" s="343"/>
    </row>
    <row r="9203" spans="4:12" x14ac:dyDescent="0.2">
      <c r="D9203" s="341"/>
      <c r="F9203" s="343"/>
      <c r="G9203" s="343"/>
      <c r="H9203" s="343"/>
      <c r="I9203" s="343"/>
      <c r="J9203" s="343"/>
      <c r="K9203" s="343"/>
      <c r="L9203" s="343"/>
    </row>
    <row r="9204" spans="4:12" x14ac:dyDescent="0.2">
      <c r="D9204" s="341"/>
      <c r="F9204" s="343"/>
      <c r="G9204" s="343"/>
      <c r="H9204" s="343"/>
      <c r="I9204" s="343"/>
      <c r="J9204" s="343"/>
      <c r="K9204" s="343"/>
      <c r="L9204" s="343"/>
    </row>
    <row r="9205" spans="4:12" x14ac:dyDescent="0.2">
      <c r="D9205" s="341"/>
      <c r="F9205" s="343"/>
      <c r="G9205" s="343"/>
      <c r="H9205" s="343"/>
      <c r="I9205" s="343"/>
      <c r="J9205" s="343"/>
      <c r="K9205" s="343"/>
      <c r="L9205" s="343"/>
    </row>
    <row r="9206" spans="4:12" x14ac:dyDescent="0.2">
      <c r="D9206" s="341"/>
      <c r="F9206" s="343"/>
      <c r="G9206" s="343"/>
      <c r="H9206" s="343"/>
      <c r="I9206" s="343"/>
      <c r="J9206" s="343"/>
      <c r="K9206" s="343"/>
      <c r="L9206" s="343"/>
    </row>
    <row r="9207" spans="4:12" x14ac:dyDescent="0.2">
      <c r="D9207" s="341"/>
      <c r="F9207" s="343"/>
      <c r="G9207" s="343"/>
      <c r="H9207" s="343"/>
      <c r="I9207" s="343"/>
      <c r="J9207" s="343"/>
      <c r="K9207" s="343"/>
      <c r="L9207" s="343"/>
    </row>
    <row r="9208" spans="4:12" x14ac:dyDescent="0.2">
      <c r="D9208" s="341"/>
      <c r="F9208" s="343"/>
      <c r="G9208" s="343"/>
      <c r="H9208" s="343"/>
      <c r="I9208" s="343"/>
      <c r="J9208" s="343"/>
      <c r="K9208" s="343"/>
      <c r="L9208" s="343"/>
    </row>
    <row r="9209" spans="4:12" x14ac:dyDescent="0.2">
      <c r="D9209" s="341"/>
      <c r="F9209" s="343"/>
      <c r="G9209" s="343"/>
      <c r="H9209" s="343"/>
      <c r="I9209" s="343"/>
      <c r="J9209" s="343"/>
      <c r="K9209" s="343"/>
      <c r="L9209" s="343"/>
    </row>
    <row r="9210" spans="4:12" x14ac:dyDescent="0.2">
      <c r="D9210" s="341"/>
      <c r="F9210" s="343"/>
      <c r="G9210" s="343"/>
      <c r="H9210" s="343"/>
      <c r="I9210" s="343"/>
      <c r="J9210" s="343"/>
      <c r="K9210" s="343"/>
      <c r="L9210" s="343"/>
    </row>
    <row r="9211" spans="4:12" x14ac:dyDescent="0.2">
      <c r="D9211" s="341"/>
      <c r="F9211" s="343"/>
      <c r="G9211" s="343"/>
      <c r="H9211" s="343"/>
      <c r="I9211" s="343"/>
      <c r="J9211" s="343"/>
      <c r="K9211" s="343"/>
      <c r="L9211" s="343"/>
    </row>
    <row r="9212" spans="4:12" x14ac:dyDescent="0.2">
      <c r="D9212" s="341"/>
      <c r="F9212" s="343"/>
      <c r="G9212" s="343"/>
      <c r="H9212" s="343"/>
      <c r="I9212" s="343"/>
      <c r="J9212" s="343"/>
      <c r="K9212" s="343"/>
      <c r="L9212" s="343"/>
    </row>
    <row r="9213" spans="4:12" x14ac:dyDescent="0.2">
      <c r="D9213" s="341"/>
      <c r="F9213" s="343"/>
      <c r="G9213" s="343"/>
      <c r="H9213" s="343"/>
      <c r="I9213" s="343"/>
      <c r="J9213" s="343"/>
      <c r="K9213" s="343"/>
      <c r="L9213" s="343"/>
    </row>
    <row r="9214" spans="4:12" x14ac:dyDescent="0.2">
      <c r="D9214" s="341"/>
      <c r="F9214" s="343"/>
      <c r="G9214" s="343"/>
      <c r="H9214" s="343"/>
      <c r="I9214" s="343"/>
      <c r="J9214" s="343"/>
      <c r="K9214" s="343"/>
      <c r="L9214" s="343"/>
    </row>
    <row r="9215" spans="4:12" x14ac:dyDescent="0.2">
      <c r="D9215" s="341"/>
      <c r="F9215" s="343"/>
      <c r="G9215" s="343"/>
      <c r="H9215" s="343"/>
      <c r="I9215" s="343"/>
      <c r="J9215" s="343"/>
      <c r="K9215" s="343"/>
      <c r="L9215" s="343"/>
    </row>
    <row r="9216" spans="4:12" x14ac:dyDescent="0.2">
      <c r="D9216" s="341"/>
      <c r="F9216" s="343"/>
      <c r="G9216" s="343"/>
      <c r="H9216" s="343"/>
      <c r="I9216" s="343"/>
      <c r="J9216" s="343"/>
      <c r="K9216" s="343"/>
      <c r="L9216" s="343"/>
    </row>
    <row r="9217" spans="4:12" x14ac:dyDescent="0.2">
      <c r="D9217" s="341"/>
      <c r="F9217" s="343"/>
      <c r="G9217" s="343"/>
      <c r="H9217" s="343"/>
      <c r="I9217" s="343"/>
      <c r="J9217" s="343"/>
      <c r="K9217" s="343"/>
      <c r="L9217" s="343"/>
    </row>
    <row r="9218" spans="4:12" x14ac:dyDescent="0.2">
      <c r="D9218" s="341"/>
      <c r="F9218" s="343"/>
      <c r="G9218" s="343"/>
      <c r="H9218" s="343"/>
      <c r="I9218" s="343"/>
      <c r="J9218" s="343"/>
      <c r="K9218" s="343"/>
      <c r="L9218" s="343"/>
    </row>
    <row r="9219" spans="4:12" x14ac:dyDescent="0.2">
      <c r="D9219" s="341"/>
      <c r="F9219" s="343"/>
      <c r="G9219" s="343"/>
      <c r="H9219" s="343"/>
      <c r="I9219" s="343"/>
      <c r="J9219" s="343"/>
      <c r="K9219" s="343"/>
      <c r="L9219" s="343"/>
    </row>
    <row r="9220" spans="4:12" x14ac:dyDescent="0.2">
      <c r="D9220" s="341"/>
      <c r="F9220" s="343"/>
      <c r="G9220" s="343"/>
      <c r="H9220" s="343"/>
      <c r="I9220" s="343"/>
      <c r="J9220" s="343"/>
      <c r="K9220" s="343"/>
      <c r="L9220" s="343"/>
    </row>
    <row r="9221" spans="4:12" x14ac:dyDescent="0.2">
      <c r="D9221" s="341"/>
      <c r="F9221" s="343"/>
      <c r="G9221" s="343"/>
      <c r="H9221" s="343"/>
      <c r="I9221" s="343"/>
      <c r="J9221" s="343"/>
      <c r="K9221" s="343"/>
      <c r="L9221" s="343"/>
    </row>
    <row r="9222" spans="4:12" x14ac:dyDescent="0.2">
      <c r="D9222" s="341"/>
      <c r="F9222" s="343"/>
      <c r="G9222" s="343"/>
      <c r="H9222" s="343"/>
      <c r="I9222" s="343"/>
      <c r="J9222" s="343"/>
      <c r="K9222" s="343"/>
      <c r="L9222" s="343"/>
    </row>
    <row r="9223" spans="4:12" x14ac:dyDescent="0.2">
      <c r="D9223" s="341"/>
      <c r="F9223" s="343"/>
      <c r="G9223" s="343"/>
      <c r="H9223" s="343"/>
      <c r="I9223" s="343"/>
      <c r="J9223" s="343"/>
      <c r="K9223" s="343"/>
      <c r="L9223" s="343"/>
    </row>
    <row r="9224" spans="4:12" x14ac:dyDescent="0.2">
      <c r="D9224" s="341"/>
      <c r="F9224" s="343"/>
      <c r="G9224" s="343"/>
      <c r="H9224" s="343"/>
      <c r="I9224" s="343"/>
      <c r="J9224" s="343"/>
      <c r="K9224" s="343"/>
      <c r="L9224" s="343"/>
    </row>
    <row r="9225" spans="4:12" x14ac:dyDescent="0.2">
      <c r="D9225" s="341"/>
      <c r="F9225" s="343"/>
      <c r="G9225" s="343"/>
      <c r="H9225" s="343"/>
      <c r="I9225" s="343"/>
      <c r="J9225" s="343"/>
      <c r="K9225" s="343"/>
      <c r="L9225" s="343"/>
    </row>
    <row r="9226" spans="4:12" x14ac:dyDescent="0.2">
      <c r="D9226" s="341"/>
      <c r="F9226" s="343"/>
      <c r="G9226" s="343"/>
      <c r="H9226" s="343"/>
      <c r="I9226" s="343"/>
      <c r="J9226" s="343"/>
      <c r="K9226" s="343"/>
      <c r="L9226" s="343"/>
    </row>
    <row r="9227" spans="4:12" x14ac:dyDescent="0.2">
      <c r="D9227" s="341"/>
      <c r="F9227" s="343"/>
      <c r="G9227" s="343"/>
      <c r="H9227" s="343"/>
      <c r="I9227" s="343"/>
      <c r="J9227" s="343"/>
      <c r="K9227" s="343"/>
      <c r="L9227" s="343"/>
    </row>
    <row r="9228" spans="4:12" x14ac:dyDescent="0.2">
      <c r="D9228" s="341"/>
      <c r="F9228" s="343"/>
      <c r="G9228" s="343"/>
      <c r="H9228" s="343"/>
      <c r="I9228" s="343"/>
      <c r="J9228" s="343"/>
      <c r="K9228" s="343"/>
      <c r="L9228" s="343"/>
    </row>
    <row r="9229" spans="4:12" x14ac:dyDescent="0.2">
      <c r="D9229" s="341"/>
      <c r="F9229" s="343"/>
      <c r="G9229" s="343"/>
      <c r="H9229" s="343"/>
      <c r="I9229" s="343"/>
      <c r="J9229" s="343"/>
      <c r="K9229" s="343"/>
      <c r="L9229" s="343"/>
    </row>
    <row r="9230" spans="4:12" x14ac:dyDescent="0.2">
      <c r="D9230" s="341"/>
      <c r="F9230" s="343"/>
      <c r="G9230" s="343"/>
      <c r="H9230" s="343"/>
      <c r="I9230" s="343"/>
      <c r="J9230" s="343"/>
      <c r="K9230" s="343"/>
      <c r="L9230" s="343"/>
    </row>
    <row r="9231" spans="4:12" x14ac:dyDescent="0.2">
      <c r="D9231" s="341"/>
      <c r="F9231" s="343"/>
      <c r="G9231" s="343"/>
      <c r="H9231" s="343"/>
      <c r="I9231" s="343"/>
      <c r="J9231" s="343"/>
      <c r="K9231" s="343"/>
      <c r="L9231" s="343"/>
    </row>
    <row r="9232" spans="4:12" x14ac:dyDescent="0.2">
      <c r="D9232" s="341"/>
      <c r="F9232" s="343"/>
      <c r="G9232" s="343"/>
      <c r="H9232" s="343"/>
      <c r="I9232" s="343"/>
      <c r="J9232" s="343"/>
      <c r="K9232" s="343"/>
      <c r="L9232" s="343"/>
    </row>
    <row r="9233" spans="4:12" x14ac:dyDescent="0.2">
      <c r="D9233" s="341"/>
      <c r="F9233" s="343"/>
      <c r="G9233" s="343"/>
      <c r="H9233" s="343"/>
      <c r="I9233" s="343"/>
      <c r="J9233" s="343"/>
      <c r="K9233" s="343"/>
      <c r="L9233" s="343"/>
    </row>
    <row r="9234" spans="4:12" x14ac:dyDescent="0.2">
      <c r="D9234" s="341"/>
      <c r="F9234" s="343"/>
      <c r="G9234" s="343"/>
      <c r="H9234" s="343"/>
      <c r="I9234" s="343"/>
      <c r="J9234" s="343"/>
      <c r="K9234" s="343"/>
      <c r="L9234" s="343"/>
    </row>
    <row r="9235" spans="4:12" x14ac:dyDescent="0.2">
      <c r="D9235" s="341"/>
      <c r="F9235" s="343"/>
      <c r="G9235" s="343"/>
      <c r="H9235" s="343"/>
      <c r="I9235" s="343"/>
      <c r="J9235" s="343"/>
      <c r="K9235" s="343"/>
      <c r="L9235" s="343"/>
    </row>
    <row r="9236" spans="4:12" x14ac:dyDescent="0.2">
      <c r="D9236" s="341"/>
      <c r="F9236" s="343"/>
      <c r="G9236" s="343"/>
      <c r="H9236" s="343"/>
      <c r="I9236" s="343"/>
      <c r="J9236" s="343"/>
      <c r="K9236" s="343"/>
      <c r="L9236" s="343"/>
    </row>
    <row r="9237" spans="4:12" x14ac:dyDescent="0.2">
      <c r="D9237" s="341"/>
      <c r="F9237" s="343"/>
      <c r="G9237" s="343"/>
      <c r="H9237" s="343"/>
      <c r="I9237" s="343"/>
      <c r="J9237" s="343"/>
      <c r="K9237" s="343"/>
      <c r="L9237" s="343"/>
    </row>
    <row r="9238" spans="4:12" x14ac:dyDescent="0.2">
      <c r="D9238" s="341"/>
      <c r="F9238" s="343"/>
      <c r="G9238" s="343"/>
      <c r="H9238" s="343"/>
      <c r="I9238" s="343"/>
      <c r="J9238" s="343"/>
      <c r="K9238" s="343"/>
      <c r="L9238" s="343"/>
    </row>
    <row r="9239" spans="4:12" x14ac:dyDescent="0.2">
      <c r="D9239" s="341"/>
      <c r="F9239" s="343"/>
      <c r="G9239" s="343"/>
      <c r="H9239" s="343"/>
      <c r="I9239" s="343"/>
      <c r="J9239" s="343"/>
      <c r="K9239" s="343"/>
      <c r="L9239" s="343"/>
    </row>
    <row r="9240" spans="4:12" x14ac:dyDescent="0.2">
      <c r="D9240" s="341"/>
      <c r="F9240" s="343"/>
      <c r="G9240" s="343"/>
      <c r="H9240" s="343"/>
      <c r="I9240" s="343"/>
      <c r="J9240" s="343"/>
      <c r="K9240" s="343"/>
      <c r="L9240" s="343"/>
    </row>
    <row r="9241" spans="4:12" x14ac:dyDescent="0.2">
      <c r="D9241" s="341"/>
      <c r="F9241" s="343"/>
      <c r="G9241" s="343"/>
      <c r="H9241" s="343"/>
      <c r="I9241" s="343"/>
      <c r="J9241" s="343"/>
      <c r="K9241" s="343"/>
      <c r="L9241" s="343"/>
    </row>
    <row r="9242" spans="4:12" x14ac:dyDescent="0.2">
      <c r="D9242" s="341"/>
      <c r="F9242" s="343"/>
      <c r="G9242" s="343"/>
      <c r="H9242" s="343"/>
      <c r="I9242" s="343"/>
      <c r="J9242" s="343"/>
      <c r="K9242" s="343"/>
      <c r="L9242" s="343"/>
    </row>
    <row r="9243" spans="4:12" x14ac:dyDescent="0.2">
      <c r="D9243" s="341"/>
      <c r="F9243" s="343"/>
      <c r="G9243" s="343"/>
      <c r="H9243" s="343"/>
      <c r="I9243" s="343"/>
      <c r="J9243" s="343"/>
      <c r="K9243" s="343"/>
      <c r="L9243" s="343"/>
    </row>
    <row r="9244" spans="4:12" x14ac:dyDescent="0.2">
      <c r="D9244" s="341"/>
      <c r="F9244" s="343"/>
      <c r="G9244" s="343"/>
      <c r="H9244" s="343"/>
      <c r="I9244" s="343"/>
      <c r="J9244" s="343"/>
      <c r="K9244" s="343"/>
      <c r="L9244" s="343"/>
    </row>
    <row r="9245" spans="4:12" x14ac:dyDescent="0.2">
      <c r="D9245" s="341"/>
      <c r="F9245" s="343"/>
      <c r="G9245" s="343"/>
      <c r="H9245" s="343"/>
      <c r="I9245" s="343"/>
      <c r="J9245" s="343"/>
      <c r="K9245" s="343"/>
      <c r="L9245" s="343"/>
    </row>
    <row r="9246" spans="4:12" x14ac:dyDescent="0.2">
      <c r="D9246" s="341"/>
      <c r="F9246" s="343"/>
      <c r="G9246" s="343"/>
      <c r="H9246" s="343"/>
      <c r="I9246" s="343"/>
      <c r="J9246" s="343"/>
      <c r="K9246" s="343"/>
      <c r="L9246" s="343"/>
    </row>
    <row r="9247" spans="4:12" x14ac:dyDescent="0.2">
      <c r="D9247" s="341"/>
      <c r="F9247" s="343"/>
      <c r="G9247" s="343"/>
      <c r="H9247" s="343"/>
      <c r="I9247" s="343"/>
      <c r="J9247" s="343"/>
      <c r="K9247" s="343"/>
      <c r="L9247" s="343"/>
    </row>
    <row r="9248" spans="4:12" x14ac:dyDescent="0.2">
      <c r="D9248" s="341"/>
      <c r="F9248" s="343"/>
      <c r="G9248" s="343"/>
      <c r="H9248" s="343"/>
      <c r="I9248" s="343"/>
      <c r="J9248" s="343"/>
      <c r="K9248" s="343"/>
      <c r="L9248" s="343"/>
    </row>
    <row r="9249" spans="4:12" x14ac:dyDescent="0.2">
      <c r="D9249" s="341"/>
      <c r="F9249" s="343"/>
      <c r="G9249" s="343"/>
      <c r="H9249" s="343"/>
      <c r="I9249" s="343"/>
      <c r="J9249" s="343"/>
      <c r="K9249" s="343"/>
      <c r="L9249" s="343"/>
    </row>
    <row r="9250" spans="4:12" x14ac:dyDescent="0.2">
      <c r="D9250" s="341"/>
      <c r="F9250" s="343"/>
      <c r="G9250" s="343"/>
      <c r="H9250" s="343"/>
      <c r="I9250" s="343"/>
      <c r="J9250" s="343"/>
      <c r="K9250" s="343"/>
      <c r="L9250" s="343"/>
    </row>
    <row r="9251" spans="4:12" x14ac:dyDescent="0.2">
      <c r="D9251" s="341"/>
      <c r="F9251" s="343"/>
      <c r="G9251" s="343"/>
      <c r="H9251" s="343"/>
      <c r="I9251" s="343"/>
      <c r="J9251" s="343"/>
      <c r="K9251" s="343"/>
      <c r="L9251" s="343"/>
    </row>
    <row r="9252" spans="4:12" x14ac:dyDescent="0.2">
      <c r="D9252" s="341"/>
      <c r="F9252" s="343"/>
      <c r="G9252" s="343"/>
      <c r="H9252" s="343"/>
      <c r="I9252" s="343"/>
      <c r="J9252" s="343"/>
      <c r="K9252" s="343"/>
      <c r="L9252" s="343"/>
    </row>
    <row r="9253" spans="4:12" x14ac:dyDescent="0.2">
      <c r="D9253" s="341"/>
      <c r="F9253" s="343"/>
      <c r="G9253" s="343"/>
      <c r="H9253" s="343"/>
      <c r="I9253" s="343"/>
      <c r="J9253" s="343"/>
      <c r="K9253" s="343"/>
      <c r="L9253" s="343"/>
    </row>
    <row r="9254" spans="4:12" x14ac:dyDescent="0.2">
      <c r="D9254" s="341"/>
      <c r="F9254" s="343"/>
      <c r="G9254" s="343"/>
      <c r="H9254" s="343"/>
      <c r="I9254" s="343"/>
      <c r="J9254" s="343"/>
      <c r="K9254" s="343"/>
      <c r="L9254" s="343"/>
    </row>
    <row r="9255" spans="4:12" x14ac:dyDescent="0.2">
      <c r="D9255" s="341"/>
      <c r="F9255" s="343"/>
      <c r="G9255" s="343"/>
      <c r="H9255" s="343"/>
      <c r="I9255" s="343"/>
      <c r="J9255" s="343"/>
      <c r="K9255" s="343"/>
      <c r="L9255" s="343"/>
    </row>
    <row r="9256" spans="4:12" x14ac:dyDescent="0.2">
      <c r="D9256" s="341"/>
      <c r="F9256" s="343"/>
      <c r="G9256" s="343"/>
      <c r="H9256" s="343"/>
      <c r="I9256" s="343"/>
      <c r="J9256" s="343"/>
      <c r="K9256" s="343"/>
      <c r="L9256" s="343"/>
    </row>
    <row r="9257" spans="4:12" x14ac:dyDescent="0.2">
      <c r="D9257" s="341"/>
      <c r="F9257" s="343"/>
      <c r="G9257" s="343"/>
      <c r="H9257" s="343"/>
      <c r="I9257" s="343"/>
      <c r="J9257" s="343"/>
      <c r="K9257" s="343"/>
      <c r="L9257" s="343"/>
    </row>
    <row r="9258" spans="4:12" x14ac:dyDescent="0.2">
      <c r="D9258" s="341"/>
      <c r="F9258" s="343"/>
      <c r="G9258" s="343"/>
      <c r="H9258" s="343"/>
      <c r="I9258" s="343"/>
      <c r="J9258" s="343"/>
      <c r="K9258" s="343"/>
      <c r="L9258" s="343"/>
    </row>
    <row r="9259" spans="4:12" x14ac:dyDescent="0.2">
      <c r="D9259" s="341"/>
      <c r="F9259" s="343"/>
      <c r="G9259" s="343"/>
      <c r="H9259" s="343"/>
      <c r="I9259" s="343"/>
      <c r="J9259" s="343"/>
      <c r="K9259" s="343"/>
      <c r="L9259" s="343"/>
    </row>
    <row r="9260" spans="4:12" x14ac:dyDescent="0.2">
      <c r="D9260" s="341"/>
      <c r="F9260" s="343"/>
      <c r="G9260" s="343"/>
      <c r="H9260" s="343"/>
      <c r="I9260" s="343"/>
      <c r="J9260" s="343"/>
      <c r="K9260" s="343"/>
      <c r="L9260" s="343"/>
    </row>
    <row r="9261" spans="4:12" x14ac:dyDescent="0.2">
      <c r="D9261" s="341"/>
      <c r="F9261" s="343"/>
      <c r="G9261" s="343"/>
      <c r="H9261" s="343"/>
      <c r="I9261" s="343"/>
      <c r="J9261" s="343"/>
      <c r="K9261" s="343"/>
      <c r="L9261" s="343"/>
    </row>
    <row r="9262" spans="4:12" x14ac:dyDescent="0.2">
      <c r="D9262" s="341"/>
      <c r="F9262" s="343"/>
      <c r="G9262" s="343"/>
      <c r="H9262" s="343"/>
      <c r="I9262" s="343"/>
      <c r="J9262" s="343"/>
      <c r="K9262" s="343"/>
      <c r="L9262" s="343"/>
    </row>
    <row r="9263" spans="4:12" x14ac:dyDescent="0.2">
      <c r="D9263" s="341"/>
      <c r="F9263" s="343"/>
      <c r="G9263" s="343"/>
      <c r="H9263" s="343"/>
      <c r="I9263" s="343"/>
      <c r="J9263" s="343"/>
      <c r="K9263" s="343"/>
      <c r="L9263" s="343"/>
    </row>
    <row r="9264" spans="4:12" x14ac:dyDescent="0.2">
      <c r="D9264" s="341"/>
      <c r="F9264" s="343"/>
      <c r="G9264" s="343"/>
      <c r="H9264" s="343"/>
      <c r="I9264" s="343"/>
      <c r="J9264" s="343"/>
      <c r="K9264" s="343"/>
      <c r="L9264" s="343"/>
    </row>
    <row r="9265" spans="4:12" x14ac:dyDescent="0.2">
      <c r="D9265" s="341"/>
      <c r="F9265" s="343"/>
      <c r="G9265" s="343"/>
      <c r="H9265" s="343"/>
      <c r="I9265" s="343"/>
      <c r="J9265" s="343"/>
      <c r="K9265" s="343"/>
      <c r="L9265" s="343"/>
    </row>
    <row r="9266" spans="4:12" x14ac:dyDescent="0.2">
      <c r="D9266" s="341"/>
      <c r="F9266" s="343"/>
      <c r="G9266" s="343"/>
      <c r="H9266" s="343"/>
      <c r="I9266" s="343"/>
      <c r="J9266" s="343"/>
      <c r="K9266" s="343"/>
      <c r="L9266" s="343"/>
    </row>
    <row r="9267" spans="4:12" x14ac:dyDescent="0.2">
      <c r="D9267" s="341"/>
      <c r="F9267" s="343"/>
      <c r="G9267" s="343"/>
      <c r="H9267" s="343"/>
      <c r="I9267" s="343"/>
      <c r="J9267" s="343"/>
      <c r="K9267" s="343"/>
      <c r="L9267" s="343"/>
    </row>
    <row r="9268" spans="4:12" x14ac:dyDescent="0.2">
      <c r="D9268" s="341"/>
      <c r="F9268" s="343"/>
      <c r="G9268" s="343"/>
      <c r="H9268" s="343"/>
      <c r="I9268" s="343"/>
      <c r="J9268" s="343"/>
      <c r="K9268" s="343"/>
      <c r="L9268" s="343"/>
    </row>
    <row r="9269" spans="4:12" x14ac:dyDescent="0.2">
      <c r="D9269" s="341"/>
      <c r="F9269" s="343"/>
      <c r="G9269" s="343"/>
      <c r="H9269" s="343"/>
      <c r="I9269" s="343"/>
      <c r="J9269" s="343"/>
      <c r="K9269" s="343"/>
      <c r="L9269" s="343"/>
    </row>
    <row r="9270" spans="4:12" x14ac:dyDescent="0.2">
      <c r="D9270" s="341"/>
      <c r="F9270" s="343"/>
      <c r="G9270" s="343"/>
      <c r="H9270" s="343"/>
      <c r="I9270" s="343"/>
      <c r="J9270" s="343"/>
      <c r="K9270" s="343"/>
      <c r="L9270" s="343"/>
    </row>
    <row r="9271" spans="4:12" x14ac:dyDescent="0.2">
      <c r="D9271" s="341"/>
      <c r="F9271" s="343"/>
      <c r="G9271" s="343"/>
      <c r="H9271" s="343"/>
      <c r="I9271" s="343"/>
      <c r="J9271" s="343"/>
      <c r="K9271" s="343"/>
      <c r="L9271" s="343"/>
    </row>
    <row r="9272" spans="4:12" x14ac:dyDescent="0.2">
      <c r="D9272" s="341"/>
      <c r="F9272" s="343"/>
      <c r="G9272" s="343"/>
      <c r="H9272" s="343"/>
      <c r="I9272" s="343"/>
      <c r="J9272" s="343"/>
      <c r="K9272" s="343"/>
      <c r="L9272" s="343"/>
    </row>
    <row r="9273" spans="4:12" x14ac:dyDescent="0.2">
      <c r="D9273" s="341"/>
      <c r="F9273" s="343"/>
      <c r="G9273" s="343"/>
      <c r="H9273" s="343"/>
      <c r="I9273" s="343"/>
      <c r="J9273" s="343"/>
      <c r="K9273" s="343"/>
      <c r="L9273" s="343"/>
    </row>
    <row r="9274" spans="4:12" x14ac:dyDescent="0.2">
      <c r="D9274" s="341"/>
      <c r="F9274" s="343"/>
      <c r="G9274" s="343"/>
      <c r="H9274" s="343"/>
      <c r="I9274" s="343"/>
      <c r="J9274" s="343"/>
      <c r="K9274" s="343"/>
      <c r="L9274" s="343"/>
    </row>
    <row r="9275" spans="4:12" x14ac:dyDescent="0.2">
      <c r="D9275" s="341"/>
      <c r="F9275" s="343"/>
      <c r="G9275" s="343"/>
      <c r="H9275" s="343"/>
      <c r="I9275" s="343"/>
      <c r="J9275" s="343"/>
      <c r="K9275" s="343"/>
      <c r="L9275" s="343"/>
    </row>
    <row r="9276" spans="4:12" x14ac:dyDescent="0.2">
      <c r="D9276" s="341"/>
      <c r="F9276" s="343"/>
      <c r="G9276" s="343"/>
      <c r="H9276" s="343"/>
      <c r="I9276" s="343"/>
      <c r="J9276" s="343"/>
      <c r="K9276" s="343"/>
      <c r="L9276" s="343"/>
    </row>
    <row r="9277" spans="4:12" x14ac:dyDescent="0.2">
      <c r="D9277" s="341"/>
      <c r="F9277" s="343"/>
      <c r="G9277" s="343"/>
      <c r="H9277" s="343"/>
      <c r="I9277" s="343"/>
      <c r="J9277" s="343"/>
      <c r="K9277" s="343"/>
      <c r="L9277" s="343"/>
    </row>
    <row r="9278" spans="4:12" x14ac:dyDescent="0.2">
      <c r="D9278" s="341"/>
      <c r="F9278" s="343"/>
      <c r="G9278" s="343"/>
      <c r="H9278" s="343"/>
      <c r="I9278" s="343"/>
      <c r="J9278" s="343"/>
      <c r="K9278" s="343"/>
      <c r="L9278" s="343"/>
    </row>
    <row r="9279" spans="4:12" x14ac:dyDescent="0.2">
      <c r="D9279" s="341"/>
      <c r="F9279" s="343"/>
      <c r="G9279" s="343"/>
      <c r="H9279" s="343"/>
      <c r="I9279" s="343"/>
      <c r="J9279" s="343"/>
      <c r="K9279" s="343"/>
      <c r="L9279" s="343"/>
    </row>
    <row r="9280" spans="4:12" x14ac:dyDescent="0.2">
      <c r="D9280" s="341"/>
      <c r="F9280" s="343"/>
      <c r="G9280" s="343"/>
      <c r="H9280" s="343"/>
      <c r="I9280" s="343"/>
      <c r="J9280" s="343"/>
      <c r="K9280" s="343"/>
      <c r="L9280" s="343"/>
    </row>
    <row r="9281" spans="4:12" x14ac:dyDescent="0.2">
      <c r="D9281" s="341"/>
      <c r="F9281" s="343"/>
      <c r="G9281" s="343"/>
      <c r="H9281" s="343"/>
      <c r="I9281" s="343"/>
      <c r="J9281" s="343"/>
      <c r="K9281" s="343"/>
      <c r="L9281" s="343"/>
    </row>
    <row r="9282" spans="4:12" x14ac:dyDescent="0.2">
      <c r="D9282" s="341"/>
      <c r="F9282" s="343"/>
      <c r="G9282" s="343"/>
      <c r="H9282" s="343"/>
      <c r="I9282" s="343"/>
      <c r="J9282" s="343"/>
      <c r="K9282" s="343"/>
      <c r="L9282" s="343"/>
    </row>
    <row r="9283" spans="4:12" x14ac:dyDescent="0.2">
      <c r="D9283" s="341"/>
      <c r="F9283" s="343"/>
      <c r="G9283" s="343"/>
      <c r="H9283" s="343"/>
      <c r="I9283" s="343"/>
      <c r="J9283" s="343"/>
      <c r="K9283" s="343"/>
      <c r="L9283" s="343"/>
    </row>
    <row r="9284" spans="4:12" x14ac:dyDescent="0.2">
      <c r="D9284" s="341"/>
      <c r="F9284" s="343"/>
      <c r="G9284" s="343"/>
      <c r="H9284" s="343"/>
      <c r="I9284" s="343"/>
      <c r="J9284" s="343"/>
      <c r="K9284" s="343"/>
      <c r="L9284" s="343"/>
    </row>
    <row r="9285" spans="4:12" x14ac:dyDescent="0.2">
      <c r="D9285" s="341"/>
      <c r="F9285" s="343"/>
      <c r="G9285" s="343"/>
      <c r="H9285" s="343"/>
      <c r="I9285" s="343"/>
      <c r="J9285" s="343"/>
      <c r="K9285" s="343"/>
      <c r="L9285" s="343"/>
    </row>
    <row r="9286" spans="4:12" x14ac:dyDescent="0.2">
      <c r="D9286" s="341"/>
      <c r="F9286" s="343"/>
      <c r="G9286" s="343"/>
      <c r="H9286" s="343"/>
      <c r="I9286" s="343"/>
      <c r="J9286" s="343"/>
      <c r="K9286" s="343"/>
      <c r="L9286" s="343"/>
    </row>
    <row r="9287" spans="4:12" x14ac:dyDescent="0.2">
      <c r="D9287" s="341"/>
      <c r="F9287" s="343"/>
      <c r="G9287" s="343"/>
      <c r="H9287" s="343"/>
      <c r="I9287" s="343"/>
      <c r="J9287" s="343"/>
      <c r="K9287" s="343"/>
      <c r="L9287" s="343"/>
    </row>
    <row r="9288" spans="4:12" x14ac:dyDescent="0.2">
      <c r="D9288" s="341"/>
      <c r="F9288" s="343"/>
      <c r="G9288" s="343"/>
      <c r="H9288" s="343"/>
      <c r="I9288" s="343"/>
      <c r="J9288" s="343"/>
      <c r="K9288" s="343"/>
      <c r="L9288" s="343"/>
    </row>
    <row r="9289" spans="4:12" x14ac:dyDescent="0.2">
      <c r="D9289" s="341"/>
      <c r="F9289" s="343"/>
      <c r="G9289" s="343"/>
      <c r="H9289" s="343"/>
      <c r="I9289" s="343"/>
      <c r="J9289" s="343"/>
      <c r="K9289" s="343"/>
      <c r="L9289" s="343"/>
    </row>
    <row r="9290" spans="4:12" x14ac:dyDescent="0.2">
      <c r="D9290" s="341"/>
      <c r="F9290" s="343"/>
      <c r="G9290" s="343"/>
      <c r="H9290" s="343"/>
      <c r="I9290" s="343"/>
      <c r="J9290" s="343"/>
      <c r="K9290" s="343"/>
      <c r="L9290" s="343"/>
    </row>
    <row r="9291" spans="4:12" x14ac:dyDescent="0.2">
      <c r="D9291" s="341"/>
      <c r="F9291" s="343"/>
      <c r="G9291" s="343"/>
      <c r="H9291" s="343"/>
      <c r="I9291" s="343"/>
      <c r="J9291" s="343"/>
      <c r="K9291" s="343"/>
      <c r="L9291" s="343"/>
    </row>
    <row r="9292" spans="4:12" x14ac:dyDescent="0.2">
      <c r="D9292" s="341"/>
      <c r="F9292" s="343"/>
      <c r="G9292" s="343"/>
      <c r="H9292" s="343"/>
      <c r="I9292" s="343"/>
      <c r="J9292" s="343"/>
      <c r="K9292" s="343"/>
      <c r="L9292" s="343"/>
    </row>
    <row r="9293" spans="4:12" x14ac:dyDescent="0.2">
      <c r="D9293" s="341"/>
      <c r="F9293" s="343"/>
      <c r="G9293" s="343"/>
      <c r="H9293" s="343"/>
      <c r="I9293" s="343"/>
      <c r="J9293" s="343"/>
      <c r="K9293" s="343"/>
      <c r="L9293" s="343"/>
    </row>
    <row r="9294" spans="4:12" x14ac:dyDescent="0.2">
      <c r="D9294" s="341"/>
      <c r="F9294" s="343"/>
      <c r="G9294" s="343"/>
      <c r="H9294" s="343"/>
      <c r="I9294" s="343"/>
      <c r="J9294" s="343"/>
      <c r="K9294" s="343"/>
      <c r="L9294" s="343"/>
    </row>
    <row r="9295" spans="4:12" x14ac:dyDescent="0.2">
      <c r="D9295" s="341"/>
      <c r="F9295" s="343"/>
      <c r="G9295" s="343"/>
      <c r="H9295" s="343"/>
      <c r="I9295" s="343"/>
      <c r="J9295" s="343"/>
      <c r="K9295" s="343"/>
      <c r="L9295" s="343"/>
    </row>
    <row r="9296" spans="4:12" x14ac:dyDescent="0.2">
      <c r="D9296" s="341"/>
      <c r="F9296" s="343"/>
      <c r="G9296" s="343"/>
      <c r="H9296" s="343"/>
      <c r="I9296" s="343"/>
      <c r="J9296" s="343"/>
      <c r="K9296" s="343"/>
      <c r="L9296" s="343"/>
    </row>
    <row r="9297" spans="4:12" x14ac:dyDescent="0.2">
      <c r="D9297" s="341"/>
      <c r="F9297" s="343"/>
      <c r="G9297" s="343"/>
      <c r="H9297" s="343"/>
      <c r="I9297" s="343"/>
      <c r="J9297" s="343"/>
      <c r="K9297" s="343"/>
      <c r="L9297" s="343"/>
    </row>
    <row r="9298" spans="4:12" x14ac:dyDescent="0.2">
      <c r="D9298" s="341"/>
      <c r="F9298" s="343"/>
      <c r="G9298" s="343"/>
      <c r="H9298" s="343"/>
      <c r="I9298" s="343"/>
      <c r="J9298" s="343"/>
      <c r="K9298" s="343"/>
      <c r="L9298" s="343"/>
    </row>
    <row r="9299" spans="4:12" x14ac:dyDescent="0.2">
      <c r="D9299" s="341"/>
      <c r="F9299" s="343"/>
      <c r="G9299" s="343"/>
      <c r="H9299" s="343"/>
      <c r="I9299" s="343"/>
      <c r="J9299" s="343"/>
      <c r="K9299" s="343"/>
      <c r="L9299" s="343"/>
    </row>
    <row r="9300" spans="4:12" x14ac:dyDescent="0.2">
      <c r="D9300" s="341"/>
      <c r="F9300" s="343"/>
      <c r="G9300" s="343"/>
      <c r="H9300" s="343"/>
      <c r="I9300" s="343"/>
      <c r="J9300" s="343"/>
      <c r="K9300" s="343"/>
      <c r="L9300" s="343"/>
    </row>
    <row r="9301" spans="4:12" x14ac:dyDescent="0.2">
      <c r="D9301" s="341"/>
      <c r="F9301" s="343"/>
      <c r="G9301" s="343"/>
      <c r="H9301" s="343"/>
      <c r="I9301" s="343"/>
      <c r="J9301" s="343"/>
      <c r="K9301" s="343"/>
      <c r="L9301" s="343"/>
    </row>
    <row r="9302" spans="4:12" x14ac:dyDescent="0.2">
      <c r="D9302" s="341"/>
      <c r="F9302" s="343"/>
      <c r="G9302" s="343"/>
      <c r="H9302" s="343"/>
      <c r="I9302" s="343"/>
      <c r="J9302" s="343"/>
      <c r="K9302" s="343"/>
      <c r="L9302" s="343"/>
    </row>
    <row r="9303" spans="4:12" x14ac:dyDescent="0.2">
      <c r="D9303" s="341"/>
      <c r="F9303" s="343"/>
      <c r="G9303" s="343"/>
      <c r="H9303" s="343"/>
      <c r="I9303" s="343"/>
      <c r="J9303" s="343"/>
      <c r="K9303" s="343"/>
      <c r="L9303" s="343"/>
    </row>
    <row r="9304" spans="4:12" x14ac:dyDescent="0.2">
      <c r="D9304" s="341"/>
      <c r="F9304" s="343"/>
      <c r="G9304" s="343"/>
      <c r="H9304" s="343"/>
      <c r="I9304" s="343"/>
      <c r="J9304" s="343"/>
      <c r="K9304" s="343"/>
      <c r="L9304" s="343"/>
    </row>
    <row r="9305" spans="4:12" x14ac:dyDescent="0.2">
      <c r="D9305" s="341"/>
      <c r="F9305" s="343"/>
      <c r="G9305" s="343"/>
      <c r="H9305" s="343"/>
      <c r="I9305" s="343"/>
      <c r="J9305" s="343"/>
      <c r="K9305" s="343"/>
      <c r="L9305" s="343"/>
    </row>
    <row r="9306" spans="4:12" x14ac:dyDescent="0.2">
      <c r="D9306" s="341"/>
      <c r="F9306" s="343"/>
      <c r="G9306" s="343"/>
      <c r="H9306" s="343"/>
      <c r="I9306" s="343"/>
      <c r="J9306" s="343"/>
      <c r="K9306" s="343"/>
      <c r="L9306" s="343"/>
    </row>
    <row r="9307" spans="4:12" x14ac:dyDescent="0.2">
      <c r="D9307" s="341"/>
      <c r="F9307" s="343"/>
      <c r="G9307" s="343"/>
      <c r="H9307" s="343"/>
      <c r="I9307" s="343"/>
      <c r="J9307" s="343"/>
      <c r="K9307" s="343"/>
      <c r="L9307" s="343"/>
    </row>
    <row r="9308" spans="4:12" x14ac:dyDescent="0.2">
      <c r="D9308" s="341"/>
      <c r="F9308" s="343"/>
      <c r="G9308" s="343"/>
      <c r="H9308" s="343"/>
      <c r="I9308" s="343"/>
      <c r="J9308" s="343"/>
      <c r="K9308" s="343"/>
      <c r="L9308" s="343"/>
    </row>
    <row r="9309" spans="4:12" x14ac:dyDescent="0.2">
      <c r="D9309" s="341"/>
      <c r="F9309" s="343"/>
      <c r="G9309" s="343"/>
      <c r="H9309" s="343"/>
      <c r="I9309" s="343"/>
      <c r="J9309" s="343"/>
      <c r="K9309" s="343"/>
      <c r="L9309" s="343"/>
    </row>
    <row r="9310" spans="4:12" x14ac:dyDescent="0.2">
      <c r="D9310" s="341"/>
      <c r="F9310" s="343"/>
      <c r="G9310" s="343"/>
      <c r="H9310" s="343"/>
      <c r="I9310" s="343"/>
      <c r="J9310" s="343"/>
      <c r="K9310" s="343"/>
      <c r="L9310" s="343"/>
    </row>
    <row r="9311" spans="4:12" x14ac:dyDescent="0.2">
      <c r="D9311" s="341"/>
      <c r="F9311" s="343"/>
      <c r="G9311" s="343"/>
      <c r="H9311" s="343"/>
      <c r="I9311" s="343"/>
      <c r="J9311" s="343"/>
      <c r="K9311" s="343"/>
      <c r="L9311" s="343"/>
    </row>
    <row r="9312" spans="4:12" x14ac:dyDescent="0.2">
      <c r="D9312" s="341"/>
      <c r="F9312" s="343"/>
      <c r="G9312" s="343"/>
      <c r="H9312" s="343"/>
      <c r="I9312" s="343"/>
      <c r="J9312" s="343"/>
      <c r="K9312" s="343"/>
      <c r="L9312" s="343"/>
    </row>
    <row r="9313" spans="4:12" x14ac:dyDescent="0.2">
      <c r="D9313" s="341"/>
      <c r="F9313" s="343"/>
      <c r="G9313" s="343"/>
      <c r="H9313" s="343"/>
      <c r="I9313" s="343"/>
      <c r="J9313" s="343"/>
      <c r="K9313" s="343"/>
      <c r="L9313" s="343"/>
    </row>
    <row r="9314" spans="4:12" x14ac:dyDescent="0.2">
      <c r="D9314" s="341"/>
      <c r="F9314" s="343"/>
      <c r="G9314" s="343"/>
      <c r="H9314" s="343"/>
      <c r="I9314" s="343"/>
      <c r="J9314" s="343"/>
      <c r="K9314" s="343"/>
      <c r="L9314" s="343"/>
    </row>
    <row r="9315" spans="4:12" x14ac:dyDescent="0.2">
      <c r="D9315" s="341"/>
      <c r="F9315" s="343"/>
      <c r="G9315" s="343"/>
      <c r="H9315" s="343"/>
      <c r="I9315" s="343"/>
      <c r="J9315" s="343"/>
      <c r="K9315" s="343"/>
      <c r="L9315" s="343"/>
    </row>
    <row r="9316" spans="4:12" x14ac:dyDescent="0.2">
      <c r="D9316" s="341"/>
      <c r="F9316" s="343"/>
      <c r="G9316" s="343"/>
      <c r="H9316" s="343"/>
      <c r="I9316" s="343"/>
      <c r="J9316" s="343"/>
      <c r="K9316" s="343"/>
      <c r="L9316" s="343"/>
    </row>
    <row r="9317" spans="4:12" x14ac:dyDescent="0.2">
      <c r="D9317" s="341"/>
      <c r="F9317" s="343"/>
      <c r="G9317" s="343"/>
      <c r="H9317" s="343"/>
      <c r="I9317" s="343"/>
      <c r="J9317" s="343"/>
      <c r="K9317" s="343"/>
      <c r="L9317" s="343"/>
    </row>
    <row r="9318" spans="4:12" x14ac:dyDescent="0.2">
      <c r="D9318" s="341"/>
      <c r="F9318" s="343"/>
      <c r="G9318" s="343"/>
      <c r="H9318" s="343"/>
      <c r="I9318" s="343"/>
      <c r="J9318" s="343"/>
      <c r="K9318" s="343"/>
      <c r="L9318" s="343"/>
    </row>
    <row r="9319" spans="4:12" x14ac:dyDescent="0.2">
      <c r="D9319" s="341"/>
      <c r="F9319" s="343"/>
      <c r="G9319" s="343"/>
      <c r="H9319" s="343"/>
      <c r="I9319" s="343"/>
      <c r="J9319" s="343"/>
      <c r="K9319" s="343"/>
      <c r="L9319" s="343"/>
    </row>
    <row r="9320" spans="4:12" x14ac:dyDescent="0.2">
      <c r="D9320" s="341"/>
      <c r="F9320" s="343"/>
      <c r="G9320" s="343"/>
      <c r="H9320" s="343"/>
      <c r="I9320" s="343"/>
      <c r="J9320" s="343"/>
      <c r="K9320" s="343"/>
      <c r="L9320" s="343"/>
    </row>
    <row r="9321" spans="4:12" x14ac:dyDescent="0.2">
      <c r="D9321" s="341"/>
      <c r="F9321" s="343"/>
      <c r="G9321" s="343"/>
      <c r="H9321" s="343"/>
      <c r="I9321" s="343"/>
      <c r="J9321" s="343"/>
      <c r="K9321" s="343"/>
      <c r="L9321" s="343"/>
    </row>
    <row r="9322" spans="4:12" x14ac:dyDescent="0.2">
      <c r="D9322" s="341"/>
      <c r="F9322" s="343"/>
      <c r="G9322" s="343"/>
      <c r="H9322" s="343"/>
      <c r="I9322" s="343"/>
      <c r="J9322" s="343"/>
      <c r="K9322" s="343"/>
      <c r="L9322" s="343"/>
    </row>
    <row r="9323" spans="4:12" x14ac:dyDescent="0.2">
      <c r="D9323" s="341"/>
      <c r="F9323" s="343"/>
      <c r="G9323" s="343"/>
      <c r="H9323" s="343"/>
      <c r="I9323" s="343"/>
      <c r="J9323" s="343"/>
      <c r="K9323" s="343"/>
      <c r="L9323" s="343"/>
    </row>
    <row r="9324" spans="4:12" x14ac:dyDescent="0.2">
      <c r="D9324" s="341"/>
      <c r="F9324" s="343"/>
      <c r="G9324" s="343"/>
      <c r="H9324" s="343"/>
      <c r="I9324" s="343"/>
      <c r="J9324" s="343"/>
      <c r="K9324" s="343"/>
      <c r="L9324" s="343"/>
    </row>
    <row r="9325" spans="4:12" x14ac:dyDescent="0.2">
      <c r="D9325" s="341"/>
      <c r="F9325" s="343"/>
      <c r="G9325" s="343"/>
      <c r="H9325" s="343"/>
      <c r="I9325" s="343"/>
      <c r="J9325" s="343"/>
      <c r="K9325" s="343"/>
      <c r="L9325" s="343"/>
    </row>
    <row r="9326" spans="4:12" x14ac:dyDescent="0.2">
      <c r="D9326" s="341"/>
      <c r="F9326" s="343"/>
      <c r="G9326" s="343"/>
      <c r="H9326" s="343"/>
      <c r="I9326" s="343"/>
      <c r="J9326" s="343"/>
      <c r="K9326" s="343"/>
      <c r="L9326" s="343"/>
    </row>
    <row r="9327" spans="4:12" x14ac:dyDescent="0.2">
      <c r="D9327" s="341"/>
      <c r="F9327" s="343"/>
      <c r="G9327" s="343"/>
      <c r="H9327" s="343"/>
      <c r="I9327" s="343"/>
      <c r="J9327" s="343"/>
      <c r="K9327" s="343"/>
      <c r="L9327" s="343"/>
    </row>
    <row r="9328" spans="4:12" x14ac:dyDescent="0.2">
      <c r="D9328" s="341"/>
      <c r="F9328" s="343"/>
      <c r="G9328" s="343"/>
      <c r="H9328" s="343"/>
      <c r="I9328" s="343"/>
      <c r="J9328" s="343"/>
      <c r="K9328" s="343"/>
      <c r="L9328" s="343"/>
    </row>
    <row r="9329" spans="4:12" x14ac:dyDescent="0.2">
      <c r="D9329" s="341"/>
      <c r="F9329" s="343"/>
      <c r="G9329" s="343"/>
      <c r="H9329" s="343"/>
      <c r="I9329" s="343"/>
      <c r="J9329" s="343"/>
      <c r="K9329" s="343"/>
      <c r="L9329" s="343"/>
    </row>
    <row r="9330" spans="4:12" x14ac:dyDescent="0.2">
      <c r="D9330" s="341"/>
      <c r="F9330" s="343"/>
      <c r="G9330" s="343"/>
      <c r="H9330" s="343"/>
      <c r="I9330" s="343"/>
      <c r="J9330" s="343"/>
      <c r="K9330" s="343"/>
      <c r="L9330" s="343"/>
    </row>
    <row r="9331" spans="4:12" x14ac:dyDescent="0.2">
      <c r="D9331" s="341"/>
      <c r="F9331" s="343"/>
      <c r="G9331" s="343"/>
      <c r="H9331" s="343"/>
      <c r="I9331" s="343"/>
      <c r="J9331" s="343"/>
      <c r="K9331" s="343"/>
      <c r="L9331" s="343"/>
    </row>
    <row r="9332" spans="4:12" x14ac:dyDescent="0.2">
      <c r="D9332" s="341"/>
      <c r="F9332" s="343"/>
      <c r="G9332" s="343"/>
      <c r="H9332" s="343"/>
      <c r="I9332" s="343"/>
      <c r="J9332" s="343"/>
      <c r="K9332" s="343"/>
      <c r="L9332" s="343"/>
    </row>
    <row r="9333" spans="4:12" x14ac:dyDescent="0.2">
      <c r="D9333" s="341"/>
      <c r="F9333" s="343"/>
      <c r="G9333" s="343"/>
      <c r="H9333" s="343"/>
      <c r="I9333" s="343"/>
      <c r="J9333" s="343"/>
      <c r="K9333" s="343"/>
      <c r="L9333" s="343"/>
    </row>
    <row r="9334" spans="4:12" x14ac:dyDescent="0.2">
      <c r="D9334" s="341"/>
      <c r="F9334" s="343"/>
      <c r="G9334" s="343"/>
      <c r="H9334" s="343"/>
      <c r="I9334" s="343"/>
      <c r="J9334" s="343"/>
      <c r="K9334" s="343"/>
      <c r="L9334" s="343"/>
    </row>
    <row r="9335" spans="4:12" x14ac:dyDescent="0.2">
      <c r="D9335" s="341"/>
      <c r="F9335" s="343"/>
      <c r="G9335" s="343"/>
      <c r="H9335" s="343"/>
      <c r="I9335" s="343"/>
      <c r="J9335" s="343"/>
      <c r="K9335" s="343"/>
      <c r="L9335" s="343"/>
    </row>
    <row r="9336" spans="4:12" x14ac:dyDescent="0.2">
      <c r="D9336" s="341"/>
      <c r="F9336" s="343"/>
      <c r="G9336" s="343"/>
      <c r="H9336" s="343"/>
      <c r="I9336" s="343"/>
      <c r="J9336" s="343"/>
      <c r="K9336" s="343"/>
      <c r="L9336" s="343"/>
    </row>
    <row r="9337" spans="4:12" x14ac:dyDescent="0.2">
      <c r="D9337" s="341"/>
      <c r="F9337" s="343"/>
      <c r="G9337" s="343"/>
      <c r="H9337" s="343"/>
      <c r="I9337" s="343"/>
      <c r="J9337" s="343"/>
      <c r="K9337" s="343"/>
      <c r="L9337" s="343"/>
    </row>
    <row r="9338" spans="4:12" x14ac:dyDescent="0.2">
      <c r="D9338" s="341"/>
      <c r="F9338" s="343"/>
      <c r="G9338" s="343"/>
      <c r="H9338" s="343"/>
      <c r="I9338" s="343"/>
      <c r="J9338" s="343"/>
      <c r="K9338" s="343"/>
      <c r="L9338" s="343"/>
    </row>
    <row r="9339" spans="4:12" x14ac:dyDescent="0.2">
      <c r="D9339" s="341"/>
      <c r="F9339" s="343"/>
      <c r="G9339" s="343"/>
      <c r="H9339" s="343"/>
      <c r="I9339" s="343"/>
      <c r="J9339" s="343"/>
      <c r="K9339" s="343"/>
      <c r="L9339" s="343"/>
    </row>
    <row r="9340" spans="4:12" x14ac:dyDescent="0.2">
      <c r="D9340" s="341"/>
      <c r="F9340" s="343"/>
      <c r="G9340" s="343"/>
      <c r="H9340" s="343"/>
      <c r="I9340" s="343"/>
      <c r="J9340" s="343"/>
      <c r="K9340" s="343"/>
      <c r="L9340" s="343"/>
    </row>
    <row r="9341" spans="4:12" x14ac:dyDescent="0.2">
      <c r="D9341" s="341"/>
      <c r="F9341" s="343"/>
      <c r="G9341" s="343"/>
      <c r="H9341" s="343"/>
      <c r="I9341" s="343"/>
      <c r="J9341" s="343"/>
      <c r="K9341" s="343"/>
      <c r="L9341" s="343"/>
    </row>
    <row r="9342" spans="4:12" x14ac:dyDescent="0.2">
      <c r="D9342" s="341"/>
      <c r="F9342" s="343"/>
      <c r="G9342" s="343"/>
      <c r="H9342" s="343"/>
      <c r="I9342" s="343"/>
      <c r="J9342" s="343"/>
      <c r="K9342" s="343"/>
      <c r="L9342" s="343"/>
    </row>
    <row r="9343" spans="4:12" x14ac:dyDescent="0.2">
      <c r="D9343" s="341"/>
      <c r="F9343" s="343"/>
      <c r="G9343" s="343"/>
      <c r="H9343" s="343"/>
      <c r="I9343" s="343"/>
      <c r="J9343" s="343"/>
      <c r="K9343" s="343"/>
      <c r="L9343" s="343"/>
    </row>
    <row r="9344" spans="4:12" x14ac:dyDescent="0.2">
      <c r="D9344" s="341"/>
      <c r="F9344" s="343"/>
      <c r="G9344" s="343"/>
      <c r="H9344" s="343"/>
      <c r="I9344" s="343"/>
      <c r="J9344" s="343"/>
      <c r="K9344" s="343"/>
      <c r="L9344" s="343"/>
    </row>
    <row r="9345" spans="4:12" x14ac:dyDescent="0.2">
      <c r="D9345" s="341"/>
      <c r="F9345" s="343"/>
      <c r="G9345" s="343"/>
      <c r="H9345" s="343"/>
      <c r="I9345" s="343"/>
      <c r="J9345" s="343"/>
      <c r="K9345" s="343"/>
      <c r="L9345" s="343"/>
    </row>
    <row r="9346" spans="4:12" x14ac:dyDescent="0.2">
      <c r="D9346" s="341"/>
      <c r="F9346" s="343"/>
      <c r="G9346" s="343"/>
      <c r="H9346" s="343"/>
      <c r="I9346" s="343"/>
      <c r="J9346" s="343"/>
      <c r="K9346" s="343"/>
      <c r="L9346" s="343"/>
    </row>
    <row r="9347" spans="4:12" x14ac:dyDescent="0.2">
      <c r="D9347" s="341"/>
      <c r="F9347" s="343"/>
      <c r="G9347" s="343"/>
      <c r="H9347" s="343"/>
      <c r="I9347" s="343"/>
      <c r="J9347" s="343"/>
      <c r="K9347" s="343"/>
      <c r="L9347" s="343"/>
    </row>
    <row r="9348" spans="4:12" x14ac:dyDescent="0.2">
      <c r="D9348" s="341"/>
      <c r="F9348" s="343"/>
      <c r="G9348" s="343"/>
      <c r="H9348" s="343"/>
      <c r="I9348" s="343"/>
      <c r="J9348" s="343"/>
      <c r="K9348" s="343"/>
      <c r="L9348" s="343"/>
    </row>
    <row r="9349" spans="4:12" x14ac:dyDescent="0.2">
      <c r="D9349" s="341"/>
      <c r="F9349" s="343"/>
      <c r="G9349" s="343"/>
      <c r="H9349" s="343"/>
      <c r="I9349" s="343"/>
      <c r="J9349" s="343"/>
      <c r="K9349" s="343"/>
      <c r="L9349" s="343"/>
    </row>
    <row r="9350" spans="4:12" x14ac:dyDescent="0.2">
      <c r="D9350" s="341"/>
      <c r="F9350" s="343"/>
      <c r="G9350" s="343"/>
      <c r="H9350" s="343"/>
      <c r="I9350" s="343"/>
      <c r="J9350" s="343"/>
      <c r="K9350" s="343"/>
      <c r="L9350" s="343"/>
    </row>
    <row r="9351" spans="4:12" x14ac:dyDescent="0.2">
      <c r="D9351" s="341"/>
      <c r="F9351" s="343"/>
      <c r="G9351" s="343"/>
      <c r="H9351" s="343"/>
      <c r="I9351" s="343"/>
      <c r="J9351" s="343"/>
      <c r="K9351" s="343"/>
      <c r="L9351" s="343"/>
    </row>
    <row r="9352" spans="4:12" x14ac:dyDescent="0.2">
      <c r="D9352" s="341"/>
      <c r="F9352" s="343"/>
      <c r="G9352" s="343"/>
      <c r="H9352" s="343"/>
      <c r="I9352" s="343"/>
      <c r="J9352" s="343"/>
      <c r="K9352" s="343"/>
      <c r="L9352" s="343"/>
    </row>
    <row r="9353" spans="4:12" x14ac:dyDescent="0.2">
      <c r="D9353" s="341"/>
      <c r="F9353" s="343"/>
      <c r="G9353" s="343"/>
      <c r="H9353" s="343"/>
      <c r="I9353" s="343"/>
      <c r="J9353" s="343"/>
      <c r="K9353" s="343"/>
      <c r="L9353" s="343"/>
    </row>
    <row r="9354" spans="4:12" x14ac:dyDescent="0.2">
      <c r="D9354" s="341"/>
      <c r="F9354" s="343"/>
      <c r="G9354" s="343"/>
      <c r="H9354" s="343"/>
      <c r="I9354" s="343"/>
      <c r="J9354" s="343"/>
      <c r="K9354" s="343"/>
      <c r="L9354" s="343"/>
    </row>
    <row r="9355" spans="4:12" x14ac:dyDescent="0.2">
      <c r="D9355" s="341"/>
      <c r="F9355" s="343"/>
      <c r="G9355" s="343"/>
      <c r="H9355" s="343"/>
      <c r="I9355" s="343"/>
      <c r="J9355" s="343"/>
      <c r="K9355" s="343"/>
      <c r="L9355" s="343"/>
    </row>
    <row r="9356" spans="4:12" x14ac:dyDescent="0.2">
      <c r="D9356" s="341"/>
      <c r="F9356" s="343"/>
      <c r="G9356" s="343"/>
      <c r="H9356" s="343"/>
      <c r="I9356" s="343"/>
      <c r="J9356" s="343"/>
      <c r="K9356" s="343"/>
      <c r="L9356" s="343"/>
    </row>
    <row r="9357" spans="4:12" x14ac:dyDescent="0.2">
      <c r="D9357" s="341"/>
      <c r="F9357" s="343"/>
      <c r="G9357" s="343"/>
      <c r="H9357" s="343"/>
      <c r="I9357" s="343"/>
      <c r="J9357" s="343"/>
      <c r="K9357" s="343"/>
      <c r="L9357" s="343"/>
    </row>
    <row r="9358" spans="4:12" x14ac:dyDescent="0.2">
      <c r="D9358" s="341"/>
      <c r="F9358" s="343"/>
      <c r="G9358" s="343"/>
      <c r="H9358" s="343"/>
      <c r="I9358" s="343"/>
      <c r="J9358" s="343"/>
      <c r="K9358" s="343"/>
      <c r="L9358" s="343"/>
    </row>
    <row r="9359" spans="4:12" x14ac:dyDescent="0.2">
      <c r="D9359" s="341"/>
      <c r="F9359" s="343"/>
      <c r="G9359" s="343"/>
      <c r="H9359" s="343"/>
      <c r="I9359" s="343"/>
      <c r="J9359" s="343"/>
      <c r="K9359" s="343"/>
      <c r="L9359" s="343"/>
    </row>
    <row r="9360" spans="4:12" x14ac:dyDescent="0.2">
      <c r="D9360" s="341"/>
      <c r="F9360" s="343"/>
      <c r="G9360" s="343"/>
      <c r="H9360" s="343"/>
      <c r="I9360" s="343"/>
      <c r="J9360" s="343"/>
      <c r="K9360" s="343"/>
      <c r="L9360" s="343"/>
    </row>
    <row r="9361" spans="4:12" x14ac:dyDescent="0.2">
      <c r="D9361" s="341"/>
      <c r="F9361" s="343"/>
      <c r="G9361" s="343"/>
      <c r="H9361" s="343"/>
      <c r="I9361" s="343"/>
      <c r="J9361" s="343"/>
      <c r="K9361" s="343"/>
      <c r="L9361" s="343"/>
    </row>
    <row r="9362" spans="4:12" x14ac:dyDescent="0.2">
      <c r="D9362" s="341"/>
      <c r="F9362" s="343"/>
      <c r="G9362" s="343"/>
      <c r="H9362" s="343"/>
      <c r="I9362" s="343"/>
      <c r="J9362" s="343"/>
      <c r="K9362" s="343"/>
      <c r="L9362" s="343"/>
    </row>
    <row r="9363" spans="4:12" x14ac:dyDescent="0.2">
      <c r="D9363" s="341"/>
      <c r="F9363" s="343"/>
      <c r="G9363" s="343"/>
      <c r="H9363" s="343"/>
      <c r="I9363" s="343"/>
      <c r="J9363" s="343"/>
      <c r="K9363" s="343"/>
      <c r="L9363" s="343"/>
    </row>
    <row r="9364" spans="4:12" x14ac:dyDescent="0.2">
      <c r="D9364" s="341"/>
      <c r="F9364" s="343"/>
      <c r="G9364" s="343"/>
      <c r="H9364" s="343"/>
      <c r="I9364" s="343"/>
      <c r="J9364" s="343"/>
      <c r="K9364" s="343"/>
      <c r="L9364" s="343"/>
    </row>
    <row r="9365" spans="4:12" x14ac:dyDescent="0.2">
      <c r="D9365" s="341"/>
      <c r="F9365" s="343"/>
      <c r="G9365" s="343"/>
      <c r="H9365" s="343"/>
      <c r="I9365" s="343"/>
      <c r="J9365" s="343"/>
      <c r="K9365" s="343"/>
      <c r="L9365" s="343"/>
    </row>
    <row r="9366" spans="4:12" x14ac:dyDescent="0.2">
      <c r="D9366" s="341"/>
      <c r="F9366" s="343"/>
      <c r="G9366" s="343"/>
      <c r="H9366" s="343"/>
      <c r="I9366" s="343"/>
      <c r="J9366" s="343"/>
      <c r="K9366" s="343"/>
      <c r="L9366" s="343"/>
    </row>
    <row r="9367" spans="4:12" x14ac:dyDescent="0.2">
      <c r="D9367" s="341"/>
      <c r="F9367" s="343"/>
      <c r="G9367" s="343"/>
      <c r="H9367" s="343"/>
      <c r="I9367" s="343"/>
      <c r="J9367" s="343"/>
      <c r="K9367" s="343"/>
      <c r="L9367" s="343"/>
    </row>
    <row r="9368" spans="4:12" x14ac:dyDescent="0.2">
      <c r="D9368" s="341"/>
      <c r="F9368" s="343"/>
      <c r="G9368" s="343"/>
      <c r="H9368" s="343"/>
      <c r="I9368" s="343"/>
      <c r="J9368" s="343"/>
      <c r="K9368" s="343"/>
      <c r="L9368" s="343"/>
    </row>
    <row r="9369" spans="4:12" x14ac:dyDescent="0.2">
      <c r="D9369" s="341"/>
      <c r="F9369" s="343"/>
      <c r="G9369" s="343"/>
      <c r="H9369" s="343"/>
      <c r="I9369" s="343"/>
      <c r="J9369" s="343"/>
      <c r="K9369" s="343"/>
      <c r="L9369" s="343"/>
    </row>
    <row r="9370" spans="4:12" x14ac:dyDescent="0.2">
      <c r="D9370" s="341"/>
      <c r="F9370" s="343"/>
      <c r="G9370" s="343"/>
      <c r="H9370" s="343"/>
      <c r="I9370" s="343"/>
      <c r="J9370" s="343"/>
      <c r="K9370" s="343"/>
      <c r="L9370" s="343"/>
    </row>
    <row r="9371" spans="4:12" x14ac:dyDescent="0.2">
      <c r="D9371" s="341"/>
      <c r="F9371" s="343"/>
      <c r="G9371" s="343"/>
      <c r="H9371" s="343"/>
      <c r="I9371" s="343"/>
      <c r="J9371" s="343"/>
      <c r="K9371" s="343"/>
      <c r="L9371" s="343"/>
    </row>
    <row r="9372" spans="4:12" x14ac:dyDescent="0.2">
      <c r="D9372" s="341"/>
      <c r="F9372" s="343"/>
      <c r="G9372" s="343"/>
      <c r="H9372" s="343"/>
      <c r="I9372" s="343"/>
      <c r="J9372" s="343"/>
      <c r="K9372" s="343"/>
      <c r="L9372" s="343"/>
    </row>
    <row r="9373" spans="4:12" x14ac:dyDescent="0.2">
      <c r="D9373" s="341"/>
      <c r="F9373" s="343"/>
      <c r="G9373" s="343"/>
      <c r="H9373" s="343"/>
      <c r="I9373" s="343"/>
      <c r="J9373" s="343"/>
      <c r="K9373" s="343"/>
      <c r="L9373" s="343"/>
    </row>
    <row r="9374" spans="4:12" x14ac:dyDescent="0.2">
      <c r="D9374" s="341"/>
      <c r="F9374" s="343"/>
      <c r="G9374" s="343"/>
      <c r="H9374" s="343"/>
      <c r="I9374" s="343"/>
      <c r="J9374" s="343"/>
      <c r="K9374" s="343"/>
      <c r="L9374" s="343"/>
    </row>
    <row r="9375" spans="4:12" x14ac:dyDescent="0.2">
      <c r="D9375" s="341"/>
      <c r="F9375" s="343"/>
      <c r="G9375" s="343"/>
      <c r="H9375" s="343"/>
      <c r="I9375" s="343"/>
      <c r="J9375" s="343"/>
      <c r="K9375" s="343"/>
      <c r="L9375" s="343"/>
    </row>
    <row r="9376" spans="4:12" x14ac:dyDescent="0.2">
      <c r="D9376" s="341"/>
      <c r="F9376" s="343"/>
      <c r="G9376" s="343"/>
      <c r="H9376" s="343"/>
      <c r="I9376" s="343"/>
      <c r="J9376" s="343"/>
      <c r="K9376" s="343"/>
      <c r="L9376" s="343"/>
    </row>
    <row r="9377" spans="4:12" x14ac:dyDescent="0.2">
      <c r="D9377" s="341"/>
      <c r="F9377" s="343"/>
      <c r="G9377" s="343"/>
      <c r="H9377" s="343"/>
      <c r="I9377" s="343"/>
      <c r="J9377" s="343"/>
      <c r="K9377" s="343"/>
      <c r="L9377" s="343"/>
    </row>
    <row r="9378" spans="4:12" x14ac:dyDescent="0.2">
      <c r="D9378" s="341"/>
      <c r="F9378" s="343"/>
      <c r="G9378" s="343"/>
      <c r="H9378" s="343"/>
      <c r="I9378" s="343"/>
      <c r="J9378" s="343"/>
      <c r="K9378" s="343"/>
      <c r="L9378" s="343"/>
    </row>
    <row r="9379" spans="4:12" x14ac:dyDescent="0.2">
      <c r="D9379" s="341"/>
      <c r="F9379" s="343"/>
      <c r="G9379" s="343"/>
      <c r="H9379" s="343"/>
      <c r="I9379" s="343"/>
      <c r="J9379" s="343"/>
      <c r="K9379" s="343"/>
      <c r="L9379" s="343"/>
    </row>
    <row r="9380" spans="4:12" x14ac:dyDescent="0.2">
      <c r="D9380" s="341"/>
      <c r="F9380" s="343"/>
      <c r="G9380" s="343"/>
      <c r="H9380" s="343"/>
      <c r="I9380" s="343"/>
      <c r="J9380" s="343"/>
      <c r="K9380" s="343"/>
      <c r="L9380" s="343"/>
    </row>
    <row r="9381" spans="4:12" x14ac:dyDescent="0.2">
      <c r="D9381" s="341"/>
      <c r="F9381" s="343"/>
      <c r="G9381" s="343"/>
      <c r="H9381" s="343"/>
      <c r="I9381" s="343"/>
      <c r="J9381" s="343"/>
      <c r="K9381" s="343"/>
      <c r="L9381" s="343"/>
    </row>
    <row r="9382" spans="4:12" x14ac:dyDescent="0.2">
      <c r="D9382" s="341"/>
      <c r="F9382" s="343"/>
      <c r="G9382" s="343"/>
      <c r="H9382" s="343"/>
      <c r="I9382" s="343"/>
      <c r="J9382" s="343"/>
      <c r="K9382" s="343"/>
      <c r="L9382" s="343"/>
    </row>
    <row r="9383" spans="4:12" x14ac:dyDescent="0.2">
      <c r="D9383" s="341"/>
      <c r="F9383" s="343"/>
      <c r="G9383" s="343"/>
      <c r="H9383" s="343"/>
      <c r="I9383" s="343"/>
      <c r="J9383" s="343"/>
      <c r="K9383" s="343"/>
      <c r="L9383" s="343"/>
    </row>
    <row r="9384" spans="4:12" x14ac:dyDescent="0.2">
      <c r="D9384" s="341"/>
      <c r="F9384" s="343"/>
      <c r="G9384" s="343"/>
      <c r="H9384" s="343"/>
      <c r="I9384" s="343"/>
      <c r="J9384" s="343"/>
      <c r="K9384" s="343"/>
      <c r="L9384" s="343"/>
    </row>
    <row r="9385" spans="4:12" x14ac:dyDescent="0.2">
      <c r="D9385" s="341"/>
      <c r="F9385" s="343"/>
      <c r="G9385" s="343"/>
      <c r="H9385" s="343"/>
      <c r="I9385" s="343"/>
      <c r="J9385" s="343"/>
      <c r="K9385" s="343"/>
      <c r="L9385" s="343"/>
    </row>
    <row r="9386" spans="4:12" x14ac:dyDescent="0.2">
      <c r="D9386" s="341"/>
      <c r="F9386" s="343"/>
      <c r="G9386" s="343"/>
      <c r="H9386" s="343"/>
      <c r="I9386" s="343"/>
      <c r="J9386" s="343"/>
      <c r="K9386" s="343"/>
      <c r="L9386" s="343"/>
    </row>
    <row r="9387" spans="4:12" x14ac:dyDescent="0.2">
      <c r="D9387" s="341"/>
      <c r="F9387" s="343"/>
      <c r="G9387" s="343"/>
      <c r="H9387" s="343"/>
      <c r="I9387" s="343"/>
      <c r="J9387" s="343"/>
      <c r="K9387" s="343"/>
      <c r="L9387" s="343"/>
    </row>
    <row r="9388" spans="4:12" x14ac:dyDescent="0.2">
      <c r="D9388" s="341"/>
      <c r="F9388" s="343"/>
      <c r="G9388" s="343"/>
      <c r="H9388" s="343"/>
      <c r="I9388" s="343"/>
      <c r="J9388" s="343"/>
      <c r="K9388" s="343"/>
      <c r="L9388" s="343"/>
    </row>
    <row r="9389" spans="4:12" x14ac:dyDescent="0.2">
      <c r="D9389" s="341"/>
      <c r="F9389" s="343"/>
      <c r="G9389" s="343"/>
      <c r="H9389" s="343"/>
      <c r="I9389" s="343"/>
      <c r="J9389" s="343"/>
      <c r="K9389" s="343"/>
      <c r="L9389" s="343"/>
    </row>
    <row r="9390" spans="4:12" x14ac:dyDescent="0.2">
      <c r="D9390" s="341"/>
      <c r="F9390" s="343"/>
      <c r="G9390" s="343"/>
      <c r="H9390" s="343"/>
      <c r="I9390" s="343"/>
      <c r="J9390" s="343"/>
      <c r="K9390" s="343"/>
      <c r="L9390" s="343"/>
    </row>
    <row r="9391" spans="4:12" x14ac:dyDescent="0.2">
      <c r="D9391" s="341"/>
      <c r="F9391" s="343"/>
      <c r="G9391" s="343"/>
      <c r="H9391" s="343"/>
      <c r="I9391" s="343"/>
      <c r="J9391" s="343"/>
      <c r="K9391" s="343"/>
      <c r="L9391" s="343"/>
    </row>
    <row r="9392" spans="4:12" x14ac:dyDescent="0.2">
      <c r="D9392" s="341"/>
      <c r="F9392" s="343"/>
      <c r="G9392" s="343"/>
      <c r="H9392" s="343"/>
      <c r="I9392" s="343"/>
      <c r="J9392" s="343"/>
      <c r="K9392" s="343"/>
      <c r="L9392" s="343"/>
    </row>
    <row r="9393" spans="4:12" x14ac:dyDescent="0.2">
      <c r="D9393" s="341"/>
      <c r="F9393" s="343"/>
      <c r="G9393" s="343"/>
      <c r="H9393" s="343"/>
      <c r="I9393" s="343"/>
      <c r="J9393" s="343"/>
      <c r="K9393" s="343"/>
      <c r="L9393" s="343"/>
    </row>
    <row r="9394" spans="4:12" x14ac:dyDescent="0.2">
      <c r="D9394" s="341"/>
      <c r="F9394" s="343"/>
      <c r="G9394" s="343"/>
      <c r="H9394" s="343"/>
      <c r="I9394" s="343"/>
      <c r="J9394" s="343"/>
      <c r="K9394" s="343"/>
      <c r="L9394" s="343"/>
    </row>
    <row r="9395" spans="4:12" x14ac:dyDescent="0.2">
      <c r="D9395" s="341"/>
      <c r="F9395" s="343"/>
      <c r="G9395" s="343"/>
      <c r="H9395" s="343"/>
      <c r="I9395" s="343"/>
      <c r="J9395" s="343"/>
      <c r="K9395" s="343"/>
      <c r="L9395" s="343"/>
    </row>
    <row r="9396" spans="4:12" x14ac:dyDescent="0.2">
      <c r="D9396" s="341"/>
      <c r="F9396" s="343"/>
      <c r="G9396" s="343"/>
      <c r="H9396" s="343"/>
      <c r="I9396" s="343"/>
      <c r="J9396" s="343"/>
      <c r="K9396" s="343"/>
      <c r="L9396" s="343"/>
    </row>
    <row r="9397" spans="4:12" x14ac:dyDescent="0.2">
      <c r="D9397" s="341"/>
      <c r="F9397" s="343"/>
      <c r="G9397" s="343"/>
      <c r="H9397" s="343"/>
      <c r="I9397" s="343"/>
      <c r="J9397" s="343"/>
      <c r="K9397" s="343"/>
      <c r="L9397" s="343"/>
    </row>
    <row r="9398" spans="4:12" x14ac:dyDescent="0.2">
      <c r="D9398" s="341"/>
      <c r="F9398" s="343"/>
      <c r="G9398" s="343"/>
      <c r="H9398" s="343"/>
      <c r="I9398" s="343"/>
      <c r="J9398" s="343"/>
      <c r="K9398" s="343"/>
      <c r="L9398" s="343"/>
    </row>
    <row r="9399" spans="4:12" x14ac:dyDescent="0.2">
      <c r="D9399" s="341"/>
      <c r="F9399" s="343"/>
      <c r="G9399" s="343"/>
      <c r="H9399" s="343"/>
      <c r="I9399" s="343"/>
      <c r="J9399" s="343"/>
      <c r="K9399" s="343"/>
      <c r="L9399" s="343"/>
    </row>
    <row r="9400" spans="4:12" x14ac:dyDescent="0.2">
      <c r="D9400" s="341"/>
      <c r="F9400" s="343"/>
      <c r="G9400" s="343"/>
      <c r="H9400" s="343"/>
      <c r="I9400" s="343"/>
      <c r="J9400" s="343"/>
      <c r="K9400" s="343"/>
      <c r="L9400" s="343"/>
    </row>
    <row r="9401" spans="4:12" x14ac:dyDescent="0.2">
      <c r="D9401" s="341"/>
      <c r="F9401" s="343"/>
      <c r="G9401" s="343"/>
      <c r="H9401" s="343"/>
      <c r="I9401" s="343"/>
      <c r="J9401" s="343"/>
      <c r="K9401" s="343"/>
      <c r="L9401" s="343"/>
    </row>
    <row r="9402" spans="4:12" x14ac:dyDescent="0.2">
      <c r="D9402" s="341"/>
      <c r="F9402" s="343"/>
      <c r="G9402" s="343"/>
      <c r="H9402" s="343"/>
      <c r="I9402" s="343"/>
      <c r="J9402" s="343"/>
      <c r="K9402" s="343"/>
      <c r="L9402" s="343"/>
    </row>
    <row r="9403" spans="4:12" x14ac:dyDescent="0.2">
      <c r="D9403" s="341"/>
      <c r="F9403" s="343"/>
      <c r="G9403" s="343"/>
      <c r="H9403" s="343"/>
      <c r="I9403" s="343"/>
      <c r="J9403" s="343"/>
      <c r="K9403" s="343"/>
      <c r="L9403" s="343"/>
    </row>
    <row r="9404" spans="4:12" x14ac:dyDescent="0.2">
      <c r="D9404" s="341"/>
      <c r="F9404" s="343"/>
      <c r="G9404" s="343"/>
      <c r="H9404" s="343"/>
      <c r="I9404" s="343"/>
      <c r="J9404" s="343"/>
      <c r="K9404" s="343"/>
      <c r="L9404" s="343"/>
    </row>
    <row r="9405" spans="4:12" x14ac:dyDescent="0.2">
      <c r="D9405" s="341"/>
      <c r="F9405" s="343"/>
      <c r="G9405" s="343"/>
      <c r="H9405" s="343"/>
      <c r="I9405" s="343"/>
      <c r="J9405" s="343"/>
      <c r="K9405" s="343"/>
      <c r="L9405" s="343"/>
    </row>
    <row r="9406" spans="4:12" x14ac:dyDescent="0.2">
      <c r="D9406" s="341"/>
      <c r="F9406" s="343"/>
      <c r="G9406" s="343"/>
      <c r="H9406" s="343"/>
      <c r="I9406" s="343"/>
      <c r="J9406" s="343"/>
      <c r="K9406" s="343"/>
      <c r="L9406" s="343"/>
    </row>
    <row r="9407" spans="4:12" x14ac:dyDescent="0.2">
      <c r="D9407" s="341"/>
      <c r="F9407" s="343"/>
      <c r="G9407" s="343"/>
      <c r="H9407" s="343"/>
      <c r="I9407" s="343"/>
      <c r="J9407" s="343"/>
      <c r="K9407" s="343"/>
      <c r="L9407" s="343"/>
    </row>
    <row r="9408" spans="4:12" x14ac:dyDescent="0.2">
      <c r="D9408" s="341"/>
      <c r="F9408" s="343"/>
      <c r="G9408" s="343"/>
      <c r="H9408" s="343"/>
      <c r="I9408" s="343"/>
      <c r="J9408" s="343"/>
      <c r="K9408" s="343"/>
      <c r="L9408" s="343"/>
    </row>
    <row r="9409" spans="4:12" x14ac:dyDescent="0.2">
      <c r="D9409" s="341"/>
      <c r="F9409" s="343"/>
      <c r="G9409" s="343"/>
      <c r="H9409" s="343"/>
      <c r="I9409" s="343"/>
      <c r="J9409" s="343"/>
      <c r="K9409" s="343"/>
      <c r="L9409" s="343"/>
    </row>
    <row r="9410" spans="4:12" x14ac:dyDescent="0.2">
      <c r="D9410" s="341"/>
      <c r="F9410" s="343"/>
      <c r="G9410" s="343"/>
      <c r="H9410" s="343"/>
      <c r="I9410" s="343"/>
      <c r="J9410" s="343"/>
      <c r="K9410" s="343"/>
      <c r="L9410" s="343"/>
    </row>
    <row r="9411" spans="4:12" x14ac:dyDescent="0.2">
      <c r="D9411" s="341"/>
      <c r="F9411" s="343"/>
      <c r="G9411" s="343"/>
      <c r="H9411" s="343"/>
      <c r="I9411" s="343"/>
      <c r="J9411" s="343"/>
      <c r="K9411" s="343"/>
      <c r="L9411" s="343"/>
    </row>
    <row r="9412" spans="4:12" x14ac:dyDescent="0.2">
      <c r="D9412" s="341"/>
      <c r="F9412" s="343"/>
      <c r="G9412" s="343"/>
      <c r="H9412" s="343"/>
      <c r="I9412" s="343"/>
      <c r="J9412" s="343"/>
      <c r="K9412" s="343"/>
      <c r="L9412" s="343"/>
    </row>
    <row r="9413" spans="4:12" x14ac:dyDescent="0.2">
      <c r="D9413" s="341"/>
      <c r="F9413" s="343"/>
      <c r="G9413" s="343"/>
      <c r="H9413" s="343"/>
      <c r="I9413" s="343"/>
      <c r="J9413" s="343"/>
      <c r="K9413" s="343"/>
      <c r="L9413" s="343"/>
    </row>
    <row r="9414" spans="4:12" x14ac:dyDescent="0.2">
      <c r="D9414" s="341"/>
      <c r="F9414" s="343"/>
      <c r="G9414" s="343"/>
      <c r="H9414" s="343"/>
      <c r="I9414" s="343"/>
      <c r="J9414" s="343"/>
      <c r="K9414" s="343"/>
      <c r="L9414" s="343"/>
    </row>
    <row r="9415" spans="4:12" x14ac:dyDescent="0.2">
      <c r="D9415" s="341"/>
      <c r="F9415" s="343"/>
      <c r="G9415" s="343"/>
      <c r="H9415" s="343"/>
      <c r="I9415" s="343"/>
      <c r="J9415" s="343"/>
      <c r="K9415" s="343"/>
      <c r="L9415" s="343"/>
    </row>
    <row r="9416" spans="4:12" x14ac:dyDescent="0.2">
      <c r="D9416" s="341"/>
      <c r="F9416" s="343"/>
      <c r="G9416" s="343"/>
      <c r="H9416" s="343"/>
      <c r="I9416" s="343"/>
      <c r="J9416" s="343"/>
      <c r="K9416" s="343"/>
      <c r="L9416" s="343"/>
    </row>
    <row r="9417" spans="4:12" x14ac:dyDescent="0.2">
      <c r="D9417" s="341"/>
      <c r="F9417" s="343"/>
      <c r="G9417" s="343"/>
      <c r="H9417" s="343"/>
      <c r="I9417" s="343"/>
      <c r="J9417" s="343"/>
      <c r="K9417" s="343"/>
      <c r="L9417" s="343"/>
    </row>
    <row r="9418" spans="4:12" x14ac:dyDescent="0.2">
      <c r="D9418" s="341"/>
      <c r="F9418" s="343"/>
      <c r="G9418" s="343"/>
      <c r="H9418" s="343"/>
      <c r="I9418" s="343"/>
      <c r="J9418" s="343"/>
      <c r="K9418" s="343"/>
      <c r="L9418" s="343"/>
    </row>
    <row r="9419" spans="4:12" x14ac:dyDescent="0.2">
      <c r="D9419" s="341"/>
      <c r="F9419" s="343"/>
      <c r="G9419" s="343"/>
      <c r="H9419" s="343"/>
      <c r="I9419" s="343"/>
      <c r="J9419" s="343"/>
      <c r="K9419" s="343"/>
      <c r="L9419" s="343"/>
    </row>
    <row r="9420" spans="4:12" x14ac:dyDescent="0.2">
      <c r="D9420" s="341"/>
      <c r="F9420" s="343"/>
      <c r="G9420" s="343"/>
      <c r="H9420" s="343"/>
      <c r="I9420" s="343"/>
      <c r="J9420" s="343"/>
      <c r="K9420" s="343"/>
      <c r="L9420" s="343"/>
    </row>
    <row r="9421" spans="4:12" x14ac:dyDescent="0.2">
      <c r="D9421" s="341"/>
      <c r="F9421" s="343"/>
      <c r="G9421" s="343"/>
      <c r="H9421" s="343"/>
      <c r="I9421" s="343"/>
      <c r="J9421" s="343"/>
      <c r="K9421" s="343"/>
      <c r="L9421" s="343"/>
    </row>
    <row r="9422" spans="4:12" x14ac:dyDescent="0.2">
      <c r="D9422" s="341"/>
      <c r="F9422" s="343"/>
      <c r="G9422" s="343"/>
      <c r="H9422" s="343"/>
      <c r="I9422" s="343"/>
      <c r="J9422" s="343"/>
      <c r="K9422" s="343"/>
      <c r="L9422" s="343"/>
    </row>
    <row r="9423" spans="4:12" x14ac:dyDescent="0.2">
      <c r="D9423" s="341"/>
      <c r="F9423" s="343"/>
      <c r="G9423" s="343"/>
      <c r="H9423" s="343"/>
      <c r="I9423" s="343"/>
      <c r="J9423" s="343"/>
      <c r="K9423" s="343"/>
      <c r="L9423" s="343"/>
    </row>
    <row r="9424" spans="4:12" x14ac:dyDescent="0.2">
      <c r="D9424" s="341"/>
      <c r="F9424" s="343"/>
      <c r="G9424" s="343"/>
      <c r="H9424" s="343"/>
      <c r="I9424" s="343"/>
      <c r="J9424" s="343"/>
      <c r="K9424" s="343"/>
      <c r="L9424" s="343"/>
    </row>
    <row r="9425" spans="4:12" x14ac:dyDescent="0.2">
      <c r="D9425" s="341"/>
      <c r="F9425" s="343"/>
      <c r="G9425" s="343"/>
      <c r="H9425" s="343"/>
      <c r="I9425" s="343"/>
      <c r="J9425" s="343"/>
      <c r="K9425" s="343"/>
      <c r="L9425" s="343"/>
    </row>
    <row r="9426" spans="4:12" x14ac:dyDescent="0.2">
      <c r="D9426" s="341"/>
      <c r="F9426" s="343"/>
      <c r="G9426" s="343"/>
      <c r="H9426" s="343"/>
      <c r="I9426" s="343"/>
      <c r="J9426" s="343"/>
      <c r="K9426" s="343"/>
      <c r="L9426" s="343"/>
    </row>
    <row r="9427" spans="4:12" x14ac:dyDescent="0.2">
      <c r="D9427" s="341"/>
      <c r="F9427" s="343"/>
      <c r="G9427" s="343"/>
      <c r="H9427" s="343"/>
      <c r="I9427" s="343"/>
      <c r="J9427" s="343"/>
      <c r="K9427" s="343"/>
      <c r="L9427" s="343"/>
    </row>
    <row r="9428" spans="4:12" x14ac:dyDescent="0.2">
      <c r="D9428" s="341"/>
      <c r="F9428" s="343"/>
      <c r="G9428" s="343"/>
      <c r="H9428" s="343"/>
      <c r="I9428" s="343"/>
      <c r="J9428" s="343"/>
      <c r="K9428" s="343"/>
      <c r="L9428" s="343"/>
    </row>
    <row r="9429" spans="4:12" x14ac:dyDescent="0.2">
      <c r="D9429" s="341"/>
      <c r="F9429" s="343"/>
      <c r="G9429" s="343"/>
      <c r="H9429" s="343"/>
      <c r="I9429" s="343"/>
      <c r="J9429" s="343"/>
      <c r="K9429" s="343"/>
      <c r="L9429" s="343"/>
    </row>
    <row r="9430" spans="4:12" x14ac:dyDescent="0.2">
      <c r="D9430" s="341"/>
      <c r="F9430" s="343"/>
      <c r="G9430" s="343"/>
      <c r="H9430" s="343"/>
      <c r="I9430" s="343"/>
      <c r="J9430" s="343"/>
      <c r="K9430" s="343"/>
      <c r="L9430" s="343"/>
    </row>
    <row r="9431" spans="4:12" x14ac:dyDescent="0.2">
      <c r="D9431" s="341"/>
      <c r="F9431" s="343"/>
      <c r="G9431" s="343"/>
      <c r="H9431" s="343"/>
      <c r="I9431" s="343"/>
      <c r="J9431" s="343"/>
      <c r="K9431" s="343"/>
      <c r="L9431" s="343"/>
    </row>
    <row r="9432" spans="4:12" x14ac:dyDescent="0.2">
      <c r="D9432" s="341"/>
      <c r="F9432" s="343"/>
      <c r="G9432" s="343"/>
      <c r="H9432" s="343"/>
      <c r="I9432" s="343"/>
      <c r="J9432" s="343"/>
      <c r="K9432" s="343"/>
      <c r="L9432" s="343"/>
    </row>
    <row r="9433" spans="4:12" x14ac:dyDescent="0.2">
      <c r="D9433" s="341"/>
      <c r="F9433" s="343"/>
      <c r="G9433" s="343"/>
      <c r="H9433" s="343"/>
      <c r="I9433" s="343"/>
      <c r="J9433" s="343"/>
      <c r="K9433" s="343"/>
      <c r="L9433" s="343"/>
    </row>
    <row r="9434" spans="4:12" x14ac:dyDescent="0.2">
      <c r="D9434" s="341"/>
      <c r="F9434" s="343"/>
      <c r="G9434" s="343"/>
      <c r="H9434" s="343"/>
      <c r="I9434" s="343"/>
      <c r="J9434" s="343"/>
      <c r="K9434" s="343"/>
      <c r="L9434" s="343"/>
    </row>
    <row r="9435" spans="4:12" x14ac:dyDescent="0.2">
      <c r="D9435" s="341"/>
      <c r="F9435" s="343"/>
      <c r="G9435" s="343"/>
      <c r="H9435" s="343"/>
      <c r="I9435" s="343"/>
      <c r="J9435" s="343"/>
      <c r="K9435" s="343"/>
      <c r="L9435" s="343"/>
    </row>
    <row r="9436" spans="4:12" x14ac:dyDescent="0.2">
      <c r="D9436" s="341"/>
      <c r="F9436" s="343"/>
      <c r="G9436" s="343"/>
      <c r="H9436" s="343"/>
      <c r="I9436" s="343"/>
      <c r="J9436" s="343"/>
      <c r="K9436" s="343"/>
      <c r="L9436" s="343"/>
    </row>
    <row r="9437" spans="4:12" x14ac:dyDescent="0.2">
      <c r="D9437" s="341"/>
      <c r="F9437" s="343"/>
      <c r="G9437" s="343"/>
      <c r="H9437" s="343"/>
      <c r="I9437" s="343"/>
      <c r="J9437" s="343"/>
      <c r="K9437" s="343"/>
      <c r="L9437" s="343"/>
    </row>
    <row r="9438" spans="4:12" x14ac:dyDescent="0.2">
      <c r="D9438" s="341"/>
      <c r="F9438" s="343"/>
      <c r="G9438" s="343"/>
      <c r="H9438" s="343"/>
      <c r="I9438" s="343"/>
      <c r="J9438" s="343"/>
      <c r="K9438" s="343"/>
      <c r="L9438" s="343"/>
    </row>
    <row r="9439" spans="4:12" x14ac:dyDescent="0.2">
      <c r="D9439" s="341"/>
      <c r="F9439" s="343"/>
      <c r="G9439" s="343"/>
      <c r="H9439" s="343"/>
      <c r="I9439" s="343"/>
      <c r="J9439" s="343"/>
      <c r="K9439" s="343"/>
      <c r="L9439" s="343"/>
    </row>
    <row r="9440" spans="4:12" x14ac:dyDescent="0.2">
      <c r="D9440" s="341"/>
      <c r="F9440" s="343"/>
      <c r="G9440" s="343"/>
      <c r="H9440" s="343"/>
      <c r="I9440" s="343"/>
      <c r="J9440" s="343"/>
      <c r="K9440" s="343"/>
      <c r="L9440" s="343"/>
    </row>
    <row r="9441" spans="4:12" x14ac:dyDescent="0.2">
      <c r="D9441" s="341"/>
      <c r="F9441" s="343"/>
      <c r="G9441" s="343"/>
      <c r="H9441" s="343"/>
      <c r="I9441" s="343"/>
      <c r="J9441" s="343"/>
      <c r="K9441" s="343"/>
      <c r="L9441" s="343"/>
    </row>
    <row r="9442" spans="4:12" x14ac:dyDescent="0.2">
      <c r="D9442" s="341"/>
      <c r="F9442" s="343"/>
      <c r="G9442" s="343"/>
      <c r="H9442" s="343"/>
      <c r="I9442" s="343"/>
      <c r="J9442" s="343"/>
      <c r="K9442" s="343"/>
      <c r="L9442" s="343"/>
    </row>
    <row r="9443" spans="4:12" x14ac:dyDescent="0.2">
      <c r="D9443" s="341"/>
      <c r="F9443" s="343"/>
      <c r="G9443" s="343"/>
      <c r="H9443" s="343"/>
      <c r="I9443" s="343"/>
      <c r="J9443" s="343"/>
      <c r="K9443" s="343"/>
      <c r="L9443" s="343"/>
    </row>
    <row r="9444" spans="4:12" x14ac:dyDescent="0.2">
      <c r="D9444" s="341"/>
      <c r="F9444" s="343"/>
      <c r="G9444" s="343"/>
      <c r="H9444" s="343"/>
      <c r="I9444" s="343"/>
      <c r="J9444" s="343"/>
      <c r="K9444" s="343"/>
      <c r="L9444" s="343"/>
    </row>
    <row r="9445" spans="4:12" x14ac:dyDescent="0.2">
      <c r="D9445" s="341"/>
      <c r="F9445" s="343"/>
      <c r="G9445" s="343"/>
      <c r="H9445" s="343"/>
      <c r="I9445" s="343"/>
      <c r="J9445" s="343"/>
      <c r="K9445" s="343"/>
      <c r="L9445" s="343"/>
    </row>
    <row r="9446" spans="4:12" x14ac:dyDescent="0.2">
      <c r="D9446" s="341"/>
      <c r="F9446" s="343"/>
      <c r="G9446" s="343"/>
      <c r="H9446" s="343"/>
      <c r="I9446" s="343"/>
      <c r="J9446" s="343"/>
      <c r="K9446" s="343"/>
      <c r="L9446" s="343"/>
    </row>
    <row r="9447" spans="4:12" x14ac:dyDescent="0.2">
      <c r="D9447" s="341"/>
      <c r="F9447" s="343"/>
      <c r="G9447" s="343"/>
      <c r="H9447" s="343"/>
      <c r="I9447" s="343"/>
      <c r="J9447" s="343"/>
      <c r="K9447" s="343"/>
      <c r="L9447" s="343"/>
    </row>
    <row r="9448" spans="4:12" x14ac:dyDescent="0.2">
      <c r="D9448" s="341"/>
      <c r="F9448" s="343"/>
      <c r="G9448" s="343"/>
      <c r="H9448" s="343"/>
      <c r="I9448" s="343"/>
      <c r="J9448" s="343"/>
      <c r="K9448" s="343"/>
      <c r="L9448" s="343"/>
    </row>
    <row r="9449" spans="4:12" x14ac:dyDescent="0.2">
      <c r="D9449" s="341"/>
      <c r="F9449" s="343"/>
      <c r="G9449" s="343"/>
      <c r="H9449" s="343"/>
      <c r="I9449" s="343"/>
      <c r="J9449" s="343"/>
      <c r="K9449" s="343"/>
      <c r="L9449" s="343"/>
    </row>
    <row r="9450" spans="4:12" x14ac:dyDescent="0.2">
      <c r="D9450" s="341"/>
      <c r="F9450" s="343"/>
      <c r="G9450" s="343"/>
      <c r="H9450" s="343"/>
      <c r="I9450" s="343"/>
      <c r="J9450" s="343"/>
      <c r="K9450" s="343"/>
      <c r="L9450" s="343"/>
    </row>
    <row r="9451" spans="4:12" x14ac:dyDescent="0.2">
      <c r="D9451" s="341"/>
      <c r="F9451" s="343"/>
      <c r="G9451" s="343"/>
      <c r="H9451" s="343"/>
      <c r="I9451" s="343"/>
      <c r="J9451" s="343"/>
      <c r="K9451" s="343"/>
      <c r="L9451" s="343"/>
    </row>
    <row r="9452" spans="4:12" x14ac:dyDescent="0.2">
      <c r="D9452" s="341"/>
      <c r="F9452" s="343"/>
      <c r="G9452" s="343"/>
      <c r="H9452" s="343"/>
      <c r="I9452" s="343"/>
      <c r="J9452" s="343"/>
      <c r="K9452" s="343"/>
      <c r="L9452" s="343"/>
    </row>
    <row r="9453" spans="4:12" x14ac:dyDescent="0.2">
      <c r="D9453" s="341"/>
      <c r="F9453" s="343"/>
      <c r="G9453" s="343"/>
      <c r="H9453" s="343"/>
      <c r="I9453" s="343"/>
      <c r="J9453" s="343"/>
      <c r="K9453" s="343"/>
      <c r="L9453" s="343"/>
    </row>
    <row r="9454" spans="4:12" x14ac:dyDescent="0.2">
      <c r="D9454" s="341"/>
      <c r="F9454" s="343"/>
      <c r="G9454" s="343"/>
      <c r="H9454" s="343"/>
      <c r="I9454" s="343"/>
      <c r="J9454" s="343"/>
      <c r="K9454" s="343"/>
      <c r="L9454" s="343"/>
    </row>
    <row r="9455" spans="4:12" x14ac:dyDescent="0.2">
      <c r="D9455" s="341"/>
      <c r="F9455" s="343"/>
      <c r="G9455" s="343"/>
      <c r="H9455" s="343"/>
      <c r="I9455" s="343"/>
      <c r="J9455" s="343"/>
      <c r="K9455" s="343"/>
      <c r="L9455" s="343"/>
    </row>
    <row r="9456" spans="4:12" x14ac:dyDescent="0.2">
      <c r="D9456" s="341"/>
      <c r="F9456" s="343"/>
      <c r="G9456" s="343"/>
      <c r="H9456" s="343"/>
      <c r="I9456" s="343"/>
      <c r="J9456" s="343"/>
      <c r="K9456" s="343"/>
      <c r="L9456" s="343"/>
    </row>
    <row r="9457" spans="4:12" x14ac:dyDescent="0.2">
      <c r="D9457" s="341"/>
      <c r="F9457" s="343"/>
      <c r="G9457" s="343"/>
      <c r="H9457" s="343"/>
      <c r="I9457" s="343"/>
      <c r="J9457" s="343"/>
      <c r="K9457" s="343"/>
      <c r="L9457" s="343"/>
    </row>
    <row r="9458" spans="4:12" x14ac:dyDescent="0.2">
      <c r="D9458" s="341"/>
      <c r="F9458" s="343"/>
      <c r="G9458" s="343"/>
      <c r="H9458" s="343"/>
      <c r="I9458" s="343"/>
      <c r="J9458" s="343"/>
      <c r="K9458" s="343"/>
      <c r="L9458" s="343"/>
    </row>
    <row r="9459" spans="4:12" x14ac:dyDescent="0.2">
      <c r="D9459" s="341"/>
      <c r="F9459" s="343"/>
      <c r="G9459" s="343"/>
      <c r="H9459" s="343"/>
      <c r="I9459" s="343"/>
      <c r="J9459" s="343"/>
      <c r="K9459" s="343"/>
      <c r="L9459" s="343"/>
    </row>
    <row r="9460" spans="4:12" x14ac:dyDescent="0.2">
      <c r="D9460" s="341"/>
      <c r="F9460" s="343"/>
      <c r="G9460" s="343"/>
      <c r="H9460" s="343"/>
      <c r="I9460" s="343"/>
      <c r="J9460" s="343"/>
      <c r="K9460" s="343"/>
      <c r="L9460" s="343"/>
    </row>
    <row r="9461" spans="4:12" x14ac:dyDescent="0.2">
      <c r="D9461" s="341"/>
      <c r="F9461" s="343"/>
      <c r="G9461" s="343"/>
      <c r="H9461" s="343"/>
      <c r="I9461" s="343"/>
      <c r="J9461" s="343"/>
      <c r="K9461" s="343"/>
      <c r="L9461" s="343"/>
    </row>
    <row r="9462" spans="4:12" x14ac:dyDescent="0.2">
      <c r="D9462" s="341"/>
      <c r="F9462" s="343"/>
      <c r="G9462" s="343"/>
      <c r="H9462" s="343"/>
      <c r="I9462" s="343"/>
      <c r="J9462" s="343"/>
      <c r="K9462" s="343"/>
      <c r="L9462" s="343"/>
    </row>
    <row r="9463" spans="4:12" x14ac:dyDescent="0.2">
      <c r="D9463" s="341"/>
      <c r="F9463" s="343"/>
      <c r="G9463" s="343"/>
      <c r="H9463" s="343"/>
      <c r="I9463" s="343"/>
      <c r="J9463" s="343"/>
      <c r="K9463" s="343"/>
      <c r="L9463" s="343"/>
    </row>
    <row r="9464" spans="4:12" x14ac:dyDescent="0.2">
      <c r="D9464" s="341"/>
      <c r="F9464" s="343"/>
      <c r="G9464" s="343"/>
      <c r="H9464" s="343"/>
      <c r="I9464" s="343"/>
      <c r="J9464" s="343"/>
      <c r="K9464" s="343"/>
      <c r="L9464" s="343"/>
    </row>
    <row r="9465" spans="4:12" x14ac:dyDescent="0.2">
      <c r="D9465" s="341"/>
      <c r="F9465" s="343"/>
      <c r="G9465" s="343"/>
      <c r="H9465" s="343"/>
      <c r="I9465" s="343"/>
      <c r="J9465" s="343"/>
      <c r="K9465" s="343"/>
      <c r="L9465" s="343"/>
    </row>
    <row r="9466" spans="4:12" x14ac:dyDescent="0.2">
      <c r="D9466" s="341"/>
      <c r="F9466" s="343"/>
      <c r="G9466" s="343"/>
      <c r="H9466" s="343"/>
      <c r="I9466" s="343"/>
      <c r="J9466" s="343"/>
      <c r="K9466" s="343"/>
      <c r="L9466" s="343"/>
    </row>
    <row r="9467" spans="4:12" x14ac:dyDescent="0.2">
      <c r="D9467" s="341"/>
      <c r="F9467" s="343"/>
      <c r="G9467" s="343"/>
      <c r="H9467" s="343"/>
      <c r="I9467" s="343"/>
      <c r="J9467" s="343"/>
      <c r="K9467" s="343"/>
      <c r="L9467" s="343"/>
    </row>
    <row r="9468" spans="4:12" x14ac:dyDescent="0.2">
      <c r="D9468" s="341"/>
      <c r="F9468" s="343"/>
      <c r="G9468" s="343"/>
      <c r="H9468" s="343"/>
      <c r="I9468" s="343"/>
      <c r="J9468" s="343"/>
      <c r="K9468" s="343"/>
      <c r="L9468" s="343"/>
    </row>
    <row r="9469" spans="4:12" x14ac:dyDescent="0.2">
      <c r="D9469" s="341"/>
      <c r="F9469" s="343"/>
      <c r="G9469" s="343"/>
      <c r="H9469" s="343"/>
      <c r="I9469" s="343"/>
      <c r="J9469" s="343"/>
      <c r="K9469" s="343"/>
      <c r="L9469" s="343"/>
    </row>
    <row r="9470" spans="4:12" x14ac:dyDescent="0.2">
      <c r="D9470" s="341"/>
      <c r="F9470" s="343"/>
      <c r="G9470" s="343"/>
      <c r="H9470" s="343"/>
      <c r="I9470" s="343"/>
      <c r="J9470" s="343"/>
      <c r="K9470" s="343"/>
      <c r="L9470" s="343"/>
    </row>
    <row r="9471" spans="4:12" x14ac:dyDescent="0.2">
      <c r="D9471" s="341"/>
      <c r="F9471" s="343"/>
      <c r="G9471" s="343"/>
      <c r="H9471" s="343"/>
      <c r="I9471" s="343"/>
      <c r="J9471" s="343"/>
      <c r="K9471" s="343"/>
      <c r="L9471" s="343"/>
    </row>
    <row r="9472" spans="4:12" x14ac:dyDescent="0.2">
      <c r="D9472" s="341"/>
      <c r="F9472" s="343"/>
      <c r="G9472" s="343"/>
      <c r="H9472" s="343"/>
      <c r="I9472" s="343"/>
      <c r="J9472" s="343"/>
      <c r="K9472" s="343"/>
      <c r="L9472" s="343"/>
    </row>
    <row r="9473" spans="4:12" x14ac:dyDescent="0.2">
      <c r="D9473" s="341"/>
      <c r="F9473" s="343"/>
      <c r="G9473" s="343"/>
      <c r="H9473" s="343"/>
      <c r="I9473" s="343"/>
      <c r="J9473" s="343"/>
      <c r="K9473" s="343"/>
      <c r="L9473" s="343"/>
    </row>
    <row r="9474" spans="4:12" x14ac:dyDescent="0.2">
      <c r="D9474" s="341"/>
      <c r="F9474" s="343"/>
      <c r="G9474" s="343"/>
      <c r="H9474" s="343"/>
      <c r="I9474" s="343"/>
      <c r="J9474" s="343"/>
      <c r="K9474" s="343"/>
      <c r="L9474" s="343"/>
    </row>
    <row r="9475" spans="4:12" x14ac:dyDescent="0.2">
      <c r="D9475" s="341"/>
      <c r="F9475" s="343"/>
      <c r="G9475" s="343"/>
      <c r="H9475" s="343"/>
      <c r="I9475" s="343"/>
      <c r="J9475" s="343"/>
      <c r="K9475" s="343"/>
      <c r="L9475" s="343"/>
    </row>
    <row r="9476" spans="4:12" x14ac:dyDescent="0.2">
      <c r="D9476" s="341"/>
      <c r="F9476" s="343"/>
      <c r="G9476" s="343"/>
      <c r="H9476" s="343"/>
      <c r="I9476" s="343"/>
      <c r="J9476" s="343"/>
      <c r="K9476" s="343"/>
      <c r="L9476" s="343"/>
    </row>
    <row r="9477" spans="4:12" x14ac:dyDescent="0.2">
      <c r="D9477" s="341"/>
      <c r="F9477" s="343"/>
      <c r="G9477" s="343"/>
      <c r="H9477" s="343"/>
      <c r="I9477" s="343"/>
      <c r="J9477" s="343"/>
      <c r="K9477" s="343"/>
      <c r="L9477" s="343"/>
    </row>
    <row r="9478" spans="4:12" x14ac:dyDescent="0.2">
      <c r="D9478" s="341"/>
      <c r="F9478" s="343"/>
      <c r="G9478" s="343"/>
      <c r="H9478" s="343"/>
      <c r="I9478" s="343"/>
      <c r="J9478" s="343"/>
      <c r="K9478" s="343"/>
      <c r="L9478" s="343"/>
    </row>
    <row r="9479" spans="4:12" x14ac:dyDescent="0.2">
      <c r="D9479" s="341"/>
      <c r="F9479" s="343"/>
      <c r="G9479" s="343"/>
      <c r="H9479" s="343"/>
      <c r="I9479" s="343"/>
      <c r="J9479" s="343"/>
      <c r="K9479" s="343"/>
      <c r="L9479" s="343"/>
    </row>
    <row r="9480" spans="4:12" x14ac:dyDescent="0.2">
      <c r="D9480" s="341"/>
      <c r="F9480" s="343"/>
      <c r="G9480" s="343"/>
      <c r="H9480" s="343"/>
      <c r="I9480" s="343"/>
      <c r="J9480" s="343"/>
      <c r="K9480" s="343"/>
      <c r="L9480" s="343"/>
    </row>
    <row r="9481" spans="4:12" x14ac:dyDescent="0.2">
      <c r="D9481" s="341"/>
      <c r="F9481" s="343"/>
      <c r="G9481" s="343"/>
      <c r="H9481" s="343"/>
      <c r="I9481" s="343"/>
      <c r="J9481" s="343"/>
      <c r="K9481" s="343"/>
      <c r="L9481" s="343"/>
    </row>
    <row r="9482" spans="4:12" x14ac:dyDescent="0.2">
      <c r="D9482" s="341"/>
      <c r="F9482" s="343"/>
      <c r="G9482" s="343"/>
      <c r="H9482" s="343"/>
      <c r="I9482" s="343"/>
      <c r="J9482" s="343"/>
      <c r="K9482" s="343"/>
      <c r="L9482" s="343"/>
    </row>
    <row r="9483" spans="4:12" x14ac:dyDescent="0.2">
      <c r="D9483" s="341"/>
      <c r="F9483" s="343"/>
      <c r="G9483" s="343"/>
      <c r="H9483" s="343"/>
      <c r="I9483" s="343"/>
      <c r="J9483" s="343"/>
      <c r="K9483" s="343"/>
      <c r="L9483" s="343"/>
    </row>
    <row r="9484" spans="4:12" x14ac:dyDescent="0.2">
      <c r="D9484" s="341"/>
      <c r="F9484" s="343"/>
      <c r="G9484" s="343"/>
      <c r="H9484" s="343"/>
      <c r="I9484" s="343"/>
      <c r="J9484" s="343"/>
      <c r="K9484" s="343"/>
      <c r="L9484" s="343"/>
    </row>
    <row r="9485" spans="4:12" x14ac:dyDescent="0.2">
      <c r="D9485" s="341"/>
      <c r="F9485" s="343"/>
      <c r="G9485" s="343"/>
      <c r="H9485" s="343"/>
      <c r="I9485" s="343"/>
      <c r="J9485" s="343"/>
      <c r="K9485" s="343"/>
      <c r="L9485" s="343"/>
    </row>
    <row r="9486" spans="4:12" x14ac:dyDescent="0.2">
      <c r="D9486" s="341"/>
      <c r="F9486" s="343"/>
      <c r="G9486" s="343"/>
      <c r="H9486" s="343"/>
      <c r="I9486" s="343"/>
      <c r="J9486" s="343"/>
      <c r="K9486" s="343"/>
      <c r="L9486" s="343"/>
    </row>
    <row r="9487" spans="4:12" x14ac:dyDescent="0.2">
      <c r="D9487" s="341"/>
      <c r="F9487" s="343"/>
      <c r="G9487" s="343"/>
      <c r="H9487" s="343"/>
      <c r="I9487" s="343"/>
      <c r="J9487" s="343"/>
      <c r="K9487" s="343"/>
      <c r="L9487" s="343"/>
    </row>
    <row r="9488" spans="4:12" x14ac:dyDescent="0.2">
      <c r="D9488" s="341"/>
      <c r="F9488" s="343"/>
      <c r="G9488" s="343"/>
      <c r="H9488" s="343"/>
      <c r="I9488" s="343"/>
      <c r="J9488" s="343"/>
      <c r="K9488" s="343"/>
      <c r="L9488" s="343"/>
    </row>
    <row r="9489" spans="4:12" x14ac:dyDescent="0.2">
      <c r="D9489" s="341"/>
      <c r="F9489" s="343"/>
      <c r="G9489" s="343"/>
      <c r="H9489" s="343"/>
      <c r="I9489" s="343"/>
      <c r="J9489" s="343"/>
      <c r="K9489" s="343"/>
      <c r="L9489" s="343"/>
    </row>
    <row r="9490" spans="4:12" x14ac:dyDescent="0.2">
      <c r="D9490" s="341"/>
      <c r="F9490" s="343"/>
      <c r="G9490" s="343"/>
      <c r="H9490" s="343"/>
      <c r="I9490" s="343"/>
      <c r="J9490" s="343"/>
      <c r="K9490" s="343"/>
      <c r="L9490" s="343"/>
    </row>
    <row r="9491" spans="4:12" x14ac:dyDescent="0.2">
      <c r="D9491" s="341"/>
      <c r="F9491" s="343"/>
      <c r="G9491" s="343"/>
      <c r="H9491" s="343"/>
      <c r="I9491" s="343"/>
      <c r="J9491" s="343"/>
      <c r="K9491" s="343"/>
      <c r="L9491" s="343"/>
    </row>
    <row r="9492" spans="4:12" x14ac:dyDescent="0.2">
      <c r="D9492" s="341"/>
      <c r="F9492" s="343"/>
      <c r="G9492" s="343"/>
      <c r="H9492" s="343"/>
      <c r="I9492" s="343"/>
      <c r="J9492" s="343"/>
      <c r="K9492" s="343"/>
      <c r="L9492" s="343"/>
    </row>
    <row r="9493" spans="4:12" x14ac:dyDescent="0.2">
      <c r="D9493" s="341"/>
      <c r="F9493" s="343"/>
      <c r="G9493" s="343"/>
      <c r="H9493" s="343"/>
      <c r="I9493" s="343"/>
      <c r="J9493" s="343"/>
      <c r="K9493" s="343"/>
      <c r="L9493" s="343"/>
    </row>
    <row r="9494" spans="4:12" x14ac:dyDescent="0.2">
      <c r="D9494" s="341"/>
      <c r="F9494" s="343"/>
      <c r="G9494" s="343"/>
      <c r="H9494" s="343"/>
      <c r="I9494" s="343"/>
      <c r="J9494" s="343"/>
      <c r="K9494" s="343"/>
      <c r="L9494" s="343"/>
    </row>
    <row r="9495" spans="4:12" x14ac:dyDescent="0.2">
      <c r="D9495" s="341"/>
      <c r="F9495" s="343"/>
      <c r="G9495" s="343"/>
      <c r="H9495" s="343"/>
      <c r="I9495" s="343"/>
      <c r="J9495" s="343"/>
      <c r="K9495" s="343"/>
      <c r="L9495" s="343"/>
    </row>
    <row r="9496" spans="4:12" x14ac:dyDescent="0.2">
      <c r="D9496" s="341"/>
      <c r="F9496" s="343"/>
      <c r="G9496" s="343"/>
      <c r="H9496" s="343"/>
      <c r="I9496" s="343"/>
      <c r="J9496" s="343"/>
      <c r="K9496" s="343"/>
      <c r="L9496" s="343"/>
    </row>
    <row r="9497" spans="4:12" x14ac:dyDescent="0.2">
      <c r="D9497" s="341"/>
      <c r="F9497" s="343"/>
      <c r="G9497" s="343"/>
      <c r="H9497" s="343"/>
      <c r="I9497" s="343"/>
      <c r="J9497" s="343"/>
      <c r="K9497" s="343"/>
      <c r="L9497" s="343"/>
    </row>
    <row r="9498" spans="4:12" x14ac:dyDescent="0.2">
      <c r="D9498" s="341"/>
      <c r="F9498" s="343"/>
      <c r="G9498" s="343"/>
      <c r="H9498" s="343"/>
      <c r="I9498" s="343"/>
      <c r="J9498" s="343"/>
      <c r="K9498" s="343"/>
      <c r="L9498" s="343"/>
    </row>
    <row r="9499" spans="4:12" x14ac:dyDescent="0.2">
      <c r="D9499" s="341"/>
      <c r="F9499" s="343"/>
      <c r="G9499" s="343"/>
      <c r="H9499" s="343"/>
      <c r="I9499" s="343"/>
      <c r="J9499" s="343"/>
      <c r="K9499" s="343"/>
      <c r="L9499" s="343"/>
    </row>
    <row r="9500" spans="4:12" x14ac:dyDescent="0.2">
      <c r="D9500" s="341"/>
      <c r="F9500" s="343"/>
      <c r="G9500" s="343"/>
      <c r="H9500" s="343"/>
      <c r="I9500" s="343"/>
      <c r="J9500" s="343"/>
      <c r="K9500" s="343"/>
      <c r="L9500" s="343"/>
    </row>
    <row r="9501" spans="4:12" x14ac:dyDescent="0.2">
      <c r="D9501" s="341"/>
      <c r="F9501" s="343"/>
      <c r="G9501" s="343"/>
      <c r="H9501" s="343"/>
      <c r="I9501" s="343"/>
      <c r="J9501" s="343"/>
      <c r="K9501" s="343"/>
      <c r="L9501" s="343"/>
    </row>
    <row r="9502" spans="4:12" x14ac:dyDescent="0.2">
      <c r="D9502" s="341"/>
      <c r="F9502" s="343"/>
      <c r="G9502" s="343"/>
      <c r="H9502" s="343"/>
      <c r="I9502" s="343"/>
      <c r="J9502" s="343"/>
      <c r="K9502" s="343"/>
      <c r="L9502" s="343"/>
    </row>
    <row r="9503" spans="4:12" x14ac:dyDescent="0.2">
      <c r="D9503" s="341"/>
      <c r="F9503" s="343"/>
      <c r="G9503" s="343"/>
      <c r="H9503" s="343"/>
      <c r="I9503" s="343"/>
      <c r="J9503" s="343"/>
      <c r="K9503" s="343"/>
      <c r="L9503" s="343"/>
    </row>
    <row r="9504" spans="4:12" x14ac:dyDescent="0.2">
      <c r="D9504" s="341"/>
      <c r="F9504" s="343"/>
      <c r="G9504" s="343"/>
      <c r="H9504" s="343"/>
      <c r="I9504" s="343"/>
      <c r="J9504" s="343"/>
      <c r="K9504" s="343"/>
      <c r="L9504" s="343"/>
    </row>
    <row r="9505" spans="4:12" x14ac:dyDescent="0.2">
      <c r="D9505" s="341"/>
      <c r="F9505" s="343"/>
      <c r="G9505" s="343"/>
      <c r="H9505" s="343"/>
      <c r="I9505" s="343"/>
      <c r="J9505" s="343"/>
      <c r="K9505" s="343"/>
      <c r="L9505" s="343"/>
    </row>
    <row r="9506" spans="4:12" x14ac:dyDescent="0.2">
      <c r="D9506" s="341"/>
      <c r="F9506" s="343"/>
      <c r="G9506" s="343"/>
      <c r="H9506" s="343"/>
      <c r="I9506" s="343"/>
      <c r="J9506" s="343"/>
      <c r="K9506" s="343"/>
      <c r="L9506" s="343"/>
    </row>
    <row r="9507" spans="4:12" x14ac:dyDescent="0.2">
      <c r="D9507" s="341"/>
      <c r="F9507" s="343"/>
      <c r="G9507" s="343"/>
      <c r="H9507" s="343"/>
      <c r="I9507" s="343"/>
      <c r="J9507" s="343"/>
      <c r="K9507" s="343"/>
      <c r="L9507" s="343"/>
    </row>
    <row r="9508" spans="4:12" x14ac:dyDescent="0.2">
      <c r="D9508" s="341"/>
      <c r="F9508" s="343"/>
      <c r="G9508" s="343"/>
      <c r="H9508" s="343"/>
      <c r="I9508" s="343"/>
      <c r="J9508" s="343"/>
      <c r="K9508" s="343"/>
      <c r="L9508" s="343"/>
    </row>
    <row r="9509" spans="4:12" x14ac:dyDescent="0.2">
      <c r="D9509" s="341"/>
      <c r="F9509" s="343"/>
      <c r="G9509" s="343"/>
      <c r="H9509" s="343"/>
      <c r="I9509" s="343"/>
      <c r="J9509" s="343"/>
      <c r="K9509" s="343"/>
      <c r="L9509" s="343"/>
    </row>
    <row r="9510" spans="4:12" x14ac:dyDescent="0.2">
      <c r="D9510" s="341"/>
      <c r="F9510" s="343"/>
      <c r="G9510" s="343"/>
      <c r="H9510" s="343"/>
      <c r="I9510" s="343"/>
      <c r="J9510" s="343"/>
      <c r="K9510" s="343"/>
      <c r="L9510" s="343"/>
    </row>
    <row r="9511" spans="4:12" x14ac:dyDescent="0.2">
      <c r="D9511" s="341"/>
      <c r="F9511" s="343"/>
      <c r="G9511" s="343"/>
      <c r="H9511" s="343"/>
      <c r="I9511" s="343"/>
      <c r="J9511" s="343"/>
      <c r="K9511" s="343"/>
      <c r="L9511" s="343"/>
    </row>
    <row r="9512" spans="4:12" x14ac:dyDescent="0.2">
      <c r="D9512" s="341"/>
      <c r="F9512" s="343"/>
      <c r="G9512" s="343"/>
      <c r="H9512" s="343"/>
      <c r="I9512" s="343"/>
      <c r="J9512" s="343"/>
      <c r="K9512" s="343"/>
      <c r="L9512" s="343"/>
    </row>
    <row r="9513" spans="4:12" x14ac:dyDescent="0.2">
      <c r="D9513" s="341"/>
      <c r="F9513" s="343"/>
      <c r="G9513" s="343"/>
      <c r="H9513" s="343"/>
      <c r="I9513" s="343"/>
      <c r="J9513" s="343"/>
      <c r="K9513" s="343"/>
      <c r="L9513" s="343"/>
    </row>
    <row r="9514" spans="4:12" x14ac:dyDescent="0.2">
      <c r="D9514" s="341"/>
      <c r="F9514" s="343"/>
      <c r="G9514" s="343"/>
      <c r="H9514" s="343"/>
      <c r="I9514" s="343"/>
      <c r="J9514" s="343"/>
      <c r="K9514" s="343"/>
      <c r="L9514" s="343"/>
    </row>
    <row r="9515" spans="4:12" x14ac:dyDescent="0.2">
      <c r="D9515" s="341"/>
      <c r="F9515" s="343"/>
      <c r="G9515" s="343"/>
      <c r="H9515" s="343"/>
      <c r="I9515" s="343"/>
      <c r="J9515" s="343"/>
      <c r="K9515" s="343"/>
      <c r="L9515" s="343"/>
    </row>
    <row r="9516" spans="4:12" x14ac:dyDescent="0.2">
      <c r="D9516" s="341"/>
      <c r="F9516" s="343"/>
      <c r="G9516" s="343"/>
      <c r="H9516" s="343"/>
      <c r="I9516" s="343"/>
      <c r="J9516" s="343"/>
      <c r="K9516" s="343"/>
      <c r="L9516" s="343"/>
    </row>
    <row r="9517" spans="4:12" x14ac:dyDescent="0.2">
      <c r="D9517" s="341"/>
      <c r="F9517" s="343"/>
      <c r="G9517" s="343"/>
      <c r="H9517" s="343"/>
      <c r="I9517" s="343"/>
      <c r="J9517" s="343"/>
      <c r="K9517" s="343"/>
      <c r="L9517" s="343"/>
    </row>
    <row r="9518" spans="4:12" x14ac:dyDescent="0.2">
      <c r="D9518" s="341"/>
      <c r="F9518" s="343"/>
      <c r="G9518" s="343"/>
      <c r="H9518" s="343"/>
      <c r="I9518" s="343"/>
      <c r="J9518" s="343"/>
      <c r="K9518" s="343"/>
      <c r="L9518" s="343"/>
    </row>
    <row r="9519" spans="4:12" x14ac:dyDescent="0.2">
      <c r="D9519" s="341"/>
      <c r="F9519" s="343"/>
      <c r="G9519" s="343"/>
      <c r="H9519" s="343"/>
      <c r="I9519" s="343"/>
      <c r="J9519" s="343"/>
      <c r="K9519" s="343"/>
      <c r="L9519" s="343"/>
    </row>
    <row r="9520" spans="4:12" x14ac:dyDescent="0.2">
      <c r="D9520" s="341"/>
      <c r="F9520" s="343"/>
      <c r="G9520" s="343"/>
      <c r="H9520" s="343"/>
      <c r="I9520" s="343"/>
      <c r="J9520" s="343"/>
      <c r="K9520" s="343"/>
      <c r="L9520" s="343"/>
    </row>
    <row r="9521" spans="4:12" x14ac:dyDescent="0.2">
      <c r="D9521" s="341"/>
      <c r="F9521" s="343"/>
      <c r="G9521" s="343"/>
      <c r="H9521" s="343"/>
      <c r="I9521" s="343"/>
      <c r="J9521" s="343"/>
      <c r="K9521" s="343"/>
      <c r="L9521" s="343"/>
    </row>
    <row r="9522" spans="4:12" x14ac:dyDescent="0.2">
      <c r="D9522" s="341"/>
      <c r="F9522" s="343"/>
      <c r="G9522" s="343"/>
      <c r="H9522" s="343"/>
      <c r="I9522" s="343"/>
      <c r="J9522" s="343"/>
      <c r="K9522" s="343"/>
      <c r="L9522" s="343"/>
    </row>
    <row r="9523" spans="4:12" x14ac:dyDescent="0.2">
      <c r="D9523" s="341"/>
      <c r="F9523" s="343"/>
      <c r="G9523" s="343"/>
      <c r="H9523" s="343"/>
      <c r="I9523" s="343"/>
      <c r="J9523" s="343"/>
      <c r="K9523" s="343"/>
      <c r="L9523" s="343"/>
    </row>
    <row r="9524" spans="4:12" x14ac:dyDescent="0.2">
      <c r="D9524" s="341"/>
      <c r="F9524" s="343"/>
      <c r="G9524" s="343"/>
      <c r="H9524" s="343"/>
      <c r="I9524" s="343"/>
      <c r="J9524" s="343"/>
      <c r="K9524" s="343"/>
      <c r="L9524" s="343"/>
    </row>
    <row r="9525" spans="4:12" x14ac:dyDescent="0.2">
      <c r="D9525" s="341"/>
      <c r="F9525" s="343"/>
      <c r="G9525" s="343"/>
      <c r="H9525" s="343"/>
      <c r="I9525" s="343"/>
      <c r="J9525" s="343"/>
      <c r="K9525" s="343"/>
      <c r="L9525" s="343"/>
    </row>
    <row r="9526" spans="4:12" x14ac:dyDescent="0.2">
      <c r="D9526" s="341"/>
      <c r="F9526" s="343"/>
      <c r="G9526" s="343"/>
      <c r="H9526" s="343"/>
      <c r="I9526" s="343"/>
      <c r="J9526" s="343"/>
      <c r="K9526" s="343"/>
      <c r="L9526" s="343"/>
    </row>
    <row r="9527" spans="4:12" x14ac:dyDescent="0.2">
      <c r="D9527" s="341"/>
      <c r="F9527" s="343"/>
      <c r="G9527" s="343"/>
      <c r="H9527" s="343"/>
      <c r="I9527" s="343"/>
      <c r="J9527" s="343"/>
      <c r="K9527" s="343"/>
      <c r="L9527" s="343"/>
    </row>
    <row r="9528" spans="4:12" x14ac:dyDescent="0.2">
      <c r="D9528" s="341"/>
      <c r="F9528" s="343"/>
      <c r="G9528" s="343"/>
      <c r="H9528" s="343"/>
      <c r="I9528" s="343"/>
      <c r="J9528" s="343"/>
      <c r="K9528" s="343"/>
      <c r="L9528" s="343"/>
    </row>
    <row r="9529" spans="4:12" x14ac:dyDescent="0.2">
      <c r="D9529" s="341"/>
      <c r="F9529" s="343"/>
      <c r="G9529" s="343"/>
      <c r="H9529" s="343"/>
      <c r="I9529" s="343"/>
      <c r="J9529" s="343"/>
      <c r="K9529" s="343"/>
      <c r="L9529" s="343"/>
    </row>
    <row r="9530" spans="4:12" x14ac:dyDescent="0.2">
      <c r="D9530" s="341"/>
      <c r="F9530" s="343"/>
      <c r="G9530" s="343"/>
      <c r="H9530" s="343"/>
      <c r="I9530" s="343"/>
      <c r="J9530" s="343"/>
      <c r="K9530" s="343"/>
      <c r="L9530" s="343"/>
    </row>
    <row r="9531" spans="4:12" x14ac:dyDescent="0.2">
      <c r="D9531" s="341"/>
      <c r="F9531" s="343"/>
      <c r="G9531" s="343"/>
      <c r="H9531" s="343"/>
      <c r="I9531" s="343"/>
      <c r="J9531" s="343"/>
      <c r="K9531" s="343"/>
      <c r="L9531" s="343"/>
    </row>
    <row r="9532" spans="4:12" x14ac:dyDescent="0.2">
      <c r="D9532" s="341"/>
      <c r="F9532" s="343"/>
      <c r="G9532" s="343"/>
      <c r="H9532" s="343"/>
      <c r="I9532" s="343"/>
      <c r="J9532" s="343"/>
      <c r="K9532" s="343"/>
      <c r="L9532" s="343"/>
    </row>
    <row r="9533" spans="4:12" x14ac:dyDescent="0.2">
      <c r="D9533" s="341"/>
      <c r="F9533" s="343"/>
      <c r="G9533" s="343"/>
      <c r="H9533" s="343"/>
      <c r="I9533" s="343"/>
      <c r="J9533" s="343"/>
      <c r="K9533" s="343"/>
      <c r="L9533" s="343"/>
    </row>
    <row r="9534" spans="4:12" x14ac:dyDescent="0.2">
      <c r="D9534" s="341"/>
      <c r="F9534" s="343"/>
      <c r="G9534" s="343"/>
      <c r="H9534" s="343"/>
      <c r="I9534" s="343"/>
      <c r="J9534" s="343"/>
      <c r="K9534" s="343"/>
      <c r="L9534" s="343"/>
    </row>
    <row r="9535" spans="4:12" x14ac:dyDescent="0.2">
      <c r="D9535" s="341"/>
      <c r="F9535" s="343"/>
      <c r="G9535" s="343"/>
      <c r="H9535" s="343"/>
      <c r="I9535" s="343"/>
      <c r="J9535" s="343"/>
      <c r="K9535" s="343"/>
      <c r="L9535" s="343"/>
    </row>
    <row r="9536" spans="4:12" x14ac:dyDescent="0.2">
      <c r="D9536" s="341"/>
      <c r="F9536" s="343"/>
      <c r="G9536" s="343"/>
      <c r="H9536" s="343"/>
      <c r="I9536" s="343"/>
      <c r="J9536" s="343"/>
      <c r="K9536" s="343"/>
      <c r="L9536" s="343"/>
    </row>
    <row r="9537" spans="4:12" x14ac:dyDescent="0.2">
      <c r="D9537" s="341"/>
      <c r="F9537" s="343"/>
      <c r="G9537" s="343"/>
      <c r="H9537" s="343"/>
      <c r="I9537" s="343"/>
      <c r="J9537" s="343"/>
      <c r="K9537" s="343"/>
      <c r="L9537" s="343"/>
    </row>
    <row r="9538" spans="4:12" x14ac:dyDescent="0.2">
      <c r="D9538" s="341"/>
      <c r="F9538" s="343"/>
      <c r="G9538" s="343"/>
      <c r="H9538" s="343"/>
      <c r="I9538" s="343"/>
      <c r="J9538" s="343"/>
      <c r="K9538" s="343"/>
      <c r="L9538" s="343"/>
    </row>
    <row r="9539" spans="4:12" x14ac:dyDescent="0.2">
      <c r="D9539" s="341"/>
      <c r="F9539" s="343"/>
      <c r="G9539" s="343"/>
      <c r="H9539" s="343"/>
      <c r="I9539" s="343"/>
      <c r="J9539" s="343"/>
      <c r="K9539" s="343"/>
      <c r="L9539" s="343"/>
    </row>
    <row r="9540" spans="4:12" x14ac:dyDescent="0.2">
      <c r="D9540" s="341"/>
      <c r="F9540" s="343"/>
      <c r="G9540" s="343"/>
      <c r="H9540" s="343"/>
      <c r="I9540" s="343"/>
      <c r="J9540" s="343"/>
      <c r="K9540" s="343"/>
      <c r="L9540" s="343"/>
    </row>
    <row r="9541" spans="4:12" x14ac:dyDescent="0.2">
      <c r="D9541" s="341"/>
      <c r="F9541" s="343"/>
      <c r="G9541" s="343"/>
      <c r="H9541" s="343"/>
      <c r="I9541" s="343"/>
      <c r="J9541" s="343"/>
      <c r="K9541" s="343"/>
      <c r="L9541" s="343"/>
    </row>
    <row r="9542" spans="4:12" x14ac:dyDescent="0.2">
      <c r="D9542" s="341"/>
      <c r="F9542" s="343"/>
      <c r="G9542" s="343"/>
      <c r="H9542" s="343"/>
      <c r="I9542" s="343"/>
      <c r="J9542" s="343"/>
      <c r="K9542" s="343"/>
      <c r="L9542" s="343"/>
    </row>
    <row r="9543" spans="4:12" x14ac:dyDescent="0.2">
      <c r="D9543" s="341"/>
      <c r="F9543" s="343"/>
      <c r="G9543" s="343"/>
      <c r="H9543" s="343"/>
      <c r="I9543" s="343"/>
      <c r="J9543" s="343"/>
      <c r="K9543" s="343"/>
      <c r="L9543" s="343"/>
    </row>
    <row r="9544" spans="4:12" x14ac:dyDescent="0.2">
      <c r="D9544" s="341"/>
      <c r="F9544" s="343"/>
      <c r="G9544" s="343"/>
      <c r="H9544" s="343"/>
      <c r="I9544" s="343"/>
      <c r="J9544" s="343"/>
      <c r="K9544" s="343"/>
      <c r="L9544" s="343"/>
    </row>
    <row r="9545" spans="4:12" x14ac:dyDescent="0.2">
      <c r="D9545" s="341"/>
      <c r="F9545" s="343"/>
      <c r="G9545" s="343"/>
      <c r="H9545" s="343"/>
      <c r="I9545" s="343"/>
      <c r="J9545" s="343"/>
      <c r="K9545" s="343"/>
      <c r="L9545" s="343"/>
    </row>
    <row r="9546" spans="4:12" x14ac:dyDescent="0.2">
      <c r="D9546" s="341"/>
      <c r="F9546" s="343"/>
      <c r="G9546" s="343"/>
      <c r="H9546" s="343"/>
      <c r="I9546" s="343"/>
      <c r="J9546" s="343"/>
      <c r="K9546" s="343"/>
      <c r="L9546" s="343"/>
    </row>
    <row r="9547" spans="4:12" x14ac:dyDescent="0.2">
      <c r="D9547" s="341"/>
      <c r="F9547" s="343"/>
      <c r="G9547" s="343"/>
      <c r="H9547" s="343"/>
      <c r="I9547" s="343"/>
      <c r="J9547" s="343"/>
      <c r="K9547" s="343"/>
      <c r="L9547" s="343"/>
    </row>
    <row r="9548" spans="4:12" x14ac:dyDescent="0.2">
      <c r="D9548" s="341"/>
      <c r="F9548" s="343"/>
      <c r="G9548" s="343"/>
      <c r="H9548" s="343"/>
      <c r="I9548" s="343"/>
      <c r="J9548" s="343"/>
      <c r="K9548" s="343"/>
      <c r="L9548" s="343"/>
    </row>
    <row r="9549" spans="4:12" x14ac:dyDescent="0.2">
      <c r="D9549" s="341"/>
      <c r="F9549" s="343"/>
      <c r="G9549" s="343"/>
      <c r="H9549" s="343"/>
      <c r="I9549" s="343"/>
      <c r="J9549" s="343"/>
      <c r="K9549" s="343"/>
      <c r="L9549" s="343"/>
    </row>
    <row r="9550" spans="4:12" x14ac:dyDescent="0.2">
      <c r="D9550" s="341"/>
      <c r="F9550" s="343"/>
      <c r="G9550" s="343"/>
      <c r="H9550" s="343"/>
      <c r="I9550" s="343"/>
      <c r="J9550" s="343"/>
      <c r="K9550" s="343"/>
      <c r="L9550" s="343"/>
    </row>
    <row r="9551" spans="4:12" x14ac:dyDescent="0.2">
      <c r="D9551" s="341"/>
      <c r="F9551" s="343"/>
      <c r="G9551" s="343"/>
      <c r="H9551" s="343"/>
      <c r="I9551" s="343"/>
      <c r="J9551" s="343"/>
      <c r="K9551" s="343"/>
      <c r="L9551" s="343"/>
    </row>
    <row r="9552" spans="4:12" x14ac:dyDescent="0.2">
      <c r="D9552" s="341"/>
      <c r="F9552" s="343"/>
      <c r="G9552" s="343"/>
      <c r="H9552" s="343"/>
      <c r="I9552" s="343"/>
      <c r="J9552" s="343"/>
      <c r="K9552" s="343"/>
      <c r="L9552" s="343"/>
    </row>
    <row r="9553" spans="4:12" x14ac:dyDescent="0.2">
      <c r="D9553" s="341"/>
      <c r="F9553" s="343"/>
      <c r="G9553" s="343"/>
      <c r="H9553" s="343"/>
      <c r="I9553" s="343"/>
      <c r="J9553" s="343"/>
      <c r="K9553" s="343"/>
      <c r="L9553" s="343"/>
    </row>
    <row r="9554" spans="4:12" x14ac:dyDescent="0.2">
      <c r="D9554" s="341"/>
      <c r="F9554" s="343"/>
      <c r="G9554" s="343"/>
      <c r="H9554" s="343"/>
      <c r="I9554" s="343"/>
      <c r="J9554" s="343"/>
      <c r="K9554" s="343"/>
      <c r="L9554" s="343"/>
    </row>
    <row r="9555" spans="4:12" x14ac:dyDescent="0.2">
      <c r="D9555" s="341"/>
      <c r="F9555" s="343"/>
      <c r="G9555" s="343"/>
      <c r="H9555" s="343"/>
      <c r="I9555" s="343"/>
      <c r="J9555" s="343"/>
      <c r="K9555" s="343"/>
      <c r="L9555" s="343"/>
    </row>
    <row r="9556" spans="4:12" x14ac:dyDescent="0.2">
      <c r="D9556" s="341"/>
      <c r="F9556" s="343"/>
      <c r="G9556" s="343"/>
      <c r="H9556" s="343"/>
      <c r="I9556" s="343"/>
      <c r="J9556" s="343"/>
      <c r="K9556" s="343"/>
      <c r="L9556" s="343"/>
    </row>
    <row r="9557" spans="4:12" x14ac:dyDescent="0.2">
      <c r="D9557" s="341"/>
      <c r="F9557" s="343"/>
      <c r="G9557" s="343"/>
      <c r="H9557" s="343"/>
      <c r="I9557" s="343"/>
      <c r="J9557" s="343"/>
      <c r="K9557" s="343"/>
      <c r="L9557" s="343"/>
    </row>
    <row r="9558" spans="4:12" x14ac:dyDescent="0.2">
      <c r="D9558" s="341"/>
      <c r="F9558" s="343"/>
      <c r="G9558" s="343"/>
      <c r="H9558" s="343"/>
      <c r="I9558" s="343"/>
      <c r="J9558" s="343"/>
      <c r="K9558" s="343"/>
      <c r="L9558" s="343"/>
    </row>
    <row r="9559" spans="4:12" x14ac:dyDescent="0.2">
      <c r="D9559" s="341"/>
      <c r="F9559" s="343"/>
      <c r="G9559" s="343"/>
      <c r="H9559" s="343"/>
      <c r="I9559" s="343"/>
      <c r="J9559" s="343"/>
      <c r="K9559" s="343"/>
      <c r="L9559" s="343"/>
    </row>
    <row r="9560" spans="4:12" x14ac:dyDescent="0.2">
      <c r="D9560" s="341"/>
      <c r="F9560" s="343"/>
      <c r="G9560" s="343"/>
      <c r="H9560" s="343"/>
      <c r="I9560" s="343"/>
      <c r="J9560" s="343"/>
      <c r="K9560" s="343"/>
      <c r="L9560" s="343"/>
    </row>
    <row r="9561" spans="4:12" x14ac:dyDescent="0.2">
      <c r="D9561" s="341"/>
      <c r="F9561" s="343"/>
      <c r="G9561" s="343"/>
      <c r="H9561" s="343"/>
      <c r="I9561" s="343"/>
      <c r="J9561" s="343"/>
      <c r="K9561" s="343"/>
      <c r="L9561" s="343"/>
    </row>
    <row r="9562" spans="4:12" x14ac:dyDescent="0.2">
      <c r="D9562" s="341"/>
      <c r="F9562" s="343"/>
      <c r="G9562" s="343"/>
      <c r="H9562" s="343"/>
      <c r="I9562" s="343"/>
      <c r="J9562" s="343"/>
      <c r="K9562" s="343"/>
      <c r="L9562" s="343"/>
    </row>
    <row r="9563" spans="4:12" x14ac:dyDescent="0.2">
      <c r="D9563" s="341"/>
      <c r="F9563" s="343"/>
      <c r="G9563" s="343"/>
      <c r="H9563" s="343"/>
      <c r="I9563" s="343"/>
      <c r="J9563" s="343"/>
      <c r="K9563" s="343"/>
      <c r="L9563" s="343"/>
    </row>
    <row r="9564" spans="4:12" x14ac:dyDescent="0.2">
      <c r="D9564" s="341"/>
      <c r="F9564" s="343"/>
      <c r="G9564" s="343"/>
      <c r="H9564" s="343"/>
      <c r="I9564" s="343"/>
      <c r="J9564" s="343"/>
      <c r="K9564" s="343"/>
      <c r="L9564" s="343"/>
    </row>
    <row r="9565" spans="4:12" x14ac:dyDescent="0.2">
      <c r="D9565" s="341"/>
      <c r="F9565" s="343"/>
      <c r="G9565" s="343"/>
      <c r="H9565" s="343"/>
      <c r="I9565" s="343"/>
      <c r="J9565" s="343"/>
      <c r="K9565" s="343"/>
      <c r="L9565" s="343"/>
    </row>
    <row r="9566" spans="4:12" x14ac:dyDescent="0.2">
      <c r="D9566" s="341"/>
      <c r="F9566" s="343"/>
      <c r="G9566" s="343"/>
      <c r="H9566" s="343"/>
      <c r="I9566" s="343"/>
      <c r="J9566" s="343"/>
      <c r="K9566" s="343"/>
      <c r="L9566" s="343"/>
    </row>
    <row r="9567" spans="4:12" x14ac:dyDescent="0.2">
      <c r="D9567" s="341"/>
      <c r="F9567" s="343"/>
      <c r="G9567" s="343"/>
      <c r="H9567" s="343"/>
      <c r="I9567" s="343"/>
      <c r="J9567" s="343"/>
      <c r="K9567" s="343"/>
      <c r="L9567" s="343"/>
    </row>
    <row r="9568" spans="4:12" x14ac:dyDescent="0.2">
      <c r="D9568" s="341"/>
      <c r="F9568" s="343"/>
      <c r="G9568" s="343"/>
      <c r="H9568" s="343"/>
      <c r="I9568" s="343"/>
      <c r="J9568" s="343"/>
      <c r="K9568" s="343"/>
      <c r="L9568" s="343"/>
    </row>
    <row r="9569" spans="4:12" x14ac:dyDescent="0.2">
      <c r="D9569" s="341"/>
      <c r="F9569" s="343"/>
      <c r="G9569" s="343"/>
      <c r="H9569" s="343"/>
      <c r="I9569" s="343"/>
      <c r="J9569" s="343"/>
      <c r="K9569" s="343"/>
      <c r="L9569" s="343"/>
    </row>
    <row r="9570" spans="4:12" x14ac:dyDescent="0.2">
      <c r="D9570" s="341"/>
      <c r="F9570" s="343"/>
      <c r="G9570" s="343"/>
      <c r="H9570" s="343"/>
      <c r="I9570" s="343"/>
      <c r="J9570" s="343"/>
      <c r="K9570" s="343"/>
      <c r="L9570" s="343"/>
    </row>
    <row r="9571" spans="4:12" x14ac:dyDescent="0.2">
      <c r="D9571" s="341"/>
      <c r="F9571" s="343"/>
      <c r="G9571" s="343"/>
      <c r="H9571" s="343"/>
      <c r="I9571" s="343"/>
      <c r="J9571" s="343"/>
      <c r="K9571" s="343"/>
      <c r="L9571" s="343"/>
    </row>
    <row r="9572" spans="4:12" x14ac:dyDescent="0.2">
      <c r="D9572" s="341"/>
      <c r="F9572" s="343"/>
      <c r="G9572" s="343"/>
      <c r="H9572" s="343"/>
      <c r="I9572" s="343"/>
      <c r="J9572" s="343"/>
      <c r="K9572" s="343"/>
      <c r="L9572" s="343"/>
    </row>
    <row r="9573" spans="4:12" x14ac:dyDescent="0.2">
      <c r="D9573" s="341"/>
      <c r="F9573" s="343"/>
      <c r="G9573" s="343"/>
      <c r="H9573" s="343"/>
      <c r="I9573" s="343"/>
      <c r="J9573" s="343"/>
      <c r="K9573" s="343"/>
      <c r="L9573" s="343"/>
    </row>
    <row r="9574" spans="4:12" x14ac:dyDescent="0.2">
      <c r="D9574" s="341"/>
      <c r="F9574" s="343"/>
      <c r="G9574" s="343"/>
      <c r="H9574" s="343"/>
      <c r="I9574" s="343"/>
      <c r="J9574" s="343"/>
      <c r="K9574" s="343"/>
      <c r="L9574" s="343"/>
    </row>
    <row r="9575" spans="4:12" x14ac:dyDescent="0.2">
      <c r="D9575" s="341"/>
      <c r="F9575" s="343"/>
      <c r="G9575" s="343"/>
      <c r="H9575" s="343"/>
      <c r="I9575" s="343"/>
      <c r="J9575" s="343"/>
      <c r="K9575" s="343"/>
      <c r="L9575" s="343"/>
    </row>
    <row r="9576" spans="4:12" x14ac:dyDescent="0.2">
      <c r="D9576" s="341"/>
      <c r="F9576" s="343"/>
      <c r="G9576" s="343"/>
      <c r="H9576" s="343"/>
      <c r="I9576" s="343"/>
      <c r="J9576" s="343"/>
      <c r="K9576" s="343"/>
      <c r="L9576" s="343"/>
    </row>
    <row r="9577" spans="4:12" x14ac:dyDescent="0.2">
      <c r="D9577" s="341"/>
      <c r="F9577" s="343"/>
      <c r="G9577" s="343"/>
      <c r="H9577" s="343"/>
      <c r="I9577" s="343"/>
      <c r="J9577" s="343"/>
      <c r="K9577" s="343"/>
      <c r="L9577" s="343"/>
    </row>
    <row r="9578" spans="4:12" x14ac:dyDescent="0.2">
      <c r="D9578" s="341"/>
      <c r="F9578" s="343"/>
      <c r="G9578" s="343"/>
      <c r="H9578" s="343"/>
      <c r="I9578" s="343"/>
      <c r="J9578" s="343"/>
      <c r="K9578" s="343"/>
      <c r="L9578" s="343"/>
    </row>
    <row r="9579" spans="4:12" x14ac:dyDescent="0.2">
      <c r="D9579" s="341"/>
      <c r="F9579" s="343"/>
      <c r="G9579" s="343"/>
      <c r="H9579" s="343"/>
      <c r="I9579" s="343"/>
      <c r="J9579" s="343"/>
      <c r="K9579" s="343"/>
      <c r="L9579" s="343"/>
    </row>
    <row r="9580" spans="4:12" x14ac:dyDescent="0.2">
      <c r="D9580" s="341"/>
      <c r="F9580" s="343"/>
      <c r="G9580" s="343"/>
      <c r="H9580" s="343"/>
      <c r="I9580" s="343"/>
      <c r="J9580" s="343"/>
      <c r="K9580" s="343"/>
      <c r="L9580" s="343"/>
    </row>
    <row r="9581" spans="4:12" x14ac:dyDescent="0.2">
      <c r="D9581" s="341"/>
      <c r="F9581" s="343"/>
      <c r="G9581" s="343"/>
      <c r="H9581" s="343"/>
      <c r="I9581" s="343"/>
      <c r="J9581" s="343"/>
      <c r="K9581" s="343"/>
      <c r="L9581" s="343"/>
    </row>
    <row r="9582" spans="4:12" x14ac:dyDescent="0.2">
      <c r="D9582" s="341"/>
      <c r="F9582" s="343"/>
      <c r="G9582" s="343"/>
      <c r="H9582" s="343"/>
      <c r="I9582" s="343"/>
      <c r="J9582" s="343"/>
      <c r="K9582" s="343"/>
      <c r="L9582" s="343"/>
    </row>
    <row r="9583" spans="4:12" x14ac:dyDescent="0.2">
      <c r="D9583" s="341"/>
      <c r="F9583" s="343"/>
      <c r="G9583" s="343"/>
      <c r="H9583" s="343"/>
      <c r="I9583" s="343"/>
      <c r="J9583" s="343"/>
      <c r="K9583" s="343"/>
      <c r="L9583" s="343"/>
    </row>
    <row r="9584" spans="4:12" x14ac:dyDescent="0.2">
      <c r="D9584" s="341"/>
      <c r="F9584" s="343"/>
      <c r="G9584" s="343"/>
      <c r="H9584" s="343"/>
      <c r="I9584" s="343"/>
      <c r="J9584" s="343"/>
      <c r="K9584" s="343"/>
      <c r="L9584" s="343"/>
    </row>
    <row r="9585" spans="4:12" x14ac:dyDescent="0.2">
      <c r="D9585" s="341"/>
      <c r="F9585" s="343"/>
      <c r="G9585" s="343"/>
      <c r="H9585" s="343"/>
      <c r="I9585" s="343"/>
      <c r="J9585" s="343"/>
      <c r="K9585" s="343"/>
      <c r="L9585" s="343"/>
    </row>
    <row r="9586" spans="4:12" x14ac:dyDescent="0.2">
      <c r="D9586" s="341"/>
      <c r="F9586" s="343"/>
      <c r="G9586" s="343"/>
      <c r="H9586" s="343"/>
      <c r="I9586" s="343"/>
      <c r="J9586" s="343"/>
      <c r="K9586" s="343"/>
      <c r="L9586" s="343"/>
    </row>
    <row r="9587" spans="4:12" x14ac:dyDescent="0.2">
      <c r="D9587" s="341"/>
      <c r="F9587" s="343"/>
      <c r="G9587" s="343"/>
      <c r="H9587" s="343"/>
      <c r="I9587" s="343"/>
      <c r="J9587" s="343"/>
      <c r="K9587" s="343"/>
      <c r="L9587" s="343"/>
    </row>
    <row r="9588" spans="4:12" x14ac:dyDescent="0.2">
      <c r="D9588" s="341"/>
      <c r="F9588" s="343"/>
      <c r="G9588" s="343"/>
      <c r="H9588" s="343"/>
      <c r="I9588" s="343"/>
      <c r="J9588" s="343"/>
      <c r="K9588" s="343"/>
      <c r="L9588" s="343"/>
    </row>
    <row r="9589" spans="4:12" x14ac:dyDescent="0.2">
      <c r="D9589" s="341"/>
      <c r="F9589" s="343"/>
      <c r="G9589" s="343"/>
      <c r="H9589" s="343"/>
      <c r="I9589" s="343"/>
      <c r="J9589" s="343"/>
      <c r="K9589" s="343"/>
      <c r="L9589" s="343"/>
    </row>
    <row r="9590" spans="4:12" x14ac:dyDescent="0.2">
      <c r="D9590" s="341"/>
      <c r="F9590" s="343"/>
      <c r="G9590" s="343"/>
      <c r="H9590" s="343"/>
      <c r="I9590" s="343"/>
      <c r="J9590" s="343"/>
      <c r="K9590" s="343"/>
      <c r="L9590" s="343"/>
    </row>
    <row r="9591" spans="4:12" x14ac:dyDescent="0.2">
      <c r="D9591" s="341"/>
      <c r="F9591" s="343"/>
      <c r="G9591" s="343"/>
      <c r="H9591" s="343"/>
      <c r="I9591" s="343"/>
      <c r="J9591" s="343"/>
      <c r="K9591" s="343"/>
      <c r="L9591" s="343"/>
    </row>
    <row r="9592" spans="4:12" x14ac:dyDescent="0.2">
      <c r="D9592" s="341"/>
      <c r="F9592" s="343"/>
      <c r="G9592" s="343"/>
      <c r="H9592" s="343"/>
      <c r="I9592" s="343"/>
      <c r="J9592" s="343"/>
      <c r="K9592" s="343"/>
      <c r="L9592" s="343"/>
    </row>
    <row r="9593" spans="4:12" x14ac:dyDescent="0.2">
      <c r="D9593" s="341"/>
      <c r="F9593" s="343"/>
      <c r="G9593" s="343"/>
      <c r="H9593" s="343"/>
      <c r="I9593" s="343"/>
      <c r="J9593" s="343"/>
      <c r="K9593" s="343"/>
      <c r="L9593" s="343"/>
    </row>
    <row r="9594" spans="4:12" x14ac:dyDescent="0.2">
      <c r="D9594" s="341"/>
      <c r="F9594" s="343"/>
      <c r="G9594" s="343"/>
      <c r="H9594" s="343"/>
      <c r="I9594" s="343"/>
      <c r="J9594" s="343"/>
      <c r="K9594" s="343"/>
      <c r="L9594" s="343"/>
    </row>
    <row r="9595" spans="4:12" x14ac:dyDescent="0.2">
      <c r="D9595" s="341"/>
      <c r="F9595" s="343"/>
      <c r="G9595" s="343"/>
      <c r="H9595" s="343"/>
      <c r="I9595" s="343"/>
      <c r="J9595" s="343"/>
      <c r="K9595" s="343"/>
      <c r="L9595" s="343"/>
    </row>
    <row r="9596" spans="4:12" x14ac:dyDescent="0.2">
      <c r="D9596" s="341"/>
      <c r="F9596" s="343"/>
      <c r="G9596" s="343"/>
      <c r="H9596" s="343"/>
      <c r="I9596" s="343"/>
      <c r="J9596" s="343"/>
      <c r="K9596" s="343"/>
      <c r="L9596" s="343"/>
    </row>
    <row r="9597" spans="4:12" x14ac:dyDescent="0.2">
      <c r="D9597" s="341"/>
      <c r="F9597" s="343"/>
      <c r="G9597" s="343"/>
      <c r="H9597" s="343"/>
      <c r="I9597" s="343"/>
      <c r="J9597" s="343"/>
      <c r="K9597" s="343"/>
      <c r="L9597" s="343"/>
    </row>
    <row r="9598" spans="4:12" x14ac:dyDescent="0.2">
      <c r="D9598" s="341"/>
      <c r="F9598" s="343"/>
      <c r="G9598" s="343"/>
      <c r="H9598" s="343"/>
      <c r="I9598" s="343"/>
      <c r="J9598" s="343"/>
      <c r="K9598" s="343"/>
      <c r="L9598" s="343"/>
    </row>
    <row r="9599" spans="4:12" x14ac:dyDescent="0.2">
      <c r="D9599" s="341"/>
      <c r="F9599" s="343"/>
      <c r="G9599" s="343"/>
      <c r="H9599" s="343"/>
      <c r="I9599" s="343"/>
      <c r="J9599" s="343"/>
      <c r="K9599" s="343"/>
      <c r="L9599" s="343"/>
    </row>
    <row r="9600" spans="4:12" x14ac:dyDescent="0.2">
      <c r="D9600" s="341"/>
      <c r="F9600" s="343"/>
      <c r="G9600" s="343"/>
      <c r="H9600" s="343"/>
      <c r="I9600" s="343"/>
      <c r="J9600" s="343"/>
      <c r="K9600" s="343"/>
      <c r="L9600" s="343"/>
    </row>
    <row r="9601" spans="4:12" x14ac:dyDescent="0.2">
      <c r="D9601" s="341"/>
      <c r="F9601" s="343"/>
      <c r="G9601" s="343"/>
      <c r="H9601" s="343"/>
      <c r="I9601" s="343"/>
      <c r="J9601" s="343"/>
      <c r="K9601" s="343"/>
      <c r="L9601" s="343"/>
    </row>
    <row r="9602" spans="4:12" x14ac:dyDescent="0.2">
      <c r="D9602" s="341"/>
      <c r="F9602" s="343"/>
      <c r="G9602" s="343"/>
      <c r="H9602" s="343"/>
      <c r="I9602" s="343"/>
      <c r="J9602" s="343"/>
      <c r="K9602" s="343"/>
      <c r="L9602" s="343"/>
    </row>
    <row r="9603" spans="4:12" x14ac:dyDescent="0.2">
      <c r="D9603" s="341"/>
      <c r="F9603" s="343"/>
      <c r="G9603" s="343"/>
      <c r="H9603" s="343"/>
      <c r="I9603" s="343"/>
      <c r="J9603" s="343"/>
      <c r="K9603" s="343"/>
      <c r="L9603" s="343"/>
    </row>
    <row r="9604" spans="4:12" x14ac:dyDescent="0.2">
      <c r="D9604" s="341"/>
      <c r="F9604" s="343"/>
      <c r="G9604" s="343"/>
      <c r="H9604" s="343"/>
      <c r="I9604" s="343"/>
      <c r="J9604" s="343"/>
      <c r="K9604" s="343"/>
      <c r="L9604" s="343"/>
    </row>
    <row r="9605" spans="4:12" x14ac:dyDescent="0.2">
      <c r="D9605" s="341"/>
      <c r="F9605" s="343"/>
      <c r="G9605" s="343"/>
      <c r="H9605" s="343"/>
      <c r="I9605" s="343"/>
      <c r="J9605" s="343"/>
      <c r="K9605" s="343"/>
      <c r="L9605" s="343"/>
    </row>
    <row r="9606" spans="4:12" x14ac:dyDescent="0.2">
      <c r="D9606" s="341"/>
      <c r="F9606" s="343"/>
      <c r="G9606" s="343"/>
      <c r="H9606" s="343"/>
      <c r="I9606" s="343"/>
      <c r="J9606" s="343"/>
      <c r="K9606" s="343"/>
      <c r="L9606" s="343"/>
    </row>
    <row r="9607" spans="4:12" x14ac:dyDescent="0.2">
      <c r="D9607" s="341"/>
      <c r="F9607" s="343"/>
      <c r="G9607" s="343"/>
      <c r="H9607" s="343"/>
      <c r="I9607" s="343"/>
      <c r="J9607" s="343"/>
      <c r="K9607" s="343"/>
      <c r="L9607" s="343"/>
    </row>
    <row r="9608" spans="4:12" x14ac:dyDescent="0.2">
      <c r="D9608" s="341"/>
      <c r="F9608" s="343"/>
      <c r="G9608" s="343"/>
      <c r="H9608" s="343"/>
      <c r="I9608" s="343"/>
      <c r="J9608" s="343"/>
      <c r="K9608" s="343"/>
      <c r="L9608" s="343"/>
    </row>
    <row r="9609" spans="4:12" x14ac:dyDescent="0.2">
      <c r="D9609" s="341"/>
      <c r="F9609" s="343"/>
      <c r="G9609" s="343"/>
      <c r="H9609" s="343"/>
      <c r="I9609" s="343"/>
      <c r="J9609" s="343"/>
      <c r="K9609" s="343"/>
      <c r="L9609" s="343"/>
    </row>
    <row r="9610" spans="4:12" x14ac:dyDescent="0.2">
      <c r="D9610" s="341"/>
      <c r="F9610" s="343"/>
      <c r="G9610" s="343"/>
      <c r="H9610" s="343"/>
      <c r="I9610" s="343"/>
      <c r="J9610" s="343"/>
      <c r="K9610" s="343"/>
      <c r="L9610" s="343"/>
    </row>
    <row r="9611" spans="4:12" x14ac:dyDescent="0.2">
      <c r="D9611" s="341"/>
      <c r="F9611" s="343"/>
      <c r="G9611" s="343"/>
      <c r="H9611" s="343"/>
      <c r="I9611" s="343"/>
      <c r="J9611" s="343"/>
      <c r="K9611" s="343"/>
      <c r="L9611" s="343"/>
    </row>
    <row r="9612" spans="4:12" x14ac:dyDescent="0.2">
      <c r="D9612" s="341"/>
      <c r="F9612" s="343"/>
      <c r="G9612" s="343"/>
      <c r="H9612" s="343"/>
      <c r="I9612" s="343"/>
      <c r="J9612" s="343"/>
      <c r="K9612" s="343"/>
      <c r="L9612" s="343"/>
    </row>
    <row r="9613" spans="4:12" x14ac:dyDescent="0.2">
      <c r="D9613" s="341"/>
      <c r="F9613" s="343"/>
      <c r="G9613" s="343"/>
      <c r="H9613" s="343"/>
      <c r="I9613" s="343"/>
      <c r="J9613" s="343"/>
      <c r="K9613" s="343"/>
      <c r="L9613" s="343"/>
    </row>
    <row r="9614" spans="4:12" x14ac:dyDescent="0.2">
      <c r="D9614" s="341"/>
      <c r="F9614" s="343"/>
      <c r="G9614" s="343"/>
      <c r="H9614" s="343"/>
      <c r="I9614" s="343"/>
      <c r="J9614" s="343"/>
      <c r="K9614" s="343"/>
      <c r="L9614" s="343"/>
    </row>
    <row r="9615" spans="4:12" x14ac:dyDescent="0.2">
      <c r="D9615" s="341"/>
      <c r="F9615" s="343"/>
      <c r="G9615" s="343"/>
      <c r="H9615" s="343"/>
      <c r="I9615" s="343"/>
      <c r="J9615" s="343"/>
      <c r="K9615" s="343"/>
      <c r="L9615" s="343"/>
    </row>
    <row r="9616" spans="4:12" x14ac:dyDescent="0.2">
      <c r="D9616" s="341"/>
      <c r="F9616" s="343"/>
      <c r="G9616" s="343"/>
      <c r="H9616" s="343"/>
      <c r="I9616" s="343"/>
      <c r="J9616" s="343"/>
      <c r="K9616" s="343"/>
      <c r="L9616" s="343"/>
    </row>
    <row r="9617" spans="4:12" x14ac:dyDescent="0.2">
      <c r="D9617" s="341"/>
      <c r="F9617" s="343"/>
      <c r="G9617" s="343"/>
      <c r="H9617" s="343"/>
      <c r="I9617" s="343"/>
      <c r="J9617" s="343"/>
      <c r="K9617" s="343"/>
      <c r="L9617" s="343"/>
    </row>
    <row r="9618" spans="4:12" x14ac:dyDescent="0.2">
      <c r="D9618" s="341"/>
      <c r="F9618" s="343"/>
      <c r="G9618" s="343"/>
      <c r="H9618" s="343"/>
      <c r="I9618" s="343"/>
      <c r="J9618" s="343"/>
      <c r="K9618" s="343"/>
      <c r="L9618" s="343"/>
    </row>
    <row r="9619" spans="4:12" x14ac:dyDescent="0.2">
      <c r="D9619" s="341"/>
      <c r="F9619" s="343"/>
      <c r="G9619" s="343"/>
      <c r="H9619" s="343"/>
      <c r="I9619" s="343"/>
      <c r="J9619" s="343"/>
      <c r="K9619" s="343"/>
      <c r="L9619" s="343"/>
    </row>
    <row r="9620" spans="4:12" x14ac:dyDescent="0.2">
      <c r="D9620" s="341"/>
      <c r="F9620" s="343"/>
      <c r="G9620" s="343"/>
      <c r="H9620" s="343"/>
      <c r="I9620" s="343"/>
      <c r="J9620" s="343"/>
      <c r="K9620" s="343"/>
      <c r="L9620" s="343"/>
    </row>
    <row r="9621" spans="4:12" x14ac:dyDescent="0.2">
      <c r="D9621" s="341"/>
      <c r="F9621" s="343"/>
      <c r="G9621" s="343"/>
      <c r="H9621" s="343"/>
      <c r="I9621" s="343"/>
      <c r="J9621" s="343"/>
      <c r="K9621" s="343"/>
      <c r="L9621" s="343"/>
    </row>
    <row r="9622" spans="4:12" x14ac:dyDescent="0.2">
      <c r="D9622" s="341"/>
      <c r="F9622" s="343"/>
      <c r="G9622" s="343"/>
      <c r="H9622" s="343"/>
      <c r="I9622" s="343"/>
      <c r="J9622" s="343"/>
      <c r="K9622" s="343"/>
      <c r="L9622" s="343"/>
    </row>
    <row r="9623" spans="4:12" x14ac:dyDescent="0.2">
      <c r="D9623" s="341"/>
      <c r="F9623" s="343"/>
      <c r="G9623" s="343"/>
      <c r="H9623" s="343"/>
      <c r="I9623" s="343"/>
      <c r="J9623" s="343"/>
      <c r="K9623" s="343"/>
      <c r="L9623" s="343"/>
    </row>
    <row r="9624" spans="4:12" x14ac:dyDescent="0.2">
      <c r="D9624" s="341"/>
      <c r="F9624" s="343"/>
      <c r="G9624" s="343"/>
      <c r="H9624" s="343"/>
      <c r="I9624" s="343"/>
      <c r="J9624" s="343"/>
      <c r="K9624" s="343"/>
      <c r="L9624" s="343"/>
    </row>
    <row r="9625" spans="4:12" x14ac:dyDescent="0.2">
      <c r="D9625" s="341"/>
      <c r="F9625" s="343"/>
      <c r="G9625" s="343"/>
      <c r="H9625" s="343"/>
      <c r="I9625" s="343"/>
      <c r="J9625" s="343"/>
      <c r="K9625" s="343"/>
      <c r="L9625" s="343"/>
    </row>
    <row r="9626" spans="4:12" x14ac:dyDescent="0.2">
      <c r="D9626" s="341"/>
      <c r="F9626" s="343"/>
      <c r="G9626" s="343"/>
      <c r="H9626" s="343"/>
      <c r="I9626" s="343"/>
      <c r="J9626" s="343"/>
      <c r="K9626" s="343"/>
      <c r="L9626" s="343"/>
    </row>
    <row r="9627" spans="4:12" x14ac:dyDescent="0.2">
      <c r="D9627" s="341"/>
      <c r="F9627" s="343"/>
      <c r="G9627" s="343"/>
      <c r="H9627" s="343"/>
      <c r="I9627" s="343"/>
      <c r="J9627" s="343"/>
      <c r="K9627" s="343"/>
      <c r="L9627" s="343"/>
    </row>
    <row r="9628" spans="4:12" x14ac:dyDescent="0.2">
      <c r="D9628" s="341"/>
      <c r="F9628" s="343"/>
      <c r="G9628" s="343"/>
      <c r="H9628" s="343"/>
      <c r="I9628" s="343"/>
      <c r="J9628" s="343"/>
      <c r="K9628" s="343"/>
      <c r="L9628" s="343"/>
    </row>
    <row r="9629" spans="4:12" x14ac:dyDescent="0.2">
      <c r="D9629" s="341"/>
      <c r="F9629" s="343"/>
      <c r="G9629" s="343"/>
      <c r="H9629" s="343"/>
      <c r="I9629" s="343"/>
      <c r="J9629" s="343"/>
      <c r="K9629" s="343"/>
      <c r="L9629" s="343"/>
    </row>
    <row r="9630" spans="4:12" x14ac:dyDescent="0.2">
      <c r="D9630" s="341"/>
      <c r="F9630" s="343"/>
      <c r="G9630" s="343"/>
      <c r="H9630" s="343"/>
      <c r="I9630" s="343"/>
      <c r="J9630" s="343"/>
      <c r="K9630" s="343"/>
      <c r="L9630" s="343"/>
    </row>
    <row r="9631" spans="4:12" x14ac:dyDescent="0.2">
      <c r="D9631" s="341"/>
      <c r="F9631" s="343"/>
      <c r="G9631" s="343"/>
      <c r="H9631" s="343"/>
      <c r="I9631" s="343"/>
      <c r="J9631" s="343"/>
      <c r="K9631" s="343"/>
      <c r="L9631" s="343"/>
    </row>
    <row r="9632" spans="4:12" x14ac:dyDescent="0.2">
      <c r="D9632" s="341"/>
      <c r="F9632" s="343"/>
      <c r="G9632" s="343"/>
      <c r="H9632" s="343"/>
      <c r="I9632" s="343"/>
      <c r="J9632" s="343"/>
      <c r="K9632" s="343"/>
      <c r="L9632" s="343"/>
    </row>
    <row r="9633" spans="4:12" x14ac:dyDescent="0.2">
      <c r="D9633" s="341"/>
      <c r="F9633" s="343"/>
      <c r="G9633" s="343"/>
      <c r="H9633" s="343"/>
      <c r="I9633" s="343"/>
      <c r="J9633" s="343"/>
      <c r="K9633" s="343"/>
      <c r="L9633" s="343"/>
    </row>
    <row r="9634" spans="4:12" x14ac:dyDescent="0.2">
      <c r="D9634" s="341"/>
      <c r="F9634" s="343"/>
      <c r="G9634" s="343"/>
      <c r="H9634" s="343"/>
      <c r="I9634" s="343"/>
      <c r="J9634" s="343"/>
      <c r="K9634" s="343"/>
      <c r="L9634" s="343"/>
    </row>
    <row r="9635" spans="4:12" x14ac:dyDescent="0.2">
      <c r="D9635" s="341"/>
      <c r="F9635" s="343"/>
      <c r="G9635" s="343"/>
      <c r="H9635" s="343"/>
      <c r="I9635" s="343"/>
      <c r="J9635" s="343"/>
      <c r="K9635" s="343"/>
      <c r="L9635" s="343"/>
    </row>
    <row r="9636" spans="4:12" x14ac:dyDescent="0.2">
      <c r="D9636" s="341"/>
      <c r="F9636" s="343"/>
      <c r="G9636" s="343"/>
      <c r="H9636" s="343"/>
      <c r="I9636" s="343"/>
      <c r="J9636" s="343"/>
      <c r="K9636" s="343"/>
      <c r="L9636" s="343"/>
    </row>
    <row r="9637" spans="4:12" x14ac:dyDescent="0.2">
      <c r="D9637" s="341"/>
      <c r="F9637" s="343"/>
      <c r="G9637" s="343"/>
      <c r="H9637" s="343"/>
      <c r="I9637" s="343"/>
      <c r="J9637" s="343"/>
      <c r="K9637" s="343"/>
      <c r="L9637" s="343"/>
    </row>
    <row r="9638" spans="4:12" x14ac:dyDescent="0.2">
      <c r="D9638" s="341"/>
      <c r="F9638" s="343"/>
      <c r="G9638" s="343"/>
      <c r="H9638" s="343"/>
      <c r="I9638" s="343"/>
      <c r="J9638" s="343"/>
      <c r="K9638" s="343"/>
      <c r="L9638" s="343"/>
    </row>
    <row r="9639" spans="4:12" x14ac:dyDescent="0.2">
      <c r="D9639" s="341"/>
      <c r="F9639" s="343"/>
      <c r="G9639" s="343"/>
      <c r="H9639" s="343"/>
      <c r="I9639" s="343"/>
      <c r="J9639" s="343"/>
      <c r="K9639" s="343"/>
      <c r="L9639" s="343"/>
    </row>
    <row r="9640" spans="4:12" x14ac:dyDescent="0.2">
      <c r="D9640" s="341"/>
      <c r="F9640" s="343"/>
      <c r="G9640" s="343"/>
      <c r="H9640" s="343"/>
      <c r="I9640" s="343"/>
      <c r="J9640" s="343"/>
      <c r="K9640" s="343"/>
      <c r="L9640" s="343"/>
    </row>
    <row r="9641" spans="4:12" x14ac:dyDescent="0.2">
      <c r="D9641" s="341"/>
      <c r="F9641" s="343"/>
      <c r="G9641" s="343"/>
      <c r="H9641" s="343"/>
      <c r="I9641" s="343"/>
      <c r="J9641" s="343"/>
      <c r="K9641" s="343"/>
      <c r="L9641" s="343"/>
    </row>
    <row r="9642" spans="4:12" x14ac:dyDescent="0.2">
      <c r="D9642" s="341"/>
      <c r="F9642" s="343"/>
      <c r="G9642" s="343"/>
      <c r="H9642" s="343"/>
      <c r="I9642" s="343"/>
      <c r="J9642" s="343"/>
      <c r="K9642" s="343"/>
      <c r="L9642" s="343"/>
    </row>
    <row r="9643" spans="4:12" x14ac:dyDescent="0.2">
      <c r="D9643" s="341"/>
      <c r="F9643" s="343"/>
      <c r="G9643" s="343"/>
      <c r="H9643" s="343"/>
      <c r="I9643" s="343"/>
      <c r="J9643" s="343"/>
      <c r="K9643" s="343"/>
      <c r="L9643" s="343"/>
    </row>
    <row r="9644" spans="4:12" x14ac:dyDescent="0.2">
      <c r="D9644" s="341"/>
      <c r="F9644" s="343"/>
      <c r="G9644" s="343"/>
      <c r="H9644" s="343"/>
      <c r="I9644" s="343"/>
      <c r="J9644" s="343"/>
      <c r="K9644" s="343"/>
      <c r="L9644" s="343"/>
    </row>
    <row r="9645" spans="4:12" x14ac:dyDescent="0.2">
      <c r="D9645" s="341"/>
      <c r="F9645" s="343"/>
      <c r="G9645" s="343"/>
      <c r="H9645" s="343"/>
      <c r="I9645" s="343"/>
      <c r="J9645" s="343"/>
      <c r="K9645" s="343"/>
      <c r="L9645" s="343"/>
    </row>
    <row r="9646" spans="4:12" x14ac:dyDescent="0.2">
      <c r="D9646" s="341"/>
      <c r="F9646" s="343"/>
      <c r="G9646" s="343"/>
      <c r="H9646" s="343"/>
      <c r="I9646" s="343"/>
      <c r="J9646" s="343"/>
      <c r="K9646" s="343"/>
      <c r="L9646" s="343"/>
    </row>
    <row r="9647" spans="4:12" x14ac:dyDescent="0.2">
      <c r="D9647" s="341"/>
      <c r="F9647" s="343"/>
      <c r="G9647" s="343"/>
      <c r="H9647" s="343"/>
      <c r="I9647" s="343"/>
      <c r="J9647" s="343"/>
      <c r="K9647" s="343"/>
      <c r="L9647" s="343"/>
    </row>
    <row r="9648" spans="4:12" x14ac:dyDescent="0.2">
      <c r="D9648" s="341"/>
      <c r="F9648" s="343"/>
      <c r="G9648" s="343"/>
      <c r="H9648" s="343"/>
      <c r="I9648" s="343"/>
      <c r="J9648" s="343"/>
      <c r="K9648" s="343"/>
      <c r="L9648" s="343"/>
    </row>
    <row r="9649" spans="4:12" x14ac:dyDescent="0.2">
      <c r="D9649" s="341"/>
      <c r="F9649" s="343"/>
      <c r="G9649" s="343"/>
      <c r="H9649" s="343"/>
      <c r="I9649" s="343"/>
      <c r="J9649" s="343"/>
      <c r="K9649" s="343"/>
      <c r="L9649" s="343"/>
    </row>
    <row r="9650" spans="4:12" x14ac:dyDescent="0.2">
      <c r="D9650" s="341"/>
      <c r="F9650" s="343"/>
      <c r="G9650" s="343"/>
      <c r="H9650" s="343"/>
      <c r="I9650" s="343"/>
      <c r="J9650" s="343"/>
      <c r="K9650" s="343"/>
      <c r="L9650" s="343"/>
    </row>
    <row r="9651" spans="4:12" x14ac:dyDescent="0.2">
      <c r="D9651" s="341"/>
      <c r="F9651" s="343"/>
      <c r="G9651" s="343"/>
      <c r="H9651" s="343"/>
      <c r="I9651" s="343"/>
      <c r="J9651" s="343"/>
      <c r="K9651" s="343"/>
      <c r="L9651" s="343"/>
    </row>
    <row r="9652" spans="4:12" x14ac:dyDescent="0.2">
      <c r="D9652" s="341"/>
      <c r="F9652" s="343"/>
      <c r="G9652" s="343"/>
      <c r="H9652" s="343"/>
      <c r="I9652" s="343"/>
      <c r="J9652" s="343"/>
      <c r="K9652" s="343"/>
      <c r="L9652" s="343"/>
    </row>
    <row r="9653" spans="4:12" x14ac:dyDescent="0.2">
      <c r="D9653" s="341"/>
      <c r="F9653" s="343"/>
      <c r="G9653" s="343"/>
      <c r="H9653" s="343"/>
      <c r="I9653" s="343"/>
      <c r="J9653" s="343"/>
      <c r="K9653" s="343"/>
      <c r="L9653" s="343"/>
    </row>
    <row r="9654" spans="4:12" x14ac:dyDescent="0.2">
      <c r="D9654" s="341"/>
      <c r="F9654" s="343"/>
      <c r="G9654" s="343"/>
      <c r="H9654" s="343"/>
      <c r="I9654" s="343"/>
      <c r="J9654" s="343"/>
      <c r="K9654" s="343"/>
      <c r="L9654" s="343"/>
    </row>
    <row r="9655" spans="4:12" x14ac:dyDescent="0.2">
      <c r="D9655" s="341"/>
      <c r="F9655" s="343"/>
      <c r="G9655" s="343"/>
      <c r="H9655" s="343"/>
      <c r="I9655" s="343"/>
      <c r="J9655" s="343"/>
      <c r="K9655" s="343"/>
      <c r="L9655" s="343"/>
    </row>
    <row r="9656" spans="4:12" x14ac:dyDescent="0.2">
      <c r="D9656" s="341"/>
      <c r="F9656" s="343"/>
      <c r="G9656" s="343"/>
      <c r="H9656" s="343"/>
      <c r="I9656" s="343"/>
      <c r="J9656" s="343"/>
      <c r="K9656" s="343"/>
      <c r="L9656" s="343"/>
    </row>
    <row r="9657" spans="4:12" x14ac:dyDescent="0.2">
      <c r="D9657" s="341"/>
      <c r="F9657" s="343"/>
      <c r="G9657" s="343"/>
      <c r="H9657" s="343"/>
      <c r="I9657" s="343"/>
      <c r="J9657" s="343"/>
      <c r="K9657" s="343"/>
      <c r="L9657" s="343"/>
    </row>
    <row r="9658" spans="4:12" x14ac:dyDescent="0.2">
      <c r="D9658" s="341"/>
      <c r="F9658" s="343"/>
      <c r="G9658" s="343"/>
      <c r="H9658" s="343"/>
      <c r="I9658" s="343"/>
      <c r="J9658" s="343"/>
      <c r="K9658" s="343"/>
      <c r="L9658" s="343"/>
    </row>
    <row r="9659" spans="4:12" x14ac:dyDescent="0.2">
      <c r="D9659" s="341"/>
      <c r="F9659" s="343"/>
      <c r="G9659" s="343"/>
      <c r="H9659" s="343"/>
      <c r="I9659" s="343"/>
      <c r="J9659" s="343"/>
      <c r="K9659" s="343"/>
      <c r="L9659" s="343"/>
    </row>
    <row r="9660" spans="4:12" x14ac:dyDescent="0.2">
      <c r="D9660" s="341"/>
      <c r="F9660" s="343"/>
      <c r="G9660" s="343"/>
      <c r="H9660" s="343"/>
      <c r="I9660" s="343"/>
      <c r="J9660" s="343"/>
      <c r="K9660" s="343"/>
      <c r="L9660" s="343"/>
    </row>
    <row r="9661" spans="4:12" x14ac:dyDescent="0.2">
      <c r="D9661" s="341"/>
      <c r="F9661" s="343"/>
      <c r="G9661" s="343"/>
      <c r="H9661" s="343"/>
      <c r="I9661" s="343"/>
      <c r="J9661" s="343"/>
      <c r="K9661" s="343"/>
      <c r="L9661" s="343"/>
    </row>
    <row r="9662" spans="4:12" x14ac:dyDescent="0.2">
      <c r="D9662" s="341"/>
      <c r="F9662" s="343"/>
      <c r="G9662" s="343"/>
      <c r="H9662" s="343"/>
      <c r="I9662" s="343"/>
      <c r="J9662" s="343"/>
      <c r="K9662" s="343"/>
      <c r="L9662" s="343"/>
    </row>
    <row r="9663" spans="4:12" x14ac:dyDescent="0.2">
      <c r="D9663" s="341"/>
      <c r="F9663" s="343"/>
      <c r="G9663" s="343"/>
      <c r="H9663" s="343"/>
      <c r="I9663" s="343"/>
      <c r="J9663" s="343"/>
      <c r="K9663" s="343"/>
      <c r="L9663" s="343"/>
    </row>
    <row r="9664" spans="4:12" x14ac:dyDescent="0.2">
      <c r="D9664" s="341"/>
      <c r="F9664" s="343"/>
      <c r="G9664" s="343"/>
      <c r="H9664" s="343"/>
      <c r="I9664" s="343"/>
      <c r="J9664" s="343"/>
      <c r="K9664" s="343"/>
      <c r="L9664" s="343"/>
    </row>
    <row r="9665" spans="4:12" x14ac:dyDescent="0.2">
      <c r="D9665" s="341"/>
      <c r="F9665" s="343"/>
      <c r="G9665" s="343"/>
      <c r="H9665" s="343"/>
      <c r="I9665" s="343"/>
      <c r="J9665" s="343"/>
      <c r="K9665" s="343"/>
      <c r="L9665" s="343"/>
    </row>
    <row r="9666" spans="4:12" x14ac:dyDescent="0.2">
      <c r="D9666" s="341"/>
      <c r="F9666" s="343"/>
      <c r="G9666" s="343"/>
      <c r="H9666" s="343"/>
      <c r="I9666" s="343"/>
      <c r="J9666" s="343"/>
      <c r="K9666" s="343"/>
      <c r="L9666" s="343"/>
    </row>
    <row r="9667" spans="4:12" x14ac:dyDescent="0.2">
      <c r="D9667" s="341"/>
      <c r="F9667" s="343"/>
      <c r="G9667" s="343"/>
      <c r="H9667" s="343"/>
      <c r="I9667" s="343"/>
      <c r="J9667" s="343"/>
      <c r="K9667" s="343"/>
      <c r="L9667" s="343"/>
    </row>
    <row r="9668" spans="4:12" x14ac:dyDescent="0.2">
      <c r="D9668" s="341"/>
      <c r="F9668" s="343"/>
      <c r="G9668" s="343"/>
      <c r="H9668" s="343"/>
      <c r="I9668" s="343"/>
      <c r="J9668" s="343"/>
      <c r="K9668" s="343"/>
      <c r="L9668" s="343"/>
    </row>
    <row r="9669" spans="4:12" x14ac:dyDescent="0.2">
      <c r="D9669" s="341"/>
      <c r="F9669" s="343"/>
      <c r="G9669" s="343"/>
      <c r="H9669" s="343"/>
      <c r="I9669" s="343"/>
      <c r="J9669" s="343"/>
      <c r="K9669" s="343"/>
      <c r="L9669" s="343"/>
    </row>
    <row r="9670" spans="4:12" x14ac:dyDescent="0.2">
      <c r="D9670" s="341"/>
      <c r="F9670" s="343"/>
      <c r="G9670" s="343"/>
      <c r="H9670" s="343"/>
      <c r="I9670" s="343"/>
      <c r="J9670" s="343"/>
      <c r="K9670" s="343"/>
      <c r="L9670" s="343"/>
    </row>
    <row r="9671" spans="4:12" x14ac:dyDescent="0.2">
      <c r="D9671" s="341"/>
      <c r="F9671" s="343"/>
      <c r="G9671" s="343"/>
      <c r="H9671" s="343"/>
      <c r="I9671" s="343"/>
      <c r="J9671" s="343"/>
      <c r="K9671" s="343"/>
      <c r="L9671" s="343"/>
    </row>
    <row r="9672" spans="4:12" x14ac:dyDescent="0.2">
      <c r="D9672" s="341"/>
      <c r="F9672" s="343"/>
      <c r="G9672" s="343"/>
      <c r="H9672" s="343"/>
      <c r="I9672" s="343"/>
      <c r="J9672" s="343"/>
      <c r="K9672" s="343"/>
      <c r="L9672" s="343"/>
    </row>
    <row r="9673" spans="4:12" x14ac:dyDescent="0.2">
      <c r="D9673" s="341"/>
      <c r="F9673" s="343"/>
      <c r="G9673" s="343"/>
      <c r="H9673" s="343"/>
      <c r="I9673" s="343"/>
      <c r="J9673" s="343"/>
      <c r="K9673" s="343"/>
      <c r="L9673" s="343"/>
    </row>
    <row r="9674" spans="4:12" x14ac:dyDescent="0.2">
      <c r="D9674" s="341"/>
      <c r="F9674" s="343"/>
      <c r="G9674" s="343"/>
      <c r="H9674" s="343"/>
      <c r="I9674" s="343"/>
      <c r="J9674" s="343"/>
      <c r="K9674" s="343"/>
      <c r="L9674" s="343"/>
    </row>
    <row r="9675" spans="4:12" x14ac:dyDescent="0.2">
      <c r="D9675" s="341"/>
      <c r="F9675" s="343"/>
      <c r="G9675" s="343"/>
      <c r="H9675" s="343"/>
      <c r="I9675" s="343"/>
      <c r="J9675" s="343"/>
      <c r="K9675" s="343"/>
      <c r="L9675" s="343"/>
    </row>
    <row r="9676" spans="4:12" x14ac:dyDescent="0.2">
      <c r="D9676" s="341"/>
      <c r="F9676" s="343"/>
      <c r="G9676" s="343"/>
      <c r="H9676" s="343"/>
      <c r="I9676" s="343"/>
      <c r="J9676" s="343"/>
      <c r="K9676" s="343"/>
      <c r="L9676" s="343"/>
    </row>
    <row r="9677" spans="4:12" x14ac:dyDescent="0.2">
      <c r="D9677" s="341"/>
      <c r="F9677" s="343"/>
      <c r="G9677" s="343"/>
      <c r="H9677" s="343"/>
      <c r="I9677" s="343"/>
      <c r="J9677" s="343"/>
      <c r="K9677" s="343"/>
      <c r="L9677" s="343"/>
    </row>
    <row r="9678" spans="4:12" x14ac:dyDescent="0.2">
      <c r="D9678" s="341"/>
      <c r="F9678" s="343"/>
      <c r="G9678" s="343"/>
      <c r="H9678" s="343"/>
      <c r="I9678" s="343"/>
      <c r="J9678" s="343"/>
      <c r="K9678" s="343"/>
      <c r="L9678" s="343"/>
    </row>
    <row r="9679" spans="4:12" x14ac:dyDescent="0.2">
      <c r="D9679" s="341"/>
      <c r="F9679" s="343"/>
      <c r="G9679" s="343"/>
      <c r="H9679" s="343"/>
      <c r="I9679" s="343"/>
      <c r="J9679" s="343"/>
      <c r="K9679" s="343"/>
      <c r="L9679" s="343"/>
    </row>
    <row r="9680" spans="4:12" x14ac:dyDescent="0.2">
      <c r="D9680" s="341"/>
      <c r="F9680" s="343"/>
      <c r="G9680" s="343"/>
      <c r="H9680" s="343"/>
      <c r="I9680" s="343"/>
      <c r="J9680" s="343"/>
      <c r="K9680" s="343"/>
      <c r="L9680" s="343"/>
    </row>
    <row r="9681" spans="4:12" x14ac:dyDescent="0.2">
      <c r="D9681" s="341"/>
      <c r="F9681" s="343"/>
      <c r="G9681" s="343"/>
      <c r="H9681" s="343"/>
      <c r="I9681" s="343"/>
      <c r="J9681" s="343"/>
      <c r="K9681" s="343"/>
      <c r="L9681" s="343"/>
    </row>
    <row r="9682" spans="4:12" x14ac:dyDescent="0.2">
      <c r="D9682" s="341"/>
      <c r="F9682" s="343"/>
      <c r="G9682" s="343"/>
      <c r="H9682" s="343"/>
      <c r="I9682" s="343"/>
      <c r="J9682" s="343"/>
      <c r="K9682" s="343"/>
      <c r="L9682" s="343"/>
    </row>
    <row r="9683" spans="4:12" x14ac:dyDescent="0.2">
      <c r="D9683" s="341"/>
      <c r="F9683" s="343"/>
      <c r="G9683" s="343"/>
      <c r="H9683" s="343"/>
      <c r="I9683" s="343"/>
      <c r="J9683" s="343"/>
      <c r="K9683" s="343"/>
      <c r="L9683" s="343"/>
    </row>
    <row r="9684" spans="4:12" x14ac:dyDescent="0.2">
      <c r="D9684" s="341"/>
      <c r="F9684" s="343"/>
      <c r="G9684" s="343"/>
      <c r="H9684" s="343"/>
      <c r="I9684" s="343"/>
      <c r="J9684" s="343"/>
      <c r="K9684" s="343"/>
      <c r="L9684" s="343"/>
    </row>
    <row r="9685" spans="4:12" x14ac:dyDescent="0.2">
      <c r="D9685" s="341"/>
      <c r="F9685" s="343"/>
      <c r="G9685" s="343"/>
      <c r="H9685" s="343"/>
      <c r="I9685" s="343"/>
      <c r="J9685" s="343"/>
      <c r="K9685" s="343"/>
      <c r="L9685" s="343"/>
    </row>
    <row r="9686" spans="4:12" x14ac:dyDescent="0.2">
      <c r="D9686" s="341"/>
      <c r="F9686" s="343"/>
      <c r="G9686" s="343"/>
      <c r="H9686" s="343"/>
      <c r="I9686" s="343"/>
      <c r="J9686" s="343"/>
      <c r="K9686" s="343"/>
      <c r="L9686" s="343"/>
    </row>
    <row r="9687" spans="4:12" x14ac:dyDescent="0.2">
      <c r="D9687" s="341"/>
      <c r="F9687" s="343"/>
      <c r="G9687" s="343"/>
      <c r="H9687" s="343"/>
      <c r="I9687" s="343"/>
      <c r="J9687" s="343"/>
      <c r="K9687" s="343"/>
      <c r="L9687" s="343"/>
    </row>
    <row r="9688" spans="4:12" x14ac:dyDescent="0.2">
      <c r="D9688" s="341"/>
      <c r="F9688" s="343"/>
      <c r="G9688" s="343"/>
      <c r="H9688" s="343"/>
      <c r="I9688" s="343"/>
      <c r="J9688" s="343"/>
      <c r="K9688" s="343"/>
      <c r="L9688" s="343"/>
    </row>
    <row r="9689" spans="4:12" x14ac:dyDescent="0.2">
      <c r="D9689" s="341"/>
      <c r="F9689" s="343"/>
      <c r="G9689" s="343"/>
      <c r="H9689" s="343"/>
      <c r="I9689" s="343"/>
      <c r="J9689" s="343"/>
      <c r="K9689" s="343"/>
      <c r="L9689" s="343"/>
    </row>
    <row r="9690" spans="4:12" x14ac:dyDescent="0.2">
      <c r="D9690" s="341"/>
      <c r="F9690" s="343"/>
      <c r="G9690" s="343"/>
      <c r="H9690" s="343"/>
      <c r="I9690" s="343"/>
      <c r="J9690" s="343"/>
      <c r="K9690" s="343"/>
      <c r="L9690" s="343"/>
    </row>
    <row r="9691" spans="4:12" x14ac:dyDescent="0.2">
      <c r="D9691" s="341"/>
      <c r="F9691" s="343"/>
      <c r="G9691" s="343"/>
      <c r="H9691" s="343"/>
      <c r="I9691" s="343"/>
      <c r="J9691" s="343"/>
      <c r="K9691" s="343"/>
      <c r="L9691" s="343"/>
    </row>
    <row r="9692" spans="4:12" x14ac:dyDescent="0.2">
      <c r="D9692" s="341"/>
      <c r="F9692" s="343"/>
      <c r="G9692" s="343"/>
      <c r="H9692" s="343"/>
      <c r="I9692" s="343"/>
      <c r="J9692" s="343"/>
      <c r="K9692" s="343"/>
      <c r="L9692" s="343"/>
    </row>
    <row r="9693" spans="4:12" x14ac:dyDescent="0.2">
      <c r="D9693" s="341"/>
      <c r="F9693" s="343"/>
      <c r="G9693" s="343"/>
      <c r="H9693" s="343"/>
      <c r="I9693" s="343"/>
      <c r="J9693" s="343"/>
      <c r="K9693" s="343"/>
      <c r="L9693" s="343"/>
    </row>
    <row r="9694" spans="4:12" x14ac:dyDescent="0.2">
      <c r="D9694" s="341"/>
      <c r="F9694" s="343"/>
      <c r="G9694" s="343"/>
      <c r="H9694" s="343"/>
      <c r="I9694" s="343"/>
      <c r="J9694" s="343"/>
      <c r="K9694" s="343"/>
      <c r="L9694" s="343"/>
    </row>
    <row r="9695" spans="4:12" x14ac:dyDescent="0.2">
      <c r="D9695" s="341"/>
      <c r="F9695" s="343"/>
      <c r="G9695" s="343"/>
      <c r="H9695" s="343"/>
      <c r="I9695" s="343"/>
      <c r="J9695" s="343"/>
      <c r="K9695" s="343"/>
      <c r="L9695" s="343"/>
    </row>
    <row r="9696" spans="4:12" x14ac:dyDescent="0.2">
      <c r="D9696" s="341"/>
      <c r="F9696" s="343"/>
      <c r="G9696" s="343"/>
      <c r="H9696" s="343"/>
      <c r="I9696" s="343"/>
      <c r="J9696" s="343"/>
      <c r="K9696" s="343"/>
      <c r="L9696" s="343"/>
    </row>
    <row r="9697" spans="4:12" x14ac:dyDescent="0.2">
      <c r="D9697" s="341"/>
      <c r="F9697" s="343"/>
      <c r="G9697" s="343"/>
      <c r="H9697" s="343"/>
      <c r="I9697" s="343"/>
      <c r="J9697" s="343"/>
      <c r="K9697" s="343"/>
      <c r="L9697" s="343"/>
    </row>
    <row r="9698" spans="4:12" x14ac:dyDescent="0.2">
      <c r="D9698" s="341"/>
      <c r="F9698" s="343"/>
      <c r="G9698" s="343"/>
      <c r="H9698" s="343"/>
      <c r="I9698" s="343"/>
      <c r="J9698" s="343"/>
      <c r="K9698" s="343"/>
      <c r="L9698" s="343"/>
    </row>
    <row r="9699" spans="4:12" x14ac:dyDescent="0.2">
      <c r="D9699" s="341"/>
      <c r="F9699" s="343"/>
      <c r="G9699" s="343"/>
      <c r="H9699" s="343"/>
      <c r="I9699" s="343"/>
      <c r="J9699" s="343"/>
      <c r="K9699" s="343"/>
      <c r="L9699" s="343"/>
    </row>
    <row r="9700" spans="4:12" x14ac:dyDescent="0.2">
      <c r="D9700" s="341"/>
      <c r="F9700" s="343"/>
      <c r="G9700" s="343"/>
      <c r="H9700" s="343"/>
      <c r="I9700" s="343"/>
      <c r="J9700" s="343"/>
      <c r="K9700" s="343"/>
      <c r="L9700" s="343"/>
    </row>
    <row r="9701" spans="4:12" x14ac:dyDescent="0.2">
      <c r="D9701" s="341"/>
      <c r="F9701" s="343"/>
      <c r="G9701" s="343"/>
      <c r="H9701" s="343"/>
      <c r="I9701" s="343"/>
      <c r="J9701" s="343"/>
      <c r="K9701" s="343"/>
      <c r="L9701" s="343"/>
    </row>
    <row r="9702" spans="4:12" x14ac:dyDescent="0.2">
      <c r="D9702" s="341"/>
      <c r="F9702" s="343"/>
      <c r="G9702" s="343"/>
      <c r="H9702" s="343"/>
      <c r="I9702" s="343"/>
      <c r="J9702" s="343"/>
      <c r="K9702" s="343"/>
      <c r="L9702" s="343"/>
    </row>
    <row r="9703" spans="4:12" x14ac:dyDescent="0.2">
      <c r="D9703" s="341"/>
      <c r="F9703" s="343"/>
      <c r="G9703" s="343"/>
      <c r="H9703" s="343"/>
      <c r="I9703" s="343"/>
      <c r="J9703" s="343"/>
      <c r="K9703" s="343"/>
      <c r="L9703" s="343"/>
    </row>
    <row r="9704" spans="4:12" x14ac:dyDescent="0.2">
      <c r="D9704" s="341"/>
      <c r="F9704" s="343"/>
      <c r="G9704" s="343"/>
      <c r="H9704" s="343"/>
      <c r="I9704" s="343"/>
      <c r="J9704" s="343"/>
      <c r="K9704" s="343"/>
      <c r="L9704" s="343"/>
    </row>
    <row r="9705" spans="4:12" x14ac:dyDescent="0.2">
      <c r="D9705" s="341"/>
      <c r="F9705" s="343"/>
      <c r="G9705" s="343"/>
      <c r="H9705" s="343"/>
      <c r="I9705" s="343"/>
      <c r="J9705" s="343"/>
      <c r="K9705" s="343"/>
      <c r="L9705" s="343"/>
    </row>
    <row r="9706" spans="4:12" x14ac:dyDescent="0.2">
      <c r="D9706" s="341"/>
      <c r="F9706" s="343"/>
      <c r="G9706" s="343"/>
      <c r="H9706" s="343"/>
      <c r="I9706" s="343"/>
      <c r="J9706" s="343"/>
      <c r="K9706" s="343"/>
      <c r="L9706" s="343"/>
    </row>
    <row r="9707" spans="4:12" x14ac:dyDescent="0.2">
      <c r="D9707" s="341"/>
      <c r="F9707" s="343"/>
      <c r="G9707" s="343"/>
      <c r="H9707" s="343"/>
      <c r="I9707" s="343"/>
      <c r="J9707" s="343"/>
      <c r="K9707" s="343"/>
      <c r="L9707" s="343"/>
    </row>
    <row r="9708" spans="4:12" x14ac:dyDescent="0.2">
      <c r="D9708" s="341"/>
      <c r="F9708" s="343"/>
      <c r="G9708" s="343"/>
      <c r="H9708" s="343"/>
      <c r="I9708" s="343"/>
      <c r="J9708" s="343"/>
      <c r="K9708" s="343"/>
      <c r="L9708" s="343"/>
    </row>
    <row r="9709" spans="4:12" x14ac:dyDescent="0.2">
      <c r="D9709" s="341"/>
      <c r="F9709" s="343"/>
      <c r="G9709" s="343"/>
      <c r="H9709" s="343"/>
      <c r="I9709" s="343"/>
      <c r="J9709" s="343"/>
      <c r="K9709" s="343"/>
      <c r="L9709" s="343"/>
    </row>
    <row r="9710" spans="4:12" x14ac:dyDescent="0.2">
      <c r="D9710" s="341"/>
      <c r="F9710" s="343"/>
      <c r="G9710" s="343"/>
      <c r="H9710" s="343"/>
      <c r="I9710" s="343"/>
      <c r="J9710" s="343"/>
      <c r="K9710" s="343"/>
      <c r="L9710" s="343"/>
    </row>
    <row r="9711" spans="4:12" x14ac:dyDescent="0.2">
      <c r="D9711" s="341"/>
      <c r="F9711" s="343"/>
      <c r="G9711" s="343"/>
      <c r="H9711" s="343"/>
      <c r="I9711" s="343"/>
      <c r="J9711" s="343"/>
      <c r="K9711" s="343"/>
      <c r="L9711" s="343"/>
    </row>
    <row r="9712" spans="4:12" x14ac:dyDescent="0.2">
      <c r="D9712" s="341"/>
      <c r="F9712" s="343"/>
      <c r="G9712" s="343"/>
      <c r="H9712" s="343"/>
      <c r="I9712" s="343"/>
      <c r="J9712" s="343"/>
      <c r="K9712" s="343"/>
      <c r="L9712" s="343"/>
    </row>
    <row r="9713" spans="4:12" x14ac:dyDescent="0.2">
      <c r="D9713" s="341"/>
      <c r="F9713" s="343"/>
      <c r="G9713" s="343"/>
      <c r="H9713" s="343"/>
      <c r="I9713" s="343"/>
      <c r="J9713" s="343"/>
      <c r="K9713" s="343"/>
      <c r="L9713" s="343"/>
    </row>
    <row r="9714" spans="4:12" x14ac:dyDescent="0.2">
      <c r="D9714" s="341"/>
      <c r="F9714" s="343"/>
      <c r="G9714" s="343"/>
      <c r="H9714" s="343"/>
      <c r="I9714" s="343"/>
      <c r="J9714" s="343"/>
      <c r="K9714" s="343"/>
      <c r="L9714" s="343"/>
    </row>
    <row r="9715" spans="4:12" x14ac:dyDescent="0.2">
      <c r="D9715" s="341"/>
      <c r="F9715" s="343"/>
      <c r="G9715" s="343"/>
      <c r="H9715" s="343"/>
      <c r="I9715" s="343"/>
      <c r="J9715" s="343"/>
      <c r="K9715" s="343"/>
      <c r="L9715" s="343"/>
    </row>
    <row r="9716" spans="4:12" x14ac:dyDescent="0.2">
      <c r="D9716" s="341"/>
      <c r="F9716" s="343"/>
      <c r="G9716" s="343"/>
      <c r="H9716" s="343"/>
      <c r="I9716" s="343"/>
      <c r="J9716" s="343"/>
      <c r="K9716" s="343"/>
      <c r="L9716" s="343"/>
    </row>
    <row r="9717" spans="4:12" x14ac:dyDescent="0.2">
      <c r="D9717" s="341"/>
      <c r="F9717" s="343"/>
      <c r="G9717" s="343"/>
      <c r="H9717" s="343"/>
      <c r="I9717" s="343"/>
      <c r="J9717" s="343"/>
      <c r="K9717" s="343"/>
      <c r="L9717" s="343"/>
    </row>
    <row r="9718" spans="4:12" x14ac:dyDescent="0.2">
      <c r="D9718" s="341"/>
      <c r="F9718" s="343"/>
      <c r="G9718" s="343"/>
      <c r="H9718" s="343"/>
      <c r="I9718" s="343"/>
      <c r="J9718" s="343"/>
      <c r="K9718" s="343"/>
      <c r="L9718" s="343"/>
    </row>
    <row r="9719" spans="4:12" x14ac:dyDescent="0.2">
      <c r="D9719" s="341"/>
      <c r="F9719" s="343"/>
      <c r="G9719" s="343"/>
      <c r="H9719" s="343"/>
      <c r="I9719" s="343"/>
      <c r="J9719" s="343"/>
      <c r="K9719" s="343"/>
      <c r="L9719" s="343"/>
    </row>
    <row r="9720" spans="4:12" x14ac:dyDescent="0.2">
      <c r="D9720" s="341"/>
      <c r="F9720" s="343"/>
      <c r="G9720" s="343"/>
      <c r="H9720" s="343"/>
      <c r="I9720" s="343"/>
      <c r="J9720" s="343"/>
      <c r="K9720" s="343"/>
      <c r="L9720" s="343"/>
    </row>
    <row r="9721" spans="4:12" x14ac:dyDescent="0.2">
      <c r="D9721" s="341"/>
      <c r="F9721" s="343"/>
      <c r="G9721" s="343"/>
      <c r="H9721" s="343"/>
      <c r="I9721" s="343"/>
      <c r="J9721" s="343"/>
      <c r="K9721" s="343"/>
      <c r="L9721" s="343"/>
    </row>
    <row r="9722" spans="4:12" x14ac:dyDescent="0.2">
      <c r="D9722" s="341"/>
      <c r="F9722" s="343"/>
      <c r="G9722" s="343"/>
      <c r="H9722" s="343"/>
      <c r="I9722" s="343"/>
      <c r="J9722" s="343"/>
      <c r="K9722" s="343"/>
      <c r="L9722" s="343"/>
    </row>
    <row r="9723" spans="4:12" x14ac:dyDescent="0.2">
      <c r="D9723" s="341"/>
      <c r="F9723" s="343"/>
      <c r="G9723" s="343"/>
      <c r="H9723" s="343"/>
      <c r="I9723" s="343"/>
      <c r="J9723" s="343"/>
      <c r="K9723" s="343"/>
      <c r="L9723" s="343"/>
    </row>
    <row r="9724" spans="4:12" x14ac:dyDescent="0.2">
      <c r="D9724" s="341"/>
      <c r="F9724" s="343"/>
      <c r="G9724" s="343"/>
      <c r="H9724" s="343"/>
      <c r="I9724" s="343"/>
      <c r="J9724" s="343"/>
      <c r="K9724" s="343"/>
      <c r="L9724" s="343"/>
    </row>
    <row r="9725" spans="4:12" x14ac:dyDescent="0.2">
      <c r="D9725" s="341"/>
      <c r="F9725" s="343"/>
      <c r="G9725" s="343"/>
      <c r="H9725" s="343"/>
      <c r="I9725" s="343"/>
      <c r="J9725" s="343"/>
      <c r="K9725" s="343"/>
      <c r="L9725" s="343"/>
    </row>
    <row r="9726" spans="4:12" x14ac:dyDescent="0.2">
      <c r="D9726" s="341"/>
      <c r="F9726" s="343"/>
      <c r="G9726" s="343"/>
      <c r="H9726" s="343"/>
      <c r="I9726" s="343"/>
      <c r="J9726" s="343"/>
      <c r="K9726" s="343"/>
      <c r="L9726" s="343"/>
    </row>
    <row r="9727" spans="4:12" x14ac:dyDescent="0.2">
      <c r="D9727" s="341"/>
      <c r="F9727" s="343"/>
      <c r="G9727" s="343"/>
      <c r="H9727" s="343"/>
      <c r="I9727" s="343"/>
      <c r="J9727" s="343"/>
      <c r="K9727" s="343"/>
      <c r="L9727" s="343"/>
    </row>
    <row r="9728" spans="4:12" x14ac:dyDescent="0.2">
      <c r="D9728" s="341"/>
      <c r="F9728" s="343"/>
      <c r="G9728" s="343"/>
      <c r="H9728" s="343"/>
      <c r="I9728" s="343"/>
      <c r="J9728" s="343"/>
      <c r="K9728" s="343"/>
      <c r="L9728" s="343"/>
    </row>
    <row r="9729" spans="4:12" x14ac:dyDescent="0.2">
      <c r="D9729" s="341"/>
      <c r="F9729" s="343"/>
      <c r="G9729" s="343"/>
      <c r="H9729" s="343"/>
      <c r="I9729" s="343"/>
      <c r="J9729" s="343"/>
      <c r="K9729" s="343"/>
      <c r="L9729" s="343"/>
    </row>
    <row r="9730" spans="4:12" x14ac:dyDescent="0.2">
      <c r="D9730" s="341"/>
      <c r="F9730" s="343"/>
      <c r="G9730" s="343"/>
      <c r="H9730" s="343"/>
      <c r="I9730" s="343"/>
      <c r="J9730" s="343"/>
      <c r="K9730" s="343"/>
      <c r="L9730" s="343"/>
    </row>
    <row r="9731" spans="4:12" x14ac:dyDescent="0.2">
      <c r="D9731" s="341"/>
      <c r="F9731" s="343"/>
      <c r="G9731" s="343"/>
      <c r="H9731" s="343"/>
      <c r="I9731" s="343"/>
      <c r="J9731" s="343"/>
      <c r="K9731" s="343"/>
      <c r="L9731" s="343"/>
    </row>
    <row r="9732" spans="4:12" x14ac:dyDescent="0.2">
      <c r="D9732" s="341"/>
      <c r="F9732" s="343"/>
      <c r="G9732" s="343"/>
      <c r="H9732" s="343"/>
      <c r="I9732" s="343"/>
      <c r="J9732" s="343"/>
      <c r="K9732" s="343"/>
      <c r="L9732" s="343"/>
    </row>
    <row r="9733" spans="4:12" x14ac:dyDescent="0.2">
      <c r="D9733" s="341"/>
      <c r="F9733" s="343"/>
      <c r="G9733" s="343"/>
      <c r="H9733" s="343"/>
      <c r="I9733" s="343"/>
      <c r="J9733" s="343"/>
      <c r="K9733" s="343"/>
      <c r="L9733" s="343"/>
    </row>
    <row r="9734" spans="4:12" x14ac:dyDescent="0.2">
      <c r="D9734" s="341"/>
      <c r="F9734" s="343"/>
      <c r="G9734" s="343"/>
      <c r="H9734" s="343"/>
      <c r="I9734" s="343"/>
      <c r="J9734" s="343"/>
      <c r="K9734" s="343"/>
      <c r="L9734" s="343"/>
    </row>
    <row r="9735" spans="4:12" x14ac:dyDescent="0.2">
      <c r="D9735" s="341"/>
      <c r="F9735" s="343"/>
      <c r="G9735" s="343"/>
      <c r="H9735" s="343"/>
      <c r="I9735" s="343"/>
      <c r="J9735" s="343"/>
      <c r="K9735" s="343"/>
      <c r="L9735" s="343"/>
    </row>
    <row r="9736" spans="4:12" x14ac:dyDescent="0.2">
      <c r="D9736" s="341"/>
      <c r="F9736" s="343"/>
      <c r="G9736" s="343"/>
      <c r="H9736" s="343"/>
      <c r="I9736" s="343"/>
      <c r="J9736" s="343"/>
      <c r="K9736" s="343"/>
      <c r="L9736" s="343"/>
    </row>
    <row r="9737" spans="4:12" x14ac:dyDescent="0.2">
      <c r="D9737" s="341"/>
      <c r="F9737" s="343"/>
      <c r="G9737" s="343"/>
      <c r="H9737" s="343"/>
      <c r="I9737" s="343"/>
      <c r="J9737" s="343"/>
      <c r="K9737" s="343"/>
      <c r="L9737" s="343"/>
    </row>
    <row r="9738" spans="4:12" x14ac:dyDescent="0.2">
      <c r="D9738" s="341"/>
      <c r="F9738" s="343"/>
      <c r="G9738" s="343"/>
      <c r="H9738" s="343"/>
      <c r="I9738" s="343"/>
      <c r="J9738" s="343"/>
      <c r="K9738" s="343"/>
      <c r="L9738" s="343"/>
    </row>
    <row r="9739" spans="4:12" x14ac:dyDescent="0.2">
      <c r="D9739" s="341"/>
      <c r="F9739" s="343"/>
      <c r="G9739" s="343"/>
      <c r="H9739" s="343"/>
      <c r="I9739" s="343"/>
      <c r="J9739" s="343"/>
      <c r="K9739" s="343"/>
      <c r="L9739" s="343"/>
    </row>
    <row r="9740" spans="4:12" x14ac:dyDescent="0.2">
      <c r="D9740" s="341"/>
      <c r="F9740" s="343"/>
      <c r="G9740" s="343"/>
      <c r="H9740" s="343"/>
      <c r="I9740" s="343"/>
      <c r="J9740" s="343"/>
      <c r="K9740" s="343"/>
      <c r="L9740" s="343"/>
    </row>
    <row r="9741" spans="4:12" x14ac:dyDescent="0.2">
      <c r="D9741" s="341"/>
      <c r="F9741" s="343"/>
      <c r="G9741" s="343"/>
      <c r="H9741" s="343"/>
      <c r="I9741" s="343"/>
      <c r="J9741" s="343"/>
      <c r="K9741" s="343"/>
      <c r="L9741" s="343"/>
    </row>
    <row r="9742" spans="4:12" x14ac:dyDescent="0.2">
      <c r="D9742" s="341"/>
      <c r="F9742" s="343"/>
      <c r="G9742" s="343"/>
      <c r="H9742" s="343"/>
      <c r="I9742" s="343"/>
      <c r="J9742" s="343"/>
      <c r="K9742" s="343"/>
      <c r="L9742" s="343"/>
    </row>
    <row r="9743" spans="4:12" x14ac:dyDescent="0.2">
      <c r="D9743" s="341"/>
      <c r="F9743" s="343"/>
      <c r="G9743" s="343"/>
      <c r="H9743" s="343"/>
      <c r="I9743" s="343"/>
      <c r="J9743" s="343"/>
      <c r="K9743" s="343"/>
      <c r="L9743" s="343"/>
    </row>
    <row r="9744" spans="4:12" x14ac:dyDescent="0.2">
      <c r="D9744" s="341"/>
      <c r="F9744" s="343"/>
      <c r="G9744" s="343"/>
      <c r="H9744" s="343"/>
      <c r="I9744" s="343"/>
      <c r="J9744" s="343"/>
      <c r="K9744" s="343"/>
      <c r="L9744" s="343"/>
    </row>
    <row r="9745" spans="4:12" x14ac:dyDescent="0.2">
      <c r="D9745" s="341"/>
      <c r="F9745" s="343"/>
      <c r="G9745" s="343"/>
      <c r="H9745" s="343"/>
      <c r="I9745" s="343"/>
      <c r="J9745" s="343"/>
      <c r="K9745" s="343"/>
      <c r="L9745" s="343"/>
    </row>
    <row r="9746" spans="4:12" x14ac:dyDescent="0.2">
      <c r="D9746" s="341"/>
      <c r="F9746" s="343"/>
      <c r="G9746" s="343"/>
      <c r="H9746" s="343"/>
      <c r="I9746" s="343"/>
      <c r="J9746" s="343"/>
      <c r="K9746" s="343"/>
      <c r="L9746" s="343"/>
    </row>
    <row r="9747" spans="4:12" x14ac:dyDescent="0.2">
      <c r="D9747" s="341"/>
      <c r="F9747" s="343"/>
      <c r="G9747" s="343"/>
      <c r="H9747" s="343"/>
      <c r="I9747" s="343"/>
      <c r="J9747" s="343"/>
      <c r="K9747" s="343"/>
      <c r="L9747" s="343"/>
    </row>
    <row r="9748" spans="4:12" x14ac:dyDescent="0.2">
      <c r="D9748" s="341"/>
      <c r="F9748" s="343"/>
      <c r="G9748" s="343"/>
      <c r="H9748" s="343"/>
      <c r="I9748" s="343"/>
      <c r="J9748" s="343"/>
      <c r="K9748" s="343"/>
      <c r="L9748" s="343"/>
    </row>
    <row r="9749" spans="4:12" x14ac:dyDescent="0.2">
      <c r="D9749" s="341"/>
      <c r="F9749" s="343"/>
      <c r="G9749" s="343"/>
      <c r="H9749" s="343"/>
      <c r="I9749" s="343"/>
      <c r="J9749" s="343"/>
      <c r="K9749" s="343"/>
      <c r="L9749" s="343"/>
    </row>
    <row r="9750" spans="4:12" x14ac:dyDescent="0.2">
      <c r="D9750" s="341"/>
      <c r="F9750" s="343"/>
      <c r="G9750" s="343"/>
      <c r="H9750" s="343"/>
      <c r="I9750" s="343"/>
      <c r="J9750" s="343"/>
      <c r="K9750" s="343"/>
      <c r="L9750" s="343"/>
    </row>
    <row r="9751" spans="4:12" x14ac:dyDescent="0.2">
      <c r="D9751" s="341"/>
      <c r="F9751" s="343"/>
      <c r="G9751" s="343"/>
      <c r="H9751" s="343"/>
      <c r="I9751" s="343"/>
      <c r="J9751" s="343"/>
      <c r="K9751" s="343"/>
      <c r="L9751" s="343"/>
    </row>
    <row r="9752" spans="4:12" x14ac:dyDescent="0.2">
      <c r="D9752" s="341"/>
      <c r="F9752" s="343"/>
      <c r="G9752" s="343"/>
      <c r="H9752" s="343"/>
      <c r="I9752" s="343"/>
      <c r="J9752" s="343"/>
      <c r="K9752" s="343"/>
      <c r="L9752" s="343"/>
    </row>
    <row r="9753" spans="4:12" x14ac:dyDescent="0.2">
      <c r="D9753" s="341"/>
      <c r="F9753" s="343"/>
      <c r="G9753" s="343"/>
      <c r="H9753" s="343"/>
      <c r="I9753" s="343"/>
      <c r="J9753" s="343"/>
      <c r="K9753" s="343"/>
      <c r="L9753" s="343"/>
    </row>
    <row r="9754" spans="4:12" x14ac:dyDescent="0.2">
      <c r="D9754" s="341"/>
      <c r="F9754" s="343"/>
      <c r="G9754" s="343"/>
      <c r="H9754" s="343"/>
      <c r="I9754" s="343"/>
      <c r="J9754" s="343"/>
      <c r="K9754" s="343"/>
      <c r="L9754" s="343"/>
    </row>
    <row r="9755" spans="4:12" x14ac:dyDescent="0.2">
      <c r="D9755" s="341"/>
      <c r="F9755" s="343"/>
      <c r="G9755" s="343"/>
      <c r="H9755" s="343"/>
      <c r="I9755" s="343"/>
      <c r="J9755" s="343"/>
      <c r="K9755" s="343"/>
      <c r="L9755" s="343"/>
    </row>
    <row r="9756" spans="4:12" x14ac:dyDescent="0.2">
      <c r="D9756" s="341"/>
      <c r="F9756" s="343"/>
      <c r="G9756" s="343"/>
      <c r="H9756" s="343"/>
      <c r="I9756" s="343"/>
      <c r="J9756" s="343"/>
      <c r="K9756" s="343"/>
      <c r="L9756" s="343"/>
    </row>
    <row r="9757" spans="4:12" x14ac:dyDescent="0.2">
      <c r="D9757" s="341"/>
      <c r="F9757" s="343"/>
      <c r="G9757" s="343"/>
      <c r="H9757" s="343"/>
      <c r="I9757" s="343"/>
      <c r="J9757" s="343"/>
      <c r="K9757" s="343"/>
      <c r="L9757" s="343"/>
    </row>
    <row r="9758" spans="4:12" x14ac:dyDescent="0.2">
      <c r="D9758" s="341"/>
      <c r="F9758" s="343"/>
      <c r="G9758" s="343"/>
      <c r="H9758" s="343"/>
      <c r="I9758" s="343"/>
      <c r="J9758" s="343"/>
      <c r="K9758" s="343"/>
      <c r="L9758" s="343"/>
    </row>
    <row r="9759" spans="4:12" x14ac:dyDescent="0.2">
      <c r="D9759" s="341"/>
      <c r="F9759" s="343"/>
      <c r="G9759" s="343"/>
      <c r="H9759" s="343"/>
      <c r="I9759" s="343"/>
      <c r="J9759" s="343"/>
      <c r="K9759" s="343"/>
      <c r="L9759" s="343"/>
    </row>
    <row r="9760" spans="4:12" x14ac:dyDescent="0.2">
      <c r="D9760" s="341"/>
      <c r="F9760" s="343"/>
      <c r="G9760" s="343"/>
      <c r="H9760" s="343"/>
      <c r="I9760" s="343"/>
      <c r="J9760" s="343"/>
      <c r="K9760" s="343"/>
      <c r="L9760" s="343"/>
    </row>
    <row r="9761" spans="4:12" x14ac:dyDescent="0.2">
      <c r="D9761" s="341"/>
      <c r="F9761" s="343"/>
      <c r="G9761" s="343"/>
      <c r="H9761" s="343"/>
      <c r="I9761" s="343"/>
      <c r="J9761" s="343"/>
      <c r="K9761" s="343"/>
      <c r="L9761" s="343"/>
    </row>
    <row r="9762" spans="4:12" x14ac:dyDescent="0.2">
      <c r="D9762" s="341"/>
      <c r="F9762" s="343"/>
      <c r="G9762" s="343"/>
      <c r="H9762" s="343"/>
      <c r="I9762" s="343"/>
      <c r="J9762" s="343"/>
      <c r="K9762" s="343"/>
      <c r="L9762" s="343"/>
    </row>
    <row r="9763" spans="4:12" x14ac:dyDescent="0.2">
      <c r="D9763" s="341"/>
      <c r="F9763" s="343"/>
      <c r="G9763" s="343"/>
      <c r="H9763" s="343"/>
      <c r="I9763" s="343"/>
      <c r="J9763" s="343"/>
      <c r="K9763" s="343"/>
      <c r="L9763" s="343"/>
    </row>
    <row r="9764" spans="4:12" x14ac:dyDescent="0.2">
      <c r="D9764" s="341"/>
      <c r="F9764" s="343"/>
      <c r="G9764" s="343"/>
      <c r="H9764" s="343"/>
      <c r="I9764" s="343"/>
      <c r="J9764" s="343"/>
      <c r="K9764" s="343"/>
      <c r="L9764" s="343"/>
    </row>
    <row r="9765" spans="4:12" x14ac:dyDescent="0.2">
      <c r="D9765" s="341"/>
      <c r="F9765" s="343"/>
      <c r="G9765" s="343"/>
      <c r="H9765" s="343"/>
      <c r="I9765" s="343"/>
      <c r="J9765" s="343"/>
      <c r="K9765" s="343"/>
      <c r="L9765" s="343"/>
    </row>
    <row r="9766" spans="4:12" x14ac:dyDescent="0.2">
      <c r="D9766" s="341"/>
      <c r="F9766" s="343"/>
      <c r="G9766" s="343"/>
      <c r="H9766" s="343"/>
      <c r="I9766" s="343"/>
      <c r="J9766" s="343"/>
      <c r="K9766" s="343"/>
      <c r="L9766" s="343"/>
    </row>
    <row r="9767" spans="4:12" x14ac:dyDescent="0.2">
      <c r="D9767" s="341"/>
      <c r="F9767" s="343"/>
      <c r="G9767" s="343"/>
      <c r="H9767" s="343"/>
      <c r="I9767" s="343"/>
      <c r="J9767" s="343"/>
      <c r="K9767" s="343"/>
      <c r="L9767" s="343"/>
    </row>
    <row r="9768" spans="4:12" x14ac:dyDescent="0.2">
      <c r="D9768" s="341"/>
      <c r="F9768" s="343"/>
      <c r="G9768" s="343"/>
      <c r="H9768" s="343"/>
      <c r="I9768" s="343"/>
      <c r="J9768" s="343"/>
      <c r="K9768" s="343"/>
      <c r="L9768" s="343"/>
    </row>
    <row r="9769" spans="4:12" x14ac:dyDescent="0.2">
      <c r="D9769" s="341"/>
      <c r="F9769" s="343"/>
      <c r="G9769" s="343"/>
      <c r="H9769" s="343"/>
      <c r="I9769" s="343"/>
      <c r="J9769" s="343"/>
      <c r="K9769" s="343"/>
      <c r="L9769" s="343"/>
    </row>
    <row r="9770" spans="4:12" x14ac:dyDescent="0.2">
      <c r="D9770" s="341"/>
      <c r="F9770" s="343"/>
      <c r="G9770" s="343"/>
      <c r="H9770" s="343"/>
      <c r="I9770" s="343"/>
      <c r="J9770" s="343"/>
      <c r="K9770" s="343"/>
      <c r="L9770" s="343"/>
    </row>
    <row r="9771" spans="4:12" x14ac:dyDescent="0.2">
      <c r="D9771" s="341"/>
      <c r="F9771" s="343"/>
      <c r="G9771" s="343"/>
      <c r="H9771" s="343"/>
      <c r="I9771" s="343"/>
      <c r="J9771" s="343"/>
      <c r="K9771" s="343"/>
      <c r="L9771" s="343"/>
    </row>
    <row r="9772" spans="4:12" x14ac:dyDescent="0.2">
      <c r="D9772" s="341"/>
      <c r="F9772" s="343"/>
      <c r="G9772" s="343"/>
      <c r="H9772" s="343"/>
      <c r="I9772" s="343"/>
      <c r="J9772" s="343"/>
      <c r="K9772" s="343"/>
      <c r="L9772" s="343"/>
    </row>
    <row r="9773" spans="4:12" x14ac:dyDescent="0.2">
      <c r="D9773" s="341"/>
      <c r="F9773" s="343"/>
      <c r="G9773" s="343"/>
      <c r="H9773" s="343"/>
      <c r="I9773" s="343"/>
      <c r="J9773" s="343"/>
      <c r="K9773" s="343"/>
      <c r="L9773" s="343"/>
    </row>
    <row r="9774" spans="4:12" x14ac:dyDescent="0.2">
      <c r="D9774" s="341"/>
      <c r="F9774" s="343"/>
      <c r="G9774" s="343"/>
      <c r="H9774" s="343"/>
      <c r="I9774" s="343"/>
      <c r="J9774" s="343"/>
      <c r="K9774" s="343"/>
      <c r="L9774" s="343"/>
    </row>
    <row r="9775" spans="4:12" x14ac:dyDescent="0.2">
      <c r="D9775" s="341"/>
      <c r="F9775" s="343"/>
      <c r="G9775" s="343"/>
      <c r="H9775" s="343"/>
      <c r="I9775" s="343"/>
      <c r="J9775" s="343"/>
      <c r="K9775" s="343"/>
      <c r="L9775" s="343"/>
    </row>
    <row r="9776" spans="4:12" x14ac:dyDescent="0.2">
      <c r="D9776" s="341"/>
      <c r="F9776" s="343"/>
      <c r="G9776" s="343"/>
      <c r="H9776" s="343"/>
      <c r="I9776" s="343"/>
      <c r="J9776" s="343"/>
      <c r="K9776" s="343"/>
      <c r="L9776" s="343"/>
    </row>
    <row r="9777" spans="4:12" x14ac:dyDescent="0.2">
      <c r="D9777" s="341"/>
      <c r="F9777" s="343"/>
      <c r="G9777" s="343"/>
      <c r="H9777" s="343"/>
      <c r="I9777" s="343"/>
      <c r="J9777" s="343"/>
      <c r="K9777" s="343"/>
      <c r="L9777" s="343"/>
    </row>
    <row r="9778" spans="4:12" x14ac:dyDescent="0.2">
      <c r="D9778" s="341"/>
      <c r="F9778" s="343"/>
      <c r="G9778" s="343"/>
      <c r="H9778" s="343"/>
      <c r="I9778" s="343"/>
      <c r="J9778" s="343"/>
      <c r="K9778" s="343"/>
      <c r="L9778" s="343"/>
    </row>
    <row r="9779" spans="4:12" x14ac:dyDescent="0.2">
      <c r="D9779" s="341"/>
      <c r="F9779" s="343"/>
      <c r="G9779" s="343"/>
      <c r="H9779" s="343"/>
      <c r="I9779" s="343"/>
      <c r="J9779" s="343"/>
      <c r="K9779" s="343"/>
      <c r="L9779" s="343"/>
    </row>
    <row r="9780" spans="4:12" x14ac:dyDescent="0.2">
      <c r="D9780" s="341"/>
      <c r="F9780" s="343"/>
      <c r="G9780" s="343"/>
      <c r="H9780" s="343"/>
      <c r="I9780" s="343"/>
      <c r="J9780" s="343"/>
      <c r="K9780" s="343"/>
      <c r="L9780" s="343"/>
    </row>
    <row r="9781" spans="4:12" x14ac:dyDescent="0.2">
      <c r="D9781" s="341"/>
      <c r="F9781" s="343"/>
      <c r="G9781" s="343"/>
      <c r="H9781" s="343"/>
      <c r="I9781" s="343"/>
      <c r="J9781" s="343"/>
      <c r="K9781" s="343"/>
      <c r="L9781" s="343"/>
    </row>
    <row r="9782" spans="4:12" x14ac:dyDescent="0.2">
      <c r="D9782" s="341"/>
      <c r="F9782" s="343"/>
      <c r="G9782" s="343"/>
      <c r="H9782" s="343"/>
      <c r="I9782" s="343"/>
      <c r="J9782" s="343"/>
      <c r="K9782" s="343"/>
      <c r="L9782" s="343"/>
    </row>
    <row r="9783" spans="4:12" x14ac:dyDescent="0.2">
      <c r="D9783" s="341"/>
      <c r="F9783" s="343"/>
      <c r="G9783" s="343"/>
      <c r="H9783" s="343"/>
      <c r="I9783" s="343"/>
      <c r="J9783" s="343"/>
      <c r="K9783" s="343"/>
      <c r="L9783" s="343"/>
    </row>
    <row r="9784" spans="4:12" x14ac:dyDescent="0.2">
      <c r="D9784" s="341"/>
      <c r="F9784" s="343"/>
      <c r="G9784" s="343"/>
      <c r="H9784" s="343"/>
      <c r="I9784" s="343"/>
      <c r="J9784" s="343"/>
      <c r="K9784" s="343"/>
      <c r="L9784" s="343"/>
    </row>
    <row r="9785" spans="4:12" x14ac:dyDescent="0.2">
      <c r="D9785" s="341"/>
      <c r="F9785" s="343"/>
      <c r="G9785" s="343"/>
      <c r="H9785" s="343"/>
      <c r="I9785" s="343"/>
      <c r="J9785" s="343"/>
      <c r="K9785" s="343"/>
      <c r="L9785" s="343"/>
    </row>
    <row r="9786" spans="4:12" x14ac:dyDescent="0.2">
      <c r="D9786" s="341"/>
      <c r="F9786" s="343"/>
      <c r="G9786" s="343"/>
      <c r="H9786" s="343"/>
      <c r="I9786" s="343"/>
      <c r="J9786" s="343"/>
      <c r="K9786" s="343"/>
      <c r="L9786" s="343"/>
    </row>
    <row r="9787" spans="4:12" x14ac:dyDescent="0.2">
      <c r="D9787" s="341"/>
      <c r="F9787" s="343"/>
      <c r="G9787" s="343"/>
      <c r="H9787" s="343"/>
      <c r="I9787" s="343"/>
      <c r="J9787" s="343"/>
      <c r="K9787" s="343"/>
      <c r="L9787" s="343"/>
    </row>
    <row r="9788" spans="4:12" x14ac:dyDescent="0.2">
      <c r="D9788" s="341"/>
      <c r="F9788" s="343"/>
      <c r="G9788" s="343"/>
      <c r="H9788" s="343"/>
      <c r="I9788" s="343"/>
      <c r="J9788" s="343"/>
      <c r="K9788" s="343"/>
      <c r="L9788" s="343"/>
    </row>
    <row r="9789" spans="4:12" x14ac:dyDescent="0.2">
      <c r="D9789" s="341"/>
      <c r="F9789" s="343"/>
      <c r="G9789" s="343"/>
      <c r="H9789" s="343"/>
      <c r="I9789" s="343"/>
      <c r="J9789" s="343"/>
      <c r="K9789" s="343"/>
      <c r="L9789" s="343"/>
    </row>
    <row r="9790" spans="4:12" x14ac:dyDescent="0.2">
      <c r="D9790" s="341"/>
      <c r="F9790" s="343"/>
      <c r="G9790" s="343"/>
      <c r="H9790" s="343"/>
      <c r="I9790" s="343"/>
      <c r="J9790" s="343"/>
      <c r="K9790" s="343"/>
      <c r="L9790" s="343"/>
    </row>
    <row r="9791" spans="4:12" x14ac:dyDescent="0.2">
      <c r="D9791" s="341"/>
      <c r="F9791" s="343"/>
      <c r="G9791" s="343"/>
      <c r="H9791" s="343"/>
      <c r="I9791" s="343"/>
      <c r="J9791" s="343"/>
      <c r="K9791" s="343"/>
      <c r="L9791" s="343"/>
    </row>
    <row r="9792" spans="4:12" x14ac:dyDescent="0.2">
      <c r="D9792" s="341"/>
      <c r="F9792" s="343"/>
      <c r="G9792" s="343"/>
      <c r="H9792" s="343"/>
      <c r="I9792" s="343"/>
      <c r="J9792" s="343"/>
      <c r="K9792" s="343"/>
      <c r="L9792" s="343"/>
    </row>
    <row r="9793" spans="4:12" x14ac:dyDescent="0.2">
      <c r="D9793" s="341"/>
      <c r="F9793" s="343"/>
      <c r="G9793" s="343"/>
      <c r="H9793" s="343"/>
      <c r="I9793" s="343"/>
      <c r="J9793" s="343"/>
      <c r="K9793" s="343"/>
      <c r="L9793" s="343"/>
    </row>
    <row r="9794" spans="4:12" x14ac:dyDescent="0.2">
      <c r="D9794" s="341"/>
      <c r="F9794" s="343"/>
      <c r="G9794" s="343"/>
      <c r="H9794" s="343"/>
      <c r="I9794" s="343"/>
      <c r="J9794" s="343"/>
      <c r="K9794" s="343"/>
      <c r="L9794" s="343"/>
    </row>
    <row r="9795" spans="4:12" x14ac:dyDescent="0.2">
      <c r="D9795" s="341"/>
      <c r="F9795" s="343"/>
      <c r="G9795" s="343"/>
      <c r="H9795" s="343"/>
      <c r="I9795" s="343"/>
      <c r="J9795" s="343"/>
      <c r="K9795" s="343"/>
      <c r="L9795" s="343"/>
    </row>
    <row r="9796" spans="4:12" x14ac:dyDescent="0.2">
      <c r="D9796" s="341"/>
      <c r="F9796" s="343"/>
      <c r="G9796" s="343"/>
      <c r="H9796" s="343"/>
      <c r="I9796" s="343"/>
      <c r="J9796" s="343"/>
      <c r="K9796" s="343"/>
      <c r="L9796" s="343"/>
    </row>
    <row r="9797" spans="4:12" x14ac:dyDescent="0.2">
      <c r="D9797" s="341"/>
      <c r="F9797" s="343"/>
      <c r="G9797" s="343"/>
      <c r="H9797" s="343"/>
      <c r="I9797" s="343"/>
      <c r="J9797" s="343"/>
      <c r="K9797" s="343"/>
      <c r="L9797" s="343"/>
    </row>
    <row r="9798" spans="4:12" x14ac:dyDescent="0.2">
      <c r="D9798" s="341"/>
      <c r="F9798" s="343"/>
      <c r="G9798" s="343"/>
      <c r="H9798" s="343"/>
      <c r="I9798" s="343"/>
      <c r="J9798" s="343"/>
      <c r="K9798" s="343"/>
      <c r="L9798" s="343"/>
    </row>
    <row r="9799" spans="4:12" x14ac:dyDescent="0.2">
      <c r="D9799" s="341"/>
      <c r="F9799" s="343"/>
      <c r="G9799" s="343"/>
      <c r="H9799" s="343"/>
      <c r="I9799" s="343"/>
      <c r="J9799" s="343"/>
      <c r="K9799" s="343"/>
      <c r="L9799" s="343"/>
    </row>
    <row r="9800" spans="4:12" x14ac:dyDescent="0.2">
      <c r="D9800" s="341"/>
      <c r="F9800" s="343"/>
      <c r="G9800" s="343"/>
      <c r="H9800" s="343"/>
      <c r="I9800" s="343"/>
      <c r="J9800" s="343"/>
      <c r="K9800" s="343"/>
      <c r="L9800" s="343"/>
    </row>
    <row r="9801" spans="4:12" x14ac:dyDescent="0.2">
      <c r="D9801" s="341"/>
      <c r="F9801" s="343"/>
      <c r="G9801" s="343"/>
      <c r="H9801" s="343"/>
      <c r="I9801" s="343"/>
      <c r="J9801" s="343"/>
      <c r="K9801" s="343"/>
      <c r="L9801" s="343"/>
    </row>
    <row r="9802" spans="4:12" x14ac:dyDescent="0.2">
      <c r="D9802" s="341"/>
      <c r="F9802" s="343"/>
      <c r="G9802" s="343"/>
      <c r="H9802" s="343"/>
      <c r="I9802" s="343"/>
      <c r="J9802" s="343"/>
      <c r="K9802" s="343"/>
      <c r="L9802" s="343"/>
    </row>
    <row r="9803" spans="4:12" x14ac:dyDescent="0.2">
      <c r="D9803" s="341"/>
      <c r="F9803" s="343"/>
      <c r="G9803" s="343"/>
      <c r="H9803" s="343"/>
      <c r="I9803" s="343"/>
      <c r="J9803" s="343"/>
      <c r="K9803" s="343"/>
      <c r="L9803" s="343"/>
    </row>
    <row r="9804" spans="4:12" x14ac:dyDescent="0.2">
      <c r="D9804" s="341"/>
      <c r="F9804" s="343"/>
      <c r="G9804" s="343"/>
      <c r="H9804" s="343"/>
      <c r="I9804" s="343"/>
      <c r="J9804" s="343"/>
      <c r="K9804" s="343"/>
      <c r="L9804" s="343"/>
    </row>
    <row r="9805" spans="4:12" x14ac:dyDescent="0.2">
      <c r="D9805" s="341"/>
      <c r="F9805" s="343"/>
      <c r="G9805" s="343"/>
      <c r="H9805" s="343"/>
      <c r="I9805" s="343"/>
      <c r="J9805" s="343"/>
      <c r="K9805" s="343"/>
      <c r="L9805" s="343"/>
    </row>
    <row r="9806" spans="4:12" x14ac:dyDescent="0.2">
      <c r="D9806" s="341"/>
      <c r="F9806" s="343"/>
      <c r="G9806" s="343"/>
      <c r="H9806" s="343"/>
      <c r="I9806" s="343"/>
      <c r="J9806" s="343"/>
      <c r="K9806" s="343"/>
      <c r="L9806" s="343"/>
    </row>
    <row r="9807" spans="4:12" x14ac:dyDescent="0.2">
      <c r="D9807" s="341"/>
      <c r="F9807" s="343"/>
      <c r="G9807" s="343"/>
      <c r="H9807" s="343"/>
      <c r="I9807" s="343"/>
      <c r="J9807" s="343"/>
      <c r="K9807" s="343"/>
      <c r="L9807" s="343"/>
    </row>
    <row r="9808" spans="4:12" x14ac:dyDescent="0.2">
      <c r="D9808" s="341"/>
      <c r="F9808" s="343"/>
      <c r="G9808" s="343"/>
      <c r="H9808" s="343"/>
      <c r="I9808" s="343"/>
      <c r="J9808" s="343"/>
      <c r="K9808" s="343"/>
      <c r="L9808" s="343"/>
    </row>
    <row r="9809" spans="4:12" x14ac:dyDescent="0.2">
      <c r="D9809" s="341"/>
      <c r="F9809" s="343"/>
      <c r="G9809" s="343"/>
      <c r="H9809" s="343"/>
      <c r="I9809" s="343"/>
      <c r="J9809" s="343"/>
      <c r="K9809" s="343"/>
      <c r="L9809" s="343"/>
    </row>
    <row r="9810" spans="4:12" x14ac:dyDescent="0.2">
      <c r="D9810" s="341"/>
      <c r="F9810" s="343"/>
      <c r="G9810" s="343"/>
      <c r="H9810" s="343"/>
      <c r="I9810" s="343"/>
      <c r="J9810" s="343"/>
      <c r="K9810" s="343"/>
      <c r="L9810" s="343"/>
    </row>
    <row r="9811" spans="4:12" x14ac:dyDescent="0.2">
      <c r="D9811" s="341"/>
      <c r="F9811" s="343"/>
      <c r="G9811" s="343"/>
      <c r="H9811" s="343"/>
      <c r="I9811" s="343"/>
      <c r="J9811" s="343"/>
      <c r="K9811" s="343"/>
      <c r="L9811" s="343"/>
    </row>
    <row r="9812" spans="4:12" x14ac:dyDescent="0.2">
      <c r="D9812" s="341"/>
      <c r="F9812" s="343"/>
      <c r="G9812" s="343"/>
      <c r="H9812" s="343"/>
      <c r="I9812" s="343"/>
      <c r="J9812" s="343"/>
      <c r="K9812" s="343"/>
      <c r="L9812" s="343"/>
    </row>
    <row r="9813" spans="4:12" x14ac:dyDescent="0.2">
      <c r="D9813" s="341"/>
      <c r="F9813" s="343"/>
      <c r="G9813" s="343"/>
      <c r="H9813" s="343"/>
      <c r="I9813" s="343"/>
      <c r="J9813" s="343"/>
      <c r="K9813" s="343"/>
      <c r="L9813" s="343"/>
    </row>
    <row r="9814" spans="4:12" x14ac:dyDescent="0.2">
      <c r="D9814" s="341"/>
      <c r="F9814" s="343"/>
      <c r="G9814" s="343"/>
      <c r="H9814" s="343"/>
      <c r="I9814" s="343"/>
      <c r="J9814" s="343"/>
      <c r="K9814" s="343"/>
      <c r="L9814" s="343"/>
    </row>
    <row r="9815" spans="4:12" x14ac:dyDescent="0.2">
      <c r="D9815" s="341"/>
      <c r="F9815" s="343"/>
      <c r="G9815" s="343"/>
      <c r="H9815" s="343"/>
      <c r="I9815" s="343"/>
      <c r="J9815" s="343"/>
      <c r="K9815" s="343"/>
      <c r="L9815" s="343"/>
    </row>
    <row r="9816" spans="4:12" x14ac:dyDescent="0.2">
      <c r="D9816" s="341"/>
      <c r="F9816" s="343"/>
      <c r="G9816" s="343"/>
      <c r="H9816" s="343"/>
      <c r="I9816" s="343"/>
      <c r="J9816" s="343"/>
      <c r="K9816" s="343"/>
      <c r="L9816" s="343"/>
    </row>
    <row r="9817" spans="4:12" x14ac:dyDescent="0.2">
      <c r="D9817" s="341"/>
      <c r="F9817" s="343"/>
      <c r="G9817" s="343"/>
      <c r="H9817" s="343"/>
      <c r="I9817" s="343"/>
      <c r="J9817" s="343"/>
      <c r="K9817" s="343"/>
      <c r="L9817" s="343"/>
    </row>
    <row r="9818" spans="4:12" x14ac:dyDescent="0.2">
      <c r="D9818" s="341"/>
      <c r="F9818" s="343"/>
      <c r="G9818" s="343"/>
      <c r="H9818" s="343"/>
      <c r="I9818" s="343"/>
      <c r="J9818" s="343"/>
      <c r="K9818" s="343"/>
      <c r="L9818" s="343"/>
    </row>
    <row r="9819" spans="4:12" x14ac:dyDescent="0.2">
      <c r="D9819" s="341"/>
      <c r="F9819" s="343"/>
      <c r="G9819" s="343"/>
      <c r="H9819" s="343"/>
      <c r="I9819" s="343"/>
      <c r="J9819" s="343"/>
      <c r="K9819" s="343"/>
      <c r="L9819" s="343"/>
    </row>
    <row r="9820" spans="4:12" x14ac:dyDescent="0.2">
      <c r="D9820" s="341"/>
      <c r="F9820" s="343"/>
      <c r="G9820" s="343"/>
      <c r="H9820" s="343"/>
      <c r="I9820" s="343"/>
      <c r="J9820" s="343"/>
      <c r="K9820" s="343"/>
      <c r="L9820" s="343"/>
    </row>
    <row r="9821" spans="4:12" x14ac:dyDescent="0.2">
      <c r="D9821" s="341"/>
      <c r="F9821" s="343"/>
      <c r="G9821" s="343"/>
      <c r="H9821" s="343"/>
      <c r="I9821" s="343"/>
      <c r="J9821" s="343"/>
      <c r="K9821" s="343"/>
      <c r="L9821" s="343"/>
    </row>
    <row r="9822" spans="4:12" x14ac:dyDescent="0.2">
      <c r="D9822" s="341"/>
      <c r="F9822" s="343"/>
      <c r="G9822" s="343"/>
      <c r="H9822" s="343"/>
      <c r="I9822" s="343"/>
      <c r="J9822" s="343"/>
      <c r="K9822" s="343"/>
      <c r="L9822" s="343"/>
    </row>
    <row r="9823" spans="4:12" x14ac:dyDescent="0.2">
      <c r="D9823" s="341"/>
      <c r="F9823" s="343"/>
      <c r="G9823" s="343"/>
      <c r="H9823" s="343"/>
      <c r="I9823" s="343"/>
      <c r="J9823" s="343"/>
      <c r="K9823" s="343"/>
      <c r="L9823" s="343"/>
    </row>
    <row r="9824" spans="4:12" x14ac:dyDescent="0.2">
      <c r="D9824" s="341"/>
      <c r="F9824" s="343"/>
      <c r="G9824" s="343"/>
      <c r="H9824" s="343"/>
      <c r="I9824" s="343"/>
      <c r="J9824" s="343"/>
      <c r="K9824" s="343"/>
      <c r="L9824" s="343"/>
    </row>
    <row r="9825" spans="4:12" x14ac:dyDescent="0.2">
      <c r="D9825" s="341"/>
      <c r="F9825" s="343"/>
      <c r="G9825" s="343"/>
      <c r="H9825" s="343"/>
      <c r="I9825" s="343"/>
      <c r="J9825" s="343"/>
      <c r="K9825" s="343"/>
      <c r="L9825" s="343"/>
    </row>
    <row r="9826" spans="4:12" x14ac:dyDescent="0.2">
      <c r="D9826" s="341"/>
      <c r="F9826" s="343"/>
      <c r="G9826" s="343"/>
      <c r="H9826" s="343"/>
      <c r="I9826" s="343"/>
      <c r="J9826" s="343"/>
      <c r="K9826" s="343"/>
      <c r="L9826" s="343"/>
    </row>
    <row r="9827" spans="4:12" x14ac:dyDescent="0.2">
      <c r="D9827" s="341"/>
      <c r="F9827" s="343"/>
      <c r="G9827" s="343"/>
      <c r="H9827" s="343"/>
      <c r="I9827" s="343"/>
      <c r="J9827" s="343"/>
      <c r="K9827" s="343"/>
      <c r="L9827" s="343"/>
    </row>
    <row r="9828" spans="4:12" x14ac:dyDescent="0.2">
      <c r="D9828" s="341"/>
      <c r="F9828" s="343"/>
      <c r="G9828" s="343"/>
      <c r="H9828" s="343"/>
      <c r="I9828" s="343"/>
      <c r="J9828" s="343"/>
      <c r="K9828" s="343"/>
      <c r="L9828" s="343"/>
    </row>
    <row r="9829" spans="4:12" x14ac:dyDescent="0.2">
      <c r="D9829" s="341"/>
      <c r="F9829" s="343"/>
      <c r="G9829" s="343"/>
      <c r="H9829" s="343"/>
      <c r="I9829" s="343"/>
      <c r="J9829" s="343"/>
      <c r="K9829" s="343"/>
      <c r="L9829" s="343"/>
    </row>
    <row r="9830" spans="4:12" x14ac:dyDescent="0.2">
      <c r="D9830" s="341"/>
      <c r="F9830" s="343"/>
      <c r="G9830" s="343"/>
      <c r="H9830" s="343"/>
      <c r="I9830" s="343"/>
      <c r="J9830" s="343"/>
      <c r="K9830" s="343"/>
      <c r="L9830" s="343"/>
    </row>
    <row r="9831" spans="4:12" x14ac:dyDescent="0.2">
      <c r="D9831" s="341"/>
      <c r="F9831" s="343"/>
      <c r="G9831" s="343"/>
      <c r="H9831" s="343"/>
      <c r="I9831" s="343"/>
      <c r="J9831" s="343"/>
      <c r="K9831" s="343"/>
      <c r="L9831" s="343"/>
    </row>
    <row r="9832" spans="4:12" x14ac:dyDescent="0.2">
      <c r="D9832" s="341"/>
      <c r="F9832" s="343"/>
      <c r="G9832" s="343"/>
      <c r="H9832" s="343"/>
      <c r="I9832" s="343"/>
      <c r="J9832" s="343"/>
      <c r="K9832" s="343"/>
      <c r="L9832" s="343"/>
    </row>
    <row r="9833" spans="4:12" x14ac:dyDescent="0.2">
      <c r="D9833" s="341"/>
      <c r="F9833" s="343"/>
      <c r="G9833" s="343"/>
      <c r="H9833" s="343"/>
      <c r="I9833" s="343"/>
      <c r="J9833" s="343"/>
      <c r="K9833" s="343"/>
      <c r="L9833" s="343"/>
    </row>
    <row r="9834" spans="4:12" x14ac:dyDescent="0.2">
      <c r="D9834" s="341"/>
      <c r="F9834" s="343"/>
      <c r="G9834" s="343"/>
      <c r="H9834" s="343"/>
      <c r="I9834" s="343"/>
      <c r="J9834" s="343"/>
      <c r="K9834" s="343"/>
      <c r="L9834" s="343"/>
    </row>
    <row r="9835" spans="4:12" x14ac:dyDescent="0.2">
      <c r="D9835" s="341"/>
      <c r="F9835" s="343"/>
      <c r="G9835" s="343"/>
      <c r="H9835" s="343"/>
      <c r="I9835" s="343"/>
      <c r="J9835" s="343"/>
      <c r="K9835" s="343"/>
      <c r="L9835" s="343"/>
    </row>
    <row r="9836" spans="4:12" x14ac:dyDescent="0.2">
      <c r="D9836" s="341"/>
      <c r="F9836" s="343"/>
      <c r="G9836" s="343"/>
      <c r="H9836" s="343"/>
      <c r="I9836" s="343"/>
      <c r="J9836" s="343"/>
      <c r="K9836" s="343"/>
      <c r="L9836" s="343"/>
    </row>
    <row r="9837" spans="4:12" x14ac:dyDescent="0.2">
      <c r="D9837" s="341"/>
      <c r="F9837" s="343"/>
      <c r="G9837" s="343"/>
      <c r="H9837" s="343"/>
      <c r="I9837" s="343"/>
      <c r="J9837" s="343"/>
      <c r="K9837" s="343"/>
      <c r="L9837" s="343"/>
    </row>
    <row r="9838" spans="4:12" x14ac:dyDescent="0.2">
      <c r="D9838" s="341"/>
      <c r="F9838" s="343"/>
      <c r="G9838" s="343"/>
      <c r="H9838" s="343"/>
      <c r="I9838" s="343"/>
      <c r="J9838" s="343"/>
      <c r="K9838" s="343"/>
      <c r="L9838" s="343"/>
    </row>
    <row r="9839" spans="4:12" x14ac:dyDescent="0.2">
      <c r="D9839" s="341"/>
      <c r="F9839" s="343"/>
      <c r="G9839" s="343"/>
      <c r="H9839" s="343"/>
      <c r="I9839" s="343"/>
      <c r="J9839" s="343"/>
      <c r="K9839" s="343"/>
      <c r="L9839" s="343"/>
    </row>
    <row r="9840" spans="4:12" x14ac:dyDescent="0.2">
      <c r="D9840" s="341"/>
      <c r="F9840" s="343"/>
      <c r="G9840" s="343"/>
      <c r="H9840" s="343"/>
      <c r="I9840" s="343"/>
      <c r="J9840" s="343"/>
      <c r="K9840" s="343"/>
      <c r="L9840" s="343"/>
    </row>
    <row r="9841" spans="4:12" x14ac:dyDescent="0.2">
      <c r="D9841" s="341"/>
      <c r="F9841" s="343"/>
      <c r="G9841" s="343"/>
      <c r="H9841" s="343"/>
      <c r="I9841" s="343"/>
      <c r="J9841" s="343"/>
      <c r="K9841" s="343"/>
      <c r="L9841" s="343"/>
    </row>
    <row r="9842" spans="4:12" x14ac:dyDescent="0.2">
      <c r="D9842" s="341"/>
      <c r="F9842" s="343"/>
      <c r="G9842" s="343"/>
      <c r="H9842" s="343"/>
      <c r="I9842" s="343"/>
      <c r="J9842" s="343"/>
      <c r="K9842" s="343"/>
      <c r="L9842" s="343"/>
    </row>
    <row r="9843" spans="4:12" x14ac:dyDescent="0.2">
      <c r="D9843" s="341"/>
      <c r="F9843" s="343"/>
      <c r="G9843" s="343"/>
      <c r="H9843" s="343"/>
      <c r="I9843" s="343"/>
      <c r="J9843" s="343"/>
      <c r="K9843" s="343"/>
      <c r="L9843" s="343"/>
    </row>
    <row r="9844" spans="4:12" x14ac:dyDescent="0.2">
      <c r="D9844" s="341"/>
      <c r="F9844" s="343"/>
      <c r="G9844" s="343"/>
      <c r="H9844" s="343"/>
      <c r="I9844" s="343"/>
      <c r="J9844" s="343"/>
      <c r="K9844" s="343"/>
      <c r="L9844" s="343"/>
    </row>
    <row r="9845" spans="4:12" x14ac:dyDescent="0.2">
      <c r="D9845" s="341"/>
      <c r="F9845" s="343"/>
      <c r="G9845" s="343"/>
      <c r="H9845" s="343"/>
      <c r="I9845" s="343"/>
      <c r="J9845" s="343"/>
      <c r="K9845" s="343"/>
      <c r="L9845" s="343"/>
    </row>
    <row r="9846" spans="4:12" x14ac:dyDescent="0.2">
      <c r="D9846" s="341"/>
      <c r="F9846" s="343"/>
      <c r="G9846" s="343"/>
      <c r="H9846" s="343"/>
      <c r="I9846" s="343"/>
      <c r="J9846" s="343"/>
      <c r="K9846" s="343"/>
      <c r="L9846" s="343"/>
    </row>
    <row r="9847" spans="4:12" x14ac:dyDescent="0.2">
      <c r="D9847" s="341"/>
      <c r="F9847" s="343"/>
      <c r="G9847" s="343"/>
      <c r="H9847" s="343"/>
      <c r="I9847" s="343"/>
      <c r="J9847" s="343"/>
      <c r="K9847" s="343"/>
      <c r="L9847" s="343"/>
    </row>
    <row r="9848" spans="4:12" x14ac:dyDescent="0.2">
      <c r="D9848" s="341"/>
      <c r="F9848" s="343"/>
      <c r="G9848" s="343"/>
      <c r="H9848" s="343"/>
      <c r="I9848" s="343"/>
      <c r="J9848" s="343"/>
      <c r="K9848" s="343"/>
      <c r="L9848" s="343"/>
    </row>
    <row r="9849" spans="4:12" x14ac:dyDescent="0.2">
      <c r="D9849" s="341"/>
      <c r="F9849" s="343"/>
      <c r="G9849" s="343"/>
      <c r="H9849" s="343"/>
      <c r="I9849" s="343"/>
      <c r="J9849" s="343"/>
      <c r="K9849" s="343"/>
      <c r="L9849" s="343"/>
    </row>
    <row r="9850" spans="4:12" x14ac:dyDescent="0.2">
      <c r="D9850" s="341"/>
      <c r="F9850" s="343"/>
      <c r="G9850" s="343"/>
      <c r="H9850" s="343"/>
      <c r="I9850" s="343"/>
      <c r="J9850" s="343"/>
      <c r="K9850" s="343"/>
      <c r="L9850" s="343"/>
    </row>
    <row r="9851" spans="4:12" x14ac:dyDescent="0.2">
      <c r="D9851" s="341"/>
      <c r="F9851" s="343"/>
      <c r="G9851" s="343"/>
      <c r="H9851" s="343"/>
      <c r="I9851" s="343"/>
      <c r="J9851" s="343"/>
      <c r="K9851" s="343"/>
      <c r="L9851" s="343"/>
    </row>
    <row r="9852" spans="4:12" x14ac:dyDescent="0.2">
      <c r="D9852" s="341"/>
      <c r="F9852" s="343"/>
      <c r="G9852" s="343"/>
      <c r="H9852" s="343"/>
      <c r="I9852" s="343"/>
      <c r="J9852" s="343"/>
      <c r="K9852" s="343"/>
      <c r="L9852" s="343"/>
    </row>
    <row r="9853" spans="4:12" x14ac:dyDescent="0.2">
      <c r="D9853" s="341"/>
      <c r="F9853" s="343"/>
      <c r="G9853" s="343"/>
      <c r="H9853" s="343"/>
      <c r="I9853" s="343"/>
      <c r="J9853" s="343"/>
      <c r="K9853" s="343"/>
      <c r="L9853" s="343"/>
    </row>
    <row r="9854" spans="4:12" x14ac:dyDescent="0.2">
      <c r="D9854" s="341"/>
      <c r="F9854" s="343"/>
      <c r="G9854" s="343"/>
      <c r="H9854" s="343"/>
      <c r="I9854" s="343"/>
      <c r="J9854" s="343"/>
      <c r="K9854" s="343"/>
      <c r="L9854" s="343"/>
    </row>
    <row r="9855" spans="4:12" x14ac:dyDescent="0.2">
      <c r="D9855" s="341"/>
      <c r="F9855" s="343"/>
      <c r="G9855" s="343"/>
      <c r="H9855" s="343"/>
      <c r="I9855" s="343"/>
      <c r="J9855" s="343"/>
      <c r="K9855" s="343"/>
      <c r="L9855" s="343"/>
    </row>
    <row r="9856" spans="4:12" x14ac:dyDescent="0.2">
      <c r="D9856" s="341"/>
      <c r="F9856" s="343"/>
      <c r="G9856" s="343"/>
      <c r="H9856" s="343"/>
      <c r="I9856" s="343"/>
      <c r="J9856" s="343"/>
      <c r="K9856" s="343"/>
      <c r="L9856" s="343"/>
    </row>
    <row r="9857" spans="4:12" x14ac:dyDescent="0.2">
      <c r="D9857" s="341"/>
      <c r="F9857" s="343"/>
      <c r="G9857" s="343"/>
      <c r="H9857" s="343"/>
      <c r="I9857" s="343"/>
      <c r="J9857" s="343"/>
      <c r="K9857" s="343"/>
      <c r="L9857" s="343"/>
    </row>
    <row r="9858" spans="4:12" x14ac:dyDescent="0.2">
      <c r="D9858" s="341"/>
      <c r="F9858" s="343"/>
      <c r="G9858" s="343"/>
      <c r="H9858" s="343"/>
      <c r="I9858" s="343"/>
      <c r="J9858" s="343"/>
      <c r="K9858" s="343"/>
      <c r="L9858" s="343"/>
    </row>
    <row r="9859" spans="4:12" x14ac:dyDescent="0.2">
      <c r="D9859" s="341"/>
      <c r="F9859" s="343"/>
      <c r="G9859" s="343"/>
      <c r="H9859" s="343"/>
      <c r="I9859" s="343"/>
      <c r="J9859" s="343"/>
      <c r="K9859" s="343"/>
      <c r="L9859" s="343"/>
    </row>
    <row r="9860" spans="4:12" x14ac:dyDescent="0.2">
      <c r="D9860" s="341"/>
      <c r="F9860" s="343"/>
      <c r="G9860" s="343"/>
      <c r="H9860" s="343"/>
      <c r="I9860" s="343"/>
      <c r="J9860" s="343"/>
      <c r="K9860" s="343"/>
      <c r="L9860" s="343"/>
    </row>
    <row r="9861" spans="4:12" x14ac:dyDescent="0.2">
      <c r="D9861" s="341"/>
      <c r="F9861" s="343"/>
      <c r="G9861" s="343"/>
      <c r="H9861" s="343"/>
      <c r="I9861" s="343"/>
      <c r="J9861" s="343"/>
      <c r="K9861" s="343"/>
      <c r="L9861" s="343"/>
    </row>
    <row r="9862" spans="4:12" x14ac:dyDescent="0.2">
      <c r="D9862" s="341"/>
      <c r="F9862" s="343"/>
      <c r="G9862" s="343"/>
      <c r="H9862" s="343"/>
      <c r="I9862" s="343"/>
      <c r="J9862" s="343"/>
      <c r="K9862" s="343"/>
      <c r="L9862" s="343"/>
    </row>
    <row r="9863" spans="4:12" x14ac:dyDescent="0.2">
      <c r="D9863" s="341"/>
      <c r="F9863" s="343"/>
      <c r="G9863" s="343"/>
      <c r="H9863" s="343"/>
      <c r="I9863" s="343"/>
      <c r="J9863" s="343"/>
      <c r="K9863" s="343"/>
      <c r="L9863" s="343"/>
    </row>
    <row r="9864" spans="4:12" x14ac:dyDescent="0.2">
      <c r="D9864" s="341"/>
      <c r="F9864" s="343"/>
      <c r="G9864" s="343"/>
      <c r="H9864" s="343"/>
      <c r="I9864" s="343"/>
      <c r="J9864" s="343"/>
      <c r="K9864" s="343"/>
      <c r="L9864" s="343"/>
    </row>
    <row r="9865" spans="4:12" x14ac:dyDescent="0.2">
      <c r="D9865" s="341"/>
      <c r="F9865" s="343"/>
      <c r="G9865" s="343"/>
      <c r="H9865" s="343"/>
      <c r="I9865" s="343"/>
      <c r="J9865" s="343"/>
      <c r="K9865" s="343"/>
      <c r="L9865" s="343"/>
    </row>
    <row r="9866" spans="4:12" x14ac:dyDescent="0.2">
      <c r="D9866" s="341"/>
      <c r="F9866" s="343"/>
      <c r="G9866" s="343"/>
      <c r="H9866" s="343"/>
      <c r="I9866" s="343"/>
      <c r="J9866" s="343"/>
      <c r="K9866" s="343"/>
      <c r="L9866" s="343"/>
    </row>
    <row r="9867" spans="4:12" x14ac:dyDescent="0.2">
      <c r="D9867" s="341"/>
      <c r="F9867" s="343"/>
      <c r="G9867" s="343"/>
      <c r="H9867" s="343"/>
      <c r="I9867" s="343"/>
      <c r="J9867" s="343"/>
      <c r="K9867" s="343"/>
      <c r="L9867" s="343"/>
    </row>
    <row r="9868" spans="4:12" x14ac:dyDescent="0.2">
      <c r="D9868" s="341"/>
      <c r="F9868" s="343"/>
      <c r="G9868" s="343"/>
      <c r="H9868" s="343"/>
      <c r="I9868" s="343"/>
      <c r="J9868" s="343"/>
      <c r="K9868" s="343"/>
      <c r="L9868" s="343"/>
    </row>
    <row r="9869" spans="4:12" x14ac:dyDescent="0.2">
      <c r="D9869" s="341"/>
      <c r="F9869" s="343"/>
      <c r="G9869" s="343"/>
      <c r="H9869" s="343"/>
      <c r="I9869" s="343"/>
      <c r="J9869" s="343"/>
      <c r="K9869" s="343"/>
      <c r="L9869" s="343"/>
    </row>
    <row r="9870" spans="4:12" x14ac:dyDescent="0.2">
      <c r="D9870" s="341"/>
      <c r="F9870" s="343"/>
      <c r="G9870" s="343"/>
      <c r="H9870" s="343"/>
      <c r="I9870" s="343"/>
      <c r="J9870" s="343"/>
      <c r="K9870" s="343"/>
      <c r="L9870" s="343"/>
    </row>
    <row r="9871" spans="4:12" x14ac:dyDescent="0.2">
      <c r="D9871" s="341"/>
      <c r="F9871" s="343"/>
      <c r="G9871" s="343"/>
      <c r="H9871" s="343"/>
      <c r="I9871" s="343"/>
      <c r="J9871" s="343"/>
      <c r="K9871" s="343"/>
      <c r="L9871" s="343"/>
    </row>
    <row r="9872" spans="4:12" x14ac:dyDescent="0.2">
      <c r="D9872" s="341"/>
      <c r="F9872" s="343"/>
      <c r="G9872" s="343"/>
      <c r="H9872" s="343"/>
      <c r="I9872" s="343"/>
      <c r="J9872" s="343"/>
      <c r="K9872" s="343"/>
      <c r="L9872" s="343"/>
    </row>
    <row r="9873" spans="4:12" x14ac:dyDescent="0.2">
      <c r="D9873" s="341"/>
      <c r="F9873" s="343"/>
      <c r="G9873" s="343"/>
      <c r="H9873" s="343"/>
      <c r="I9873" s="343"/>
      <c r="J9873" s="343"/>
      <c r="K9873" s="343"/>
      <c r="L9873" s="343"/>
    </row>
    <row r="9874" spans="4:12" x14ac:dyDescent="0.2">
      <c r="D9874" s="341"/>
      <c r="F9874" s="343"/>
      <c r="G9874" s="343"/>
      <c r="H9874" s="343"/>
      <c r="I9874" s="343"/>
      <c r="J9874" s="343"/>
      <c r="K9874" s="343"/>
      <c r="L9874" s="343"/>
    </row>
    <row r="9875" spans="4:12" x14ac:dyDescent="0.2">
      <c r="D9875" s="341"/>
      <c r="F9875" s="343"/>
      <c r="G9875" s="343"/>
      <c r="H9875" s="343"/>
      <c r="I9875" s="343"/>
      <c r="J9875" s="343"/>
      <c r="K9875" s="343"/>
      <c r="L9875" s="343"/>
    </row>
    <row r="9876" spans="4:12" x14ac:dyDescent="0.2">
      <c r="D9876" s="341"/>
      <c r="F9876" s="343"/>
      <c r="G9876" s="343"/>
      <c r="H9876" s="343"/>
      <c r="I9876" s="343"/>
      <c r="J9876" s="343"/>
      <c r="K9876" s="343"/>
      <c r="L9876" s="343"/>
    </row>
    <row r="9877" spans="4:12" x14ac:dyDescent="0.2">
      <c r="D9877" s="341"/>
      <c r="F9877" s="343"/>
      <c r="G9877" s="343"/>
      <c r="H9877" s="343"/>
      <c r="I9877" s="343"/>
      <c r="J9877" s="343"/>
      <c r="K9877" s="343"/>
      <c r="L9877" s="343"/>
    </row>
    <row r="9878" spans="4:12" x14ac:dyDescent="0.2">
      <c r="D9878" s="341"/>
      <c r="F9878" s="343"/>
      <c r="G9878" s="343"/>
      <c r="H9878" s="343"/>
      <c r="I9878" s="343"/>
      <c r="J9878" s="343"/>
      <c r="K9878" s="343"/>
      <c r="L9878" s="343"/>
    </row>
    <row r="9879" spans="4:12" x14ac:dyDescent="0.2">
      <c r="D9879" s="341"/>
      <c r="F9879" s="343"/>
      <c r="G9879" s="343"/>
      <c r="H9879" s="343"/>
      <c r="I9879" s="343"/>
      <c r="J9879" s="343"/>
      <c r="K9879" s="343"/>
      <c r="L9879" s="343"/>
    </row>
    <row r="9880" spans="4:12" x14ac:dyDescent="0.2">
      <c r="D9880" s="341"/>
      <c r="F9880" s="343"/>
      <c r="G9880" s="343"/>
      <c r="H9880" s="343"/>
      <c r="I9880" s="343"/>
      <c r="J9880" s="343"/>
      <c r="K9880" s="343"/>
      <c r="L9880" s="343"/>
    </row>
    <row r="9881" spans="4:12" x14ac:dyDescent="0.2">
      <c r="D9881" s="341"/>
      <c r="F9881" s="343"/>
      <c r="G9881" s="343"/>
      <c r="H9881" s="343"/>
      <c r="I9881" s="343"/>
      <c r="J9881" s="343"/>
      <c r="K9881" s="343"/>
      <c r="L9881" s="343"/>
    </row>
    <row r="9882" spans="4:12" x14ac:dyDescent="0.2">
      <c r="D9882" s="341"/>
      <c r="F9882" s="343"/>
      <c r="G9882" s="343"/>
      <c r="H9882" s="343"/>
      <c r="I9882" s="343"/>
      <c r="J9882" s="343"/>
      <c r="K9882" s="343"/>
      <c r="L9882" s="343"/>
    </row>
    <row r="9883" spans="4:12" x14ac:dyDescent="0.2">
      <c r="D9883" s="341"/>
      <c r="F9883" s="343"/>
      <c r="G9883" s="343"/>
      <c r="H9883" s="343"/>
      <c r="I9883" s="343"/>
      <c r="J9883" s="343"/>
      <c r="K9883" s="343"/>
      <c r="L9883" s="343"/>
    </row>
    <row r="9884" spans="4:12" x14ac:dyDescent="0.2">
      <c r="D9884" s="341"/>
      <c r="F9884" s="343"/>
      <c r="G9884" s="343"/>
      <c r="H9884" s="343"/>
      <c r="I9884" s="343"/>
      <c r="J9884" s="343"/>
      <c r="K9884" s="343"/>
      <c r="L9884" s="343"/>
    </row>
    <row r="9885" spans="4:12" x14ac:dyDescent="0.2">
      <c r="D9885" s="341"/>
      <c r="F9885" s="343"/>
      <c r="G9885" s="343"/>
      <c r="H9885" s="343"/>
      <c r="I9885" s="343"/>
      <c r="J9885" s="343"/>
      <c r="K9885" s="343"/>
      <c r="L9885" s="343"/>
    </row>
    <row r="9886" spans="4:12" x14ac:dyDescent="0.2">
      <c r="D9886" s="341"/>
      <c r="F9886" s="343"/>
      <c r="G9886" s="343"/>
      <c r="H9886" s="343"/>
      <c r="I9886" s="343"/>
      <c r="J9886" s="343"/>
      <c r="K9886" s="343"/>
      <c r="L9886" s="343"/>
    </row>
    <row r="9887" spans="4:12" x14ac:dyDescent="0.2">
      <c r="D9887" s="341"/>
      <c r="F9887" s="343"/>
      <c r="G9887" s="343"/>
      <c r="H9887" s="343"/>
      <c r="I9887" s="343"/>
      <c r="J9887" s="343"/>
      <c r="K9887" s="343"/>
      <c r="L9887" s="343"/>
    </row>
    <row r="9888" spans="4:12" x14ac:dyDescent="0.2">
      <c r="D9888" s="341"/>
      <c r="F9888" s="343"/>
      <c r="G9888" s="343"/>
      <c r="H9888" s="343"/>
      <c r="I9888" s="343"/>
      <c r="J9888" s="343"/>
      <c r="K9888" s="343"/>
      <c r="L9888" s="343"/>
    </row>
    <row r="9889" spans="4:12" x14ac:dyDescent="0.2">
      <c r="D9889" s="341"/>
      <c r="F9889" s="343"/>
      <c r="G9889" s="343"/>
      <c r="H9889" s="343"/>
      <c r="I9889" s="343"/>
      <c r="J9889" s="343"/>
      <c r="K9889" s="343"/>
      <c r="L9889" s="343"/>
    </row>
    <row r="9890" spans="4:12" x14ac:dyDescent="0.2">
      <c r="D9890" s="341"/>
      <c r="F9890" s="343"/>
      <c r="G9890" s="343"/>
      <c r="H9890" s="343"/>
      <c r="I9890" s="343"/>
      <c r="J9890" s="343"/>
      <c r="K9890" s="343"/>
      <c r="L9890" s="343"/>
    </row>
    <row r="9891" spans="4:12" x14ac:dyDescent="0.2">
      <c r="D9891" s="341"/>
      <c r="F9891" s="343"/>
      <c r="G9891" s="343"/>
      <c r="H9891" s="343"/>
      <c r="I9891" s="343"/>
      <c r="J9891" s="343"/>
      <c r="K9891" s="343"/>
      <c r="L9891" s="343"/>
    </row>
    <row r="9892" spans="4:12" x14ac:dyDescent="0.2">
      <c r="D9892" s="341"/>
      <c r="F9892" s="343"/>
      <c r="G9892" s="343"/>
      <c r="H9892" s="343"/>
      <c r="I9892" s="343"/>
      <c r="J9892" s="343"/>
      <c r="K9892" s="343"/>
      <c r="L9892" s="343"/>
    </row>
    <row r="9893" spans="4:12" x14ac:dyDescent="0.2">
      <c r="D9893" s="341"/>
      <c r="F9893" s="343"/>
      <c r="G9893" s="343"/>
      <c r="H9893" s="343"/>
      <c r="I9893" s="343"/>
      <c r="J9893" s="343"/>
      <c r="K9893" s="343"/>
      <c r="L9893" s="343"/>
    </row>
    <row r="9894" spans="4:12" x14ac:dyDescent="0.2">
      <c r="D9894" s="341"/>
      <c r="F9894" s="343"/>
      <c r="G9894" s="343"/>
      <c r="H9894" s="343"/>
      <c r="I9894" s="343"/>
      <c r="J9894" s="343"/>
      <c r="K9894" s="343"/>
      <c r="L9894" s="343"/>
    </row>
    <row r="9895" spans="4:12" x14ac:dyDescent="0.2">
      <c r="D9895" s="341"/>
      <c r="F9895" s="343"/>
      <c r="G9895" s="343"/>
      <c r="H9895" s="343"/>
      <c r="I9895" s="343"/>
      <c r="J9895" s="343"/>
      <c r="K9895" s="343"/>
      <c r="L9895" s="343"/>
    </row>
    <row r="9896" spans="4:12" x14ac:dyDescent="0.2">
      <c r="D9896" s="341"/>
      <c r="F9896" s="343"/>
      <c r="G9896" s="343"/>
      <c r="H9896" s="343"/>
      <c r="I9896" s="343"/>
      <c r="J9896" s="343"/>
      <c r="K9896" s="343"/>
      <c r="L9896" s="343"/>
    </row>
    <row r="9897" spans="4:12" x14ac:dyDescent="0.2">
      <c r="D9897" s="341"/>
      <c r="F9897" s="343"/>
      <c r="G9897" s="343"/>
      <c r="H9897" s="343"/>
      <c r="I9897" s="343"/>
      <c r="J9897" s="343"/>
      <c r="K9897" s="343"/>
      <c r="L9897" s="343"/>
    </row>
    <row r="9898" spans="4:12" x14ac:dyDescent="0.2">
      <c r="D9898" s="341"/>
      <c r="F9898" s="343"/>
      <c r="G9898" s="343"/>
      <c r="H9898" s="343"/>
      <c r="I9898" s="343"/>
      <c r="J9898" s="343"/>
      <c r="K9898" s="343"/>
      <c r="L9898" s="343"/>
    </row>
    <row r="9899" spans="4:12" x14ac:dyDescent="0.2">
      <c r="D9899" s="341"/>
      <c r="F9899" s="343"/>
      <c r="G9899" s="343"/>
      <c r="H9899" s="343"/>
      <c r="I9899" s="343"/>
      <c r="J9899" s="343"/>
      <c r="K9899" s="343"/>
      <c r="L9899" s="343"/>
    </row>
    <row r="9900" spans="4:12" x14ac:dyDescent="0.2">
      <c r="D9900" s="341"/>
      <c r="F9900" s="343"/>
      <c r="G9900" s="343"/>
      <c r="H9900" s="343"/>
      <c r="I9900" s="343"/>
      <c r="J9900" s="343"/>
      <c r="K9900" s="343"/>
      <c r="L9900" s="343"/>
    </row>
    <row r="9901" spans="4:12" x14ac:dyDescent="0.2">
      <c r="D9901" s="341"/>
      <c r="F9901" s="343"/>
      <c r="G9901" s="343"/>
      <c r="H9901" s="343"/>
      <c r="I9901" s="343"/>
      <c r="J9901" s="343"/>
      <c r="K9901" s="343"/>
      <c r="L9901" s="343"/>
    </row>
    <row r="9902" spans="4:12" x14ac:dyDescent="0.2">
      <c r="D9902" s="341"/>
      <c r="F9902" s="343"/>
      <c r="G9902" s="343"/>
      <c r="H9902" s="343"/>
      <c r="I9902" s="343"/>
      <c r="J9902" s="343"/>
      <c r="K9902" s="343"/>
      <c r="L9902" s="343"/>
    </row>
    <row r="9903" spans="4:12" x14ac:dyDescent="0.2">
      <c r="D9903" s="341"/>
      <c r="F9903" s="343"/>
      <c r="G9903" s="343"/>
      <c r="H9903" s="343"/>
      <c r="I9903" s="343"/>
      <c r="J9903" s="343"/>
      <c r="K9903" s="343"/>
      <c r="L9903" s="343"/>
    </row>
    <row r="9904" spans="4:12" x14ac:dyDescent="0.2">
      <c r="D9904" s="341"/>
      <c r="F9904" s="343"/>
      <c r="G9904" s="343"/>
      <c r="H9904" s="343"/>
      <c r="I9904" s="343"/>
      <c r="J9904" s="343"/>
      <c r="K9904" s="343"/>
      <c r="L9904" s="343"/>
    </row>
    <row r="9905" spans="4:12" x14ac:dyDescent="0.2">
      <c r="D9905" s="341"/>
      <c r="F9905" s="343"/>
      <c r="G9905" s="343"/>
      <c r="H9905" s="343"/>
      <c r="I9905" s="343"/>
      <c r="J9905" s="343"/>
      <c r="K9905" s="343"/>
      <c r="L9905" s="343"/>
    </row>
    <row r="9906" spans="4:12" x14ac:dyDescent="0.2">
      <c r="D9906" s="341"/>
      <c r="F9906" s="343"/>
      <c r="G9906" s="343"/>
      <c r="H9906" s="343"/>
      <c r="I9906" s="343"/>
      <c r="J9906" s="343"/>
      <c r="K9906" s="343"/>
      <c r="L9906" s="343"/>
    </row>
    <row r="9907" spans="4:12" x14ac:dyDescent="0.2">
      <c r="D9907" s="341"/>
      <c r="F9907" s="343"/>
      <c r="G9907" s="343"/>
      <c r="H9907" s="343"/>
      <c r="I9907" s="343"/>
      <c r="J9907" s="343"/>
      <c r="K9907" s="343"/>
      <c r="L9907" s="343"/>
    </row>
    <row r="9908" spans="4:12" x14ac:dyDescent="0.2">
      <c r="D9908" s="341"/>
      <c r="F9908" s="343"/>
      <c r="G9908" s="343"/>
      <c r="H9908" s="343"/>
      <c r="I9908" s="343"/>
      <c r="J9908" s="343"/>
      <c r="K9908" s="343"/>
      <c r="L9908" s="343"/>
    </row>
    <row r="9909" spans="4:12" x14ac:dyDescent="0.2">
      <c r="D9909" s="341"/>
      <c r="F9909" s="343"/>
      <c r="G9909" s="343"/>
      <c r="H9909" s="343"/>
      <c r="I9909" s="343"/>
      <c r="J9909" s="343"/>
      <c r="K9909" s="343"/>
      <c r="L9909" s="343"/>
    </row>
    <row r="9910" spans="4:12" x14ac:dyDescent="0.2">
      <c r="D9910" s="341"/>
      <c r="F9910" s="343"/>
      <c r="G9910" s="343"/>
      <c r="H9910" s="343"/>
      <c r="I9910" s="343"/>
      <c r="J9910" s="343"/>
      <c r="K9910" s="343"/>
      <c r="L9910" s="343"/>
    </row>
    <row r="9911" spans="4:12" x14ac:dyDescent="0.2">
      <c r="D9911" s="341"/>
      <c r="F9911" s="343"/>
      <c r="G9911" s="343"/>
      <c r="H9911" s="343"/>
      <c r="I9911" s="343"/>
      <c r="J9911" s="343"/>
      <c r="K9911" s="343"/>
      <c r="L9911" s="343"/>
    </row>
    <row r="9912" spans="4:12" x14ac:dyDescent="0.2">
      <c r="D9912" s="341"/>
      <c r="F9912" s="343"/>
      <c r="G9912" s="343"/>
      <c r="H9912" s="343"/>
      <c r="I9912" s="343"/>
      <c r="J9912" s="343"/>
      <c r="K9912" s="343"/>
      <c r="L9912" s="343"/>
    </row>
    <row r="9913" spans="4:12" x14ac:dyDescent="0.2">
      <c r="D9913" s="341"/>
      <c r="F9913" s="343"/>
      <c r="G9913" s="343"/>
      <c r="H9913" s="343"/>
      <c r="I9913" s="343"/>
      <c r="J9913" s="343"/>
      <c r="K9913" s="343"/>
      <c r="L9913" s="343"/>
    </row>
    <row r="9914" spans="4:12" x14ac:dyDescent="0.2">
      <c r="D9914" s="341"/>
      <c r="F9914" s="343"/>
      <c r="G9914" s="343"/>
      <c r="H9914" s="343"/>
      <c r="I9914" s="343"/>
      <c r="J9914" s="343"/>
      <c r="K9914" s="343"/>
      <c r="L9914" s="343"/>
    </row>
    <row r="9915" spans="4:12" x14ac:dyDescent="0.2">
      <c r="D9915" s="341"/>
      <c r="F9915" s="343"/>
      <c r="G9915" s="343"/>
      <c r="H9915" s="343"/>
      <c r="I9915" s="343"/>
      <c r="J9915" s="343"/>
      <c r="K9915" s="343"/>
      <c r="L9915" s="343"/>
    </row>
    <row r="9916" spans="4:12" x14ac:dyDescent="0.2">
      <c r="D9916" s="341"/>
      <c r="F9916" s="343"/>
      <c r="G9916" s="343"/>
      <c r="H9916" s="343"/>
      <c r="I9916" s="343"/>
      <c r="J9916" s="343"/>
      <c r="K9916" s="343"/>
      <c r="L9916" s="343"/>
    </row>
    <row r="9917" spans="4:12" x14ac:dyDescent="0.2">
      <c r="D9917" s="341"/>
      <c r="F9917" s="343"/>
      <c r="G9917" s="343"/>
      <c r="H9917" s="343"/>
      <c r="I9917" s="343"/>
      <c r="J9917" s="343"/>
      <c r="K9917" s="343"/>
      <c r="L9917" s="343"/>
    </row>
    <row r="9918" spans="4:12" x14ac:dyDescent="0.2">
      <c r="D9918" s="341"/>
      <c r="F9918" s="343"/>
      <c r="G9918" s="343"/>
      <c r="H9918" s="343"/>
      <c r="I9918" s="343"/>
      <c r="J9918" s="343"/>
      <c r="K9918" s="343"/>
      <c r="L9918" s="343"/>
    </row>
    <row r="9919" spans="4:12" x14ac:dyDescent="0.2">
      <c r="D9919" s="341"/>
      <c r="F9919" s="343"/>
      <c r="G9919" s="343"/>
      <c r="H9919" s="343"/>
      <c r="I9919" s="343"/>
      <c r="J9919" s="343"/>
      <c r="K9919" s="343"/>
      <c r="L9919" s="343"/>
    </row>
    <row r="9920" spans="4:12" x14ac:dyDescent="0.2">
      <c r="D9920" s="341"/>
      <c r="F9920" s="343"/>
      <c r="G9920" s="343"/>
      <c r="H9920" s="343"/>
      <c r="I9920" s="343"/>
      <c r="J9920" s="343"/>
      <c r="K9920" s="343"/>
      <c r="L9920" s="343"/>
    </row>
    <row r="9921" spans="4:12" x14ac:dyDescent="0.2">
      <c r="D9921" s="341"/>
      <c r="F9921" s="343"/>
      <c r="G9921" s="343"/>
      <c r="H9921" s="343"/>
      <c r="I9921" s="343"/>
      <c r="J9921" s="343"/>
      <c r="K9921" s="343"/>
      <c r="L9921" s="343"/>
    </row>
    <row r="9922" spans="4:12" x14ac:dyDescent="0.2">
      <c r="D9922" s="341"/>
      <c r="F9922" s="343"/>
      <c r="G9922" s="343"/>
      <c r="H9922" s="343"/>
      <c r="I9922" s="343"/>
      <c r="J9922" s="343"/>
      <c r="K9922" s="343"/>
      <c r="L9922" s="343"/>
    </row>
    <row r="9923" spans="4:12" x14ac:dyDescent="0.2">
      <c r="D9923" s="341"/>
      <c r="F9923" s="343"/>
      <c r="G9923" s="343"/>
      <c r="H9923" s="343"/>
      <c r="I9923" s="343"/>
      <c r="J9923" s="343"/>
      <c r="K9923" s="343"/>
      <c r="L9923" s="343"/>
    </row>
    <row r="9924" spans="4:12" x14ac:dyDescent="0.2">
      <c r="D9924" s="341"/>
      <c r="F9924" s="343"/>
      <c r="G9924" s="343"/>
      <c r="H9924" s="343"/>
      <c r="I9924" s="343"/>
      <c r="J9924" s="343"/>
      <c r="K9924" s="343"/>
      <c r="L9924" s="343"/>
    </row>
    <row r="9925" spans="4:12" x14ac:dyDescent="0.2">
      <c r="D9925" s="341"/>
      <c r="F9925" s="343"/>
      <c r="G9925" s="343"/>
      <c r="H9925" s="343"/>
      <c r="I9925" s="343"/>
      <c r="J9925" s="343"/>
      <c r="K9925" s="343"/>
      <c r="L9925" s="343"/>
    </row>
    <row r="9926" spans="4:12" x14ac:dyDescent="0.2">
      <c r="D9926" s="341"/>
      <c r="F9926" s="343"/>
      <c r="G9926" s="343"/>
      <c r="H9926" s="343"/>
      <c r="I9926" s="343"/>
      <c r="J9926" s="343"/>
      <c r="K9926" s="343"/>
      <c r="L9926" s="343"/>
    </row>
    <row r="9927" spans="4:12" x14ac:dyDescent="0.2">
      <c r="D9927" s="341"/>
      <c r="F9927" s="343"/>
      <c r="G9927" s="343"/>
      <c r="H9927" s="343"/>
      <c r="I9927" s="343"/>
      <c r="J9927" s="343"/>
      <c r="K9927" s="343"/>
      <c r="L9927" s="343"/>
    </row>
    <row r="9928" spans="4:12" x14ac:dyDescent="0.2">
      <c r="D9928" s="341"/>
      <c r="F9928" s="343"/>
      <c r="G9928" s="343"/>
      <c r="H9928" s="343"/>
      <c r="I9928" s="343"/>
      <c r="J9928" s="343"/>
      <c r="K9928" s="343"/>
      <c r="L9928" s="343"/>
    </row>
    <row r="9929" spans="4:12" x14ac:dyDescent="0.2">
      <c r="D9929" s="341"/>
      <c r="F9929" s="343"/>
      <c r="G9929" s="343"/>
      <c r="H9929" s="343"/>
      <c r="I9929" s="343"/>
      <c r="J9929" s="343"/>
      <c r="K9929" s="343"/>
      <c r="L9929" s="343"/>
    </row>
    <row r="9930" spans="4:12" x14ac:dyDescent="0.2">
      <c r="D9930" s="341"/>
      <c r="F9930" s="343"/>
      <c r="G9930" s="343"/>
      <c r="H9930" s="343"/>
      <c r="I9930" s="343"/>
      <c r="J9930" s="343"/>
      <c r="K9930" s="343"/>
      <c r="L9930" s="343"/>
    </row>
    <row r="9931" spans="4:12" x14ac:dyDescent="0.2">
      <c r="D9931" s="341"/>
      <c r="F9931" s="343"/>
      <c r="G9931" s="343"/>
      <c r="H9931" s="343"/>
      <c r="I9931" s="343"/>
      <c r="J9931" s="343"/>
      <c r="K9931" s="343"/>
      <c r="L9931" s="343"/>
    </row>
    <row r="9932" spans="4:12" x14ac:dyDescent="0.2">
      <c r="D9932" s="341"/>
      <c r="F9932" s="343"/>
      <c r="G9932" s="343"/>
      <c r="H9932" s="343"/>
      <c r="I9932" s="343"/>
      <c r="J9932" s="343"/>
      <c r="K9932" s="343"/>
      <c r="L9932" s="343"/>
    </row>
    <row r="9933" spans="4:12" x14ac:dyDescent="0.2">
      <c r="D9933" s="341"/>
      <c r="F9933" s="343"/>
      <c r="G9933" s="343"/>
      <c r="H9933" s="343"/>
      <c r="I9933" s="343"/>
      <c r="J9933" s="343"/>
      <c r="K9933" s="343"/>
      <c r="L9933" s="343"/>
    </row>
    <row r="9934" spans="4:12" x14ac:dyDescent="0.2">
      <c r="D9934" s="341"/>
      <c r="F9934" s="343"/>
      <c r="G9934" s="343"/>
      <c r="H9934" s="343"/>
      <c r="I9934" s="343"/>
      <c r="J9934" s="343"/>
      <c r="K9934" s="343"/>
      <c r="L9934" s="343"/>
    </row>
    <row r="9935" spans="4:12" x14ac:dyDescent="0.2">
      <c r="D9935" s="341"/>
      <c r="F9935" s="343"/>
      <c r="G9935" s="343"/>
      <c r="H9935" s="343"/>
      <c r="I9935" s="343"/>
      <c r="J9935" s="343"/>
      <c r="K9935" s="343"/>
      <c r="L9935" s="343"/>
    </row>
    <row r="9936" spans="4:12" x14ac:dyDescent="0.2">
      <c r="D9936" s="341"/>
      <c r="F9936" s="343"/>
      <c r="G9936" s="343"/>
      <c r="H9936" s="343"/>
      <c r="I9936" s="343"/>
      <c r="J9936" s="343"/>
      <c r="K9936" s="343"/>
      <c r="L9936" s="343"/>
    </row>
    <row r="9937" spans="4:12" x14ac:dyDescent="0.2">
      <c r="D9937" s="341"/>
      <c r="F9937" s="343"/>
      <c r="G9937" s="343"/>
      <c r="H9937" s="343"/>
      <c r="I9937" s="343"/>
      <c r="J9937" s="343"/>
      <c r="K9937" s="343"/>
      <c r="L9937" s="343"/>
    </row>
    <row r="9938" spans="4:12" x14ac:dyDescent="0.2">
      <c r="D9938" s="341"/>
      <c r="F9938" s="343"/>
      <c r="G9938" s="343"/>
      <c r="H9938" s="343"/>
      <c r="I9938" s="343"/>
      <c r="J9938" s="343"/>
      <c r="K9938" s="343"/>
      <c r="L9938" s="343"/>
    </row>
    <row r="9939" spans="4:12" x14ac:dyDescent="0.2">
      <c r="D9939" s="341"/>
      <c r="F9939" s="343"/>
      <c r="G9939" s="343"/>
      <c r="H9939" s="343"/>
      <c r="I9939" s="343"/>
      <c r="J9939" s="343"/>
      <c r="K9939" s="343"/>
      <c r="L9939" s="343"/>
    </row>
    <row r="9940" spans="4:12" x14ac:dyDescent="0.2">
      <c r="D9940" s="341"/>
      <c r="F9940" s="343"/>
      <c r="G9940" s="343"/>
      <c r="H9940" s="343"/>
      <c r="I9940" s="343"/>
      <c r="J9940" s="343"/>
      <c r="K9940" s="343"/>
      <c r="L9940" s="343"/>
    </row>
    <row r="9941" spans="4:12" x14ac:dyDescent="0.2">
      <c r="D9941" s="341"/>
      <c r="F9941" s="343"/>
      <c r="G9941" s="343"/>
      <c r="H9941" s="343"/>
      <c r="I9941" s="343"/>
      <c r="J9941" s="343"/>
      <c r="K9941" s="343"/>
      <c r="L9941" s="343"/>
    </row>
    <row r="9942" spans="4:12" x14ac:dyDescent="0.2">
      <c r="D9942" s="341"/>
      <c r="F9942" s="343"/>
      <c r="G9942" s="343"/>
      <c r="H9942" s="343"/>
      <c r="I9942" s="343"/>
      <c r="J9942" s="343"/>
      <c r="K9942" s="343"/>
      <c r="L9942" s="343"/>
    </row>
    <row r="9943" spans="4:12" x14ac:dyDescent="0.2">
      <c r="D9943" s="341"/>
      <c r="F9943" s="343"/>
      <c r="G9943" s="343"/>
      <c r="H9943" s="343"/>
      <c r="I9943" s="343"/>
      <c r="J9943" s="343"/>
      <c r="K9943" s="343"/>
      <c r="L9943" s="343"/>
    </row>
    <row r="9944" spans="4:12" x14ac:dyDescent="0.2">
      <c r="D9944" s="341"/>
      <c r="F9944" s="343"/>
      <c r="G9944" s="343"/>
      <c r="H9944" s="343"/>
      <c r="I9944" s="343"/>
      <c r="J9944" s="343"/>
      <c r="K9944" s="343"/>
      <c r="L9944" s="343"/>
    </row>
    <row r="9945" spans="4:12" x14ac:dyDescent="0.2">
      <c r="D9945" s="341"/>
      <c r="F9945" s="343"/>
      <c r="G9945" s="343"/>
      <c r="H9945" s="343"/>
      <c r="I9945" s="343"/>
      <c r="J9945" s="343"/>
      <c r="K9945" s="343"/>
      <c r="L9945" s="343"/>
    </row>
    <row r="9946" spans="4:12" x14ac:dyDescent="0.2">
      <c r="D9946" s="341"/>
      <c r="F9946" s="343"/>
      <c r="G9946" s="343"/>
      <c r="H9946" s="343"/>
      <c r="I9946" s="343"/>
      <c r="J9946" s="343"/>
      <c r="K9946" s="343"/>
      <c r="L9946" s="343"/>
    </row>
    <row r="9947" spans="4:12" x14ac:dyDescent="0.2">
      <c r="D9947" s="341"/>
      <c r="F9947" s="343"/>
      <c r="G9947" s="343"/>
      <c r="H9947" s="343"/>
      <c r="I9947" s="343"/>
      <c r="J9947" s="343"/>
      <c r="K9947" s="343"/>
      <c r="L9947" s="343"/>
    </row>
    <row r="9948" spans="4:12" x14ac:dyDescent="0.2">
      <c r="D9948" s="341"/>
      <c r="F9948" s="343"/>
      <c r="G9948" s="343"/>
      <c r="H9948" s="343"/>
      <c r="I9948" s="343"/>
      <c r="J9948" s="343"/>
      <c r="K9948" s="343"/>
      <c r="L9948" s="343"/>
    </row>
    <row r="9949" spans="4:12" x14ac:dyDescent="0.2">
      <c r="D9949" s="341"/>
      <c r="F9949" s="343"/>
      <c r="G9949" s="343"/>
      <c r="H9949" s="343"/>
      <c r="I9949" s="343"/>
      <c r="J9949" s="343"/>
      <c r="K9949" s="343"/>
      <c r="L9949" s="343"/>
    </row>
    <row r="9950" spans="4:12" x14ac:dyDescent="0.2">
      <c r="D9950" s="341"/>
      <c r="F9950" s="343"/>
      <c r="G9950" s="343"/>
      <c r="H9950" s="343"/>
      <c r="I9950" s="343"/>
      <c r="J9950" s="343"/>
      <c r="K9950" s="343"/>
      <c r="L9950" s="343"/>
    </row>
    <row r="9951" spans="4:12" x14ac:dyDescent="0.2">
      <c r="D9951" s="341"/>
      <c r="F9951" s="343"/>
      <c r="G9951" s="343"/>
      <c r="H9951" s="343"/>
      <c r="I9951" s="343"/>
      <c r="J9951" s="343"/>
      <c r="K9951" s="343"/>
      <c r="L9951" s="343"/>
    </row>
    <row r="9952" spans="4:12" x14ac:dyDescent="0.2">
      <c r="D9952" s="341"/>
      <c r="F9952" s="343"/>
      <c r="G9952" s="343"/>
      <c r="H9952" s="343"/>
      <c r="I9952" s="343"/>
      <c r="J9952" s="343"/>
      <c r="K9952" s="343"/>
      <c r="L9952" s="343"/>
    </row>
    <row r="9953" spans="4:12" x14ac:dyDescent="0.2">
      <c r="D9953" s="341"/>
      <c r="F9953" s="343"/>
      <c r="G9953" s="343"/>
      <c r="H9953" s="343"/>
      <c r="I9953" s="343"/>
      <c r="J9953" s="343"/>
      <c r="K9953" s="343"/>
      <c r="L9953" s="343"/>
    </row>
    <row r="9954" spans="4:12" x14ac:dyDescent="0.2">
      <c r="D9954" s="341"/>
      <c r="F9954" s="343"/>
      <c r="G9954" s="343"/>
      <c r="H9954" s="343"/>
      <c r="I9954" s="343"/>
      <c r="J9954" s="343"/>
      <c r="K9954" s="343"/>
      <c r="L9954" s="343"/>
    </row>
    <row r="9955" spans="4:12" x14ac:dyDescent="0.2">
      <c r="D9955" s="341"/>
      <c r="F9955" s="343"/>
      <c r="G9955" s="343"/>
      <c r="H9955" s="343"/>
      <c r="I9955" s="343"/>
      <c r="J9955" s="343"/>
      <c r="K9955" s="343"/>
      <c r="L9955" s="343"/>
    </row>
    <row r="9956" spans="4:12" x14ac:dyDescent="0.2">
      <c r="D9956" s="341"/>
      <c r="F9956" s="343"/>
      <c r="G9956" s="343"/>
      <c r="H9956" s="343"/>
      <c r="I9956" s="343"/>
      <c r="J9956" s="343"/>
      <c r="K9956" s="343"/>
      <c r="L9956" s="343"/>
    </row>
    <row r="9957" spans="4:12" x14ac:dyDescent="0.2">
      <c r="D9957" s="341"/>
      <c r="F9957" s="343"/>
      <c r="G9957" s="343"/>
      <c r="H9957" s="343"/>
      <c r="I9957" s="343"/>
      <c r="J9957" s="343"/>
      <c r="K9957" s="343"/>
      <c r="L9957" s="343"/>
    </row>
    <row r="9958" spans="4:12" x14ac:dyDescent="0.2">
      <c r="D9958" s="341"/>
      <c r="F9958" s="343"/>
      <c r="G9958" s="343"/>
      <c r="H9958" s="343"/>
      <c r="I9958" s="343"/>
      <c r="J9958" s="343"/>
      <c r="K9958" s="343"/>
      <c r="L9958" s="343"/>
    </row>
    <row r="9959" spans="4:12" x14ac:dyDescent="0.2">
      <c r="D9959" s="341"/>
      <c r="F9959" s="343"/>
      <c r="G9959" s="343"/>
      <c r="H9959" s="343"/>
      <c r="I9959" s="343"/>
      <c r="J9959" s="343"/>
      <c r="K9959" s="343"/>
      <c r="L9959" s="343"/>
    </row>
    <row r="9960" spans="4:12" x14ac:dyDescent="0.2">
      <c r="D9960" s="341"/>
      <c r="F9960" s="343"/>
      <c r="G9960" s="343"/>
      <c r="H9960" s="343"/>
      <c r="I9960" s="343"/>
      <c r="J9960" s="343"/>
      <c r="K9960" s="343"/>
      <c r="L9960" s="343"/>
    </row>
    <row r="9961" spans="4:12" x14ac:dyDescent="0.2">
      <c r="D9961" s="341"/>
      <c r="F9961" s="343"/>
      <c r="G9961" s="343"/>
      <c r="H9961" s="343"/>
      <c r="I9961" s="343"/>
      <c r="J9961" s="343"/>
      <c r="K9961" s="343"/>
      <c r="L9961" s="343"/>
    </row>
    <row r="9962" spans="4:12" x14ac:dyDescent="0.2">
      <c r="D9962" s="341"/>
      <c r="F9962" s="343"/>
      <c r="G9962" s="343"/>
      <c r="H9962" s="343"/>
      <c r="I9962" s="343"/>
      <c r="J9962" s="343"/>
      <c r="K9962" s="343"/>
      <c r="L9962" s="343"/>
    </row>
    <row r="9963" spans="4:12" x14ac:dyDescent="0.2">
      <c r="D9963" s="341"/>
      <c r="F9963" s="343"/>
      <c r="G9963" s="343"/>
      <c r="H9963" s="343"/>
      <c r="I9963" s="343"/>
      <c r="J9963" s="343"/>
      <c r="K9963" s="343"/>
      <c r="L9963" s="343"/>
    </row>
    <row r="9964" spans="4:12" x14ac:dyDescent="0.2">
      <c r="D9964" s="341"/>
      <c r="F9964" s="343"/>
      <c r="G9964" s="343"/>
      <c r="H9964" s="343"/>
      <c r="I9964" s="343"/>
      <c r="J9964" s="343"/>
      <c r="K9964" s="343"/>
      <c r="L9964" s="343"/>
    </row>
    <row r="9965" spans="4:12" x14ac:dyDescent="0.2">
      <c r="D9965" s="341"/>
      <c r="F9965" s="343"/>
      <c r="G9965" s="343"/>
      <c r="H9965" s="343"/>
      <c r="I9965" s="343"/>
      <c r="J9965" s="343"/>
      <c r="K9965" s="343"/>
      <c r="L9965" s="343"/>
    </row>
    <row r="9966" spans="4:12" x14ac:dyDescent="0.2">
      <c r="D9966" s="341"/>
      <c r="F9966" s="343"/>
      <c r="G9966" s="343"/>
      <c r="H9966" s="343"/>
      <c r="I9966" s="343"/>
      <c r="J9966" s="343"/>
      <c r="K9966" s="343"/>
      <c r="L9966" s="343"/>
    </row>
    <row r="9967" spans="4:12" x14ac:dyDescent="0.2">
      <c r="D9967" s="341"/>
      <c r="F9967" s="343"/>
      <c r="G9967" s="343"/>
      <c r="H9967" s="343"/>
      <c r="I9967" s="343"/>
      <c r="J9967" s="343"/>
      <c r="K9967" s="343"/>
      <c r="L9967" s="343"/>
    </row>
    <row r="9968" spans="4:12" x14ac:dyDescent="0.2">
      <c r="D9968" s="341"/>
      <c r="F9968" s="343"/>
      <c r="G9968" s="343"/>
      <c r="H9968" s="343"/>
      <c r="I9968" s="343"/>
      <c r="J9968" s="343"/>
      <c r="K9968" s="343"/>
      <c r="L9968" s="343"/>
    </row>
    <row r="9969" spans="4:12" x14ac:dyDescent="0.2">
      <c r="D9969" s="341"/>
      <c r="F9969" s="343"/>
      <c r="G9969" s="343"/>
      <c r="H9969" s="343"/>
      <c r="I9969" s="343"/>
      <c r="J9969" s="343"/>
      <c r="K9969" s="343"/>
      <c r="L9969" s="343"/>
    </row>
    <row r="9970" spans="4:12" x14ac:dyDescent="0.2">
      <c r="D9970" s="341"/>
      <c r="F9970" s="343"/>
      <c r="G9970" s="343"/>
      <c r="H9970" s="343"/>
      <c r="I9970" s="343"/>
      <c r="J9970" s="343"/>
      <c r="K9970" s="343"/>
      <c r="L9970" s="343"/>
    </row>
    <row r="9971" spans="4:12" x14ac:dyDescent="0.2">
      <c r="D9971" s="341"/>
      <c r="F9971" s="343"/>
      <c r="G9971" s="343"/>
      <c r="H9971" s="343"/>
      <c r="I9971" s="343"/>
      <c r="J9971" s="343"/>
      <c r="K9971" s="343"/>
      <c r="L9971" s="343"/>
    </row>
    <row r="9972" spans="4:12" x14ac:dyDescent="0.2">
      <c r="D9972" s="341"/>
      <c r="F9972" s="343"/>
      <c r="G9972" s="343"/>
      <c r="H9972" s="343"/>
      <c r="I9972" s="343"/>
      <c r="J9972" s="343"/>
      <c r="K9972" s="343"/>
      <c r="L9972" s="343"/>
    </row>
    <row r="9973" spans="4:12" x14ac:dyDescent="0.2">
      <c r="D9973" s="341"/>
      <c r="F9973" s="343"/>
      <c r="G9973" s="343"/>
      <c r="H9973" s="343"/>
      <c r="I9973" s="343"/>
      <c r="J9973" s="343"/>
      <c r="K9973" s="343"/>
      <c r="L9973" s="343"/>
    </row>
    <row r="9974" spans="4:12" x14ac:dyDescent="0.2">
      <c r="D9974" s="341"/>
      <c r="F9974" s="343"/>
      <c r="G9974" s="343"/>
      <c r="H9974" s="343"/>
      <c r="I9974" s="343"/>
      <c r="J9974" s="343"/>
      <c r="K9974" s="343"/>
      <c r="L9974" s="343"/>
    </row>
    <row r="9975" spans="4:12" x14ac:dyDescent="0.2">
      <c r="D9975" s="341"/>
      <c r="F9975" s="343"/>
      <c r="G9975" s="343"/>
      <c r="H9975" s="343"/>
      <c r="I9975" s="343"/>
      <c r="J9975" s="343"/>
      <c r="K9975" s="343"/>
      <c r="L9975" s="343"/>
    </row>
    <row r="9976" spans="4:12" x14ac:dyDescent="0.2">
      <c r="D9976" s="341"/>
      <c r="F9976" s="343"/>
      <c r="G9976" s="343"/>
      <c r="H9976" s="343"/>
      <c r="I9976" s="343"/>
      <c r="J9976" s="343"/>
      <c r="K9976" s="343"/>
      <c r="L9976" s="343"/>
    </row>
    <row r="9977" spans="4:12" x14ac:dyDescent="0.2">
      <c r="D9977" s="341"/>
      <c r="F9977" s="343"/>
      <c r="G9977" s="343"/>
      <c r="H9977" s="343"/>
      <c r="I9977" s="343"/>
      <c r="J9977" s="343"/>
      <c r="K9977" s="343"/>
      <c r="L9977" s="343"/>
    </row>
    <row r="9978" spans="4:12" x14ac:dyDescent="0.2">
      <c r="D9978" s="341"/>
      <c r="F9978" s="343"/>
      <c r="G9978" s="343"/>
      <c r="H9978" s="343"/>
      <c r="I9978" s="343"/>
      <c r="J9978" s="343"/>
      <c r="K9978" s="343"/>
      <c r="L9978" s="343"/>
    </row>
    <row r="9979" spans="4:12" x14ac:dyDescent="0.2">
      <c r="D9979" s="341"/>
      <c r="F9979" s="343"/>
      <c r="G9979" s="343"/>
      <c r="H9979" s="343"/>
      <c r="I9979" s="343"/>
      <c r="J9979" s="343"/>
      <c r="K9979" s="343"/>
      <c r="L9979" s="343"/>
    </row>
    <row r="9980" spans="4:12" x14ac:dyDescent="0.2">
      <c r="D9980" s="341"/>
      <c r="F9980" s="343"/>
      <c r="G9980" s="343"/>
      <c r="H9980" s="343"/>
      <c r="I9980" s="343"/>
      <c r="J9980" s="343"/>
      <c r="K9980" s="343"/>
      <c r="L9980" s="343"/>
    </row>
    <row r="9981" spans="4:12" x14ac:dyDescent="0.2">
      <c r="D9981" s="341"/>
      <c r="F9981" s="343"/>
      <c r="G9981" s="343"/>
      <c r="H9981" s="343"/>
      <c r="I9981" s="343"/>
      <c r="J9981" s="343"/>
      <c r="K9981" s="343"/>
      <c r="L9981" s="343"/>
    </row>
    <row r="9982" spans="4:12" x14ac:dyDescent="0.2">
      <c r="D9982" s="341"/>
      <c r="F9982" s="343"/>
      <c r="G9982" s="343"/>
      <c r="H9982" s="343"/>
      <c r="I9982" s="343"/>
      <c r="J9982" s="343"/>
      <c r="K9982" s="343"/>
      <c r="L9982" s="343"/>
    </row>
    <row r="9983" spans="4:12" x14ac:dyDescent="0.2">
      <c r="D9983" s="341"/>
      <c r="F9983" s="343"/>
      <c r="G9983" s="343"/>
      <c r="H9983" s="343"/>
      <c r="I9983" s="343"/>
      <c r="J9983" s="343"/>
      <c r="K9983" s="343"/>
      <c r="L9983" s="343"/>
    </row>
    <row r="9984" spans="4:12" x14ac:dyDescent="0.2">
      <c r="D9984" s="341"/>
      <c r="F9984" s="343"/>
      <c r="G9984" s="343"/>
      <c r="H9984" s="343"/>
      <c r="I9984" s="343"/>
      <c r="J9984" s="343"/>
      <c r="K9984" s="343"/>
      <c r="L9984" s="343"/>
    </row>
    <row r="9985" spans="4:12" x14ac:dyDescent="0.2">
      <c r="D9985" s="341"/>
      <c r="F9985" s="343"/>
      <c r="G9985" s="343"/>
      <c r="H9985" s="343"/>
      <c r="I9985" s="343"/>
      <c r="J9985" s="343"/>
      <c r="K9985" s="343"/>
      <c r="L9985" s="343"/>
    </row>
    <row r="9986" spans="4:12" x14ac:dyDescent="0.2">
      <c r="D9986" s="341"/>
      <c r="F9986" s="343"/>
      <c r="G9986" s="343"/>
      <c r="H9986" s="343"/>
      <c r="I9986" s="343"/>
      <c r="J9986" s="343"/>
      <c r="K9986" s="343"/>
      <c r="L9986" s="343"/>
    </row>
    <row r="9987" spans="4:12" x14ac:dyDescent="0.2">
      <c r="D9987" s="341"/>
      <c r="F9987" s="343"/>
      <c r="G9987" s="343"/>
      <c r="H9987" s="343"/>
      <c r="I9987" s="343"/>
      <c r="J9987" s="343"/>
      <c r="K9987" s="343"/>
      <c r="L9987" s="343"/>
    </row>
    <row r="9988" spans="4:12" x14ac:dyDescent="0.2">
      <c r="D9988" s="341"/>
      <c r="F9988" s="343"/>
      <c r="G9988" s="343"/>
      <c r="H9988" s="343"/>
      <c r="I9988" s="343"/>
      <c r="J9988" s="343"/>
      <c r="K9988" s="343"/>
      <c r="L9988" s="343"/>
    </row>
    <row r="9989" spans="4:12" x14ac:dyDescent="0.2">
      <c r="D9989" s="341"/>
      <c r="F9989" s="343"/>
      <c r="G9989" s="343"/>
      <c r="H9989" s="343"/>
      <c r="I9989" s="343"/>
      <c r="J9989" s="343"/>
      <c r="K9989" s="343"/>
      <c r="L9989" s="343"/>
    </row>
    <row r="9990" spans="4:12" x14ac:dyDescent="0.2">
      <c r="D9990" s="341"/>
      <c r="F9990" s="343"/>
      <c r="G9990" s="343"/>
      <c r="H9990" s="343"/>
      <c r="I9990" s="343"/>
      <c r="J9990" s="343"/>
      <c r="K9990" s="343"/>
      <c r="L9990" s="343"/>
    </row>
    <row r="9991" spans="4:12" x14ac:dyDescent="0.2">
      <c r="D9991" s="341"/>
      <c r="F9991" s="343"/>
      <c r="G9991" s="343"/>
      <c r="H9991" s="343"/>
      <c r="I9991" s="343"/>
      <c r="J9991" s="343"/>
      <c r="K9991" s="343"/>
      <c r="L9991" s="343"/>
    </row>
    <row r="9992" spans="4:12" x14ac:dyDescent="0.2">
      <c r="D9992" s="341"/>
      <c r="F9992" s="343"/>
      <c r="G9992" s="343"/>
      <c r="H9992" s="343"/>
      <c r="I9992" s="343"/>
      <c r="J9992" s="343"/>
      <c r="K9992" s="343"/>
      <c r="L9992" s="343"/>
    </row>
    <row r="9993" spans="4:12" x14ac:dyDescent="0.2">
      <c r="D9993" s="341"/>
      <c r="F9993" s="343"/>
      <c r="G9993" s="343"/>
      <c r="H9993" s="343"/>
      <c r="I9993" s="343"/>
      <c r="J9993" s="343"/>
      <c r="K9993" s="343"/>
      <c r="L9993" s="343"/>
    </row>
    <row r="9994" spans="4:12" x14ac:dyDescent="0.2">
      <c r="D9994" s="341"/>
      <c r="F9994" s="343"/>
      <c r="G9994" s="343"/>
      <c r="H9994" s="343"/>
      <c r="I9994" s="343"/>
      <c r="J9994" s="343"/>
      <c r="K9994" s="343"/>
      <c r="L9994" s="343"/>
    </row>
    <row r="9995" spans="4:12" x14ac:dyDescent="0.2">
      <c r="D9995" s="341"/>
      <c r="F9995" s="343"/>
      <c r="G9995" s="343"/>
      <c r="H9995" s="343"/>
      <c r="I9995" s="343"/>
      <c r="J9995" s="343"/>
      <c r="K9995" s="343"/>
      <c r="L9995" s="343"/>
    </row>
    <row r="9996" spans="4:12" x14ac:dyDescent="0.2">
      <c r="D9996" s="341"/>
      <c r="F9996" s="343"/>
      <c r="G9996" s="343"/>
      <c r="H9996" s="343"/>
      <c r="I9996" s="343"/>
      <c r="J9996" s="343"/>
      <c r="K9996" s="343"/>
      <c r="L9996" s="343"/>
    </row>
    <row r="9997" spans="4:12" x14ac:dyDescent="0.2">
      <c r="D9997" s="341"/>
      <c r="F9997" s="343"/>
      <c r="G9997" s="343"/>
      <c r="H9997" s="343"/>
      <c r="I9997" s="343"/>
      <c r="J9997" s="343"/>
      <c r="K9997" s="343"/>
      <c r="L9997" s="343"/>
    </row>
    <row r="9998" spans="4:12" x14ac:dyDescent="0.2">
      <c r="D9998" s="341"/>
      <c r="F9998" s="343"/>
      <c r="G9998" s="343"/>
      <c r="H9998" s="343"/>
      <c r="I9998" s="343"/>
      <c r="J9998" s="343"/>
      <c r="K9998" s="343"/>
      <c r="L9998" s="343"/>
    </row>
    <row r="9999" spans="4:12" x14ac:dyDescent="0.2">
      <c r="D9999" s="341"/>
      <c r="F9999" s="343"/>
      <c r="G9999" s="343"/>
      <c r="H9999" s="343"/>
      <c r="I9999" s="343"/>
      <c r="J9999" s="343"/>
      <c r="K9999" s="343"/>
      <c r="L9999" s="343"/>
    </row>
    <row r="10000" spans="4:12" x14ac:dyDescent="0.2">
      <c r="D10000" s="341"/>
      <c r="F10000" s="343"/>
      <c r="G10000" s="343"/>
      <c r="H10000" s="343"/>
      <c r="I10000" s="343"/>
      <c r="J10000" s="343"/>
      <c r="K10000" s="343"/>
      <c r="L10000" s="343"/>
    </row>
    <row r="10001" spans="4:12" x14ac:dyDescent="0.2">
      <c r="D10001" s="341"/>
      <c r="F10001" s="343"/>
      <c r="G10001" s="343"/>
      <c r="H10001" s="343"/>
      <c r="I10001" s="343"/>
      <c r="J10001" s="343"/>
      <c r="K10001" s="343"/>
      <c r="L10001" s="343"/>
    </row>
    <row r="10002" spans="4:12" x14ac:dyDescent="0.2">
      <c r="D10002" s="341"/>
      <c r="F10002" s="343"/>
      <c r="G10002" s="343"/>
      <c r="H10002" s="343"/>
      <c r="I10002" s="343"/>
      <c r="J10002" s="343"/>
      <c r="K10002" s="343"/>
      <c r="L10002" s="343"/>
    </row>
    <row r="10003" spans="4:12" x14ac:dyDescent="0.2">
      <c r="D10003" s="341"/>
      <c r="F10003" s="343"/>
      <c r="G10003" s="343"/>
      <c r="H10003" s="343"/>
      <c r="I10003" s="343"/>
      <c r="J10003" s="343"/>
      <c r="K10003" s="343"/>
      <c r="L10003" s="343"/>
    </row>
    <row r="10004" spans="4:12" x14ac:dyDescent="0.2">
      <c r="D10004" s="341"/>
      <c r="F10004" s="343"/>
      <c r="G10004" s="343"/>
      <c r="H10004" s="343"/>
      <c r="I10004" s="343"/>
      <c r="J10004" s="343"/>
      <c r="K10004" s="343"/>
      <c r="L10004" s="343"/>
    </row>
    <row r="10005" spans="4:12" x14ac:dyDescent="0.2">
      <c r="D10005" s="341"/>
      <c r="F10005" s="343"/>
      <c r="G10005" s="343"/>
      <c r="H10005" s="343"/>
      <c r="I10005" s="343"/>
      <c r="J10005" s="343"/>
      <c r="K10005" s="343"/>
      <c r="L10005" s="343"/>
    </row>
    <row r="10006" spans="4:12" x14ac:dyDescent="0.2">
      <c r="D10006" s="341"/>
      <c r="F10006" s="343"/>
      <c r="G10006" s="343"/>
      <c r="H10006" s="343"/>
      <c r="I10006" s="343"/>
      <c r="J10006" s="343"/>
      <c r="K10006" s="343"/>
      <c r="L10006" s="343"/>
    </row>
    <row r="10007" spans="4:12" x14ac:dyDescent="0.2">
      <c r="D10007" s="341"/>
      <c r="F10007" s="343"/>
      <c r="G10007" s="343"/>
      <c r="H10007" s="343"/>
      <c r="I10007" s="343"/>
      <c r="J10007" s="343"/>
      <c r="K10007" s="343"/>
      <c r="L10007" s="343"/>
    </row>
    <row r="10008" spans="4:12" x14ac:dyDescent="0.2">
      <c r="D10008" s="341"/>
      <c r="F10008" s="343"/>
      <c r="G10008" s="343"/>
      <c r="H10008" s="343"/>
      <c r="I10008" s="343"/>
      <c r="J10008" s="343"/>
      <c r="K10008" s="343"/>
      <c r="L10008" s="343"/>
    </row>
    <row r="10009" spans="4:12" x14ac:dyDescent="0.2">
      <c r="D10009" s="341"/>
      <c r="F10009" s="343"/>
      <c r="G10009" s="343"/>
      <c r="H10009" s="343"/>
      <c r="I10009" s="343"/>
      <c r="J10009" s="343"/>
      <c r="K10009" s="343"/>
      <c r="L10009" s="343"/>
    </row>
    <row r="10010" spans="4:12" x14ac:dyDescent="0.2">
      <c r="D10010" s="341"/>
      <c r="F10010" s="343"/>
      <c r="G10010" s="343"/>
      <c r="H10010" s="343"/>
      <c r="I10010" s="343"/>
      <c r="J10010" s="343"/>
      <c r="K10010" s="343"/>
      <c r="L10010" s="343"/>
    </row>
    <row r="10011" spans="4:12" x14ac:dyDescent="0.2">
      <c r="D10011" s="341"/>
      <c r="F10011" s="343"/>
      <c r="G10011" s="343"/>
      <c r="H10011" s="343"/>
      <c r="I10011" s="343"/>
      <c r="J10011" s="343"/>
      <c r="K10011" s="343"/>
      <c r="L10011" s="343"/>
    </row>
    <row r="10012" spans="4:12" x14ac:dyDescent="0.2">
      <c r="D10012" s="341"/>
      <c r="F10012" s="343"/>
      <c r="G10012" s="343"/>
      <c r="H10012" s="343"/>
      <c r="I10012" s="343"/>
      <c r="J10012" s="343"/>
      <c r="K10012" s="343"/>
      <c r="L10012" s="343"/>
    </row>
    <row r="10013" spans="4:12" x14ac:dyDescent="0.2">
      <c r="D10013" s="341"/>
      <c r="F10013" s="343"/>
      <c r="G10013" s="343"/>
      <c r="H10013" s="343"/>
      <c r="I10013" s="343"/>
      <c r="J10013" s="343"/>
      <c r="K10013" s="343"/>
      <c r="L10013" s="343"/>
    </row>
    <row r="10014" spans="4:12" x14ac:dyDescent="0.2">
      <c r="D10014" s="341"/>
      <c r="F10014" s="343"/>
      <c r="G10014" s="343"/>
      <c r="H10014" s="343"/>
      <c r="I10014" s="343"/>
      <c r="J10014" s="343"/>
      <c r="K10014" s="343"/>
      <c r="L10014" s="343"/>
    </row>
    <row r="10015" spans="4:12" x14ac:dyDescent="0.2">
      <c r="D10015" s="341"/>
      <c r="F10015" s="343"/>
      <c r="G10015" s="343"/>
      <c r="H10015" s="343"/>
      <c r="I10015" s="343"/>
      <c r="J10015" s="343"/>
      <c r="K10015" s="343"/>
      <c r="L10015" s="343"/>
    </row>
    <row r="10016" spans="4:12" x14ac:dyDescent="0.2">
      <c r="D10016" s="341"/>
      <c r="F10016" s="343"/>
      <c r="G10016" s="343"/>
      <c r="H10016" s="343"/>
      <c r="I10016" s="343"/>
      <c r="J10016" s="343"/>
      <c r="K10016" s="343"/>
      <c r="L10016" s="343"/>
    </row>
    <row r="10017" spans="4:12" x14ac:dyDescent="0.2">
      <c r="D10017" s="341"/>
      <c r="F10017" s="343"/>
      <c r="G10017" s="343"/>
      <c r="H10017" s="343"/>
      <c r="I10017" s="343"/>
      <c r="J10017" s="343"/>
      <c r="K10017" s="343"/>
      <c r="L10017" s="343"/>
    </row>
    <row r="10018" spans="4:12" x14ac:dyDescent="0.2">
      <c r="D10018" s="341"/>
      <c r="F10018" s="343"/>
      <c r="G10018" s="343"/>
      <c r="H10018" s="343"/>
      <c r="I10018" s="343"/>
      <c r="J10018" s="343"/>
      <c r="K10018" s="343"/>
      <c r="L10018" s="343"/>
    </row>
    <row r="10019" spans="4:12" x14ac:dyDescent="0.2">
      <c r="D10019" s="341"/>
      <c r="F10019" s="343"/>
      <c r="G10019" s="343"/>
      <c r="H10019" s="343"/>
      <c r="I10019" s="343"/>
      <c r="J10019" s="343"/>
      <c r="K10019" s="343"/>
      <c r="L10019" s="343"/>
    </row>
    <row r="10020" spans="4:12" x14ac:dyDescent="0.2">
      <c r="D10020" s="341"/>
      <c r="F10020" s="343"/>
      <c r="G10020" s="343"/>
      <c r="H10020" s="343"/>
      <c r="I10020" s="343"/>
      <c r="J10020" s="343"/>
      <c r="K10020" s="343"/>
      <c r="L10020" s="343"/>
    </row>
    <row r="10021" spans="4:12" x14ac:dyDescent="0.2">
      <c r="D10021" s="341"/>
      <c r="F10021" s="343"/>
      <c r="G10021" s="343"/>
      <c r="H10021" s="343"/>
      <c r="I10021" s="343"/>
      <c r="J10021" s="343"/>
      <c r="K10021" s="343"/>
      <c r="L10021" s="343"/>
    </row>
    <row r="10022" spans="4:12" x14ac:dyDescent="0.2">
      <c r="D10022" s="341"/>
      <c r="F10022" s="343"/>
      <c r="G10022" s="343"/>
      <c r="H10022" s="343"/>
      <c r="I10022" s="343"/>
      <c r="J10022" s="343"/>
      <c r="K10022" s="343"/>
      <c r="L10022" s="343"/>
    </row>
    <row r="10023" spans="4:12" x14ac:dyDescent="0.2">
      <c r="D10023" s="341"/>
      <c r="F10023" s="343"/>
      <c r="G10023" s="343"/>
      <c r="H10023" s="343"/>
      <c r="I10023" s="343"/>
      <c r="J10023" s="343"/>
      <c r="K10023" s="343"/>
      <c r="L10023" s="343"/>
    </row>
    <row r="10024" spans="4:12" x14ac:dyDescent="0.2">
      <c r="D10024" s="341"/>
      <c r="F10024" s="343"/>
      <c r="G10024" s="343"/>
      <c r="H10024" s="343"/>
      <c r="I10024" s="343"/>
      <c r="J10024" s="343"/>
      <c r="K10024" s="343"/>
      <c r="L10024" s="343"/>
    </row>
    <row r="10025" spans="4:12" x14ac:dyDescent="0.2">
      <c r="D10025" s="341"/>
      <c r="F10025" s="343"/>
      <c r="G10025" s="343"/>
      <c r="H10025" s="343"/>
      <c r="I10025" s="343"/>
      <c r="J10025" s="343"/>
      <c r="K10025" s="343"/>
      <c r="L10025" s="343"/>
    </row>
    <row r="10026" spans="4:12" x14ac:dyDescent="0.2">
      <c r="D10026" s="341"/>
      <c r="F10026" s="343"/>
      <c r="G10026" s="343"/>
      <c r="H10026" s="343"/>
      <c r="I10026" s="343"/>
      <c r="J10026" s="343"/>
      <c r="K10026" s="343"/>
      <c r="L10026" s="343"/>
    </row>
    <row r="10027" spans="4:12" x14ac:dyDescent="0.2">
      <c r="D10027" s="341"/>
      <c r="F10027" s="343"/>
      <c r="G10027" s="343"/>
      <c r="H10027" s="343"/>
      <c r="I10027" s="343"/>
      <c r="J10027" s="343"/>
      <c r="K10027" s="343"/>
      <c r="L10027" s="343"/>
    </row>
    <row r="10028" spans="4:12" x14ac:dyDescent="0.2">
      <c r="D10028" s="341"/>
      <c r="F10028" s="343"/>
      <c r="G10028" s="343"/>
      <c r="H10028" s="343"/>
      <c r="I10028" s="343"/>
      <c r="J10028" s="343"/>
      <c r="K10028" s="343"/>
      <c r="L10028" s="343"/>
    </row>
    <row r="10029" spans="4:12" x14ac:dyDescent="0.2">
      <c r="D10029" s="341"/>
      <c r="F10029" s="343"/>
      <c r="G10029" s="343"/>
      <c r="H10029" s="343"/>
      <c r="I10029" s="343"/>
      <c r="J10029" s="343"/>
      <c r="K10029" s="343"/>
      <c r="L10029" s="343"/>
    </row>
    <row r="10030" spans="4:12" x14ac:dyDescent="0.2">
      <c r="D10030" s="341"/>
      <c r="F10030" s="343"/>
      <c r="G10030" s="343"/>
      <c r="H10030" s="343"/>
      <c r="I10030" s="343"/>
      <c r="J10030" s="343"/>
      <c r="K10030" s="343"/>
      <c r="L10030" s="343"/>
    </row>
    <row r="10031" spans="4:12" x14ac:dyDescent="0.2">
      <c r="D10031" s="341"/>
      <c r="F10031" s="343"/>
      <c r="G10031" s="343"/>
      <c r="H10031" s="343"/>
      <c r="I10031" s="343"/>
      <c r="J10031" s="343"/>
      <c r="K10031" s="343"/>
      <c r="L10031" s="343"/>
    </row>
    <row r="10032" spans="4:12" x14ac:dyDescent="0.2">
      <c r="D10032" s="341"/>
      <c r="F10032" s="343"/>
      <c r="G10032" s="343"/>
      <c r="H10032" s="343"/>
      <c r="I10032" s="343"/>
      <c r="J10032" s="343"/>
      <c r="K10032" s="343"/>
      <c r="L10032" s="343"/>
    </row>
    <row r="10033" spans="4:12" x14ac:dyDescent="0.2">
      <c r="D10033" s="341"/>
      <c r="F10033" s="343"/>
      <c r="G10033" s="343"/>
      <c r="H10033" s="343"/>
      <c r="I10033" s="343"/>
      <c r="J10033" s="343"/>
      <c r="K10033" s="343"/>
      <c r="L10033" s="343"/>
    </row>
    <row r="10034" spans="4:12" x14ac:dyDescent="0.2">
      <c r="D10034" s="341"/>
      <c r="F10034" s="343"/>
      <c r="G10034" s="343"/>
      <c r="H10034" s="343"/>
      <c r="I10034" s="343"/>
      <c r="J10034" s="343"/>
      <c r="K10034" s="343"/>
      <c r="L10034" s="343"/>
    </row>
    <row r="10035" spans="4:12" x14ac:dyDescent="0.2">
      <c r="D10035" s="341"/>
      <c r="F10035" s="343"/>
      <c r="G10035" s="343"/>
      <c r="H10035" s="343"/>
      <c r="I10035" s="343"/>
      <c r="J10035" s="343"/>
      <c r="K10035" s="343"/>
      <c r="L10035" s="343"/>
    </row>
    <row r="10036" spans="4:12" x14ac:dyDescent="0.2">
      <c r="D10036" s="341"/>
      <c r="F10036" s="343"/>
      <c r="G10036" s="343"/>
      <c r="H10036" s="343"/>
      <c r="I10036" s="343"/>
      <c r="J10036" s="343"/>
      <c r="K10036" s="343"/>
      <c r="L10036" s="343"/>
    </row>
    <row r="10037" spans="4:12" x14ac:dyDescent="0.2">
      <c r="D10037" s="341"/>
      <c r="F10037" s="343"/>
      <c r="G10037" s="343"/>
      <c r="H10037" s="343"/>
      <c r="I10037" s="343"/>
      <c r="J10037" s="343"/>
      <c r="K10037" s="343"/>
      <c r="L10037" s="343"/>
    </row>
    <row r="10038" spans="4:12" x14ac:dyDescent="0.2">
      <c r="D10038" s="341"/>
      <c r="F10038" s="343"/>
      <c r="G10038" s="343"/>
      <c r="H10038" s="343"/>
      <c r="I10038" s="343"/>
      <c r="J10038" s="343"/>
      <c r="K10038" s="343"/>
      <c r="L10038" s="343"/>
    </row>
    <row r="10039" spans="4:12" x14ac:dyDescent="0.2">
      <c r="D10039" s="341"/>
      <c r="F10039" s="343"/>
      <c r="G10039" s="343"/>
      <c r="H10039" s="343"/>
      <c r="I10039" s="343"/>
      <c r="J10039" s="343"/>
      <c r="K10039" s="343"/>
      <c r="L10039" s="343"/>
    </row>
    <row r="10040" spans="4:12" x14ac:dyDescent="0.2">
      <c r="D10040" s="341"/>
      <c r="F10040" s="343"/>
      <c r="G10040" s="343"/>
      <c r="H10040" s="343"/>
      <c r="I10040" s="343"/>
      <c r="J10040" s="343"/>
      <c r="K10040" s="343"/>
      <c r="L10040" s="343"/>
    </row>
    <row r="10041" spans="4:12" x14ac:dyDescent="0.2">
      <c r="D10041" s="341"/>
      <c r="F10041" s="343"/>
      <c r="G10041" s="343"/>
      <c r="H10041" s="343"/>
      <c r="I10041" s="343"/>
      <c r="J10041" s="343"/>
      <c r="K10041" s="343"/>
      <c r="L10041" s="343"/>
    </row>
    <row r="10042" spans="4:12" x14ac:dyDescent="0.2">
      <c r="D10042" s="341"/>
      <c r="F10042" s="343"/>
      <c r="G10042" s="343"/>
      <c r="H10042" s="343"/>
      <c r="I10042" s="343"/>
      <c r="J10042" s="343"/>
      <c r="K10042" s="343"/>
      <c r="L10042" s="343"/>
    </row>
    <row r="10043" spans="4:12" x14ac:dyDescent="0.2">
      <c r="D10043" s="341"/>
      <c r="F10043" s="343"/>
      <c r="G10043" s="343"/>
      <c r="H10043" s="343"/>
      <c r="I10043" s="343"/>
      <c r="J10043" s="343"/>
      <c r="K10043" s="343"/>
      <c r="L10043" s="343"/>
    </row>
    <row r="10044" spans="4:12" x14ac:dyDescent="0.2">
      <c r="D10044" s="341"/>
      <c r="F10044" s="343"/>
      <c r="G10044" s="343"/>
      <c r="H10044" s="343"/>
      <c r="I10044" s="343"/>
      <c r="J10044" s="343"/>
      <c r="K10044" s="343"/>
      <c r="L10044" s="343"/>
    </row>
    <row r="10045" spans="4:12" x14ac:dyDescent="0.2">
      <c r="D10045" s="341"/>
      <c r="F10045" s="343"/>
      <c r="G10045" s="343"/>
      <c r="H10045" s="343"/>
      <c r="I10045" s="343"/>
      <c r="J10045" s="343"/>
      <c r="K10045" s="343"/>
      <c r="L10045" s="343"/>
    </row>
    <row r="10046" spans="4:12" x14ac:dyDescent="0.2">
      <c r="D10046" s="341"/>
      <c r="F10046" s="343"/>
      <c r="G10046" s="343"/>
      <c r="H10046" s="343"/>
      <c r="I10046" s="343"/>
      <c r="J10046" s="343"/>
      <c r="K10046" s="343"/>
      <c r="L10046" s="343"/>
    </row>
    <row r="10047" spans="4:12" x14ac:dyDescent="0.2">
      <c r="D10047" s="341"/>
      <c r="F10047" s="343"/>
      <c r="G10047" s="343"/>
      <c r="H10047" s="343"/>
      <c r="I10047" s="343"/>
      <c r="J10047" s="343"/>
      <c r="K10047" s="343"/>
      <c r="L10047" s="343"/>
    </row>
    <row r="10048" spans="4:12" x14ac:dyDescent="0.2">
      <c r="D10048" s="341"/>
      <c r="F10048" s="343"/>
      <c r="G10048" s="343"/>
      <c r="H10048" s="343"/>
      <c r="I10048" s="343"/>
      <c r="J10048" s="343"/>
      <c r="K10048" s="343"/>
      <c r="L10048" s="343"/>
    </row>
    <row r="10049" spans="4:12" x14ac:dyDescent="0.2">
      <c r="D10049" s="341"/>
      <c r="F10049" s="343"/>
      <c r="G10049" s="343"/>
      <c r="H10049" s="343"/>
      <c r="I10049" s="343"/>
      <c r="J10049" s="343"/>
      <c r="K10049" s="343"/>
      <c r="L10049" s="343"/>
    </row>
    <row r="10050" spans="4:12" x14ac:dyDescent="0.2">
      <c r="D10050" s="341"/>
      <c r="F10050" s="343"/>
      <c r="G10050" s="343"/>
      <c r="H10050" s="343"/>
      <c r="I10050" s="343"/>
      <c r="J10050" s="343"/>
      <c r="K10050" s="343"/>
      <c r="L10050" s="343"/>
    </row>
    <row r="10051" spans="4:12" x14ac:dyDescent="0.2">
      <c r="D10051" s="341"/>
      <c r="F10051" s="343"/>
      <c r="G10051" s="343"/>
      <c r="H10051" s="343"/>
      <c r="I10051" s="343"/>
      <c r="J10051" s="343"/>
      <c r="K10051" s="343"/>
      <c r="L10051" s="343"/>
    </row>
    <row r="10052" spans="4:12" x14ac:dyDescent="0.2">
      <c r="D10052" s="341"/>
      <c r="F10052" s="343"/>
      <c r="G10052" s="343"/>
      <c r="H10052" s="343"/>
      <c r="I10052" s="343"/>
      <c r="J10052" s="343"/>
      <c r="K10052" s="343"/>
      <c r="L10052" s="343"/>
    </row>
    <row r="10053" spans="4:12" x14ac:dyDescent="0.2">
      <c r="D10053" s="341"/>
      <c r="F10053" s="343"/>
      <c r="G10053" s="343"/>
      <c r="H10053" s="343"/>
      <c r="I10053" s="343"/>
      <c r="J10053" s="343"/>
      <c r="K10053" s="343"/>
      <c r="L10053" s="343"/>
    </row>
    <row r="10054" spans="4:12" x14ac:dyDescent="0.2">
      <c r="D10054" s="341"/>
      <c r="F10054" s="343"/>
      <c r="G10054" s="343"/>
      <c r="H10054" s="343"/>
      <c r="I10054" s="343"/>
      <c r="J10054" s="343"/>
      <c r="K10054" s="343"/>
      <c r="L10054" s="343"/>
    </row>
    <row r="10055" spans="4:12" x14ac:dyDescent="0.2">
      <c r="D10055" s="341"/>
      <c r="F10055" s="343"/>
      <c r="G10055" s="343"/>
      <c r="H10055" s="343"/>
      <c r="I10055" s="343"/>
      <c r="J10055" s="343"/>
      <c r="K10055" s="343"/>
      <c r="L10055" s="343"/>
    </row>
    <row r="10056" spans="4:12" x14ac:dyDescent="0.2">
      <c r="D10056" s="341"/>
      <c r="F10056" s="343"/>
      <c r="G10056" s="343"/>
      <c r="H10056" s="343"/>
      <c r="I10056" s="343"/>
      <c r="J10056" s="343"/>
      <c r="K10056" s="343"/>
      <c r="L10056" s="343"/>
    </row>
    <row r="10057" spans="4:12" x14ac:dyDescent="0.2">
      <c r="D10057" s="341"/>
      <c r="F10057" s="343"/>
      <c r="G10057" s="343"/>
      <c r="H10057" s="343"/>
      <c r="I10057" s="343"/>
      <c r="J10057" s="343"/>
      <c r="K10057" s="343"/>
      <c r="L10057" s="343"/>
    </row>
    <row r="10058" spans="4:12" x14ac:dyDescent="0.2">
      <c r="D10058" s="341"/>
      <c r="F10058" s="343"/>
      <c r="G10058" s="343"/>
      <c r="H10058" s="343"/>
      <c r="I10058" s="343"/>
      <c r="J10058" s="343"/>
      <c r="K10058" s="343"/>
      <c r="L10058" s="343"/>
    </row>
    <row r="10059" spans="4:12" x14ac:dyDescent="0.2">
      <c r="D10059" s="341"/>
      <c r="F10059" s="343"/>
      <c r="G10059" s="343"/>
      <c r="H10059" s="343"/>
      <c r="I10059" s="343"/>
      <c r="J10059" s="343"/>
      <c r="K10059" s="343"/>
      <c r="L10059" s="343"/>
    </row>
    <row r="10060" spans="4:12" x14ac:dyDescent="0.2">
      <c r="D10060" s="341"/>
      <c r="F10060" s="343"/>
      <c r="G10060" s="343"/>
      <c r="H10060" s="343"/>
      <c r="I10060" s="343"/>
      <c r="J10060" s="343"/>
      <c r="K10060" s="343"/>
      <c r="L10060" s="343"/>
    </row>
    <row r="10061" spans="4:12" x14ac:dyDescent="0.2">
      <c r="D10061" s="341"/>
      <c r="F10061" s="343"/>
      <c r="G10061" s="343"/>
      <c r="H10061" s="343"/>
      <c r="I10061" s="343"/>
      <c r="J10061" s="343"/>
      <c r="K10061" s="343"/>
      <c r="L10061" s="343"/>
    </row>
    <row r="10062" spans="4:12" x14ac:dyDescent="0.2">
      <c r="D10062" s="341"/>
      <c r="F10062" s="343"/>
      <c r="G10062" s="343"/>
      <c r="H10062" s="343"/>
      <c r="I10062" s="343"/>
      <c r="J10062" s="343"/>
      <c r="K10062" s="343"/>
      <c r="L10062" s="343"/>
    </row>
    <row r="10063" spans="4:12" x14ac:dyDescent="0.2">
      <c r="D10063" s="341"/>
      <c r="F10063" s="343"/>
      <c r="G10063" s="343"/>
      <c r="H10063" s="343"/>
      <c r="I10063" s="343"/>
      <c r="J10063" s="343"/>
      <c r="K10063" s="343"/>
      <c r="L10063" s="343"/>
    </row>
    <row r="10064" spans="4:12" x14ac:dyDescent="0.2">
      <c r="D10064" s="341"/>
      <c r="F10064" s="343"/>
      <c r="G10064" s="343"/>
      <c r="H10064" s="343"/>
      <c r="I10064" s="343"/>
      <c r="J10064" s="343"/>
      <c r="K10064" s="343"/>
      <c r="L10064" s="343"/>
    </row>
    <row r="10065" spans="4:12" x14ac:dyDescent="0.2">
      <c r="D10065" s="341"/>
      <c r="F10065" s="343"/>
      <c r="G10065" s="343"/>
      <c r="H10065" s="343"/>
      <c r="I10065" s="343"/>
      <c r="J10065" s="343"/>
      <c r="K10065" s="343"/>
      <c r="L10065" s="343"/>
    </row>
    <row r="10066" spans="4:12" x14ac:dyDescent="0.2">
      <c r="D10066" s="341"/>
      <c r="F10066" s="343"/>
      <c r="G10066" s="343"/>
      <c r="H10066" s="343"/>
      <c r="I10066" s="343"/>
      <c r="J10066" s="343"/>
      <c r="K10066" s="343"/>
      <c r="L10066" s="343"/>
    </row>
    <row r="10067" spans="4:12" x14ac:dyDescent="0.2">
      <c r="D10067" s="341"/>
      <c r="F10067" s="343"/>
      <c r="G10067" s="343"/>
      <c r="H10067" s="343"/>
      <c r="I10067" s="343"/>
      <c r="J10067" s="343"/>
      <c r="K10067" s="343"/>
      <c r="L10067" s="343"/>
    </row>
    <row r="10068" spans="4:12" x14ac:dyDescent="0.2">
      <c r="D10068" s="341"/>
      <c r="F10068" s="343"/>
      <c r="G10068" s="343"/>
      <c r="H10068" s="343"/>
      <c r="I10068" s="343"/>
      <c r="J10068" s="343"/>
      <c r="K10068" s="343"/>
      <c r="L10068" s="343"/>
    </row>
    <row r="10069" spans="4:12" x14ac:dyDescent="0.2">
      <c r="D10069" s="341"/>
      <c r="F10069" s="343"/>
      <c r="G10069" s="343"/>
      <c r="H10069" s="343"/>
      <c r="I10069" s="343"/>
      <c r="J10069" s="343"/>
      <c r="K10069" s="343"/>
      <c r="L10069" s="343"/>
    </row>
    <row r="10070" spans="4:12" x14ac:dyDescent="0.2">
      <c r="D10070" s="341"/>
      <c r="F10070" s="343"/>
      <c r="G10070" s="343"/>
      <c r="H10070" s="343"/>
      <c r="I10070" s="343"/>
      <c r="J10070" s="343"/>
      <c r="K10070" s="343"/>
      <c r="L10070" s="343"/>
    </row>
    <row r="10071" spans="4:12" x14ac:dyDescent="0.2">
      <c r="D10071" s="341"/>
      <c r="F10071" s="343"/>
      <c r="G10071" s="343"/>
      <c r="H10071" s="343"/>
      <c r="I10071" s="343"/>
      <c r="J10071" s="343"/>
      <c r="K10071" s="343"/>
      <c r="L10071" s="343"/>
    </row>
    <row r="10072" spans="4:12" x14ac:dyDescent="0.2">
      <c r="D10072" s="341"/>
      <c r="F10072" s="343"/>
      <c r="G10072" s="343"/>
      <c r="H10072" s="343"/>
      <c r="I10072" s="343"/>
      <c r="J10072" s="343"/>
      <c r="K10072" s="343"/>
      <c r="L10072" s="343"/>
    </row>
    <row r="10073" spans="4:12" x14ac:dyDescent="0.2">
      <c r="D10073" s="341"/>
      <c r="F10073" s="343"/>
      <c r="G10073" s="343"/>
      <c r="H10073" s="343"/>
      <c r="I10073" s="343"/>
      <c r="J10073" s="343"/>
      <c r="K10073" s="343"/>
      <c r="L10073" s="343"/>
    </row>
    <row r="10074" spans="4:12" x14ac:dyDescent="0.2">
      <c r="D10074" s="341"/>
      <c r="F10074" s="343"/>
      <c r="G10074" s="343"/>
      <c r="H10074" s="343"/>
      <c r="I10074" s="343"/>
      <c r="J10074" s="343"/>
      <c r="K10074" s="343"/>
      <c r="L10074" s="343"/>
    </row>
    <row r="10075" spans="4:12" x14ac:dyDescent="0.2">
      <c r="D10075" s="341"/>
      <c r="F10075" s="343"/>
      <c r="G10075" s="343"/>
      <c r="H10075" s="343"/>
      <c r="I10075" s="343"/>
      <c r="J10075" s="343"/>
      <c r="K10075" s="343"/>
      <c r="L10075" s="343"/>
    </row>
    <row r="10076" spans="4:12" x14ac:dyDescent="0.2">
      <c r="D10076" s="341"/>
      <c r="F10076" s="343"/>
      <c r="G10076" s="343"/>
      <c r="H10076" s="343"/>
      <c r="I10076" s="343"/>
      <c r="J10076" s="343"/>
      <c r="K10076" s="343"/>
      <c r="L10076" s="343"/>
    </row>
    <row r="10077" spans="4:12" x14ac:dyDescent="0.2">
      <c r="D10077" s="341"/>
      <c r="F10077" s="343"/>
      <c r="G10077" s="343"/>
      <c r="H10077" s="343"/>
      <c r="I10077" s="343"/>
      <c r="J10077" s="343"/>
      <c r="K10077" s="343"/>
      <c r="L10077" s="343"/>
    </row>
    <row r="10078" spans="4:12" x14ac:dyDescent="0.2">
      <c r="D10078" s="341"/>
      <c r="F10078" s="343"/>
      <c r="G10078" s="343"/>
      <c r="H10078" s="343"/>
      <c r="I10078" s="343"/>
      <c r="J10078" s="343"/>
      <c r="K10078" s="343"/>
      <c r="L10078" s="343"/>
    </row>
    <row r="10079" spans="4:12" x14ac:dyDescent="0.2">
      <c r="D10079" s="341"/>
      <c r="F10079" s="343"/>
      <c r="G10079" s="343"/>
      <c r="H10079" s="343"/>
      <c r="I10079" s="343"/>
      <c r="J10079" s="343"/>
      <c r="K10079" s="343"/>
      <c r="L10079" s="343"/>
    </row>
    <row r="10080" spans="4:12" x14ac:dyDescent="0.2">
      <c r="D10080" s="341"/>
      <c r="F10080" s="343"/>
      <c r="G10080" s="343"/>
      <c r="H10080" s="343"/>
      <c r="I10080" s="343"/>
      <c r="J10080" s="343"/>
      <c r="K10080" s="343"/>
      <c r="L10080" s="343"/>
    </row>
    <row r="10081" spans="4:12" x14ac:dyDescent="0.2">
      <c r="D10081" s="341"/>
      <c r="F10081" s="343"/>
      <c r="G10081" s="343"/>
      <c r="H10081" s="343"/>
      <c r="I10081" s="343"/>
      <c r="J10081" s="343"/>
      <c r="K10081" s="343"/>
      <c r="L10081" s="343"/>
    </row>
    <row r="10082" spans="4:12" x14ac:dyDescent="0.2">
      <c r="D10082" s="341"/>
      <c r="F10082" s="343"/>
      <c r="G10082" s="343"/>
      <c r="H10082" s="343"/>
      <c r="I10082" s="343"/>
      <c r="J10082" s="343"/>
      <c r="K10082" s="343"/>
      <c r="L10082" s="343"/>
    </row>
    <row r="10083" spans="4:12" x14ac:dyDescent="0.2">
      <c r="D10083" s="341"/>
      <c r="F10083" s="343"/>
      <c r="G10083" s="343"/>
      <c r="H10083" s="343"/>
      <c r="I10083" s="343"/>
      <c r="J10083" s="343"/>
      <c r="K10083" s="343"/>
      <c r="L10083" s="343"/>
    </row>
    <row r="10084" spans="4:12" x14ac:dyDescent="0.2">
      <c r="D10084" s="341"/>
      <c r="F10084" s="343"/>
      <c r="G10084" s="343"/>
      <c r="H10084" s="343"/>
      <c r="I10084" s="343"/>
      <c r="J10084" s="343"/>
      <c r="K10084" s="343"/>
      <c r="L10084" s="343"/>
    </row>
    <row r="10085" spans="4:12" x14ac:dyDescent="0.2">
      <c r="D10085" s="341"/>
      <c r="F10085" s="343"/>
      <c r="G10085" s="343"/>
      <c r="H10085" s="343"/>
      <c r="I10085" s="343"/>
      <c r="J10085" s="343"/>
      <c r="K10085" s="343"/>
      <c r="L10085" s="343"/>
    </row>
    <row r="10086" spans="4:12" x14ac:dyDescent="0.2">
      <c r="D10086" s="341"/>
      <c r="F10086" s="343"/>
      <c r="G10086" s="343"/>
      <c r="H10086" s="343"/>
      <c r="I10086" s="343"/>
      <c r="J10086" s="343"/>
      <c r="K10086" s="343"/>
      <c r="L10086" s="343"/>
    </row>
    <row r="10087" spans="4:12" x14ac:dyDescent="0.2">
      <c r="D10087" s="341"/>
      <c r="F10087" s="343"/>
      <c r="G10087" s="343"/>
      <c r="H10087" s="343"/>
      <c r="I10087" s="343"/>
      <c r="J10087" s="343"/>
      <c r="K10087" s="343"/>
      <c r="L10087" s="343"/>
    </row>
    <row r="10088" spans="4:12" x14ac:dyDescent="0.2">
      <c r="D10088" s="341"/>
      <c r="F10088" s="343"/>
      <c r="G10088" s="343"/>
      <c r="H10088" s="343"/>
      <c r="I10088" s="343"/>
      <c r="J10088" s="343"/>
      <c r="K10088" s="343"/>
      <c r="L10088" s="343"/>
    </row>
    <row r="10089" spans="4:12" x14ac:dyDescent="0.2">
      <c r="D10089" s="341"/>
      <c r="F10089" s="343"/>
      <c r="G10089" s="343"/>
      <c r="H10089" s="343"/>
      <c r="I10089" s="343"/>
      <c r="J10089" s="343"/>
      <c r="K10089" s="343"/>
      <c r="L10089" s="343"/>
    </row>
    <row r="10090" spans="4:12" x14ac:dyDescent="0.2">
      <c r="D10090" s="341"/>
      <c r="F10090" s="343"/>
      <c r="G10090" s="343"/>
      <c r="H10090" s="343"/>
      <c r="I10090" s="343"/>
      <c r="J10090" s="343"/>
      <c r="K10090" s="343"/>
      <c r="L10090" s="343"/>
    </row>
    <row r="10091" spans="4:12" x14ac:dyDescent="0.2">
      <c r="D10091" s="341"/>
      <c r="F10091" s="343"/>
      <c r="G10091" s="343"/>
      <c r="H10091" s="343"/>
      <c r="I10091" s="343"/>
      <c r="J10091" s="343"/>
      <c r="K10091" s="343"/>
      <c r="L10091" s="343"/>
    </row>
    <row r="10092" spans="4:12" x14ac:dyDescent="0.2">
      <c r="D10092" s="341"/>
      <c r="F10092" s="343"/>
      <c r="G10092" s="343"/>
      <c r="H10092" s="343"/>
      <c r="I10092" s="343"/>
      <c r="J10092" s="343"/>
      <c r="K10092" s="343"/>
      <c r="L10092" s="343"/>
    </row>
    <row r="10093" spans="4:12" x14ac:dyDescent="0.2">
      <c r="D10093" s="341"/>
      <c r="F10093" s="343"/>
      <c r="G10093" s="343"/>
      <c r="H10093" s="343"/>
      <c r="I10093" s="343"/>
      <c r="J10093" s="343"/>
      <c r="K10093" s="343"/>
      <c r="L10093" s="343"/>
    </row>
    <row r="10094" spans="4:12" x14ac:dyDescent="0.2">
      <c r="D10094" s="341"/>
      <c r="F10094" s="343"/>
      <c r="G10094" s="343"/>
      <c r="H10094" s="343"/>
      <c r="I10094" s="343"/>
      <c r="J10094" s="343"/>
      <c r="K10094" s="343"/>
      <c r="L10094" s="343"/>
    </row>
    <row r="10095" spans="4:12" x14ac:dyDescent="0.2">
      <c r="D10095" s="341"/>
      <c r="F10095" s="343"/>
      <c r="G10095" s="343"/>
      <c r="H10095" s="343"/>
      <c r="I10095" s="343"/>
      <c r="J10095" s="343"/>
      <c r="K10095" s="343"/>
      <c r="L10095" s="343"/>
    </row>
    <row r="10096" spans="4:12" x14ac:dyDescent="0.2">
      <c r="D10096" s="341"/>
      <c r="F10096" s="343"/>
      <c r="G10096" s="343"/>
      <c r="H10096" s="343"/>
      <c r="I10096" s="343"/>
      <c r="J10096" s="343"/>
      <c r="K10096" s="343"/>
      <c r="L10096" s="343"/>
    </row>
    <row r="10097" spans="4:12" x14ac:dyDescent="0.2">
      <c r="D10097" s="341"/>
      <c r="F10097" s="343"/>
      <c r="G10097" s="343"/>
      <c r="H10097" s="343"/>
      <c r="I10097" s="343"/>
      <c r="J10097" s="343"/>
      <c r="K10097" s="343"/>
      <c r="L10097" s="343"/>
    </row>
    <row r="10098" spans="4:12" x14ac:dyDescent="0.2">
      <c r="D10098" s="341"/>
      <c r="F10098" s="343"/>
      <c r="G10098" s="343"/>
      <c r="H10098" s="343"/>
      <c r="I10098" s="343"/>
      <c r="J10098" s="343"/>
      <c r="K10098" s="343"/>
      <c r="L10098" s="343"/>
    </row>
    <row r="10099" spans="4:12" x14ac:dyDescent="0.2">
      <c r="D10099" s="341"/>
      <c r="F10099" s="343"/>
      <c r="G10099" s="343"/>
      <c r="H10099" s="343"/>
      <c r="I10099" s="343"/>
      <c r="J10099" s="343"/>
      <c r="K10099" s="343"/>
      <c r="L10099" s="343"/>
    </row>
    <row r="10100" spans="4:12" x14ac:dyDescent="0.2">
      <c r="D10100" s="341"/>
      <c r="F10100" s="343"/>
      <c r="G10100" s="343"/>
      <c r="H10100" s="343"/>
      <c r="I10100" s="343"/>
      <c r="J10100" s="343"/>
      <c r="K10100" s="343"/>
      <c r="L10100" s="343"/>
    </row>
    <row r="10101" spans="4:12" x14ac:dyDescent="0.2">
      <c r="D10101" s="341"/>
      <c r="F10101" s="343"/>
      <c r="G10101" s="343"/>
      <c r="H10101" s="343"/>
      <c r="I10101" s="343"/>
      <c r="J10101" s="343"/>
      <c r="K10101" s="343"/>
      <c r="L10101" s="343"/>
    </row>
    <row r="10102" spans="4:12" x14ac:dyDescent="0.2">
      <c r="D10102" s="341"/>
      <c r="F10102" s="343"/>
      <c r="G10102" s="343"/>
      <c r="H10102" s="343"/>
      <c r="I10102" s="343"/>
      <c r="J10102" s="343"/>
      <c r="K10102" s="343"/>
      <c r="L10102" s="343"/>
    </row>
    <row r="10103" spans="4:12" x14ac:dyDescent="0.2">
      <c r="D10103" s="341"/>
      <c r="F10103" s="343"/>
      <c r="G10103" s="343"/>
      <c r="H10103" s="343"/>
      <c r="I10103" s="343"/>
      <c r="J10103" s="343"/>
      <c r="K10103" s="343"/>
      <c r="L10103" s="343"/>
    </row>
    <row r="10104" spans="4:12" x14ac:dyDescent="0.2">
      <c r="D10104" s="341"/>
      <c r="F10104" s="343"/>
      <c r="G10104" s="343"/>
      <c r="H10104" s="343"/>
      <c r="I10104" s="343"/>
      <c r="J10104" s="343"/>
      <c r="K10104" s="343"/>
      <c r="L10104" s="343"/>
    </row>
    <row r="10105" spans="4:12" x14ac:dyDescent="0.2">
      <c r="D10105" s="341"/>
      <c r="F10105" s="343"/>
      <c r="G10105" s="343"/>
      <c r="H10105" s="343"/>
      <c r="I10105" s="343"/>
      <c r="J10105" s="343"/>
      <c r="K10105" s="343"/>
      <c r="L10105" s="343"/>
    </row>
    <row r="10106" spans="4:12" x14ac:dyDescent="0.2">
      <c r="D10106" s="341"/>
      <c r="F10106" s="343"/>
      <c r="G10106" s="343"/>
      <c r="H10106" s="343"/>
      <c r="I10106" s="343"/>
      <c r="J10106" s="343"/>
      <c r="K10106" s="343"/>
      <c r="L10106" s="343"/>
    </row>
    <row r="10107" spans="4:12" x14ac:dyDescent="0.2">
      <c r="D10107" s="341"/>
      <c r="F10107" s="343"/>
      <c r="G10107" s="343"/>
      <c r="H10107" s="343"/>
      <c r="I10107" s="343"/>
      <c r="J10107" s="343"/>
      <c r="K10107" s="343"/>
      <c r="L10107" s="343"/>
    </row>
    <row r="10108" spans="4:12" x14ac:dyDescent="0.2">
      <c r="D10108" s="341"/>
      <c r="F10108" s="343"/>
      <c r="G10108" s="343"/>
      <c r="H10108" s="343"/>
      <c r="I10108" s="343"/>
      <c r="J10108" s="343"/>
      <c r="K10108" s="343"/>
      <c r="L10108" s="343"/>
    </row>
    <row r="10109" spans="4:12" x14ac:dyDescent="0.2">
      <c r="D10109" s="341"/>
      <c r="F10109" s="343"/>
      <c r="G10109" s="343"/>
      <c r="H10109" s="343"/>
      <c r="I10109" s="343"/>
      <c r="J10109" s="343"/>
      <c r="K10109" s="343"/>
      <c r="L10109" s="343"/>
    </row>
    <row r="10110" spans="4:12" x14ac:dyDescent="0.2">
      <c r="D10110" s="341"/>
      <c r="F10110" s="343"/>
      <c r="G10110" s="343"/>
      <c r="H10110" s="343"/>
      <c r="I10110" s="343"/>
      <c r="J10110" s="343"/>
      <c r="K10110" s="343"/>
      <c r="L10110" s="343"/>
    </row>
    <row r="10111" spans="4:12" x14ac:dyDescent="0.2">
      <c r="D10111" s="341"/>
      <c r="F10111" s="343"/>
      <c r="G10111" s="343"/>
      <c r="H10111" s="343"/>
      <c r="I10111" s="343"/>
      <c r="J10111" s="343"/>
      <c r="K10111" s="343"/>
      <c r="L10111" s="343"/>
    </row>
    <row r="10112" spans="4:12" x14ac:dyDescent="0.2">
      <c r="D10112" s="341"/>
      <c r="F10112" s="343"/>
      <c r="G10112" s="343"/>
      <c r="H10112" s="343"/>
      <c r="I10112" s="343"/>
      <c r="J10112" s="343"/>
      <c r="K10112" s="343"/>
      <c r="L10112" s="343"/>
    </row>
    <row r="10113" spans="4:12" x14ac:dyDescent="0.2">
      <c r="D10113" s="341"/>
      <c r="F10113" s="343"/>
      <c r="G10113" s="343"/>
      <c r="H10113" s="343"/>
      <c r="I10113" s="343"/>
      <c r="J10113" s="343"/>
      <c r="K10113" s="343"/>
      <c r="L10113" s="343"/>
    </row>
    <row r="10114" spans="4:12" x14ac:dyDescent="0.2">
      <c r="D10114" s="341"/>
      <c r="F10114" s="343"/>
      <c r="G10114" s="343"/>
      <c r="H10114" s="343"/>
      <c r="I10114" s="343"/>
      <c r="J10114" s="343"/>
      <c r="K10114" s="343"/>
      <c r="L10114" s="343"/>
    </row>
    <row r="10115" spans="4:12" x14ac:dyDescent="0.2">
      <c r="D10115" s="341"/>
      <c r="F10115" s="343"/>
      <c r="G10115" s="343"/>
      <c r="H10115" s="343"/>
      <c r="I10115" s="343"/>
      <c r="J10115" s="343"/>
      <c r="K10115" s="343"/>
      <c r="L10115" s="343"/>
    </row>
    <row r="10116" spans="4:12" x14ac:dyDescent="0.2">
      <c r="D10116" s="341"/>
      <c r="F10116" s="343"/>
      <c r="G10116" s="343"/>
      <c r="H10116" s="343"/>
      <c r="I10116" s="343"/>
      <c r="J10116" s="343"/>
      <c r="K10116" s="343"/>
      <c r="L10116" s="343"/>
    </row>
    <row r="10117" spans="4:12" x14ac:dyDescent="0.2">
      <c r="D10117" s="341"/>
      <c r="F10117" s="343"/>
      <c r="G10117" s="343"/>
      <c r="H10117" s="343"/>
      <c r="I10117" s="343"/>
      <c r="J10117" s="343"/>
      <c r="K10117" s="343"/>
      <c r="L10117" s="343"/>
    </row>
    <row r="10118" spans="4:12" x14ac:dyDescent="0.2">
      <c r="D10118" s="341"/>
      <c r="F10118" s="343"/>
      <c r="G10118" s="343"/>
      <c r="H10118" s="343"/>
      <c r="I10118" s="343"/>
      <c r="J10118" s="343"/>
      <c r="K10118" s="343"/>
      <c r="L10118" s="343"/>
    </row>
    <row r="10119" spans="4:12" x14ac:dyDescent="0.2">
      <c r="D10119" s="341"/>
      <c r="F10119" s="343"/>
      <c r="G10119" s="343"/>
      <c r="H10119" s="343"/>
      <c r="I10119" s="343"/>
      <c r="J10119" s="343"/>
      <c r="K10119" s="343"/>
      <c r="L10119" s="343"/>
    </row>
    <row r="10120" spans="4:12" x14ac:dyDescent="0.2">
      <c r="D10120" s="341"/>
      <c r="F10120" s="343"/>
      <c r="G10120" s="343"/>
      <c r="H10120" s="343"/>
      <c r="I10120" s="343"/>
      <c r="J10120" s="343"/>
      <c r="K10120" s="343"/>
      <c r="L10120" s="343"/>
    </row>
    <row r="10121" spans="4:12" x14ac:dyDescent="0.2">
      <c r="D10121" s="341"/>
      <c r="F10121" s="343"/>
      <c r="G10121" s="343"/>
      <c r="H10121" s="343"/>
      <c r="I10121" s="343"/>
      <c r="J10121" s="343"/>
      <c r="K10121" s="343"/>
      <c r="L10121" s="343"/>
    </row>
    <row r="10122" spans="4:12" x14ac:dyDescent="0.2">
      <c r="D10122" s="341"/>
      <c r="F10122" s="343"/>
      <c r="G10122" s="343"/>
      <c r="H10122" s="343"/>
      <c r="I10122" s="343"/>
      <c r="J10122" s="343"/>
      <c r="K10122" s="343"/>
      <c r="L10122" s="343"/>
    </row>
    <row r="10123" spans="4:12" x14ac:dyDescent="0.2">
      <c r="D10123" s="341"/>
      <c r="F10123" s="343"/>
      <c r="G10123" s="343"/>
      <c r="H10123" s="343"/>
      <c r="I10123" s="343"/>
      <c r="J10123" s="343"/>
      <c r="K10123" s="343"/>
      <c r="L10123" s="343"/>
    </row>
    <row r="10124" spans="4:12" x14ac:dyDescent="0.2">
      <c r="D10124" s="341"/>
      <c r="F10124" s="343"/>
      <c r="G10124" s="343"/>
      <c r="H10124" s="343"/>
      <c r="I10124" s="343"/>
      <c r="J10124" s="343"/>
      <c r="K10124" s="343"/>
      <c r="L10124" s="343"/>
    </row>
    <row r="10125" spans="4:12" x14ac:dyDescent="0.2">
      <c r="D10125" s="341"/>
      <c r="F10125" s="343"/>
      <c r="G10125" s="343"/>
      <c r="H10125" s="343"/>
      <c r="I10125" s="343"/>
      <c r="J10125" s="343"/>
      <c r="K10125" s="343"/>
      <c r="L10125" s="343"/>
    </row>
    <row r="10126" spans="4:12" x14ac:dyDescent="0.2">
      <c r="D10126" s="341"/>
      <c r="F10126" s="343"/>
      <c r="G10126" s="343"/>
      <c r="H10126" s="343"/>
      <c r="I10126" s="343"/>
      <c r="J10126" s="343"/>
      <c r="K10126" s="343"/>
      <c r="L10126" s="343"/>
    </row>
    <row r="10127" spans="4:12" x14ac:dyDescent="0.2">
      <c r="D10127" s="341"/>
      <c r="F10127" s="343"/>
      <c r="G10127" s="343"/>
      <c r="H10127" s="343"/>
      <c r="I10127" s="343"/>
      <c r="J10127" s="343"/>
      <c r="K10127" s="343"/>
      <c r="L10127" s="343"/>
    </row>
    <row r="10128" spans="4:12" x14ac:dyDescent="0.2">
      <c r="D10128" s="341"/>
      <c r="F10128" s="343"/>
      <c r="G10128" s="343"/>
      <c r="H10128" s="343"/>
      <c r="I10128" s="343"/>
      <c r="J10128" s="343"/>
      <c r="K10128" s="343"/>
      <c r="L10128" s="343"/>
    </row>
    <row r="10129" spans="4:12" x14ac:dyDescent="0.2">
      <c r="D10129" s="341"/>
      <c r="F10129" s="343"/>
      <c r="G10129" s="343"/>
      <c r="H10129" s="343"/>
      <c r="I10129" s="343"/>
      <c r="J10129" s="343"/>
      <c r="K10129" s="343"/>
      <c r="L10129" s="343"/>
    </row>
    <row r="10130" spans="4:12" x14ac:dyDescent="0.2">
      <c r="D10130" s="341"/>
      <c r="F10130" s="343"/>
      <c r="G10130" s="343"/>
      <c r="H10130" s="343"/>
      <c r="I10130" s="343"/>
      <c r="J10130" s="343"/>
      <c r="K10130" s="343"/>
      <c r="L10130" s="343"/>
    </row>
    <row r="10131" spans="4:12" x14ac:dyDescent="0.2">
      <c r="D10131" s="341"/>
      <c r="F10131" s="343"/>
      <c r="G10131" s="343"/>
      <c r="H10131" s="343"/>
      <c r="I10131" s="343"/>
      <c r="J10131" s="343"/>
      <c r="K10131" s="343"/>
      <c r="L10131" s="343"/>
    </row>
    <row r="10132" spans="4:12" x14ac:dyDescent="0.2">
      <c r="D10132" s="341"/>
      <c r="F10132" s="343"/>
      <c r="G10132" s="343"/>
      <c r="H10132" s="343"/>
      <c r="I10132" s="343"/>
      <c r="J10132" s="343"/>
      <c r="K10132" s="343"/>
      <c r="L10132" s="343"/>
    </row>
    <row r="10133" spans="4:12" x14ac:dyDescent="0.2">
      <c r="D10133" s="341"/>
      <c r="F10133" s="343"/>
      <c r="G10133" s="343"/>
      <c r="H10133" s="343"/>
      <c r="I10133" s="343"/>
      <c r="J10133" s="343"/>
      <c r="K10133" s="343"/>
      <c r="L10133" s="343"/>
    </row>
    <row r="10134" spans="4:12" x14ac:dyDescent="0.2">
      <c r="D10134" s="341"/>
      <c r="F10134" s="343"/>
      <c r="G10134" s="343"/>
      <c r="H10134" s="343"/>
      <c r="I10134" s="343"/>
      <c r="J10134" s="343"/>
      <c r="K10134" s="343"/>
      <c r="L10134" s="343"/>
    </row>
    <row r="10135" spans="4:12" x14ac:dyDescent="0.2">
      <c r="D10135" s="341"/>
      <c r="F10135" s="343"/>
      <c r="G10135" s="343"/>
      <c r="H10135" s="343"/>
      <c r="I10135" s="343"/>
      <c r="J10135" s="343"/>
      <c r="K10135" s="343"/>
      <c r="L10135" s="343"/>
    </row>
    <row r="10136" spans="4:12" x14ac:dyDescent="0.2">
      <c r="D10136" s="341"/>
      <c r="F10136" s="343"/>
      <c r="G10136" s="343"/>
      <c r="H10136" s="343"/>
      <c r="I10136" s="343"/>
      <c r="J10136" s="343"/>
      <c r="K10136" s="343"/>
      <c r="L10136" s="343"/>
    </row>
    <row r="10137" spans="4:12" x14ac:dyDescent="0.2">
      <c r="D10137" s="341"/>
      <c r="F10137" s="343"/>
      <c r="G10137" s="343"/>
      <c r="H10137" s="343"/>
      <c r="I10137" s="343"/>
      <c r="J10137" s="343"/>
      <c r="K10137" s="343"/>
      <c r="L10137" s="343"/>
    </row>
    <row r="10138" spans="4:12" x14ac:dyDescent="0.2">
      <c r="D10138" s="341"/>
      <c r="F10138" s="343"/>
      <c r="G10138" s="343"/>
      <c r="H10138" s="343"/>
      <c r="I10138" s="343"/>
      <c r="J10138" s="343"/>
      <c r="K10138" s="343"/>
      <c r="L10138" s="343"/>
    </row>
    <row r="10139" spans="4:12" x14ac:dyDescent="0.2">
      <c r="D10139" s="341"/>
      <c r="F10139" s="343"/>
      <c r="G10139" s="343"/>
      <c r="H10139" s="343"/>
      <c r="I10139" s="343"/>
      <c r="J10139" s="343"/>
      <c r="K10139" s="343"/>
      <c r="L10139" s="343"/>
    </row>
    <row r="10140" spans="4:12" x14ac:dyDescent="0.2">
      <c r="D10140" s="341"/>
      <c r="F10140" s="343"/>
      <c r="G10140" s="343"/>
      <c r="H10140" s="343"/>
      <c r="I10140" s="343"/>
      <c r="J10140" s="343"/>
      <c r="K10140" s="343"/>
      <c r="L10140" s="343"/>
    </row>
    <row r="10141" spans="4:12" x14ac:dyDescent="0.2">
      <c r="D10141" s="341"/>
      <c r="F10141" s="343"/>
      <c r="G10141" s="343"/>
      <c r="H10141" s="343"/>
      <c r="I10141" s="343"/>
      <c r="J10141" s="343"/>
      <c r="K10141" s="343"/>
      <c r="L10141" s="343"/>
    </row>
    <row r="10142" spans="4:12" x14ac:dyDescent="0.2">
      <c r="D10142" s="341"/>
      <c r="F10142" s="343"/>
      <c r="G10142" s="343"/>
      <c r="H10142" s="343"/>
      <c r="I10142" s="343"/>
      <c r="J10142" s="343"/>
      <c r="K10142" s="343"/>
      <c r="L10142" s="343"/>
    </row>
    <row r="10143" spans="4:12" x14ac:dyDescent="0.2">
      <c r="D10143" s="341"/>
      <c r="F10143" s="343"/>
      <c r="G10143" s="343"/>
      <c r="H10143" s="343"/>
      <c r="I10143" s="343"/>
      <c r="J10143" s="343"/>
      <c r="K10143" s="343"/>
      <c r="L10143" s="343"/>
    </row>
    <row r="10144" spans="4:12" x14ac:dyDescent="0.2">
      <c r="D10144" s="341"/>
      <c r="F10144" s="343"/>
      <c r="G10144" s="343"/>
      <c r="H10144" s="343"/>
      <c r="I10144" s="343"/>
      <c r="J10144" s="343"/>
      <c r="K10144" s="343"/>
      <c r="L10144" s="343"/>
    </row>
    <row r="10145" spans="4:12" x14ac:dyDescent="0.2">
      <c r="D10145" s="341"/>
      <c r="F10145" s="343"/>
      <c r="G10145" s="343"/>
      <c r="H10145" s="343"/>
      <c r="I10145" s="343"/>
      <c r="J10145" s="343"/>
      <c r="K10145" s="343"/>
      <c r="L10145" s="343"/>
    </row>
    <row r="10146" spans="4:12" x14ac:dyDescent="0.2">
      <c r="D10146" s="341"/>
      <c r="F10146" s="343"/>
      <c r="G10146" s="343"/>
      <c r="H10146" s="343"/>
      <c r="I10146" s="343"/>
      <c r="J10146" s="343"/>
      <c r="K10146" s="343"/>
      <c r="L10146" s="343"/>
    </row>
    <row r="10147" spans="4:12" x14ac:dyDescent="0.2">
      <c r="D10147" s="341"/>
      <c r="F10147" s="343"/>
      <c r="G10147" s="343"/>
      <c r="H10147" s="343"/>
      <c r="I10147" s="343"/>
      <c r="J10147" s="343"/>
      <c r="K10147" s="343"/>
      <c r="L10147" s="343"/>
    </row>
    <row r="10148" spans="4:12" x14ac:dyDescent="0.2">
      <c r="D10148" s="341"/>
      <c r="F10148" s="343"/>
      <c r="G10148" s="343"/>
      <c r="H10148" s="343"/>
      <c r="I10148" s="343"/>
      <c r="J10148" s="343"/>
      <c r="K10148" s="343"/>
      <c r="L10148" s="343"/>
    </row>
    <row r="10149" spans="4:12" x14ac:dyDescent="0.2">
      <c r="D10149" s="341"/>
      <c r="F10149" s="343"/>
      <c r="G10149" s="343"/>
      <c r="H10149" s="343"/>
      <c r="I10149" s="343"/>
      <c r="J10149" s="343"/>
      <c r="K10149" s="343"/>
      <c r="L10149" s="343"/>
    </row>
    <row r="10150" spans="4:12" x14ac:dyDescent="0.2">
      <c r="D10150" s="341"/>
      <c r="F10150" s="343"/>
      <c r="G10150" s="343"/>
      <c r="H10150" s="343"/>
      <c r="I10150" s="343"/>
      <c r="J10150" s="343"/>
      <c r="K10150" s="343"/>
      <c r="L10150" s="343"/>
    </row>
    <row r="10151" spans="4:12" x14ac:dyDescent="0.2">
      <c r="D10151" s="341"/>
      <c r="F10151" s="343"/>
      <c r="G10151" s="343"/>
      <c r="H10151" s="343"/>
      <c r="I10151" s="343"/>
      <c r="J10151" s="343"/>
      <c r="K10151" s="343"/>
      <c r="L10151" s="343"/>
    </row>
    <row r="10152" spans="4:12" x14ac:dyDescent="0.2">
      <c r="D10152" s="341"/>
      <c r="F10152" s="343"/>
      <c r="G10152" s="343"/>
      <c r="H10152" s="343"/>
      <c r="I10152" s="343"/>
      <c r="J10152" s="343"/>
      <c r="K10152" s="343"/>
      <c r="L10152" s="343"/>
    </row>
    <row r="10153" spans="4:12" x14ac:dyDescent="0.2">
      <c r="D10153" s="341"/>
      <c r="F10153" s="343"/>
      <c r="G10153" s="343"/>
      <c r="H10153" s="343"/>
      <c r="I10153" s="343"/>
      <c r="J10153" s="343"/>
      <c r="K10153" s="343"/>
      <c r="L10153" s="343"/>
    </row>
    <row r="10154" spans="4:12" x14ac:dyDescent="0.2">
      <c r="D10154" s="341"/>
      <c r="F10154" s="343"/>
      <c r="G10154" s="343"/>
      <c r="H10154" s="343"/>
      <c r="I10154" s="343"/>
      <c r="J10154" s="343"/>
      <c r="K10154" s="343"/>
      <c r="L10154" s="343"/>
    </row>
    <row r="10155" spans="4:12" x14ac:dyDescent="0.2">
      <c r="D10155" s="341"/>
      <c r="F10155" s="343"/>
      <c r="G10155" s="343"/>
      <c r="H10155" s="343"/>
      <c r="I10155" s="343"/>
      <c r="J10155" s="343"/>
      <c r="K10155" s="343"/>
      <c r="L10155" s="343"/>
    </row>
    <row r="10156" spans="4:12" x14ac:dyDescent="0.2">
      <c r="D10156" s="341"/>
      <c r="F10156" s="343"/>
      <c r="G10156" s="343"/>
      <c r="H10156" s="343"/>
      <c r="I10156" s="343"/>
      <c r="J10156" s="343"/>
      <c r="K10156" s="343"/>
      <c r="L10156" s="343"/>
    </row>
    <row r="10157" spans="4:12" x14ac:dyDescent="0.2">
      <c r="D10157" s="341"/>
      <c r="F10157" s="343"/>
      <c r="G10157" s="343"/>
      <c r="H10157" s="343"/>
      <c r="I10157" s="343"/>
      <c r="J10157" s="343"/>
      <c r="K10157" s="343"/>
      <c r="L10157" s="343"/>
    </row>
    <row r="10158" spans="4:12" x14ac:dyDescent="0.2">
      <c r="D10158" s="341"/>
      <c r="F10158" s="343"/>
      <c r="G10158" s="343"/>
      <c r="H10158" s="343"/>
      <c r="I10158" s="343"/>
      <c r="J10158" s="343"/>
      <c r="K10158" s="343"/>
      <c r="L10158" s="343"/>
    </row>
    <row r="10159" spans="4:12" x14ac:dyDescent="0.2">
      <c r="D10159" s="341"/>
      <c r="F10159" s="343"/>
      <c r="G10159" s="343"/>
      <c r="H10159" s="343"/>
      <c r="I10159" s="343"/>
      <c r="J10159" s="343"/>
      <c r="K10159" s="343"/>
      <c r="L10159" s="343"/>
    </row>
    <row r="10160" spans="4:12" x14ac:dyDescent="0.2">
      <c r="D10160" s="341"/>
      <c r="F10160" s="343"/>
      <c r="G10160" s="343"/>
      <c r="H10160" s="343"/>
      <c r="I10160" s="343"/>
      <c r="J10160" s="343"/>
      <c r="K10160" s="343"/>
      <c r="L10160" s="343"/>
    </row>
    <row r="10161" spans="4:12" x14ac:dyDescent="0.2">
      <c r="D10161" s="341"/>
      <c r="F10161" s="343"/>
      <c r="G10161" s="343"/>
      <c r="H10161" s="343"/>
      <c r="I10161" s="343"/>
      <c r="J10161" s="343"/>
      <c r="K10161" s="343"/>
      <c r="L10161" s="343"/>
    </row>
    <row r="10162" spans="4:12" x14ac:dyDescent="0.2">
      <c r="D10162" s="341"/>
      <c r="F10162" s="343"/>
      <c r="G10162" s="343"/>
      <c r="H10162" s="343"/>
      <c r="I10162" s="343"/>
      <c r="J10162" s="343"/>
      <c r="K10162" s="343"/>
      <c r="L10162" s="343"/>
    </row>
    <row r="10163" spans="4:12" x14ac:dyDescent="0.2">
      <c r="D10163" s="341"/>
      <c r="F10163" s="343"/>
      <c r="G10163" s="343"/>
      <c r="H10163" s="343"/>
      <c r="I10163" s="343"/>
      <c r="J10163" s="343"/>
      <c r="K10163" s="343"/>
      <c r="L10163" s="343"/>
    </row>
    <row r="10164" spans="4:12" x14ac:dyDescent="0.2">
      <c r="D10164" s="341"/>
      <c r="F10164" s="343"/>
      <c r="G10164" s="343"/>
      <c r="H10164" s="343"/>
      <c r="I10164" s="343"/>
      <c r="J10164" s="343"/>
      <c r="K10164" s="343"/>
      <c r="L10164" s="343"/>
    </row>
    <row r="10165" spans="4:12" x14ac:dyDescent="0.2">
      <c r="D10165" s="341"/>
      <c r="F10165" s="343"/>
      <c r="G10165" s="343"/>
      <c r="H10165" s="343"/>
      <c r="I10165" s="343"/>
      <c r="J10165" s="343"/>
      <c r="K10165" s="343"/>
      <c r="L10165" s="343"/>
    </row>
    <row r="10166" spans="4:12" x14ac:dyDescent="0.2">
      <c r="D10166" s="341"/>
      <c r="F10166" s="343"/>
      <c r="G10166" s="343"/>
      <c r="H10166" s="343"/>
      <c r="I10166" s="343"/>
      <c r="J10166" s="343"/>
      <c r="K10166" s="343"/>
      <c r="L10166" s="343"/>
    </row>
    <row r="10167" spans="4:12" x14ac:dyDescent="0.2">
      <c r="D10167" s="341"/>
      <c r="F10167" s="343"/>
      <c r="G10167" s="343"/>
      <c r="H10167" s="343"/>
      <c r="I10167" s="343"/>
      <c r="J10167" s="343"/>
      <c r="K10167" s="343"/>
      <c r="L10167" s="343"/>
    </row>
    <row r="10168" spans="4:12" x14ac:dyDescent="0.2">
      <c r="D10168" s="341"/>
      <c r="F10168" s="343"/>
      <c r="G10168" s="343"/>
      <c r="H10168" s="343"/>
      <c r="I10168" s="343"/>
      <c r="J10168" s="343"/>
      <c r="K10168" s="343"/>
      <c r="L10168" s="343"/>
    </row>
    <row r="10169" spans="4:12" x14ac:dyDescent="0.2">
      <c r="D10169" s="341"/>
      <c r="F10169" s="343"/>
      <c r="G10169" s="343"/>
      <c r="H10169" s="343"/>
      <c r="I10169" s="343"/>
      <c r="J10169" s="343"/>
      <c r="K10169" s="343"/>
      <c r="L10169" s="343"/>
    </row>
    <row r="10170" spans="4:12" x14ac:dyDescent="0.2">
      <c r="D10170" s="341"/>
      <c r="F10170" s="343"/>
      <c r="G10170" s="343"/>
      <c r="H10170" s="343"/>
      <c r="I10170" s="343"/>
      <c r="J10170" s="343"/>
      <c r="K10170" s="343"/>
      <c r="L10170" s="343"/>
    </row>
    <row r="10171" spans="4:12" x14ac:dyDescent="0.2">
      <c r="D10171" s="341"/>
      <c r="F10171" s="343"/>
      <c r="G10171" s="343"/>
      <c r="H10171" s="343"/>
      <c r="I10171" s="343"/>
      <c r="J10171" s="343"/>
      <c r="K10171" s="343"/>
      <c r="L10171" s="343"/>
    </row>
    <row r="10172" spans="4:12" x14ac:dyDescent="0.2">
      <c r="D10172" s="341"/>
      <c r="F10172" s="343"/>
      <c r="G10172" s="343"/>
      <c r="H10172" s="343"/>
      <c r="I10172" s="343"/>
      <c r="J10172" s="343"/>
      <c r="K10172" s="343"/>
      <c r="L10172" s="343"/>
    </row>
    <row r="10173" spans="4:12" x14ac:dyDescent="0.2">
      <c r="D10173" s="341"/>
      <c r="F10173" s="343"/>
      <c r="G10173" s="343"/>
      <c r="H10173" s="343"/>
      <c r="I10173" s="343"/>
      <c r="J10173" s="343"/>
      <c r="K10173" s="343"/>
      <c r="L10173" s="343"/>
    </row>
    <row r="10174" spans="4:12" x14ac:dyDescent="0.2">
      <c r="D10174" s="341"/>
      <c r="F10174" s="343"/>
      <c r="G10174" s="343"/>
      <c r="H10174" s="343"/>
      <c r="I10174" s="343"/>
      <c r="J10174" s="343"/>
      <c r="K10174" s="343"/>
      <c r="L10174" s="343"/>
    </row>
    <row r="10175" spans="4:12" x14ac:dyDescent="0.2">
      <c r="D10175" s="341"/>
      <c r="F10175" s="343"/>
      <c r="G10175" s="343"/>
      <c r="H10175" s="343"/>
      <c r="I10175" s="343"/>
      <c r="J10175" s="343"/>
      <c r="K10175" s="343"/>
      <c r="L10175" s="343"/>
    </row>
    <row r="10176" spans="4:12" x14ac:dyDescent="0.2">
      <c r="D10176" s="341"/>
      <c r="F10176" s="343"/>
      <c r="G10176" s="343"/>
      <c r="H10176" s="343"/>
      <c r="I10176" s="343"/>
      <c r="J10176" s="343"/>
      <c r="K10176" s="343"/>
      <c r="L10176" s="343"/>
    </row>
    <row r="10177" spans="4:12" x14ac:dyDescent="0.2">
      <c r="D10177" s="341"/>
      <c r="F10177" s="343"/>
      <c r="G10177" s="343"/>
      <c r="H10177" s="343"/>
      <c r="I10177" s="343"/>
      <c r="J10177" s="343"/>
      <c r="K10177" s="343"/>
      <c r="L10177" s="343"/>
    </row>
    <row r="10178" spans="4:12" x14ac:dyDescent="0.2">
      <c r="D10178" s="341"/>
      <c r="F10178" s="343"/>
      <c r="G10178" s="343"/>
      <c r="H10178" s="343"/>
      <c r="I10178" s="343"/>
      <c r="J10178" s="343"/>
      <c r="K10178" s="343"/>
      <c r="L10178" s="343"/>
    </row>
    <row r="10179" spans="4:12" x14ac:dyDescent="0.2">
      <c r="D10179" s="341"/>
      <c r="F10179" s="343"/>
      <c r="G10179" s="343"/>
      <c r="H10179" s="343"/>
      <c r="I10179" s="343"/>
      <c r="J10179" s="343"/>
      <c r="K10179" s="343"/>
      <c r="L10179" s="343"/>
    </row>
    <row r="10180" spans="4:12" x14ac:dyDescent="0.2">
      <c r="D10180" s="341"/>
      <c r="F10180" s="343"/>
      <c r="G10180" s="343"/>
      <c r="H10180" s="343"/>
      <c r="I10180" s="343"/>
      <c r="J10180" s="343"/>
      <c r="K10180" s="343"/>
      <c r="L10180" s="343"/>
    </row>
    <row r="10181" spans="4:12" x14ac:dyDescent="0.2">
      <c r="D10181" s="341"/>
      <c r="F10181" s="343"/>
      <c r="G10181" s="343"/>
      <c r="H10181" s="343"/>
      <c r="I10181" s="343"/>
      <c r="J10181" s="343"/>
      <c r="K10181" s="343"/>
      <c r="L10181" s="343"/>
    </row>
    <row r="10182" spans="4:12" x14ac:dyDescent="0.2">
      <c r="D10182" s="341"/>
      <c r="F10182" s="343"/>
      <c r="G10182" s="343"/>
      <c r="H10182" s="343"/>
      <c r="I10182" s="343"/>
      <c r="J10182" s="343"/>
      <c r="K10182" s="343"/>
      <c r="L10182" s="343"/>
    </row>
    <row r="10183" spans="4:12" x14ac:dyDescent="0.2">
      <c r="D10183" s="341"/>
      <c r="F10183" s="343"/>
      <c r="G10183" s="343"/>
      <c r="H10183" s="343"/>
      <c r="I10183" s="343"/>
      <c r="J10183" s="343"/>
      <c r="K10183" s="343"/>
      <c r="L10183" s="343"/>
    </row>
    <row r="10184" spans="4:12" x14ac:dyDescent="0.2">
      <c r="D10184" s="341"/>
      <c r="F10184" s="343"/>
      <c r="G10184" s="343"/>
      <c r="H10184" s="343"/>
      <c r="I10184" s="343"/>
      <c r="J10184" s="343"/>
      <c r="K10184" s="343"/>
      <c r="L10184" s="343"/>
    </row>
    <row r="10185" spans="4:12" x14ac:dyDescent="0.2">
      <c r="D10185" s="341"/>
      <c r="F10185" s="343"/>
      <c r="G10185" s="343"/>
      <c r="H10185" s="343"/>
      <c r="I10185" s="343"/>
      <c r="J10185" s="343"/>
      <c r="K10185" s="343"/>
      <c r="L10185" s="343"/>
    </row>
    <row r="10186" spans="4:12" x14ac:dyDescent="0.2">
      <c r="D10186" s="341"/>
      <c r="F10186" s="343"/>
      <c r="G10186" s="343"/>
      <c r="H10186" s="343"/>
      <c r="I10186" s="343"/>
      <c r="J10186" s="343"/>
      <c r="K10186" s="343"/>
      <c r="L10186" s="343"/>
    </row>
    <row r="10187" spans="4:12" x14ac:dyDescent="0.2">
      <c r="D10187" s="341"/>
      <c r="F10187" s="343"/>
      <c r="G10187" s="343"/>
      <c r="H10187" s="343"/>
      <c r="I10187" s="343"/>
      <c r="J10187" s="343"/>
      <c r="K10187" s="343"/>
      <c r="L10187" s="343"/>
    </row>
    <row r="10188" spans="4:12" x14ac:dyDescent="0.2">
      <c r="D10188" s="341"/>
      <c r="F10188" s="343"/>
      <c r="G10188" s="343"/>
      <c r="H10188" s="343"/>
      <c r="I10188" s="343"/>
      <c r="J10188" s="343"/>
      <c r="K10188" s="343"/>
      <c r="L10188" s="343"/>
    </row>
    <row r="10189" spans="4:12" x14ac:dyDescent="0.2">
      <c r="D10189" s="341"/>
      <c r="F10189" s="343"/>
      <c r="G10189" s="343"/>
      <c r="H10189" s="343"/>
      <c r="I10189" s="343"/>
      <c r="J10189" s="343"/>
      <c r="K10189" s="343"/>
      <c r="L10189" s="343"/>
    </row>
    <row r="10190" spans="4:12" x14ac:dyDescent="0.2">
      <c r="D10190" s="341"/>
      <c r="F10190" s="343"/>
      <c r="G10190" s="343"/>
      <c r="H10190" s="343"/>
      <c r="I10190" s="343"/>
      <c r="J10190" s="343"/>
      <c r="K10190" s="343"/>
      <c r="L10190" s="343"/>
    </row>
    <row r="10191" spans="4:12" x14ac:dyDescent="0.2">
      <c r="D10191" s="341"/>
      <c r="F10191" s="343"/>
      <c r="G10191" s="343"/>
      <c r="H10191" s="343"/>
      <c r="I10191" s="343"/>
      <c r="J10191" s="343"/>
      <c r="K10191" s="343"/>
      <c r="L10191" s="343"/>
    </row>
    <row r="10192" spans="4:12" x14ac:dyDescent="0.2">
      <c r="D10192" s="341"/>
      <c r="F10192" s="343"/>
      <c r="G10192" s="343"/>
      <c r="H10192" s="343"/>
      <c r="I10192" s="343"/>
      <c r="J10192" s="343"/>
      <c r="K10192" s="343"/>
      <c r="L10192" s="34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5F15-8AB9-4A03-B96B-D2727832BCF4}">
  <sheetPr codeName="Sheet5">
    <tabColor theme="5" tint="0.39997558519241921"/>
  </sheetPr>
  <dimension ref="A1:BN109"/>
  <sheetViews>
    <sheetView showGridLines="0" zoomScale="115" zoomScaleNormal="115" workbookViewId="0">
      <pane xSplit="3" ySplit="4" topLeftCell="D5" activePane="bottomRight" state="frozen"/>
      <selection pane="topRight" activeCell="E1" sqref="E1"/>
      <selection pane="bottomLeft" activeCell="A9" sqref="A9"/>
      <selection pane="bottomRight" activeCell="D5" sqref="D5"/>
    </sheetView>
  </sheetViews>
  <sheetFormatPr baseColWidth="10" defaultColWidth="8.5" defaultRowHeight="15" x14ac:dyDescent="0.2"/>
  <cols>
    <col min="1" max="1" width="12.33203125" style="4" customWidth="1"/>
    <col min="2" max="2" width="10.6640625" style="348" customWidth="1"/>
    <col min="3" max="3" width="16" style="345" customWidth="1"/>
    <col min="4" max="4" width="13.33203125" style="348" customWidth="1"/>
    <col min="5" max="47" width="13.33203125" style="141" customWidth="1"/>
    <col min="48" max="16384" width="8.5" style="141"/>
  </cols>
  <sheetData>
    <row r="1" spans="1:66" customFormat="1" x14ac:dyDescent="0.2">
      <c r="B1" s="60"/>
    </row>
    <row r="2" spans="1:66" customFormat="1" ht="15" customHeight="1" x14ac:dyDescent="0.2">
      <c r="C2" s="330" t="s">
        <v>21</v>
      </c>
      <c r="D2" s="129">
        <f ca="1">ROWS(_xlfn.ANCHORARRAY(C5))</f>
        <v>104</v>
      </c>
      <c r="E2" s="129">
        <f>InputSheet!B4</f>
        <v>63</v>
      </c>
    </row>
    <row r="3" spans="1:66" customFormat="1" ht="15" customHeight="1" x14ac:dyDescent="0.2"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66" s="115" customFormat="1" x14ac:dyDescent="0.2">
      <c r="A4" s="4"/>
      <c r="B4" s="346" t="s">
        <v>15</v>
      </c>
      <c r="C4" s="346" t="s">
        <v>16</v>
      </c>
      <c r="D4" s="352" t="str" cm="1">
        <f t="array" aca="1" ref="D4:BN4" ca="1">_xlfn.ANCHORARRAY(InputSheet!F2)</f>
        <v>sales</v>
      </c>
      <c r="E4" s="114" t="str">
        <f ca="1"/>
        <v>bing_brand_search_clicks</v>
      </c>
      <c r="F4" s="114" t="str">
        <f ca="1"/>
        <v>bing_brand_search_spend</v>
      </c>
      <c r="G4" s="114" t="str">
        <f ca="1"/>
        <v>blackfriday_dummy</v>
      </c>
      <c r="H4" s="114" t="str">
        <f ca="1"/>
        <v>covid_trend</v>
      </c>
      <c r="I4" s="114" t="str">
        <f ca="1"/>
        <v>google_brand_search_clicks</v>
      </c>
      <c r="J4" s="114" t="str">
        <f ca="1"/>
        <v>google_brand_search_imp</v>
      </c>
      <c r="K4" s="114" t="str">
        <f ca="1"/>
        <v>google_brand_search_spend</v>
      </c>
      <c r="L4" s="114" t="str">
        <f ca="1"/>
        <v>google_display_clicks</v>
      </c>
      <c r="M4" s="114" t="str">
        <f ca="1"/>
        <v>google_display_imp</v>
      </c>
      <c r="N4" s="114" t="str">
        <f ca="1"/>
        <v>google_display_spend</v>
      </c>
      <c r="O4" s="114" t="str">
        <f ca="1"/>
        <v>google_nonbrand_search_clicks</v>
      </c>
      <c r="P4" s="114" t="str">
        <f ca="1"/>
        <v>google_nonbrand_search_imp</v>
      </c>
      <c r="Q4" s="114" t="str">
        <f ca="1"/>
        <v>google_nonbrand_search_spend</v>
      </c>
      <c r="R4" s="114" t="str">
        <f ca="1"/>
        <v>google_video_clicks</v>
      </c>
      <c r="S4" s="114" t="str">
        <f ca="1"/>
        <v>google_video_imp</v>
      </c>
      <c r="T4" s="114" t="str">
        <f ca="1"/>
        <v>google_video_spend</v>
      </c>
      <c r="U4" s="114" t="str">
        <f ca="1"/>
        <v>gwp_units_distributed</v>
      </c>
      <c r="V4" s="114" t="str">
        <f ca="1"/>
        <v>launch_fragrance_trend</v>
      </c>
      <c r="W4" s="114" t="str">
        <f ca="1"/>
        <v>launch_makeup_trend</v>
      </c>
      <c r="X4" s="114" t="str">
        <f ca="1"/>
        <v>launch_skincare_trend</v>
      </c>
      <c r="Y4" s="114" t="str">
        <f ca="1"/>
        <v>market_sales</v>
      </c>
      <c r="Z4" s="114" t="str">
        <f ca="1"/>
        <v>mothersday_dummy</v>
      </c>
      <c r="AA4" s="114" t="str">
        <f ca="1"/>
        <v>nongoogle_display_spend</v>
      </c>
      <c r="AB4" s="114" t="str">
        <f ca="1"/>
        <v>nongoogle_video_spend</v>
      </c>
      <c r="AC4" s="114" t="str">
        <f ca="1"/>
        <v>pinterest_awareness_imp</v>
      </c>
      <c r="AD4" s="114" t="str">
        <f ca="1"/>
        <v>pinterest_awareness_spend</v>
      </c>
      <c r="AE4" s="114" t="str">
        <f ca="1"/>
        <v>pinterest_conversion_imp</v>
      </c>
      <c r="AF4" s="114" t="str">
        <f ca="1"/>
        <v>pinterest_conversion_spend</v>
      </c>
      <c r="AG4" s="114" t="str">
        <f ca="1"/>
        <v>print_coop_spend</v>
      </c>
      <c r="AH4" s="114" t="str">
        <f ca="1"/>
        <v>print_pure_spend</v>
      </c>
      <c r="AI4" s="114" t="str">
        <f ca="1"/>
        <v>samples_quantity_distributed</v>
      </c>
      <c r="AJ4" s="114" t="str">
        <f ca="1"/>
        <v>snap_awareness_imp</v>
      </c>
      <c r="AK4" s="114" t="str">
        <f ca="1"/>
        <v>snap_awareness_spend</v>
      </c>
      <c r="AL4" s="114" t="str">
        <f ca="1"/>
        <v>snap_conversion_imp</v>
      </c>
      <c r="AM4" s="114" t="str">
        <f ca="1"/>
        <v>snap_conversion_spend</v>
      </c>
      <c r="AN4" s="114" t="str">
        <f ca="1"/>
        <v>tiktok_awareness_imp</v>
      </c>
      <c r="AO4" s="114" t="str">
        <f ca="1"/>
        <v>tiktok_awareness_spend</v>
      </c>
      <c r="AP4" s="114" t="str">
        <f ca="1"/>
        <v>tv_coop_spend</v>
      </c>
      <c r="AQ4" s="114" t="str">
        <f ca="1"/>
        <v>tv_pure_imp</v>
      </c>
      <c r="AR4" s="114" t="str">
        <f ca="1"/>
        <v>tv_pure_spend +L1</v>
      </c>
      <c r="AS4" s="114" t="str">
        <f ca="1"/>
        <v>vday_dummy</v>
      </c>
      <c r="AT4" s="114" t="str">
        <f ca="1"/>
        <v>xmas_dummy</v>
      </c>
      <c r="AU4" s="114" t="str">
        <f ca="1"/>
        <v>youtube_video_spend</v>
      </c>
      <c r="AV4" s="114" t="str">
        <f ca="1"/>
        <v>fbig_spend</v>
      </c>
      <c r="AW4" s="114" t="str">
        <f ca="1"/>
        <v>fbig_imp +A60</v>
      </c>
      <c r="AX4" s="114" t="str">
        <f ca="1"/>
        <v>youtube_video_imp</v>
      </c>
      <c r="AY4" s="114" t="str">
        <f ca="1"/>
        <v>outdoor_impressions +A20</v>
      </c>
      <c r="AZ4" s="114" t="str">
        <f ca="1"/>
        <v>outdoor_spend</v>
      </c>
      <c r="BA4" s="114" t="str">
        <f ca="1"/>
        <v>covid_holiday_period</v>
      </c>
      <c r="BB4" s="114" t="str">
        <f ca="1"/>
        <v>covid_xmas</v>
      </c>
      <c r="BC4" s="114" t="str">
        <f ca="1"/>
        <v>tv_coop_spend_after_2020-04-13</v>
      </c>
      <c r="BD4" s="114" t="str">
        <f ca="1"/>
        <v>print_pure_spend_after_2020-04-13 +L1</v>
      </c>
      <c r="BE4" s="114" t="str">
        <f ca="1"/>
        <v>print_pure_spend_before_2020-04-13</v>
      </c>
      <c r="BF4" s="114" t="str">
        <f ca="1"/>
        <v>total_product_launch</v>
      </c>
      <c r="BG4" s="114" t="str">
        <f ca="1"/>
        <v>week_before_laborday</v>
      </c>
      <c r="BH4" s="114" t="str">
        <f ca="1"/>
        <v>week_before_vday +A30</v>
      </c>
      <c r="BI4" s="114" t="str">
        <f ca="1"/>
        <v>july_promo</v>
      </c>
      <c r="BJ4" s="114" t="str">
        <f ca="1"/>
        <v>mothersday_2019</v>
      </c>
      <c r="BK4" s="115" t="str">
        <f ca="1"/>
        <v>blackfriday_2019</v>
      </c>
      <c r="BL4" s="115" t="str">
        <f ca="1"/>
        <v>friends_and_family_august_promo</v>
      </c>
      <c r="BM4" s="115" t="str">
        <f ca="1"/>
        <v>flash_sale_promo</v>
      </c>
      <c r="BN4" s="115" t="str">
        <f ca="1"/>
        <v>new_year</v>
      </c>
    </row>
    <row r="5" spans="1:66" x14ac:dyDescent="0.2">
      <c r="A5"/>
      <c r="B5" s="349" t="str" cm="1">
        <f t="array" aca="1" ref="B5:B108" ca="1">_xlfn._xlws.FILTER(OFFSET(InputSheet!$D$8,0,0,InputSheet!$B$2,1),_xlfn.ANCHORARRAY(InputSheet!B8))</f>
        <v>All</v>
      </c>
      <c r="C5" s="350" cm="1">
        <f t="array" aca="1" ref="C5:C108" ca="1">_xlfn._xlws.FILTER(OFFSET(InputSheet!$E$8,0,0,InputSheet!$B$2,1),_xlfn.ANCHORARRAY(InputSheet!B8))</f>
        <v>43472</v>
      </c>
      <c r="D5" s="351" cm="1">
        <f t="array" aca="1" ref="D5:BN108" ca="1">_xlfn._xlws.FILTER(OFFSET(InputSheet!$F$8,0,0,InputSheet!$B$2,InputSheet!$B$4),_xlfn.ANCHORARRAY(InputSheet!B8))</f>
        <v>6096762.5070000002</v>
      </c>
      <c r="E5" s="217">
        <f ca="1"/>
        <v>2900.876792</v>
      </c>
      <c r="F5" s="217">
        <f ca="1"/>
        <v>8535.2130199999992</v>
      </c>
      <c r="G5" s="217">
        <f ca="1"/>
        <v>0</v>
      </c>
      <c r="H5" s="217">
        <f ca="1"/>
        <v>0</v>
      </c>
      <c r="I5" s="217">
        <f ca="1"/>
        <v>6445.1076080000003</v>
      </c>
      <c r="J5" s="217">
        <f ca="1"/>
        <v>225599.02420000001</v>
      </c>
      <c r="K5" s="141">
        <f ca="1"/>
        <v>5970.8340040000003</v>
      </c>
      <c r="L5" s="141">
        <f ca="1"/>
        <v>192.4504287</v>
      </c>
      <c r="M5" s="141">
        <f ca="1"/>
        <v>72160.543369999999</v>
      </c>
      <c r="N5" s="141">
        <f ca="1"/>
        <v>385.8137691</v>
      </c>
      <c r="O5" s="141">
        <f ca="1"/>
        <v>8048.5675869999995</v>
      </c>
      <c r="P5" s="141">
        <f ca="1"/>
        <v>301929.62050000002</v>
      </c>
      <c r="Q5" s="141">
        <f ca="1"/>
        <v>19863.905320000002</v>
      </c>
      <c r="R5" s="141">
        <f ca="1"/>
        <v>417.4897173</v>
      </c>
      <c r="S5" s="141">
        <f ca="1"/>
        <v>123341.3477</v>
      </c>
      <c r="T5" s="141">
        <f ca="1"/>
        <v>1587.0688270000001</v>
      </c>
      <c r="U5" s="141">
        <f ca="1"/>
        <v>21235</v>
      </c>
      <c r="V5" s="141">
        <f ca="1"/>
        <v>0</v>
      </c>
      <c r="W5" s="141">
        <f ca="1"/>
        <v>0.657774623</v>
      </c>
      <c r="X5" s="141">
        <f ca="1"/>
        <v>0</v>
      </c>
      <c r="Y5" s="141">
        <f ca="1"/>
        <v>244615570.5</v>
      </c>
      <c r="Z5" s="141">
        <f ca="1"/>
        <v>0</v>
      </c>
      <c r="AA5" s="141">
        <f ca="1"/>
        <v>0</v>
      </c>
      <c r="AB5" s="141">
        <f ca="1"/>
        <v>0</v>
      </c>
      <c r="AC5" s="141">
        <f ca="1"/>
        <v>0</v>
      </c>
      <c r="AD5" s="141">
        <f ca="1"/>
        <v>0</v>
      </c>
      <c r="AE5" s="141">
        <f ca="1"/>
        <v>0</v>
      </c>
      <c r="AF5" s="141">
        <f ca="1"/>
        <v>0</v>
      </c>
      <c r="AG5" s="141">
        <f ca="1"/>
        <v>291.8425987</v>
      </c>
      <c r="AH5" s="141">
        <f ca="1"/>
        <v>68696.88</v>
      </c>
      <c r="AI5" s="141">
        <f ca="1"/>
        <v>285111</v>
      </c>
      <c r="AJ5" s="141">
        <f ca="1"/>
        <v>0</v>
      </c>
      <c r="AK5" s="141">
        <f ca="1"/>
        <v>0</v>
      </c>
      <c r="AL5" s="141">
        <f ca="1"/>
        <v>0</v>
      </c>
      <c r="AM5" s="141">
        <f ca="1"/>
        <v>0</v>
      </c>
      <c r="AN5" s="141">
        <f ca="1"/>
        <v>0</v>
      </c>
      <c r="AO5" s="141">
        <f ca="1"/>
        <v>0</v>
      </c>
      <c r="AP5" s="141">
        <f ca="1"/>
        <v>0</v>
      </c>
      <c r="AQ5" s="141">
        <f ca="1"/>
        <v>0</v>
      </c>
      <c r="AR5" s="141">
        <f ca="1"/>
        <v>0</v>
      </c>
      <c r="AS5" s="141">
        <f ca="1"/>
        <v>0</v>
      </c>
      <c r="AT5" s="141">
        <f ca="1"/>
        <v>0</v>
      </c>
      <c r="AU5" s="141">
        <f ca="1"/>
        <v>6008.761614</v>
      </c>
      <c r="AV5" s="141">
        <f ca="1"/>
        <v>0</v>
      </c>
      <c r="AW5" s="141">
        <f ca="1"/>
        <v>0</v>
      </c>
      <c r="AX5" s="141">
        <f ca="1"/>
        <v>532627.15300000005</v>
      </c>
      <c r="AY5" s="141">
        <f ca="1"/>
        <v>0</v>
      </c>
      <c r="AZ5" s="141">
        <f ca="1"/>
        <v>0</v>
      </c>
      <c r="BA5" s="141">
        <f ca="1"/>
        <v>0</v>
      </c>
      <c r="BB5" s="141">
        <f ca="1"/>
        <v>0</v>
      </c>
      <c r="BC5" s="141">
        <f ca="1"/>
        <v>0</v>
      </c>
      <c r="BD5" s="141">
        <f ca="1"/>
        <v>0</v>
      </c>
      <c r="BE5" s="141">
        <f ca="1"/>
        <v>68696.88</v>
      </c>
      <c r="BF5" s="141">
        <f ca="1"/>
        <v>0.657774623</v>
      </c>
      <c r="BG5" s="141">
        <f ca="1"/>
        <v>0</v>
      </c>
      <c r="BH5" s="141">
        <f ca="1"/>
        <v>0</v>
      </c>
      <c r="BI5" s="141">
        <f ca="1"/>
        <v>0</v>
      </c>
      <c r="BJ5" s="141">
        <f ca="1"/>
        <v>0</v>
      </c>
      <c r="BK5" s="141">
        <f ca="1"/>
        <v>0</v>
      </c>
      <c r="BL5" s="141">
        <f ca="1"/>
        <v>0</v>
      </c>
      <c r="BM5" s="141">
        <f ca="1"/>
        <v>0</v>
      </c>
      <c r="BN5" s="141">
        <f ca="1"/>
        <v>0</v>
      </c>
    </row>
    <row r="6" spans="1:66" s="217" customFormat="1" x14ac:dyDescent="0.2">
      <c r="A6"/>
      <c r="B6" s="347" t="str">
        <f ca="1"/>
        <v>All</v>
      </c>
      <c r="C6" s="345">
        <f ca="1"/>
        <v>43479</v>
      </c>
      <c r="D6" s="353">
        <f ca="1"/>
        <v>6089210.2319999998</v>
      </c>
      <c r="E6" s="217">
        <f ca="1"/>
        <v>2256.8670350000002</v>
      </c>
      <c r="F6" s="217">
        <f ca="1"/>
        <v>7213.1736760000003</v>
      </c>
      <c r="G6" s="217">
        <f ca="1"/>
        <v>0</v>
      </c>
      <c r="H6" s="217">
        <f ca="1"/>
        <v>0</v>
      </c>
      <c r="I6" s="217">
        <f ca="1"/>
        <v>5744.4471219999996</v>
      </c>
      <c r="J6" s="217">
        <f ca="1"/>
        <v>207751.3388</v>
      </c>
      <c r="K6" s="217">
        <f ca="1"/>
        <v>5045.9973950000003</v>
      </c>
      <c r="L6" s="217">
        <f ca="1"/>
        <v>77.508639489999993</v>
      </c>
      <c r="M6" s="217">
        <f ca="1"/>
        <v>34493.546520000004</v>
      </c>
      <c r="N6" s="217">
        <f ca="1"/>
        <v>193.17630370000001</v>
      </c>
      <c r="O6" s="217">
        <f ca="1"/>
        <v>7100.4079229999998</v>
      </c>
      <c r="P6" s="217">
        <f ca="1"/>
        <v>270855.26189999998</v>
      </c>
      <c r="Q6" s="217">
        <f ca="1"/>
        <v>17575.176490000002</v>
      </c>
      <c r="R6" s="217">
        <f ca="1"/>
        <v>503.80615669999997</v>
      </c>
      <c r="S6" s="217">
        <f ca="1"/>
        <v>150301.58290000001</v>
      </c>
      <c r="T6" s="217">
        <f ca="1"/>
        <v>1892.7400359999999</v>
      </c>
      <c r="U6" s="217">
        <f ca="1"/>
        <v>0</v>
      </c>
      <c r="V6" s="217">
        <f ca="1"/>
        <v>3.8621945999999997E-2</v>
      </c>
      <c r="W6" s="217">
        <f ca="1"/>
        <v>0.46331830600000001</v>
      </c>
      <c r="X6" s="217">
        <f ca="1"/>
        <v>0</v>
      </c>
      <c r="Y6" s="217">
        <f ca="1"/>
        <v>252592629.59999999</v>
      </c>
      <c r="Z6" s="217">
        <f ca="1"/>
        <v>0</v>
      </c>
      <c r="AA6" s="217">
        <f ca="1"/>
        <v>0</v>
      </c>
      <c r="AB6" s="217">
        <f ca="1"/>
        <v>0</v>
      </c>
      <c r="AC6" s="217">
        <f ca="1"/>
        <v>0</v>
      </c>
      <c r="AD6" s="217">
        <f ca="1"/>
        <v>0</v>
      </c>
      <c r="AE6" s="217">
        <f ca="1"/>
        <v>0</v>
      </c>
      <c r="AF6" s="217">
        <f ca="1"/>
        <v>0</v>
      </c>
      <c r="AG6" s="217">
        <f ca="1"/>
        <v>291.84229160000001</v>
      </c>
      <c r="AH6" s="217">
        <f ca="1"/>
        <v>128080.3829</v>
      </c>
      <c r="AI6" s="217">
        <f ca="1"/>
        <v>489603</v>
      </c>
      <c r="AJ6" s="217">
        <f ca="1"/>
        <v>0</v>
      </c>
      <c r="AK6" s="217">
        <f ca="1"/>
        <v>0</v>
      </c>
      <c r="AL6" s="217">
        <f ca="1"/>
        <v>0</v>
      </c>
      <c r="AM6" s="217">
        <f ca="1"/>
        <v>0</v>
      </c>
      <c r="AN6" s="217">
        <f ca="1"/>
        <v>0</v>
      </c>
      <c r="AO6" s="217">
        <f ca="1"/>
        <v>0</v>
      </c>
      <c r="AP6" s="217">
        <f ca="1"/>
        <v>0</v>
      </c>
      <c r="AQ6" s="217">
        <f ca="1"/>
        <v>0</v>
      </c>
      <c r="AR6" s="217">
        <f ca="1"/>
        <v>0</v>
      </c>
      <c r="AS6" s="217">
        <f ca="1"/>
        <v>0</v>
      </c>
      <c r="AT6" s="217">
        <f ca="1"/>
        <v>0</v>
      </c>
      <c r="AU6" s="217">
        <f ca="1"/>
        <v>4042.4815880000001</v>
      </c>
      <c r="AV6" s="217">
        <f ca="1"/>
        <v>0</v>
      </c>
      <c r="AW6" s="217">
        <f ca="1"/>
        <v>0</v>
      </c>
      <c r="AX6" s="217">
        <f ca="1"/>
        <v>363528.09139999998</v>
      </c>
      <c r="AY6" s="217">
        <f ca="1"/>
        <v>0</v>
      </c>
      <c r="AZ6" s="217">
        <f ca="1"/>
        <v>0</v>
      </c>
      <c r="BA6" s="217">
        <f ca="1"/>
        <v>0</v>
      </c>
      <c r="BB6" s="217">
        <f ca="1"/>
        <v>0</v>
      </c>
      <c r="BC6" s="217">
        <f ca="1"/>
        <v>0</v>
      </c>
      <c r="BD6" s="217">
        <f ca="1"/>
        <v>0</v>
      </c>
      <c r="BE6" s="217">
        <f ca="1"/>
        <v>128080.3829</v>
      </c>
      <c r="BF6" s="217">
        <f ca="1"/>
        <v>0.50194025200000003</v>
      </c>
      <c r="BG6" s="217">
        <f ca="1"/>
        <v>0</v>
      </c>
      <c r="BH6" s="217">
        <f ca="1"/>
        <v>0</v>
      </c>
      <c r="BI6" s="217">
        <f ca="1"/>
        <v>0</v>
      </c>
      <c r="BJ6" s="217">
        <f ca="1"/>
        <v>0</v>
      </c>
      <c r="BK6" s="217">
        <f ca="1"/>
        <v>0</v>
      </c>
      <c r="BL6" s="217">
        <f ca="1"/>
        <v>0</v>
      </c>
      <c r="BM6" s="217">
        <f ca="1"/>
        <v>0</v>
      </c>
      <c r="BN6" s="217">
        <f ca="1"/>
        <v>0</v>
      </c>
    </row>
    <row r="7" spans="1:66" s="217" customFormat="1" x14ac:dyDescent="0.2">
      <c r="A7"/>
      <c r="B7" s="347" t="str">
        <f ca="1"/>
        <v>All</v>
      </c>
      <c r="C7" s="345">
        <f ca="1"/>
        <v>43486</v>
      </c>
      <c r="D7" s="353">
        <f ca="1"/>
        <v>6508506.8210000005</v>
      </c>
      <c r="E7" s="217">
        <f ca="1"/>
        <v>834.12798369999996</v>
      </c>
      <c r="F7" s="217">
        <f ca="1"/>
        <v>7174.7345400000004</v>
      </c>
      <c r="G7" s="217">
        <f ca="1"/>
        <v>0</v>
      </c>
      <c r="H7" s="217">
        <f ca="1"/>
        <v>0</v>
      </c>
      <c r="I7" s="217">
        <f ca="1"/>
        <v>5925.4474110000001</v>
      </c>
      <c r="J7" s="217">
        <f ca="1"/>
        <v>211989.21170000001</v>
      </c>
      <c r="K7" s="217">
        <f ca="1"/>
        <v>5019.1071810000003</v>
      </c>
      <c r="L7" s="217">
        <f ca="1"/>
        <v>188.92730879999999</v>
      </c>
      <c r="M7" s="217">
        <f ca="1"/>
        <v>84085.864100000006</v>
      </c>
      <c r="N7" s="217">
        <f ca="1"/>
        <v>459.4632421</v>
      </c>
      <c r="O7" s="217">
        <f ca="1"/>
        <v>4985.6551570000001</v>
      </c>
      <c r="P7" s="217">
        <f ca="1"/>
        <v>198156.12150000001</v>
      </c>
      <c r="Q7" s="217">
        <f ca="1"/>
        <v>12181.654130000001</v>
      </c>
      <c r="R7" s="217">
        <f ca="1"/>
        <v>413.08581729999997</v>
      </c>
      <c r="S7" s="217">
        <f ca="1"/>
        <v>135798.21909999999</v>
      </c>
      <c r="T7" s="217">
        <f ca="1"/>
        <v>1711.43568</v>
      </c>
      <c r="U7" s="217">
        <f ca="1"/>
        <v>0</v>
      </c>
      <c r="V7" s="217">
        <f ca="1"/>
        <v>0.22152892299999999</v>
      </c>
      <c r="W7" s="217">
        <f ca="1"/>
        <v>0.37955382300000001</v>
      </c>
      <c r="X7" s="217">
        <f ca="1"/>
        <v>0</v>
      </c>
      <c r="Y7" s="217">
        <f ca="1"/>
        <v>255581660.5</v>
      </c>
      <c r="Z7" s="217">
        <f ca="1"/>
        <v>0</v>
      </c>
      <c r="AA7" s="217">
        <f ca="1"/>
        <v>0</v>
      </c>
      <c r="AB7" s="217">
        <f ca="1"/>
        <v>0</v>
      </c>
      <c r="AC7" s="217">
        <f ca="1"/>
        <v>0</v>
      </c>
      <c r="AD7" s="217">
        <f ca="1"/>
        <v>0</v>
      </c>
      <c r="AE7" s="217">
        <f ca="1"/>
        <v>0</v>
      </c>
      <c r="AF7" s="217">
        <f ca="1"/>
        <v>0</v>
      </c>
      <c r="AG7" s="217">
        <f ca="1"/>
        <v>291.84167589999998</v>
      </c>
      <c r="AH7" s="217">
        <f ca="1"/>
        <v>138871.57829999999</v>
      </c>
      <c r="AI7" s="217">
        <f ca="1"/>
        <v>302329</v>
      </c>
      <c r="AJ7" s="217">
        <f ca="1"/>
        <v>0</v>
      </c>
      <c r="AK7" s="217">
        <f ca="1"/>
        <v>0</v>
      </c>
      <c r="AL7" s="217">
        <f ca="1"/>
        <v>0</v>
      </c>
      <c r="AM7" s="217">
        <f ca="1"/>
        <v>0</v>
      </c>
      <c r="AN7" s="217">
        <f ca="1"/>
        <v>0</v>
      </c>
      <c r="AO7" s="217">
        <f ca="1"/>
        <v>0</v>
      </c>
      <c r="AP7" s="217">
        <f ca="1"/>
        <v>0</v>
      </c>
      <c r="AQ7" s="217">
        <f ca="1"/>
        <v>0</v>
      </c>
      <c r="AR7" s="217">
        <f ca="1"/>
        <v>0</v>
      </c>
      <c r="AS7" s="217">
        <f ca="1"/>
        <v>0</v>
      </c>
      <c r="AT7" s="217">
        <f ca="1"/>
        <v>0</v>
      </c>
      <c r="AU7" s="217">
        <f ca="1"/>
        <v>3810.1153770000001</v>
      </c>
      <c r="AV7" s="217">
        <f ca="1"/>
        <v>0</v>
      </c>
      <c r="AW7" s="217">
        <f ca="1"/>
        <v>0</v>
      </c>
      <c r="AX7" s="217">
        <f ca="1"/>
        <v>355039.52179999999</v>
      </c>
      <c r="AY7" s="217">
        <f ca="1"/>
        <v>0</v>
      </c>
      <c r="AZ7" s="217">
        <f ca="1"/>
        <v>0</v>
      </c>
      <c r="BA7" s="217">
        <f ca="1"/>
        <v>0</v>
      </c>
      <c r="BB7" s="217">
        <f ca="1"/>
        <v>0</v>
      </c>
      <c r="BC7" s="217">
        <f ca="1"/>
        <v>0</v>
      </c>
      <c r="BD7" s="217">
        <f ca="1"/>
        <v>0</v>
      </c>
      <c r="BE7" s="217">
        <f ca="1"/>
        <v>138871.57829999999</v>
      </c>
      <c r="BF7" s="217">
        <f ca="1"/>
        <v>0.601082746</v>
      </c>
      <c r="BG7" s="217">
        <f ca="1"/>
        <v>0</v>
      </c>
      <c r="BH7" s="217">
        <f ca="1"/>
        <v>0</v>
      </c>
      <c r="BI7" s="217">
        <f ca="1"/>
        <v>0</v>
      </c>
      <c r="BJ7" s="217">
        <f ca="1"/>
        <v>0</v>
      </c>
      <c r="BK7" s="217">
        <f ca="1"/>
        <v>0</v>
      </c>
      <c r="BL7" s="217">
        <f ca="1"/>
        <v>0</v>
      </c>
      <c r="BM7" s="217">
        <f ca="1"/>
        <v>0</v>
      </c>
      <c r="BN7" s="217">
        <f ca="1"/>
        <v>0</v>
      </c>
    </row>
    <row r="8" spans="1:66" s="217" customFormat="1" x14ac:dyDescent="0.2">
      <c r="A8"/>
      <c r="B8" s="347" t="str">
        <f ca="1"/>
        <v>All</v>
      </c>
      <c r="C8" s="345">
        <f ca="1"/>
        <v>43493</v>
      </c>
      <c r="D8" s="353">
        <f ca="1"/>
        <v>7022937.0590000004</v>
      </c>
      <c r="E8" s="217">
        <f ca="1"/>
        <v>1875.3715199999999</v>
      </c>
      <c r="F8" s="217">
        <f ca="1"/>
        <v>7815.470738</v>
      </c>
      <c r="G8" s="217">
        <f ca="1"/>
        <v>0</v>
      </c>
      <c r="H8" s="217">
        <f ca="1"/>
        <v>0</v>
      </c>
      <c r="I8" s="217">
        <f ca="1"/>
        <v>6411.1975780000002</v>
      </c>
      <c r="J8" s="217">
        <f ca="1"/>
        <v>261913.14300000001</v>
      </c>
      <c r="K8" s="217">
        <f ca="1"/>
        <v>5467.3361199999999</v>
      </c>
      <c r="L8" s="217">
        <f ca="1"/>
        <v>221.07577850000001</v>
      </c>
      <c r="M8" s="217">
        <f ca="1"/>
        <v>103102.3446</v>
      </c>
      <c r="N8" s="217">
        <f ca="1"/>
        <v>552.38056919999997</v>
      </c>
      <c r="O8" s="217">
        <f ca="1"/>
        <v>5072.4119870000004</v>
      </c>
      <c r="P8" s="217">
        <f ca="1"/>
        <v>193075.7825</v>
      </c>
      <c r="Q8" s="217">
        <f ca="1"/>
        <v>12393.20868</v>
      </c>
      <c r="R8" s="217">
        <f ca="1"/>
        <v>726.20310519999998</v>
      </c>
      <c r="S8" s="217">
        <f ca="1"/>
        <v>313427.32250000001</v>
      </c>
      <c r="T8" s="217">
        <f ca="1"/>
        <v>3413.5202650000001</v>
      </c>
      <c r="U8" s="217">
        <f ca="1"/>
        <v>0</v>
      </c>
      <c r="V8" s="217">
        <f ca="1"/>
        <v>2.3616163999999999E-2</v>
      </c>
      <c r="W8" s="217">
        <f ca="1"/>
        <v>0</v>
      </c>
      <c r="X8" s="217">
        <f ca="1"/>
        <v>0</v>
      </c>
      <c r="Y8" s="217">
        <f ca="1"/>
        <v>247669570.30000001</v>
      </c>
      <c r="Z8" s="217">
        <f ca="1"/>
        <v>0</v>
      </c>
      <c r="AA8" s="217">
        <f ca="1"/>
        <v>0</v>
      </c>
      <c r="AB8" s="217">
        <f ca="1"/>
        <v>0</v>
      </c>
      <c r="AC8" s="217">
        <f ca="1"/>
        <v>0</v>
      </c>
      <c r="AD8" s="217">
        <f ca="1"/>
        <v>0</v>
      </c>
      <c r="AE8" s="217">
        <f ca="1"/>
        <v>0</v>
      </c>
      <c r="AF8" s="217">
        <f ca="1"/>
        <v>0</v>
      </c>
      <c r="AG8" s="217">
        <f ca="1"/>
        <v>13837.331270000001</v>
      </c>
      <c r="AH8" s="217">
        <f ca="1"/>
        <v>0</v>
      </c>
      <c r="AI8" s="217">
        <f ca="1"/>
        <v>371304</v>
      </c>
      <c r="AJ8" s="217">
        <f ca="1"/>
        <v>0</v>
      </c>
      <c r="AK8" s="217">
        <f ca="1"/>
        <v>0</v>
      </c>
      <c r="AL8" s="217">
        <f ca="1"/>
        <v>0</v>
      </c>
      <c r="AM8" s="217">
        <f ca="1"/>
        <v>0</v>
      </c>
      <c r="AN8" s="217">
        <f ca="1"/>
        <v>0</v>
      </c>
      <c r="AO8" s="217">
        <f ca="1"/>
        <v>0</v>
      </c>
      <c r="AP8" s="217">
        <f ca="1"/>
        <v>0</v>
      </c>
      <c r="AQ8" s="217">
        <f ca="1"/>
        <v>0</v>
      </c>
      <c r="AR8" s="217">
        <f ca="1"/>
        <v>0</v>
      </c>
      <c r="AS8" s="217">
        <f ca="1"/>
        <v>0</v>
      </c>
      <c r="AT8" s="217">
        <f ca="1"/>
        <v>0</v>
      </c>
      <c r="AU8" s="217">
        <f ca="1"/>
        <v>7283.561874</v>
      </c>
      <c r="AV8" s="217">
        <f ca="1"/>
        <v>0</v>
      </c>
      <c r="AW8" s="217">
        <f ca="1"/>
        <v>0</v>
      </c>
      <c r="AX8" s="217">
        <f ca="1"/>
        <v>596112.98659999995</v>
      </c>
      <c r="AY8" s="217">
        <f ca="1"/>
        <v>0</v>
      </c>
      <c r="AZ8" s="217">
        <f ca="1"/>
        <v>0</v>
      </c>
      <c r="BA8" s="217">
        <f ca="1"/>
        <v>0</v>
      </c>
      <c r="BB8" s="217">
        <f ca="1"/>
        <v>0</v>
      </c>
      <c r="BC8" s="217">
        <f ca="1"/>
        <v>0</v>
      </c>
      <c r="BD8" s="217">
        <f ca="1"/>
        <v>0</v>
      </c>
      <c r="BE8" s="217">
        <f ca="1"/>
        <v>0</v>
      </c>
      <c r="BF8" s="217">
        <f ca="1"/>
        <v>2.3616163999999999E-2</v>
      </c>
      <c r="BG8" s="217">
        <f ca="1"/>
        <v>0</v>
      </c>
      <c r="BH8" s="217">
        <f ca="1"/>
        <v>0</v>
      </c>
      <c r="BI8" s="217">
        <f ca="1"/>
        <v>0</v>
      </c>
      <c r="BJ8" s="217">
        <f ca="1"/>
        <v>0</v>
      </c>
      <c r="BK8" s="217">
        <f ca="1"/>
        <v>0</v>
      </c>
      <c r="BL8" s="217">
        <f ca="1"/>
        <v>0</v>
      </c>
      <c r="BM8" s="217">
        <f ca="1"/>
        <v>0</v>
      </c>
      <c r="BN8" s="217">
        <f ca="1"/>
        <v>0</v>
      </c>
    </row>
    <row r="9" spans="1:66" s="217" customFormat="1" x14ac:dyDescent="0.2">
      <c r="A9"/>
      <c r="B9" s="347" t="str">
        <f ca="1"/>
        <v>All</v>
      </c>
      <c r="C9" s="345">
        <f ca="1"/>
        <v>43500</v>
      </c>
      <c r="D9" s="353">
        <f ca="1"/>
        <v>19633182.66</v>
      </c>
      <c r="E9" s="217">
        <f ca="1"/>
        <v>2128.442802</v>
      </c>
      <c r="F9" s="217">
        <f ca="1"/>
        <v>9028.5068659999997</v>
      </c>
      <c r="G9" s="217">
        <f ca="1"/>
        <v>0</v>
      </c>
      <c r="H9" s="217">
        <f ca="1"/>
        <v>0</v>
      </c>
      <c r="I9" s="217">
        <f ca="1"/>
        <v>7195.5321629999999</v>
      </c>
      <c r="J9" s="217">
        <f ca="1"/>
        <v>283329.30849999998</v>
      </c>
      <c r="K9" s="217">
        <f ca="1"/>
        <v>6315.919202</v>
      </c>
      <c r="L9" s="217">
        <f ca="1"/>
        <v>1185.5298720000001</v>
      </c>
      <c r="M9" s="217">
        <f ca="1"/>
        <v>1881717.3160000001</v>
      </c>
      <c r="N9" s="217">
        <f ca="1"/>
        <v>6625.4674370000002</v>
      </c>
      <c r="O9" s="217">
        <f ca="1"/>
        <v>6423.0881079999999</v>
      </c>
      <c r="P9" s="217">
        <f ca="1"/>
        <v>227563.1636</v>
      </c>
      <c r="Q9" s="217">
        <f ca="1"/>
        <v>15256.219279999999</v>
      </c>
      <c r="R9" s="217">
        <f ca="1"/>
        <v>1536.96109</v>
      </c>
      <c r="S9" s="217">
        <f ca="1"/>
        <v>1156974.1040000001</v>
      </c>
      <c r="T9" s="217">
        <f ca="1"/>
        <v>10973.407429999999</v>
      </c>
      <c r="U9" s="217">
        <f ca="1"/>
        <v>0</v>
      </c>
      <c r="V9" s="217">
        <f ca="1"/>
        <v>3.2639320999999999E-2</v>
      </c>
      <c r="W9" s="217">
        <f ca="1"/>
        <v>1.32715E-3</v>
      </c>
      <c r="X9" s="217">
        <f ca="1"/>
        <v>0</v>
      </c>
      <c r="Y9" s="217">
        <f ca="1"/>
        <v>302047590.60000002</v>
      </c>
      <c r="Z9" s="217">
        <f ca="1"/>
        <v>0</v>
      </c>
      <c r="AA9" s="217">
        <f ca="1"/>
        <v>0</v>
      </c>
      <c r="AB9" s="217">
        <f ca="1"/>
        <v>0</v>
      </c>
      <c r="AC9" s="217">
        <f ca="1"/>
        <v>0</v>
      </c>
      <c r="AD9" s="217">
        <f ca="1"/>
        <v>0</v>
      </c>
      <c r="AE9" s="217">
        <f ca="1"/>
        <v>0</v>
      </c>
      <c r="AF9" s="217">
        <f ca="1"/>
        <v>0</v>
      </c>
      <c r="AG9" s="217">
        <f ca="1"/>
        <v>31897.984359999999</v>
      </c>
      <c r="AH9" s="217">
        <f ca="1"/>
        <v>102556.3703</v>
      </c>
      <c r="AI9" s="217">
        <f ca="1"/>
        <v>468574</v>
      </c>
      <c r="AJ9" s="217">
        <f ca="1"/>
        <v>0</v>
      </c>
      <c r="AK9" s="217">
        <f ca="1"/>
        <v>0</v>
      </c>
      <c r="AL9" s="217">
        <f ca="1"/>
        <v>0</v>
      </c>
      <c r="AM9" s="217">
        <f ca="1"/>
        <v>0</v>
      </c>
      <c r="AN9" s="217">
        <f ca="1"/>
        <v>0</v>
      </c>
      <c r="AO9" s="217">
        <f ca="1"/>
        <v>0</v>
      </c>
      <c r="AP9" s="217">
        <f ca="1"/>
        <v>191864.9895</v>
      </c>
      <c r="AQ9" s="217">
        <f ca="1"/>
        <v>0</v>
      </c>
      <c r="AR9" s="217">
        <f ca="1"/>
        <v>0</v>
      </c>
      <c r="AS9" s="217">
        <f ca="1"/>
        <v>0</v>
      </c>
      <c r="AT9" s="217">
        <f ca="1"/>
        <v>0</v>
      </c>
      <c r="AU9" s="217">
        <f ca="1"/>
        <v>25594.410919999998</v>
      </c>
      <c r="AV9" s="217">
        <f ca="1"/>
        <v>0</v>
      </c>
      <c r="AW9" s="217">
        <f ca="1"/>
        <v>0</v>
      </c>
      <c r="AX9" s="217">
        <f ca="1"/>
        <v>2251435.0410000002</v>
      </c>
      <c r="AY9" s="217">
        <f ca="1"/>
        <v>0</v>
      </c>
      <c r="AZ9" s="217">
        <f ca="1"/>
        <v>0</v>
      </c>
      <c r="BA9" s="217">
        <f ca="1"/>
        <v>0</v>
      </c>
      <c r="BB9" s="217">
        <f ca="1"/>
        <v>0</v>
      </c>
      <c r="BC9" s="217">
        <f ca="1"/>
        <v>0</v>
      </c>
      <c r="BD9" s="217">
        <f ca="1"/>
        <v>0</v>
      </c>
      <c r="BE9" s="217">
        <f ca="1"/>
        <v>102556.3703</v>
      </c>
      <c r="BF9" s="217">
        <f ca="1"/>
        <v>3.3966470999999998E-2</v>
      </c>
      <c r="BG9" s="217">
        <f ca="1"/>
        <v>0</v>
      </c>
      <c r="BH9" s="217">
        <f ca="1"/>
        <v>1</v>
      </c>
      <c r="BI9" s="217">
        <f ca="1"/>
        <v>0</v>
      </c>
      <c r="BJ9" s="217">
        <f ca="1"/>
        <v>0</v>
      </c>
      <c r="BK9" s="217">
        <f ca="1"/>
        <v>0</v>
      </c>
      <c r="BL9" s="217">
        <f ca="1"/>
        <v>0</v>
      </c>
      <c r="BM9" s="217">
        <f ca="1"/>
        <v>0</v>
      </c>
      <c r="BN9" s="217">
        <f ca="1"/>
        <v>0</v>
      </c>
    </row>
    <row r="10" spans="1:66" s="217" customFormat="1" x14ac:dyDescent="0.2">
      <c r="A10"/>
      <c r="B10" s="347" t="str">
        <f ca="1"/>
        <v>All</v>
      </c>
      <c r="C10" s="345">
        <f ca="1"/>
        <v>43507</v>
      </c>
      <c r="D10" s="353">
        <f ca="1"/>
        <v>12143474.27</v>
      </c>
      <c r="E10" s="217">
        <f ca="1"/>
        <v>2207.1341219999999</v>
      </c>
      <c r="F10" s="217">
        <f ca="1"/>
        <v>9331.1159079999998</v>
      </c>
      <c r="G10" s="217">
        <f ca="1"/>
        <v>0</v>
      </c>
      <c r="H10" s="217">
        <f ca="1"/>
        <v>0</v>
      </c>
      <c r="I10" s="217">
        <f ca="1"/>
        <v>6759.9864559999996</v>
      </c>
      <c r="J10" s="217">
        <f ca="1"/>
        <v>293126.22440000001</v>
      </c>
      <c r="K10" s="217">
        <f ca="1"/>
        <v>6527.6102700000001</v>
      </c>
      <c r="L10" s="217">
        <f ca="1"/>
        <v>2989.8076900000001</v>
      </c>
      <c r="M10" s="217">
        <f ca="1"/>
        <v>5153010.8430000003</v>
      </c>
      <c r="N10" s="217">
        <f ca="1"/>
        <v>17620.743930000001</v>
      </c>
      <c r="O10" s="217">
        <f ca="1"/>
        <v>6428.8131780000003</v>
      </c>
      <c r="P10" s="217">
        <f ca="1"/>
        <v>230271.56210000001</v>
      </c>
      <c r="Q10" s="217">
        <f ca="1"/>
        <v>15424.668460000001</v>
      </c>
      <c r="R10" s="217">
        <f ca="1"/>
        <v>1894.1173779999999</v>
      </c>
      <c r="S10" s="217">
        <f ca="1"/>
        <v>1818067.31</v>
      </c>
      <c r="T10" s="217">
        <f ca="1"/>
        <v>17235.529119999999</v>
      </c>
      <c r="U10" s="217">
        <f ca="1"/>
        <v>0</v>
      </c>
      <c r="V10" s="217">
        <f ca="1"/>
        <v>0</v>
      </c>
      <c r="W10" s="217">
        <f ca="1"/>
        <v>4.1399347000000003E-2</v>
      </c>
      <c r="X10" s="217">
        <f ca="1"/>
        <v>7.0642000000000003E-4</v>
      </c>
      <c r="Y10" s="217">
        <f ca="1"/>
        <v>344583075.89999998</v>
      </c>
      <c r="Z10" s="217">
        <f ca="1"/>
        <v>0</v>
      </c>
      <c r="AA10" s="217">
        <f ca="1"/>
        <v>0</v>
      </c>
      <c r="AB10" s="217">
        <f ca="1"/>
        <v>0</v>
      </c>
      <c r="AC10" s="217">
        <f ca="1"/>
        <v>0</v>
      </c>
      <c r="AD10" s="217">
        <f ca="1"/>
        <v>0</v>
      </c>
      <c r="AE10" s="217">
        <f ca="1"/>
        <v>0</v>
      </c>
      <c r="AF10" s="217">
        <f ca="1"/>
        <v>0</v>
      </c>
      <c r="AG10" s="217">
        <f ca="1"/>
        <v>30455.078300000001</v>
      </c>
      <c r="AH10" s="217">
        <f ca="1"/>
        <v>0</v>
      </c>
      <c r="AI10" s="217">
        <f ca="1"/>
        <v>208336</v>
      </c>
      <c r="AJ10" s="217">
        <f ca="1"/>
        <v>0</v>
      </c>
      <c r="AK10" s="217">
        <f ca="1"/>
        <v>0</v>
      </c>
      <c r="AL10" s="217">
        <f ca="1"/>
        <v>0</v>
      </c>
      <c r="AM10" s="217">
        <f ca="1"/>
        <v>0</v>
      </c>
      <c r="AN10" s="217">
        <f ca="1"/>
        <v>0</v>
      </c>
      <c r="AO10" s="217">
        <f ca="1"/>
        <v>0</v>
      </c>
      <c r="AP10" s="217">
        <f ca="1"/>
        <v>191864.9895</v>
      </c>
      <c r="AQ10" s="217">
        <f ca="1"/>
        <v>0</v>
      </c>
      <c r="AR10" s="217">
        <f ca="1"/>
        <v>0</v>
      </c>
      <c r="AS10" s="217">
        <f ca="1"/>
        <v>1</v>
      </c>
      <c r="AT10" s="217">
        <f ca="1"/>
        <v>0</v>
      </c>
      <c r="AU10" s="217">
        <f ca="1"/>
        <v>28391.390899999999</v>
      </c>
      <c r="AV10" s="217">
        <f ca="1"/>
        <v>0</v>
      </c>
      <c r="AW10" s="217">
        <f ca="1"/>
        <v>0</v>
      </c>
      <c r="AX10" s="217">
        <f ca="1"/>
        <v>2549329.0279999999</v>
      </c>
      <c r="AY10" s="217">
        <f ca="1"/>
        <v>0</v>
      </c>
      <c r="AZ10" s="217">
        <f ca="1"/>
        <v>0</v>
      </c>
      <c r="BA10" s="217">
        <f ca="1"/>
        <v>0</v>
      </c>
      <c r="BB10" s="217">
        <f ca="1"/>
        <v>0</v>
      </c>
      <c r="BC10" s="217">
        <f ca="1"/>
        <v>0</v>
      </c>
      <c r="BD10" s="217">
        <f ca="1"/>
        <v>0</v>
      </c>
      <c r="BE10" s="217">
        <f ca="1"/>
        <v>0</v>
      </c>
      <c r="BF10" s="217">
        <f ca="1"/>
        <v>4.2105767000000002E-2</v>
      </c>
      <c r="BG10" s="217">
        <f ca="1"/>
        <v>0</v>
      </c>
      <c r="BH10" s="217">
        <f ca="1"/>
        <v>0.3</v>
      </c>
      <c r="BI10" s="217">
        <f ca="1"/>
        <v>0</v>
      </c>
      <c r="BJ10" s="217">
        <f ca="1"/>
        <v>0</v>
      </c>
      <c r="BK10" s="217">
        <f ca="1"/>
        <v>0</v>
      </c>
      <c r="BL10" s="217">
        <f ca="1"/>
        <v>0</v>
      </c>
      <c r="BM10" s="217">
        <f ca="1"/>
        <v>0</v>
      </c>
      <c r="BN10" s="217">
        <f ca="1"/>
        <v>0</v>
      </c>
    </row>
    <row r="11" spans="1:66" s="217" customFormat="1" x14ac:dyDescent="0.2">
      <c r="A11"/>
      <c r="B11" s="347" t="str">
        <f ca="1"/>
        <v>All</v>
      </c>
      <c r="C11" s="345">
        <f ca="1"/>
        <v>43514</v>
      </c>
      <c r="D11" s="353">
        <f ca="1"/>
        <v>9691781.5439999998</v>
      </c>
      <c r="E11" s="217">
        <f ca="1"/>
        <v>1704.76874</v>
      </c>
      <c r="F11" s="217">
        <f ca="1"/>
        <v>7430.1602670000002</v>
      </c>
      <c r="G11" s="217">
        <f ca="1"/>
        <v>0</v>
      </c>
      <c r="H11" s="217">
        <f ca="1"/>
        <v>0</v>
      </c>
      <c r="I11" s="217">
        <f ca="1"/>
        <v>4640.8297899999998</v>
      </c>
      <c r="J11" s="217">
        <f ca="1"/>
        <v>161760.09020000001</v>
      </c>
      <c r="K11" s="217">
        <f ca="1"/>
        <v>5197.7910190000002</v>
      </c>
      <c r="L11" s="217">
        <f ca="1"/>
        <v>1134.885023</v>
      </c>
      <c r="M11" s="217">
        <f ca="1"/>
        <v>1994596.3189999999</v>
      </c>
      <c r="N11" s="217">
        <f ca="1"/>
        <v>7583.5941220000004</v>
      </c>
      <c r="O11" s="217">
        <f ca="1"/>
        <v>6520.854687</v>
      </c>
      <c r="P11" s="217">
        <f ca="1"/>
        <v>239695.4676</v>
      </c>
      <c r="Q11" s="217">
        <f ca="1"/>
        <v>15136.64019</v>
      </c>
      <c r="R11" s="217">
        <f ca="1"/>
        <v>1014.218163</v>
      </c>
      <c r="S11" s="217">
        <f ca="1"/>
        <v>1171058.2169999999</v>
      </c>
      <c r="T11" s="217">
        <f ca="1"/>
        <v>10726.01031</v>
      </c>
      <c r="U11" s="217">
        <f ca="1"/>
        <v>0</v>
      </c>
      <c r="V11" s="217">
        <f ca="1"/>
        <v>0</v>
      </c>
      <c r="W11" s="217">
        <f ca="1"/>
        <v>1.9436999999999999E-2</v>
      </c>
      <c r="X11" s="217">
        <f ca="1"/>
        <v>4.2161779000000003E-2</v>
      </c>
      <c r="Y11" s="217">
        <f ca="1"/>
        <v>295607498.39999998</v>
      </c>
      <c r="Z11" s="217">
        <f ca="1"/>
        <v>0</v>
      </c>
      <c r="AA11" s="217">
        <f ca="1"/>
        <v>0</v>
      </c>
      <c r="AB11" s="217">
        <f ca="1"/>
        <v>0</v>
      </c>
      <c r="AC11" s="217">
        <f ca="1"/>
        <v>0</v>
      </c>
      <c r="AD11" s="217">
        <f ca="1"/>
        <v>0</v>
      </c>
      <c r="AE11" s="217">
        <f ca="1"/>
        <v>0</v>
      </c>
      <c r="AF11" s="217">
        <f ca="1"/>
        <v>0</v>
      </c>
      <c r="AG11" s="217">
        <f ca="1"/>
        <v>12580.87052</v>
      </c>
      <c r="AH11" s="217">
        <f ca="1"/>
        <v>172271.2084</v>
      </c>
      <c r="AI11" s="217">
        <f ca="1"/>
        <v>829297</v>
      </c>
      <c r="AJ11" s="217">
        <f ca="1"/>
        <v>0</v>
      </c>
      <c r="AK11" s="217">
        <f ca="1"/>
        <v>0</v>
      </c>
      <c r="AL11" s="217">
        <f ca="1"/>
        <v>0</v>
      </c>
      <c r="AM11" s="217">
        <f ca="1"/>
        <v>0</v>
      </c>
      <c r="AN11" s="217">
        <f ca="1"/>
        <v>0</v>
      </c>
      <c r="AO11" s="217">
        <f ca="1"/>
        <v>0</v>
      </c>
      <c r="AP11" s="217">
        <f ca="1"/>
        <v>191864.9895</v>
      </c>
      <c r="AQ11" s="217">
        <f ca="1"/>
        <v>0</v>
      </c>
      <c r="AR11" s="217">
        <f ca="1"/>
        <v>0</v>
      </c>
      <c r="AS11" s="217">
        <f ca="1"/>
        <v>0</v>
      </c>
      <c r="AT11" s="217">
        <f ca="1"/>
        <v>0</v>
      </c>
      <c r="AU11" s="217">
        <f ca="1"/>
        <v>12064.529109999999</v>
      </c>
      <c r="AV11" s="217">
        <f ca="1"/>
        <v>0</v>
      </c>
      <c r="AW11" s="217">
        <f ca="1"/>
        <v>0</v>
      </c>
      <c r="AX11" s="217">
        <f ca="1"/>
        <v>1120415.9879999999</v>
      </c>
      <c r="AY11" s="217">
        <f ca="1"/>
        <v>0</v>
      </c>
      <c r="AZ11" s="217">
        <f ca="1"/>
        <v>0</v>
      </c>
      <c r="BA11" s="217">
        <f ca="1"/>
        <v>0</v>
      </c>
      <c r="BB11" s="217">
        <f ca="1"/>
        <v>0</v>
      </c>
      <c r="BC11" s="217">
        <f ca="1"/>
        <v>0</v>
      </c>
      <c r="BD11" s="217">
        <f ca="1"/>
        <v>0</v>
      </c>
      <c r="BE11" s="217">
        <f ca="1"/>
        <v>172271.2084</v>
      </c>
      <c r="BF11" s="217">
        <f ca="1"/>
        <v>6.1598778999999999E-2</v>
      </c>
      <c r="BG11" s="217">
        <f ca="1"/>
        <v>0</v>
      </c>
      <c r="BH11" s="217">
        <f ca="1"/>
        <v>0.09</v>
      </c>
      <c r="BI11" s="217">
        <f ca="1"/>
        <v>0</v>
      </c>
      <c r="BJ11" s="217">
        <f ca="1"/>
        <v>0</v>
      </c>
      <c r="BK11" s="217">
        <f ca="1"/>
        <v>0</v>
      </c>
      <c r="BL11" s="217">
        <f ca="1"/>
        <v>0</v>
      </c>
      <c r="BM11" s="217">
        <f ca="1"/>
        <v>0</v>
      </c>
      <c r="BN11" s="217">
        <f ca="1"/>
        <v>0</v>
      </c>
    </row>
    <row r="12" spans="1:66" s="217" customFormat="1" x14ac:dyDescent="0.2">
      <c r="A12"/>
      <c r="B12" s="347" t="str">
        <f ca="1"/>
        <v>All</v>
      </c>
      <c r="C12" s="345">
        <f ca="1"/>
        <v>43521</v>
      </c>
      <c r="D12" s="353">
        <f ca="1"/>
        <v>7689159.5630000001</v>
      </c>
      <c r="E12" s="217">
        <f ca="1"/>
        <v>1597.7485449999999</v>
      </c>
      <c r="F12" s="217">
        <f ca="1"/>
        <v>6198.8047989999995</v>
      </c>
      <c r="G12" s="217">
        <f ca="1"/>
        <v>0</v>
      </c>
      <c r="H12" s="217">
        <f ca="1"/>
        <v>0</v>
      </c>
      <c r="I12" s="217">
        <f ca="1"/>
        <v>3826.989075</v>
      </c>
      <c r="J12" s="217">
        <f ca="1"/>
        <v>93100.647339999996</v>
      </c>
      <c r="K12" s="217">
        <f ca="1"/>
        <v>4336.3925879999997</v>
      </c>
      <c r="L12" s="217">
        <f ca="1"/>
        <v>1394.274731</v>
      </c>
      <c r="M12" s="217">
        <f ca="1"/>
        <v>2431316.5460000001</v>
      </c>
      <c r="N12" s="217">
        <f ca="1"/>
        <v>8957.4622729999992</v>
      </c>
      <c r="O12" s="217">
        <f ca="1"/>
        <v>5998.9925409999996</v>
      </c>
      <c r="P12" s="217">
        <f ca="1"/>
        <v>229529.06450000001</v>
      </c>
      <c r="Q12" s="217">
        <f ca="1"/>
        <v>13790.82157</v>
      </c>
      <c r="R12" s="217">
        <f ca="1"/>
        <v>881.66077419999999</v>
      </c>
      <c r="S12" s="217">
        <f ca="1"/>
        <v>652310.06759999995</v>
      </c>
      <c r="T12" s="217">
        <f ca="1"/>
        <v>6222.998877</v>
      </c>
      <c r="U12" s="217">
        <f ca="1"/>
        <v>0</v>
      </c>
      <c r="V12" s="217">
        <f ca="1"/>
        <v>0.25167989000000002</v>
      </c>
      <c r="W12" s="217">
        <f ca="1"/>
        <v>2.5707E-3</v>
      </c>
      <c r="X12" s="217">
        <f ca="1"/>
        <v>5.4890715E-2</v>
      </c>
      <c r="Y12" s="217">
        <f ca="1"/>
        <v>291426045.5</v>
      </c>
      <c r="Z12" s="217">
        <f ca="1"/>
        <v>0</v>
      </c>
      <c r="AA12" s="217">
        <f ca="1"/>
        <v>0</v>
      </c>
      <c r="AB12" s="217">
        <f ca="1"/>
        <v>0</v>
      </c>
      <c r="AC12" s="217">
        <f ca="1"/>
        <v>0</v>
      </c>
      <c r="AD12" s="217">
        <f ca="1"/>
        <v>0</v>
      </c>
      <c r="AE12" s="217">
        <f ca="1"/>
        <v>0</v>
      </c>
      <c r="AF12" s="217">
        <f ca="1"/>
        <v>0</v>
      </c>
      <c r="AG12" s="217">
        <f ca="1"/>
        <v>13242.876029999999</v>
      </c>
      <c r="AH12" s="217">
        <f ca="1"/>
        <v>0</v>
      </c>
      <c r="AI12" s="217">
        <f ca="1"/>
        <v>712828</v>
      </c>
      <c r="AJ12" s="217">
        <f ca="1"/>
        <v>0</v>
      </c>
      <c r="AK12" s="217">
        <f ca="1"/>
        <v>0</v>
      </c>
      <c r="AL12" s="217">
        <f ca="1"/>
        <v>0</v>
      </c>
      <c r="AM12" s="217">
        <f ca="1"/>
        <v>0</v>
      </c>
      <c r="AN12" s="217">
        <f ca="1"/>
        <v>0</v>
      </c>
      <c r="AO12" s="217">
        <f ca="1"/>
        <v>0</v>
      </c>
      <c r="AP12" s="217">
        <f ca="1"/>
        <v>0</v>
      </c>
      <c r="AQ12" s="217">
        <f ca="1"/>
        <v>0</v>
      </c>
      <c r="AR12" s="217">
        <f ca="1"/>
        <v>0</v>
      </c>
      <c r="AS12" s="217">
        <f ca="1"/>
        <v>0</v>
      </c>
      <c r="AT12" s="217">
        <f ca="1"/>
        <v>0</v>
      </c>
      <c r="AU12" s="217">
        <f ca="1"/>
        <v>9795.5138179999994</v>
      </c>
      <c r="AV12" s="217">
        <f ca="1"/>
        <v>0</v>
      </c>
      <c r="AW12" s="217">
        <f ca="1"/>
        <v>0</v>
      </c>
      <c r="AX12" s="217">
        <f ca="1"/>
        <v>901653.69620000001</v>
      </c>
      <c r="AY12" s="217">
        <f ca="1"/>
        <v>0</v>
      </c>
      <c r="AZ12" s="217">
        <f ca="1"/>
        <v>0</v>
      </c>
      <c r="BA12" s="217">
        <f ca="1"/>
        <v>0</v>
      </c>
      <c r="BB12" s="217">
        <f ca="1"/>
        <v>0</v>
      </c>
      <c r="BC12" s="217">
        <f ca="1"/>
        <v>0</v>
      </c>
      <c r="BD12" s="217">
        <f ca="1"/>
        <v>0</v>
      </c>
      <c r="BE12" s="217">
        <f ca="1"/>
        <v>0</v>
      </c>
      <c r="BF12" s="217">
        <f ca="1"/>
        <v>0.30914130499999998</v>
      </c>
      <c r="BG12" s="217">
        <f ca="1"/>
        <v>0</v>
      </c>
      <c r="BH12" s="217">
        <f ca="1"/>
        <v>2.6999999999999899E-2</v>
      </c>
      <c r="BI12" s="217">
        <f ca="1"/>
        <v>0</v>
      </c>
      <c r="BJ12" s="217">
        <f ca="1"/>
        <v>0</v>
      </c>
      <c r="BK12" s="217">
        <f ca="1"/>
        <v>0</v>
      </c>
      <c r="BL12" s="217">
        <f ca="1"/>
        <v>0</v>
      </c>
      <c r="BM12" s="217">
        <f ca="1"/>
        <v>0</v>
      </c>
      <c r="BN12" s="217">
        <f ca="1"/>
        <v>0</v>
      </c>
    </row>
    <row r="13" spans="1:66" s="217" customFormat="1" x14ac:dyDescent="0.2">
      <c r="A13"/>
      <c r="B13" s="347" t="str">
        <f ca="1"/>
        <v>All</v>
      </c>
      <c r="C13" s="345">
        <f ca="1"/>
        <v>43528</v>
      </c>
      <c r="D13" s="353">
        <f ca="1"/>
        <v>10234521.560000001</v>
      </c>
      <c r="E13" s="217">
        <f ca="1"/>
        <v>1814.3070560000001</v>
      </c>
      <c r="F13" s="217">
        <f ca="1"/>
        <v>7126.8902179999995</v>
      </c>
      <c r="G13" s="217">
        <f ca="1"/>
        <v>0</v>
      </c>
      <c r="H13" s="217">
        <f ca="1"/>
        <v>0</v>
      </c>
      <c r="I13" s="217">
        <f ca="1"/>
        <v>4476.5643209999998</v>
      </c>
      <c r="J13" s="217">
        <f ca="1"/>
        <v>171533.22500000001</v>
      </c>
      <c r="K13" s="217">
        <f ca="1"/>
        <v>4985.6375420000004</v>
      </c>
      <c r="L13" s="217">
        <f ca="1"/>
        <v>1411.4499410000001</v>
      </c>
      <c r="M13" s="217">
        <f ca="1"/>
        <v>2262162.7480000001</v>
      </c>
      <c r="N13" s="217">
        <f ca="1"/>
        <v>8559.8125209999998</v>
      </c>
      <c r="O13" s="217">
        <f ca="1"/>
        <v>5557.2813729999998</v>
      </c>
      <c r="P13" s="217">
        <f ca="1"/>
        <v>184579.7787</v>
      </c>
      <c r="Q13" s="217">
        <f ca="1"/>
        <v>13539.398510000001</v>
      </c>
      <c r="R13" s="217">
        <f ca="1"/>
        <v>1532.55719</v>
      </c>
      <c r="S13" s="217">
        <f ca="1"/>
        <v>1031359.904</v>
      </c>
      <c r="T13" s="217">
        <f ca="1"/>
        <v>9866.5971730000001</v>
      </c>
      <c r="U13" s="217">
        <f ca="1"/>
        <v>185897</v>
      </c>
      <c r="V13" s="217">
        <f ca="1"/>
        <v>2.5620532520000001</v>
      </c>
      <c r="W13" s="217">
        <f ca="1"/>
        <v>6.9388000000000002E-3</v>
      </c>
      <c r="X13" s="217">
        <f ca="1"/>
        <v>0.107267787</v>
      </c>
      <c r="Y13" s="217">
        <f ca="1"/>
        <v>331431098.60000002</v>
      </c>
      <c r="Z13" s="217">
        <f ca="1"/>
        <v>0</v>
      </c>
      <c r="AA13" s="217">
        <f ca="1"/>
        <v>0</v>
      </c>
      <c r="AB13" s="217">
        <f ca="1"/>
        <v>0</v>
      </c>
      <c r="AC13" s="217">
        <f ca="1"/>
        <v>0</v>
      </c>
      <c r="AD13" s="217">
        <f ca="1"/>
        <v>0</v>
      </c>
      <c r="AE13" s="217">
        <f ca="1"/>
        <v>0</v>
      </c>
      <c r="AF13" s="217">
        <f ca="1"/>
        <v>0</v>
      </c>
      <c r="AG13" s="217">
        <f ca="1"/>
        <v>31621.186740000001</v>
      </c>
      <c r="AH13" s="217">
        <f ca="1"/>
        <v>0</v>
      </c>
      <c r="AI13" s="217">
        <f ca="1"/>
        <v>673603</v>
      </c>
      <c r="AJ13" s="217">
        <f ca="1"/>
        <v>0</v>
      </c>
      <c r="AK13" s="217">
        <f ca="1"/>
        <v>0</v>
      </c>
      <c r="AL13" s="217">
        <f ca="1"/>
        <v>0</v>
      </c>
      <c r="AM13" s="217">
        <f ca="1"/>
        <v>0</v>
      </c>
      <c r="AN13" s="217">
        <f ca="1"/>
        <v>0</v>
      </c>
      <c r="AO13" s="217">
        <f ca="1"/>
        <v>0</v>
      </c>
      <c r="AP13" s="217">
        <f ca="1"/>
        <v>28401.06753</v>
      </c>
      <c r="AQ13" s="217">
        <f ca="1"/>
        <v>0</v>
      </c>
      <c r="AR13" s="217">
        <f ca="1"/>
        <v>0</v>
      </c>
      <c r="AS13" s="217">
        <f ca="1"/>
        <v>0</v>
      </c>
      <c r="AT13" s="217">
        <f ca="1"/>
        <v>0</v>
      </c>
      <c r="AU13" s="217">
        <f ca="1"/>
        <v>9919.1396440000008</v>
      </c>
      <c r="AV13" s="217">
        <f ca="1"/>
        <v>0</v>
      </c>
      <c r="AW13" s="217">
        <f ca="1"/>
        <v>0</v>
      </c>
      <c r="AX13" s="217">
        <f ca="1"/>
        <v>885470.6078</v>
      </c>
      <c r="AY13" s="217">
        <f ca="1"/>
        <v>0</v>
      </c>
      <c r="AZ13" s="217">
        <f ca="1"/>
        <v>0</v>
      </c>
      <c r="BA13" s="217">
        <f ca="1"/>
        <v>0</v>
      </c>
      <c r="BB13" s="217">
        <f ca="1"/>
        <v>0</v>
      </c>
      <c r="BC13" s="217">
        <f ca="1"/>
        <v>0</v>
      </c>
      <c r="BD13" s="217">
        <f ca="1"/>
        <v>0</v>
      </c>
      <c r="BE13" s="217">
        <f ca="1"/>
        <v>0</v>
      </c>
      <c r="BF13" s="217">
        <f ca="1"/>
        <v>2.6762598390000001</v>
      </c>
      <c r="BG13" s="217">
        <f ca="1"/>
        <v>0</v>
      </c>
      <c r="BH13" s="217">
        <f ca="1"/>
        <v>0</v>
      </c>
      <c r="BI13" s="217">
        <f ca="1"/>
        <v>0</v>
      </c>
      <c r="BJ13" s="217">
        <f ca="1"/>
        <v>0</v>
      </c>
      <c r="BK13" s="217">
        <f ca="1"/>
        <v>0</v>
      </c>
      <c r="BL13" s="217">
        <f ca="1"/>
        <v>0</v>
      </c>
      <c r="BM13" s="217">
        <f ca="1"/>
        <v>0</v>
      </c>
      <c r="BN13" s="217">
        <f ca="1"/>
        <v>0</v>
      </c>
    </row>
    <row r="14" spans="1:66" s="217" customFormat="1" x14ac:dyDescent="0.2">
      <c r="A14"/>
      <c r="B14" s="347" t="str">
        <f ca="1"/>
        <v>All</v>
      </c>
      <c r="C14" s="345">
        <f ca="1"/>
        <v>43535</v>
      </c>
      <c r="D14" s="353">
        <f ca="1"/>
        <v>9309029.1699999999</v>
      </c>
      <c r="E14" s="217">
        <f ca="1"/>
        <v>1716.1002900000001</v>
      </c>
      <c r="F14" s="217">
        <f ca="1"/>
        <v>9041.1667259999995</v>
      </c>
      <c r="G14" s="217">
        <f ca="1"/>
        <v>0</v>
      </c>
      <c r="H14" s="217">
        <f ca="1"/>
        <v>0</v>
      </c>
      <c r="I14" s="217">
        <f ca="1"/>
        <v>5948.3476909999999</v>
      </c>
      <c r="J14" s="217">
        <f ca="1"/>
        <v>275232.29810000001</v>
      </c>
      <c r="K14" s="217">
        <f ca="1"/>
        <v>6324.7754450000002</v>
      </c>
      <c r="L14" s="217">
        <f ca="1"/>
        <v>1650.1413190000001</v>
      </c>
      <c r="M14" s="217">
        <f ca="1"/>
        <v>2892995.4360000002</v>
      </c>
      <c r="N14" s="217">
        <f ca="1"/>
        <v>11191.914349999999</v>
      </c>
      <c r="O14" s="217">
        <f ca="1"/>
        <v>5203.6482059999998</v>
      </c>
      <c r="P14" s="217">
        <f ca="1"/>
        <v>171564.93309999999</v>
      </c>
      <c r="Q14" s="217">
        <f ca="1"/>
        <v>12826.261780000001</v>
      </c>
      <c r="R14" s="217">
        <f ca="1"/>
        <v>1916.5772669999999</v>
      </c>
      <c r="S14" s="217">
        <f ca="1"/>
        <v>1238496.0179999999</v>
      </c>
      <c r="T14" s="217">
        <f ca="1"/>
        <v>12756.786690000001</v>
      </c>
      <c r="U14" s="217">
        <f ca="1"/>
        <v>100412</v>
      </c>
      <c r="V14" s="217">
        <f ca="1"/>
        <v>6.1382000019999996</v>
      </c>
      <c r="W14" s="217">
        <f ca="1"/>
        <v>3.3388585999999998E-2</v>
      </c>
      <c r="X14" s="217">
        <f ca="1"/>
        <v>1.0504388069999999</v>
      </c>
      <c r="Y14" s="217">
        <f ca="1"/>
        <v>313024858.30000001</v>
      </c>
      <c r="Z14" s="217">
        <f ca="1"/>
        <v>0</v>
      </c>
      <c r="AA14" s="217">
        <f ca="1"/>
        <v>0</v>
      </c>
      <c r="AB14" s="217">
        <f ca="1"/>
        <v>0</v>
      </c>
      <c r="AC14" s="217">
        <f ca="1"/>
        <v>0</v>
      </c>
      <c r="AD14" s="217">
        <f ca="1"/>
        <v>0</v>
      </c>
      <c r="AE14" s="217">
        <f ca="1"/>
        <v>0</v>
      </c>
      <c r="AF14" s="217">
        <f ca="1"/>
        <v>0</v>
      </c>
      <c r="AG14" s="217">
        <f ca="1"/>
        <v>31806.192080000001</v>
      </c>
      <c r="AH14" s="217">
        <f ca="1"/>
        <v>124936.10830000001</v>
      </c>
      <c r="AI14" s="217">
        <f ca="1"/>
        <v>262005</v>
      </c>
      <c r="AJ14" s="217">
        <f ca="1"/>
        <v>0</v>
      </c>
      <c r="AK14" s="217">
        <f ca="1"/>
        <v>0</v>
      </c>
      <c r="AL14" s="217">
        <f ca="1"/>
        <v>0</v>
      </c>
      <c r="AM14" s="217">
        <f ca="1"/>
        <v>0</v>
      </c>
      <c r="AN14" s="217">
        <f ca="1"/>
        <v>0</v>
      </c>
      <c r="AO14" s="217">
        <f ca="1"/>
        <v>0</v>
      </c>
      <c r="AP14" s="217">
        <f ca="1"/>
        <v>28401.06753</v>
      </c>
      <c r="AQ14" s="217">
        <f ca="1"/>
        <v>0</v>
      </c>
      <c r="AR14" s="217">
        <f ca="1"/>
        <v>0</v>
      </c>
      <c r="AS14" s="217">
        <f ca="1"/>
        <v>0</v>
      </c>
      <c r="AT14" s="217">
        <f ca="1"/>
        <v>0</v>
      </c>
      <c r="AU14" s="217">
        <f ca="1"/>
        <v>13554.999</v>
      </c>
      <c r="AV14" s="217">
        <f ca="1"/>
        <v>0</v>
      </c>
      <c r="AW14" s="217">
        <f ca="1"/>
        <v>0</v>
      </c>
      <c r="AX14" s="217">
        <f ca="1"/>
        <v>1072549.25</v>
      </c>
      <c r="AY14" s="217">
        <f ca="1"/>
        <v>0</v>
      </c>
      <c r="AZ14" s="217">
        <f ca="1"/>
        <v>0</v>
      </c>
      <c r="BA14" s="217">
        <f ca="1"/>
        <v>0</v>
      </c>
      <c r="BB14" s="217">
        <f ca="1"/>
        <v>0</v>
      </c>
      <c r="BC14" s="217">
        <f ca="1"/>
        <v>0</v>
      </c>
      <c r="BD14" s="217">
        <f ca="1"/>
        <v>0</v>
      </c>
      <c r="BE14" s="217">
        <f ca="1"/>
        <v>124936.10830000001</v>
      </c>
      <c r="BF14" s="217">
        <f ca="1"/>
        <v>7.2220273949999996</v>
      </c>
      <c r="BG14" s="217">
        <f ca="1"/>
        <v>0</v>
      </c>
      <c r="BH14" s="217">
        <f ca="1"/>
        <v>0</v>
      </c>
      <c r="BI14" s="217">
        <f ca="1"/>
        <v>0</v>
      </c>
      <c r="BJ14" s="217">
        <f ca="1"/>
        <v>0</v>
      </c>
      <c r="BK14" s="217">
        <f ca="1"/>
        <v>0</v>
      </c>
      <c r="BL14" s="217">
        <f ca="1"/>
        <v>0</v>
      </c>
      <c r="BM14" s="217">
        <f ca="1"/>
        <v>0</v>
      </c>
      <c r="BN14" s="217">
        <f ca="1"/>
        <v>0</v>
      </c>
    </row>
    <row r="15" spans="1:66" s="217" customFormat="1" x14ac:dyDescent="0.2">
      <c r="A15"/>
      <c r="B15" s="347" t="str">
        <f ca="1"/>
        <v>All</v>
      </c>
      <c r="C15" s="345">
        <f ca="1"/>
        <v>43542</v>
      </c>
      <c r="D15" s="353">
        <f ca="1"/>
        <v>12102722.800000001</v>
      </c>
      <c r="E15" s="217">
        <f ca="1"/>
        <v>1461.1404150000001</v>
      </c>
      <c r="F15" s="217">
        <f ca="1"/>
        <v>9687.5568700000003</v>
      </c>
      <c r="G15" s="217">
        <f ca="1"/>
        <v>0</v>
      </c>
      <c r="H15" s="217">
        <f ca="1"/>
        <v>0</v>
      </c>
      <c r="I15" s="217">
        <f ca="1"/>
        <v>6383.0126179999997</v>
      </c>
      <c r="J15" s="217">
        <f ca="1"/>
        <v>302482.75030000001</v>
      </c>
      <c r="K15" s="217">
        <f ca="1"/>
        <v>6776.9596190000002</v>
      </c>
      <c r="L15" s="217">
        <f ca="1"/>
        <v>2128.4048560000001</v>
      </c>
      <c r="M15" s="217">
        <f ca="1"/>
        <v>3771744.352</v>
      </c>
      <c r="N15" s="217">
        <f ca="1"/>
        <v>14381.07662</v>
      </c>
      <c r="O15" s="217">
        <f ca="1"/>
        <v>4656.6838289999996</v>
      </c>
      <c r="P15" s="217">
        <f ca="1"/>
        <v>160591.29519999999</v>
      </c>
      <c r="Q15" s="217">
        <f ca="1"/>
        <v>11685.268550000001</v>
      </c>
      <c r="R15" s="217">
        <f ca="1"/>
        <v>1142.812042</v>
      </c>
      <c r="S15" s="217">
        <f ca="1"/>
        <v>950705.55830000003</v>
      </c>
      <c r="T15" s="217">
        <f ca="1"/>
        <v>9198.0747510000001</v>
      </c>
      <c r="U15" s="217">
        <f ca="1"/>
        <v>3528</v>
      </c>
      <c r="V15" s="217">
        <f ca="1"/>
        <v>13.43613285</v>
      </c>
      <c r="W15" s="217">
        <f ca="1"/>
        <v>9.9693000000000004E-3</v>
      </c>
      <c r="X15" s="217">
        <f ca="1"/>
        <v>1.584969474</v>
      </c>
      <c r="Y15" s="217">
        <f ca="1"/>
        <v>378219177.69999999</v>
      </c>
      <c r="Z15" s="217">
        <f ca="1"/>
        <v>0</v>
      </c>
      <c r="AA15" s="217">
        <f ca="1"/>
        <v>0</v>
      </c>
      <c r="AB15" s="217">
        <f ca="1"/>
        <v>0</v>
      </c>
      <c r="AC15" s="217">
        <f ca="1"/>
        <v>0</v>
      </c>
      <c r="AD15" s="217">
        <f ca="1"/>
        <v>0</v>
      </c>
      <c r="AE15" s="217">
        <f ca="1"/>
        <v>365287.8872</v>
      </c>
      <c r="AF15" s="217">
        <f ca="1"/>
        <v>1466.832028</v>
      </c>
      <c r="AG15" s="217">
        <f ca="1"/>
        <v>1587.1126360000001</v>
      </c>
      <c r="AH15" s="217">
        <f ca="1"/>
        <v>0</v>
      </c>
      <c r="AI15" s="217">
        <f ca="1"/>
        <v>449101</v>
      </c>
      <c r="AJ15" s="217">
        <f ca="1"/>
        <v>0</v>
      </c>
      <c r="AK15" s="217">
        <f ca="1"/>
        <v>0</v>
      </c>
      <c r="AL15" s="217">
        <f ca="1"/>
        <v>0</v>
      </c>
      <c r="AM15" s="217">
        <f ca="1"/>
        <v>0</v>
      </c>
      <c r="AN15" s="217">
        <f ca="1"/>
        <v>0</v>
      </c>
      <c r="AO15" s="217">
        <f ca="1"/>
        <v>0</v>
      </c>
      <c r="AP15" s="217">
        <f ca="1"/>
        <v>28401.06753</v>
      </c>
      <c r="AQ15" s="217">
        <f ca="1"/>
        <v>0</v>
      </c>
      <c r="AR15" s="217">
        <f ca="1"/>
        <v>0</v>
      </c>
      <c r="AS15" s="217">
        <f ca="1"/>
        <v>0</v>
      </c>
      <c r="AT15" s="217">
        <f ca="1"/>
        <v>0</v>
      </c>
      <c r="AU15" s="217">
        <f ca="1"/>
        <v>19186.103139999999</v>
      </c>
      <c r="AV15" s="217">
        <f ca="1"/>
        <v>0</v>
      </c>
      <c r="AW15" s="217">
        <f ca="1"/>
        <v>0</v>
      </c>
      <c r="AX15" s="217">
        <f ca="1"/>
        <v>1485778.8089999999</v>
      </c>
      <c r="AY15" s="217">
        <f ca="1"/>
        <v>0</v>
      </c>
      <c r="AZ15" s="217">
        <f ca="1"/>
        <v>0</v>
      </c>
      <c r="BA15" s="217">
        <f ca="1"/>
        <v>0</v>
      </c>
      <c r="BB15" s="217">
        <f ca="1"/>
        <v>0</v>
      </c>
      <c r="BC15" s="217">
        <f ca="1"/>
        <v>0</v>
      </c>
      <c r="BD15" s="217">
        <f ca="1"/>
        <v>0</v>
      </c>
      <c r="BE15" s="217">
        <f ca="1"/>
        <v>0</v>
      </c>
      <c r="BF15" s="217">
        <f ca="1"/>
        <v>15.0310716239999</v>
      </c>
      <c r="BG15" s="217">
        <f ca="1"/>
        <v>0</v>
      </c>
      <c r="BH15" s="217">
        <f ca="1"/>
        <v>0</v>
      </c>
      <c r="BI15" s="217">
        <f ca="1"/>
        <v>0</v>
      </c>
      <c r="BJ15" s="217">
        <f ca="1"/>
        <v>0</v>
      </c>
      <c r="BK15" s="217">
        <f ca="1"/>
        <v>0</v>
      </c>
      <c r="BL15" s="217">
        <f ca="1"/>
        <v>0</v>
      </c>
      <c r="BM15" s="217">
        <f ca="1"/>
        <v>1</v>
      </c>
      <c r="BN15" s="217">
        <f ca="1"/>
        <v>0</v>
      </c>
    </row>
    <row r="16" spans="1:66" s="217" customFormat="1" x14ac:dyDescent="0.2">
      <c r="A16"/>
      <c r="B16" s="347" t="str">
        <f ca="1"/>
        <v>All</v>
      </c>
      <c r="C16" s="345">
        <f ca="1"/>
        <v>43549</v>
      </c>
      <c r="D16" s="353">
        <f ca="1"/>
        <v>9283960.8220000006</v>
      </c>
      <c r="E16" s="217">
        <f ca="1"/>
        <v>1592.712301</v>
      </c>
      <c r="F16" s="217">
        <f ca="1"/>
        <v>6094.4151810000003</v>
      </c>
      <c r="G16" s="217">
        <f ca="1"/>
        <v>0</v>
      </c>
      <c r="H16" s="217">
        <f ca="1"/>
        <v>0</v>
      </c>
      <c r="I16" s="217">
        <f ca="1"/>
        <v>4669.4551389999997</v>
      </c>
      <c r="J16" s="217">
        <f ca="1"/>
        <v>194113.7818</v>
      </c>
      <c r="K16" s="217">
        <f ca="1"/>
        <v>4263.3665170000004</v>
      </c>
      <c r="L16" s="217">
        <f ca="1"/>
        <v>1909.090637</v>
      </c>
      <c r="M16" s="217">
        <f ca="1"/>
        <v>3270127.8139999998</v>
      </c>
      <c r="N16" s="217">
        <f ca="1"/>
        <v>13680.0623</v>
      </c>
      <c r="O16" s="217">
        <f ca="1"/>
        <v>5093.1103169999997</v>
      </c>
      <c r="P16" s="217">
        <f ca="1"/>
        <v>174979.27679999999</v>
      </c>
      <c r="Q16" s="217">
        <f ca="1"/>
        <v>13208.832969999999</v>
      </c>
      <c r="R16" s="217">
        <f ca="1"/>
        <v>995.28139350000004</v>
      </c>
      <c r="S16" s="217">
        <f ca="1"/>
        <v>646405.31850000005</v>
      </c>
      <c r="T16" s="217">
        <f ca="1"/>
        <v>6776.7153699999999</v>
      </c>
      <c r="U16" s="217">
        <f ca="1"/>
        <v>0</v>
      </c>
      <c r="V16" s="217">
        <f ca="1"/>
        <v>10.22843952</v>
      </c>
      <c r="W16" s="217">
        <f ca="1"/>
        <v>3.3977548000000003E-2</v>
      </c>
      <c r="X16" s="217">
        <f ca="1"/>
        <v>2.3107328420000002</v>
      </c>
      <c r="Y16" s="217">
        <f ca="1"/>
        <v>355806210.89999998</v>
      </c>
      <c r="Z16" s="217">
        <f ca="1"/>
        <v>0</v>
      </c>
      <c r="AA16" s="217">
        <f ca="1"/>
        <v>0</v>
      </c>
      <c r="AB16" s="217">
        <f ca="1"/>
        <v>0</v>
      </c>
      <c r="AC16" s="217">
        <f ca="1"/>
        <v>0</v>
      </c>
      <c r="AD16" s="217">
        <f ca="1"/>
        <v>0</v>
      </c>
      <c r="AE16" s="217">
        <f ca="1"/>
        <v>1213088.5390000001</v>
      </c>
      <c r="AF16" s="217">
        <f ca="1"/>
        <v>5663.8374530000001</v>
      </c>
      <c r="AG16" s="217">
        <f ca="1"/>
        <v>476.88064850000001</v>
      </c>
      <c r="AH16" s="217">
        <f ca="1"/>
        <v>346712.64020000002</v>
      </c>
      <c r="AI16" s="217">
        <f ca="1"/>
        <v>632548</v>
      </c>
      <c r="AJ16" s="217">
        <f ca="1"/>
        <v>0</v>
      </c>
      <c r="AK16" s="217">
        <f ca="1"/>
        <v>0</v>
      </c>
      <c r="AL16" s="217">
        <f ca="1"/>
        <v>0</v>
      </c>
      <c r="AM16" s="217">
        <f ca="1"/>
        <v>0</v>
      </c>
      <c r="AN16" s="217">
        <f ca="1"/>
        <v>0</v>
      </c>
      <c r="AO16" s="217">
        <f ca="1"/>
        <v>0</v>
      </c>
      <c r="AP16" s="217">
        <f ca="1"/>
        <v>0</v>
      </c>
      <c r="AQ16" s="217">
        <f ca="1"/>
        <v>0</v>
      </c>
      <c r="AR16" s="217">
        <f ca="1"/>
        <v>0</v>
      </c>
      <c r="AS16" s="217">
        <f ca="1"/>
        <v>0</v>
      </c>
      <c r="AT16" s="217">
        <f ca="1"/>
        <v>0</v>
      </c>
      <c r="AU16" s="217">
        <f ca="1"/>
        <v>17619.135719999998</v>
      </c>
      <c r="AV16" s="217">
        <f ca="1"/>
        <v>0</v>
      </c>
      <c r="AW16" s="217">
        <f ca="1"/>
        <v>0</v>
      </c>
      <c r="AX16" s="217">
        <f ca="1"/>
        <v>1261825.2339999999</v>
      </c>
      <c r="AY16" s="217">
        <f ca="1"/>
        <v>0</v>
      </c>
      <c r="AZ16" s="217">
        <f ca="1"/>
        <v>0</v>
      </c>
      <c r="BA16" s="217">
        <f ca="1"/>
        <v>0</v>
      </c>
      <c r="BB16" s="217">
        <f ca="1"/>
        <v>0</v>
      </c>
      <c r="BC16" s="217">
        <f ca="1"/>
        <v>0</v>
      </c>
      <c r="BD16" s="217">
        <f ca="1"/>
        <v>0</v>
      </c>
      <c r="BE16" s="217">
        <f ca="1"/>
        <v>346712.64020000002</v>
      </c>
      <c r="BF16" s="217">
        <f ca="1"/>
        <v>12.57314991</v>
      </c>
      <c r="BG16" s="217">
        <f ca="1"/>
        <v>0</v>
      </c>
      <c r="BH16" s="217">
        <f ca="1"/>
        <v>0</v>
      </c>
      <c r="BI16" s="217">
        <f ca="1"/>
        <v>0</v>
      </c>
      <c r="BJ16" s="217">
        <f ca="1"/>
        <v>0</v>
      </c>
      <c r="BK16" s="217">
        <f ca="1"/>
        <v>0</v>
      </c>
      <c r="BL16" s="217">
        <f ca="1"/>
        <v>0</v>
      </c>
      <c r="BM16" s="217">
        <f ca="1"/>
        <v>0</v>
      </c>
      <c r="BN16" s="217">
        <f ca="1"/>
        <v>0</v>
      </c>
    </row>
    <row r="17" spans="1:66" s="217" customFormat="1" x14ac:dyDescent="0.2">
      <c r="A17"/>
      <c r="B17" s="347" t="str">
        <f ca="1"/>
        <v>All</v>
      </c>
      <c r="C17" s="345">
        <f ca="1"/>
        <v>43556</v>
      </c>
      <c r="D17" s="353">
        <f ca="1"/>
        <v>8030813.165</v>
      </c>
      <c r="E17" s="217">
        <f ca="1"/>
        <v>1411.407502</v>
      </c>
      <c r="F17" s="217">
        <f ca="1"/>
        <v>5280.9620969999996</v>
      </c>
      <c r="G17" s="217">
        <f ca="1"/>
        <v>0</v>
      </c>
      <c r="H17" s="217">
        <f ca="1"/>
        <v>0</v>
      </c>
      <c r="I17" s="217">
        <f ca="1"/>
        <v>4353.6955109999999</v>
      </c>
      <c r="J17" s="217">
        <f ca="1"/>
        <v>208962.8517</v>
      </c>
      <c r="K17" s="217">
        <f ca="1"/>
        <v>3694.3129589999999</v>
      </c>
      <c r="L17" s="217">
        <f ca="1"/>
        <v>804.15213470000003</v>
      </c>
      <c r="M17" s="217">
        <f ca="1"/>
        <v>932129.46790000005</v>
      </c>
      <c r="N17" s="217">
        <f ca="1"/>
        <v>4133.3607229999998</v>
      </c>
      <c r="O17" s="217">
        <f ca="1"/>
        <v>5303.6167349999996</v>
      </c>
      <c r="P17" s="217">
        <f ca="1"/>
        <v>203297.67480000001</v>
      </c>
      <c r="Q17" s="217">
        <f ca="1"/>
        <v>12834.149160000001</v>
      </c>
      <c r="R17" s="217">
        <f ca="1"/>
        <v>1772.5697379999999</v>
      </c>
      <c r="S17" s="217">
        <f ca="1"/>
        <v>477717.01289999997</v>
      </c>
      <c r="T17" s="217">
        <f ca="1"/>
        <v>5269.9098000000004</v>
      </c>
      <c r="U17" s="217">
        <f ca="1"/>
        <v>3000</v>
      </c>
      <c r="V17" s="217">
        <f ca="1"/>
        <v>10.776178570000001</v>
      </c>
      <c r="W17" s="217">
        <f ca="1"/>
        <v>0.48124695299999998</v>
      </c>
      <c r="X17" s="217">
        <f ca="1"/>
        <v>3.3550964369999998</v>
      </c>
      <c r="Y17" s="217">
        <f ca="1"/>
        <v>305307156.19999999</v>
      </c>
      <c r="Z17" s="217">
        <f ca="1"/>
        <v>0</v>
      </c>
      <c r="AA17" s="217">
        <f ca="1"/>
        <v>0</v>
      </c>
      <c r="AB17" s="217">
        <f ca="1"/>
        <v>0</v>
      </c>
      <c r="AC17" s="217">
        <f ca="1"/>
        <v>0</v>
      </c>
      <c r="AD17" s="217">
        <f ca="1"/>
        <v>0</v>
      </c>
      <c r="AE17" s="217">
        <f ca="1"/>
        <v>342759.83409999998</v>
      </c>
      <c r="AF17" s="217">
        <f ca="1"/>
        <v>1968.218926</v>
      </c>
      <c r="AG17" s="217">
        <f ca="1"/>
        <v>12306.023740000001</v>
      </c>
      <c r="AH17" s="217">
        <f ca="1"/>
        <v>0</v>
      </c>
      <c r="AI17" s="217">
        <f ca="1"/>
        <v>367026</v>
      </c>
      <c r="AJ17" s="217">
        <f ca="1"/>
        <v>0</v>
      </c>
      <c r="AK17" s="217">
        <f ca="1"/>
        <v>0</v>
      </c>
      <c r="AL17" s="217">
        <f ca="1"/>
        <v>0</v>
      </c>
      <c r="AM17" s="217">
        <f ca="1"/>
        <v>0</v>
      </c>
      <c r="AN17" s="217">
        <f ca="1"/>
        <v>0</v>
      </c>
      <c r="AO17" s="217">
        <f ca="1"/>
        <v>0</v>
      </c>
      <c r="AP17" s="217">
        <f ca="1"/>
        <v>59168.890679999997</v>
      </c>
      <c r="AQ17" s="217">
        <f ca="1"/>
        <v>0</v>
      </c>
      <c r="AR17" s="217">
        <f ca="1"/>
        <v>0</v>
      </c>
      <c r="AS17" s="217">
        <f ca="1"/>
        <v>0</v>
      </c>
      <c r="AT17" s="217">
        <f ca="1"/>
        <v>0</v>
      </c>
      <c r="AU17" s="217">
        <f ca="1"/>
        <v>9911.1562969999995</v>
      </c>
      <c r="AV17" s="217">
        <f ca="1"/>
        <v>0</v>
      </c>
      <c r="AW17" s="217">
        <f ca="1"/>
        <v>0</v>
      </c>
      <c r="AX17" s="217">
        <f ca="1"/>
        <v>776745.5416</v>
      </c>
      <c r="AY17" s="217">
        <f ca="1"/>
        <v>0</v>
      </c>
      <c r="AZ17" s="217">
        <f ca="1"/>
        <v>0</v>
      </c>
      <c r="BA17" s="217">
        <f ca="1"/>
        <v>0</v>
      </c>
      <c r="BB17" s="217">
        <f ca="1"/>
        <v>0</v>
      </c>
      <c r="BC17" s="217">
        <f ca="1"/>
        <v>0</v>
      </c>
      <c r="BD17" s="217">
        <f ca="1"/>
        <v>0</v>
      </c>
      <c r="BE17" s="217">
        <f ca="1"/>
        <v>0</v>
      </c>
      <c r="BF17" s="217">
        <f ca="1"/>
        <v>14.61252196</v>
      </c>
      <c r="BG17" s="217">
        <f ca="1"/>
        <v>0</v>
      </c>
      <c r="BH17" s="217">
        <f ca="1"/>
        <v>0</v>
      </c>
      <c r="BI17" s="217">
        <f ca="1"/>
        <v>0</v>
      </c>
      <c r="BJ17" s="217">
        <f ca="1"/>
        <v>0</v>
      </c>
      <c r="BK17" s="217">
        <f ca="1"/>
        <v>0</v>
      </c>
      <c r="BL17" s="217">
        <f ca="1"/>
        <v>0</v>
      </c>
      <c r="BM17" s="217">
        <f ca="1"/>
        <v>0</v>
      </c>
      <c r="BN17" s="217">
        <f ca="1"/>
        <v>0</v>
      </c>
    </row>
    <row r="18" spans="1:66" s="217" customFormat="1" x14ac:dyDescent="0.2">
      <c r="A18"/>
      <c r="B18" s="347" t="str">
        <f ca="1"/>
        <v>All</v>
      </c>
      <c r="C18" s="345">
        <f ca="1"/>
        <v>43563</v>
      </c>
      <c r="D18" s="353">
        <f ca="1"/>
        <v>7843202.9270000001</v>
      </c>
      <c r="E18" s="217">
        <f ca="1"/>
        <v>1288.649044</v>
      </c>
      <c r="F18" s="217">
        <f ca="1"/>
        <v>5529.5766489999996</v>
      </c>
      <c r="G18" s="217">
        <f ca="1"/>
        <v>0</v>
      </c>
      <c r="H18" s="217">
        <f ca="1"/>
        <v>0</v>
      </c>
      <c r="I18" s="217">
        <f ca="1"/>
        <v>4085.0576129999999</v>
      </c>
      <c r="J18" s="217">
        <f ca="1"/>
        <v>255101.63089999999</v>
      </c>
      <c r="K18" s="217">
        <f ca="1"/>
        <v>3868.2320180000002</v>
      </c>
      <c r="L18" s="217">
        <f ca="1"/>
        <v>811.63876470000002</v>
      </c>
      <c r="M18" s="217">
        <f ca="1"/>
        <v>1130443.689</v>
      </c>
      <c r="N18" s="217">
        <f ca="1"/>
        <v>4946.5055700000003</v>
      </c>
      <c r="O18" s="217">
        <f ca="1"/>
        <v>5231.3927759999997</v>
      </c>
      <c r="P18" s="217">
        <f ca="1"/>
        <v>163785.44380000001</v>
      </c>
      <c r="Q18" s="217">
        <f ca="1"/>
        <v>12310.252420000001</v>
      </c>
      <c r="R18" s="217">
        <f ca="1"/>
        <v>2180.8112660000002</v>
      </c>
      <c r="S18" s="217">
        <f ca="1"/>
        <v>649690.1875</v>
      </c>
      <c r="T18" s="217">
        <f ca="1"/>
        <v>6727.3134419999997</v>
      </c>
      <c r="U18" s="217">
        <f ca="1"/>
        <v>38562</v>
      </c>
      <c r="V18" s="217">
        <f ca="1"/>
        <v>14.420709909999999</v>
      </c>
      <c r="W18" s="217">
        <f ca="1"/>
        <v>1.2694737330000001</v>
      </c>
      <c r="X18" s="217">
        <f ca="1"/>
        <v>4.5010104149999997</v>
      </c>
      <c r="Y18" s="217">
        <f ca="1"/>
        <v>294014825.39999998</v>
      </c>
      <c r="Z18" s="217">
        <f ca="1"/>
        <v>0</v>
      </c>
      <c r="AA18" s="217">
        <f ca="1"/>
        <v>20573.329659999999</v>
      </c>
      <c r="AB18" s="217">
        <f ca="1"/>
        <v>0</v>
      </c>
      <c r="AC18" s="217">
        <f ca="1"/>
        <v>0</v>
      </c>
      <c r="AD18" s="217">
        <f ca="1"/>
        <v>0</v>
      </c>
      <c r="AE18" s="217">
        <f ca="1"/>
        <v>102470.6654</v>
      </c>
      <c r="AF18" s="217">
        <f ca="1"/>
        <v>499.37147629999998</v>
      </c>
      <c r="AG18" s="217">
        <f ca="1"/>
        <v>15819.243780000001</v>
      </c>
      <c r="AH18" s="217">
        <f ca="1"/>
        <v>102980.9279</v>
      </c>
      <c r="AI18" s="217">
        <f ca="1"/>
        <v>283944</v>
      </c>
      <c r="AJ18" s="217">
        <f ca="1"/>
        <v>0</v>
      </c>
      <c r="AK18" s="217">
        <f ca="1"/>
        <v>0</v>
      </c>
      <c r="AL18" s="217">
        <f ca="1"/>
        <v>0</v>
      </c>
      <c r="AM18" s="217">
        <f ca="1"/>
        <v>0</v>
      </c>
      <c r="AN18" s="217">
        <f ca="1"/>
        <v>0</v>
      </c>
      <c r="AO18" s="217">
        <f ca="1"/>
        <v>0</v>
      </c>
      <c r="AP18" s="217">
        <f ca="1"/>
        <v>59168.890679999997</v>
      </c>
      <c r="AQ18" s="217">
        <f ca="1"/>
        <v>0</v>
      </c>
      <c r="AR18" s="217">
        <f ca="1"/>
        <v>0</v>
      </c>
      <c r="AS18" s="217">
        <f ca="1"/>
        <v>0</v>
      </c>
      <c r="AT18" s="217">
        <f ca="1"/>
        <v>0</v>
      </c>
      <c r="AU18" s="217">
        <f ca="1"/>
        <v>9887.2157530000004</v>
      </c>
      <c r="AV18" s="217">
        <f ca="1"/>
        <v>0</v>
      </c>
      <c r="AW18" s="217">
        <f ca="1"/>
        <v>0</v>
      </c>
      <c r="AX18" s="217">
        <f ca="1"/>
        <v>731250.75970000005</v>
      </c>
      <c r="AY18" s="217">
        <f ca="1"/>
        <v>0</v>
      </c>
      <c r="AZ18" s="217">
        <f ca="1"/>
        <v>0</v>
      </c>
      <c r="BA18" s="217">
        <f ca="1"/>
        <v>0</v>
      </c>
      <c r="BB18" s="217">
        <f ca="1"/>
        <v>0</v>
      </c>
      <c r="BC18" s="217">
        <f ca="1"/>
        <v>0</v>
      </c>
      <c r="BD18" s="217">
        <f ca="1"/>
        <v>0</v>
      </c>
      <c r="BE18" s="217">
        <f ca="1"/>
        <v>102980.9279</v>
      </c>
      <c r="BF18" s="217">
        <f ca="1"/>
        <v>20.191194058000001</v>
      </c>
      <c r="BG18" s="217">
        <f ca="1"/>
        <v>0</v>
      </c>
      <c r="BH18" s="217">
        <f ca="1"/>
        <v>0</v>
      </c>
      <c r="BI18" s="217">
        <f ca="1"/>
        <v>0</v>
      </c>
      <c r="BJ18" s="217">
        <f ca="1"/>
        <v>0</v>
      </c>
      <c r="BK18" s="217">
        <f ca="1"/>
        <v>0</v>
      </c>
      <c r="BL18" s="217">
        <f ca="1"/>
        <v>0</v>
      </c>
      <c r="BM18" s="217">
        <f ca="1"/>
        <v>0</v>
      </c>
      <c r="BN18" s="217">
        <f ca="1"/>
        <v>0</v>
      </c>
    </row>
    <row r="19" spans="1:66" s="217" customFormat="1" x14ac:dyDescent="0.2">
      <c r="A19"/>
      <c r="B19" s="347" t="str">
        <f ca="1"/>
        <v>All</v>
      </c>
      <c r="C19" s="345">
        <f ca="1"/>
        <v>43570</v>
      </c>
      <c r="D19" s="353">
        <f ca="1"/>
        <v>10981537.49</v>
      </c>
      <c r="E19" s="217">
        <f ca="1"/>
        <v>1214.3644380000001</v>
      </c>
      <c r="F19" s="217">
        <f ca="1"/>
        <v>3819.1456920000001</v>
      </c>
      <c r="G19" s="217">
        <f ca="1"/>
        <v>0</v>
      </c>
      <c r="H19" s="217">
        <f ca="1"/>
        <v>0</v>
      </c>
      <c r="I19" s="217">
        <f ca="1"/>
        <v>2733.0603219999998</v>
      </c>
      <c r="J19" s="217">
        <f ca="1"/>
        <v>119671.13740000001</v>
      </c>
      <c r="K19" s="217">
        <f ca="1"/>
        <v>2671.6948849999999</v>
      </c>
      <c r="L19" s="217">
        <f ca="1"/>
        <v>2595.6586430000002</v>
      </c>
      <c r="M19" s="217">
        <f ca="1"/>
        <v>3121028.9360000002</v>
      </c>
      <c r="N19" s="217">
        <f ca="1"/>
        <v>9579.7837500000005</v>
      </c>
      <c r="O19" s="217">
        <f ca="1"/>
        <v>5296.1301050000002</v>
      </c>
      <c r="P19" s="217">
        <f ca="1"/>
        <v>159996.32829999999</v>
      </c>
      <c r="Q19" s="217">
        <f ca="1"/>
        <v>12546.926810000001</v>
      </c>
      <c r="R19" s="217">
        <f ca="1"/>
        <v>2204.592326</v>
      </c>
      <c r="S19" s="217">
        <f ca="1"/>
        <v>607289.87899999996</v>
      </c>
      <c r="T19" s="217">
        <f ca="1"/>
        <v>6208.477699</v>
      </c>
      <c r="U19" s="217">
        <f ca="1"/>
        <v>0</v>
      </c>
      <c r="V19" s="217">
        <f ca="1"/>
        <v>19.118385140000001</v>
      </c>
      <c r="W19" s="217">
        <f ca="1"/>
        <v>1.0793263689999999</v>
      </c>
      <c r="X19" s="217">
        <f ca="1"/>
        <v>6.8011427769999999</v>
      </c>
      <c r="Y19" s="217">
        <f ca="1"/>
        <v>308814771.69999999</v>
      </c>
      <c r="Z19" s="217">
        <f ca="1"/>
        <v>0</v>
      </c>
      <c r="AA19" s="217">
        <f ca="1"/>
        <v>20573.329659999999</v>
      </c>
      <c r="AB19" s="217">
        <f ca="1"/>
        <v>0</v>
      </c>
      <c r="AC19" s="217">
        <f ca="1"/>
        <v>0</v>
      </c>
      <c r="AD19" s="217">
        <f ca="1"/>
        <v>0</v>
      </c>
      <c r="AE19" s="217">
        <f ca="1"/>
        <v>123.2528835</v>
      </c>
      <c r="AF19" s="217">
        <f ca="1"/>
        <v>0</v>
      </c>
      <c r="AG19" s="217">
        <f ca="1"/>
        <v>15819.84762</v>
      </c>
      <c r="AH19" s="217">
        <f ca="1"/>
        <v>94093.623430000007</v>
      </c>
      <c r="AI19" s="217">
        <f ca="1"/>
        <v>230330</v>
      </c>
      <c r="AJ19" s="217">
        <f ca="1"/>
        <v>0</v>
      </c>
      <c r="AK19" s="217">
        <f ca="1"/>
        <v>0</v>
      </c>
      <c r="AL19" s="217">
        <f ca="1"/>
        <v>0</v>
      </c>
      <c r="AM19" s="217">
        <f ca="1"/>
        <v>0</v>
      </c>
      <c r="AN19" s="217">
        <f ca="1"/>
        <v>0</v>
      </c>
      <c r="AO19" s="217">
        <f ca="1"/>
        <v>0</v>
      </c>
      <c r="AP19" s="217">
        <f ca="1"/>
        <v>59168.890679999997</v>
      </c>
      <c r="AQ19" s="217">
        <f ca="1"/>
        <v>0</v>
      </c>
      <c r="AR19" s="217">
        <f ca="1"/>
        <v>0</v>
      </c>
      <c r="AS19" s="217">
        <f ca="1"/>
        <v>0</v>
      </c>
      <c r="AT19" s="217">
        <f ca="1"/>
        <v>0</v>
      </c>
      <c r="AU19" s="217">
        <f ca="1"/>
        <v>12696.93727</v>
      </c>
      <c r="AV19" s="217">
        <f ca="1"/>
        <v>0</v>
      </c>
      <c r="AW19" s="217">
        <f ca="1"/>
        <v>0</v>
      </c>
      <c r="AX19" s="217">
        <f ca="1"/>
        <v>4236796.1229999997</v>
      </c>
      <c r="AY19" s="217">
        <f ca="1"/>
        <v>0</v>
      </c>
      <c r="AZ19" s="217">
        <f ca="1"/>
        <v>0</v>
      </c>
      <c r="BA19" s="217">
        <f ca="1"/>
        <v>0</v>
      </c>
      <c r="BB19" s="217">
        <f ca="1"/>
        <v>0</v>
      </c>
      <c r="BC19" s="217">
        <f ca="1"/>
        <v>0</v>
      </c>
      <c r="BD19" s="217">
        <f ca="1"/>
        <v>0</v>
      </c>
      <c r="BE19" s="217">
        <f ca="1"/>
        <v>94093.623430000007</v>
      </c>
      <c r="BF19" s="217">
        <f ca="1"/>
        <v>26.998854286</v>
      </c>
      <c r="BG19" s="217">
        <f ca="1"/>
        <v>0</v>
      </c>
      <c r="BH19" s="217">
        <f ca="1"/>
        <v>0</v>
      </c>
      <c r="BI19" s="217">
        <f ca="1"/>
        <v>0</v>
      </c>
      <c r="BJ19" s="217">
        <f ca="1"/>
        <v>0</v>
      </c>
      <c r="BK19" s="217">
        <f ca="1"/>
        <v>0</v>
      </c>
      <c r="BL19" s="217">
        <f ca="1"/>
        <v>0</v>
      </c>
      <c r="BM19" s="217">
        <f ca="1"/>
        <v>1</v>
      </c>
      <c r="BN19" s="217">
        <f ca="1"/>
        <v>0</v>
      </c>
    </row>
    <row r="20" spans="1:66" s="217" customFormat="1" x14ac:dyDescent="0.2">
      <c r="A20"/>
      <c r="B20" s="347" t="str">
        <f ca="1"/>
        <v>All</v>
      </c>
      <c r="C20" s="345">
        <f ca="1"/>
        <v>43577</v>
      </c>
      <c r="D20" s="353">
        <f ca="1"/>
        <v>8798635.0580000002</v>
      </c>
      <c r="E20" s="217">
        <f ca="1"/>
        <v>1359.1564659999999</v>
      </c>
      <c r="F20" s="217">
        <f ca="1"/>
        <v>3882.7178250000002</v>
      </c>
      <c r="G20" s="217">
        <f ca="1"/>
        <v>0</v>
      </c>
      <c r="H20" s="217">
        <f ca="1"/>
        <v>0</v>
      </c>
      <c r="I20" s="217">
        <f ca="1"/>
        <v>2749.3547520000002</v>
      </c>
      <c r="J20" s="217">
        <f ca="1"/>
        <v>47785.837809999997</v>
      </c>
      <c r="K20" s="217">
        <f ca="1"/>
        <v>2716.1669619999998</v>
      </c>
      <c r="L20" s="217">
        <f ca="1"/>
        <v>2163.6360559999998</v>
      </c>
      <c r="M20" s="217">
        <f ca="1"/>
        <v>3705754.9929999998</v>
      </c>
      <c r="N20" s="217">
        <f ca="1"/>
        <v>11299.58231</v>
      </c>
      <c r="O20" s="217">
        <f ca="1"/>
        <v>5337.9671550000003</v>
      </c>
      <c r="P20" s="217">
        <f ca="1"/>
        <v>160167.64000000001</v>
      </c>
      <c r="Q20" s="217">
        <f ca="1"/>
        <v>12553.78808</v>
      </c>
      <c r="R20" s="217">
        <f ca="1"/>
        <v>1901.604008</v>
      </c>
      <c r="S20" s="217">
        <f ca="1"/>
        <v>505155.51160000003</v>
      </c>
      <c r="T20" s="217">
        <f ca="1"/>
        <v>5192.8786090000003</v>
      </c>
      <c r="U20" s="217">
        <f ca="1"/>
        <v>0</v>
      </c>
      <c r="V20" s="217">
        <f ca="1"/>
        <v>25.217738109999999</v>
      </c>
      <c r="W20" s="217">
        <f ca="1"/>
        <v>2.2455850339999999</v>
      </c>
      <c r="X20" s="217">
        <f ca="1"/>
        <v>9.2757257670000008</v>
      </c>
      <c r="Y20" s="217">
        <f ca="1"/>
        <v>313920748.10000002</v>
      </c>
      <c r="Z20" s="217">
        <f ca="1"/>
        <v>0</v>
      </c>
      <c r="AA20" s="217">
        <f ca="1"/>
        <v>20573.329659999999</v>
      </c>
      <c r="AB20" s="217">
        <f ca="1"/>
        <v>0</v>
      </c>
      <c r="AC20" s="217">
        <f ca="1"/>
        <v>0</v>
      </c>
      <c r="AD20" s="217">
        <f ca="1"/>
        <v>0</v>
      </c>
      <c r="AE20" s="217">
        <f ca="1"/>
        <v>117.3129855</v>
      </c>
      <c r="AF20" s="217">
        <f ca="1"/>
        <v>0</v>
      </c>
      <c r="AG20" s="217">
        <f ca="1"/>
        <v>7034.5947619999997</v>
      </c>
      <c r="AH20" s="217">
        <f ca="1"/>
        <v>257917.8309</v>
      </c>
      <c r="AI20" s="217">
        <f ca="1"/>
        <v>228922</v>
      </c>
      <c r="AJ20" s="217">
        <f ca="1"/>
        <v>0</v>
      </c>
      <c r="AK20" s="217">
        <f ca="1"/>
        <v>0</v>
      </c>
      <c r="AL20" s="217">
        <f ca="1"/>
        <v>0</v>
      </c>
      <c r="AM20" s="217">
        <f ca="1"/>
        <v>0</v>
      </c>
      <c r="AN20" s="217">
        <f ca="1"/>
        <v>0</v>
      </c>
      <c r="AO20" s="217">
        <f ca="1"/>
        <v>0</v>
      </c>
      <c r="AP20" s="217">
        <f ca="1"/>
        <v>59168.890679999997</v>
      </c>
      <c r="AQ20" s="217">
        <f ca="1"/>
        <v>0</v>
      </c>
      <c r="AR20" s="217">
        <f ca="1"/>
        <v>0</v>
      </c>
      <c r="AS20" s="217">
        <f ca="1"/>
        <v>0</v>
      </c>
      <c r="AT20" s="217">
        <f ca="1"/>
        <v>0</v>
      </c>
      <c r="AU20" s="217">
        <f ca="1"/>
        <v>16603.824799999999</v>
      </c>
      <c r="AV20" s="217">
        <f ca="1"/>
        <v>0</v>
      </c>
      <c r="AW20" s="217">
        <f ca="1"/>
        <v>0</v>
      </c>
      <c r="AX20" s="217">
        <f ca="1"/>
        <v>8522927.2770000007</v>
      </c>
      <c r="AY20" s="217">
        <f ca="1"/>
        <v>0</v>
      </c>
      <c r="AZ20" s="217">
        <f ca="1"/>
        <v>0</v>
      </c>
      <c r="BA20" s="217">
        <f ca="1"/>
        <v>0</v>
      </c>
      <c r="BB20" s="217">
        <f ca="1"/>
        <v>0</v>
      </c>
      <c r="BC20" s="217">
        <f ca="1"/>
        <v>0</v>
      </c>
      <c r="BD20" s="217">
        <f ca="1"/>
        <v>0</v>
      </c>
      <c r="BE20" s="217">
        <f ca="1"/>
        <v>257917.8309</v>
      </c>
      <c r="BF20" s="217">
        <f ca="1"/>
        <v>36.739048910999998</v>
      </c>
      <c r="BG20" s="217">
        <f ca="1"/>
        <v>0</v>
      </c>
      <c r="BH20" s="217">
        <f ca="1"/>
        <v>0</v>
      </c>
      <c r="BI20" s="217">
        <f ca="1"/>
        <v>0</v>
      </c>
      <c r="BJ20" s="217">
        <f ca="1"/>
        <v>0</v>
      </c>
      <c r="BK20" s="217">
        <f ca="1"/>
        <v>0</v>
      </c>
      <c r="BL20" s="217">
        <f ca="1"/>
        <v>0</v>
      </c>
      <c r="BM20" s="217">
        <f ca="1"/>
        <v>0</v>
      </c>
      <c r="BN20" s="217">
        <f ca="1"/>
        <v>0</v>
      </c>
    </row>
    <row r="21" spans="1:66" s="217" customFormat="1" x14ac:dyDescent="0.2">
      <c r="A21"/>
      <c r="B21" s="347" t="str">
        <f ca="1"/>
        <v>All</v>
      </c>
      <c r="C21" s="345">
        <f ca="1"/>
        <v>43584</v>
      </c>
      <c r="D21" s="353">
        <f ca="1"/>
        <v>9088033.0690000001</v>
      </c>
      <c r="E21" s="217">
        <f ca="1"/>
        <v>1983.6507750000001</v>
      </c>
      <c r="F21" s="217">
        <f ca="1"/>
        <v>5240.4830279999996</v>
      </c>
      <c r="G21" s="217">
        <f ca="1"/>
        <v>0</v>
      </c>
      <c r="H21" s="217">
        <f ca="1"/>
        <v>0</v>
      </c>
      <c r="I21" s="217">
        <f ca="1"/>
        <v>2590.8143530000002</v>
      </c>
      <c r="J21" s="217">
        <f ca="1"/>
        <v>53501.219190000003</v>
      </c>
      <c r="K21" s="217">
        <f ca="1"/>
        <v>3665.9957039999999</v>
      </c>
      <c r="L21" s="217">
        <f ca="1"/>
        <v>2761.6856720000001</v>
      </c>
      <c r="M21" s="217">
        <f ca="1"/>
        <v>4374402.2089999998</v>
      </c>
      <c r="N21" s="217">
        <f ca="1"/>
        <v>14127.510979999999</v>
      </c>
      <c r="O21" s="217">
        <f ca="1"/>
        <v>5570.0526829999999</v>
      </c>
      <c r="P21" s="217">
        <f ca="1"/>
        <v>158679.12179999999</v>
      </c>
      <c r="Q21" s="217">
        <f ca="1"/>
        <v>11516.735699999999</v>
      </c>
      <c r="R21" s="217">
        <f ca="1"/>
        <v>415.28776729999998</v>
      </c>
      <c r="S21" s="217">
        <f ca="1"/>
        <v>152555.49890000001</v>
      </c>
      <c r="T21" s="217">
        <f ca="1"/>
        <v>2023.091678</v>
      </c>
      <c r="U21" s="217">
        <f ca="1"/>
        <v>0</v>
      </c>
      <c r="V21" s="217">
        <f ca="1"/>
        <v>26.931973240000001</v>
      </c>
      <c r="W21" s="217">
        <f ca="1"/>
        <v>2.295639489</v>
      </c>
      <c r="X21" s="217">
        <f ca="1"/>
        <v>12.30344105</v>
      </c>
      <c r="Y21" s="217">
        <f ca="1"/>
        <v>400513086.39999998</v>
      </c>
      <c r="Z21" s="217">
        <f ca="1"/>
        <v>0</v>
      </c>
      <c r="AA21" s="217">
        <f ca="1"/>
        <v>0</v>
      </c>
      <c r="AB21" s="217">
        <f ca="1"/>
        <v>0</v>
      </c>
      <c r="AC21" s="217">
        <f ca="1"/>
        <v>0</v>
      </c>
      <c r="AD21" s="217">
        <f ca="1"/>
        <v>0</v>
      </c>
      <c r="AE21" s="217">
        <f ca="1"/>
        <v>109.39312150000001</v>
      </c>
      <c r="AF21" s="217">
        <f ca="1"/>
        <v>0</v>
      </c>
      <c r="AG21" s="217">
        <f ca="1"/>
        <v>27329.32676</v>
      </c>
      <c r="AH21" s="217">
        <f ca="1"/>
        <v>0</v>
      </c>
      <c r="AI21" s="217">
        <f ca="1"/>
        <v>230829</v>
      </c>
      <c r="AJ21" s="217">
        <f ca="1"/>
        <v>0</v>
      </c>
      <c r="AK21" s="217">
        <f ca="1"/>
        <v>0</v>
      </c>
      <c r="AL21" s="217">
        <f ca="1"/>
        <v>0</v>
      </c>
      <c r="AM21" s="217">
        <f ca="1"/>
        <v>0</v>
      </c>
      <c r="AN21" s="217">
        <f ca="1"/>
        <v>0</v>
      </c>
      <c r="AO21" s="217">
        <f ca="1"/>
        <v>0</v>
      </c>
      <c r="AP21" s="217">
        <f ca="1"/>
        <v>0</v>
      </c>
      <c r="AQ21" s="217">
        <f ca="1"/>
        <v>0</v>
      </c>
      <c r="AR21" s="217">
        <f ca="1"/>
        <v>0</v>
      </c>
      <c r="AS21" s="217">
        <f ca="1"/>
        <v>0</v>
      </c>
      <c r="AT21" s="217">
        <f ca="1"/>
        <v>0</v>
      </c>
      <c r="AU21" s="217">
        <f ca="1"/>
        <v>4981.6473740000001</v>
      </c>
      <c r="AV21" s="217">
        <f ca="1"/>
        <v>6283.4346800000003</v>
      </c>
      <c r="AW21" s="217">
        <f ca="1"/>
        <v>526737.66599999997</v>
      </c>
      <c r="AX21" s="217">
        <f ca="1"/>
        <v>4777250.9859999996</v>
      </c>
      <c r="AY21" s="217">
        <f ca="1"/>
        <v>0</v>
      </c>
      <c r="AZ21" s="217">
        <f ca="1"/>
        <v>0</v>
      </c>
      <c r="BA21" s="217">
        <f ca="1"/>
        <v>0</v>
      </c>
      <c r="BB21" s="217">
        <f ca="1"/>
        <v>0</v>
      </c>
      <c r="BC21" s="217">
        <f ca="1"/>
        <v>0</v>
      </c>
      <c r="BD21" s="217">
        <f ca="1"/>
        <v>0</v>
      </c>
      <c r="BE21" s="217">
        <f ca="1"/>
        <v>0</v>
      </c>
      <c r="BF21" s="217">
        <f ca="1"/>
        <v>41.531053778999997</v>
      </c>
      <c r="BG21" s="217">
        <f ca="1"/>
        <v>0</v>
      </c>
      <c r="BH21" s="217">
        <f ca="1"/>
        <v>0</v>
      </c>
      <c r="BI21" s="217">
        <f ca="1"/>
        <v>0</v>
      </c>
      <c r="BJ21" s="217">
        <f ca="1"/>
        <v>0</v>
      </c>
      <c r="BK21" s="217">
        <f ca="1"/>
        <v>0</v>
      </c>
      <c r="BL21" s="217">
        <f ca="1"/>
        <v>0</v>
      </c>
      <c r="BM21" s="217">
        <f ca="1"/>
        <v>0</v>
      </c>
      <c r="BN21" s="217">
        <f ca="1"/>
        <v>0</v>
      </c>
    </row>
    <row r="22" spans="1:66" s="217" customFormat="1" x14ac:dyDescent="0.2">
      <c r="A22"/>
      <c r="B22" s="347" t="str">
        <f ca="1"/>
        <v>All</v>
      </c>
      <c r="C22" s="345">
        <f ca="1"/>
        <v>43591</v>
      </c>
      <c r="D22" s="353">
        <f ca="1"/>
        <v>25955030.73</v>
      </c>
      <c r="E22" s="217">
        <f ca="1"/>
        <v>1957.2104919999999</v>
      </c>
      <c r="F22" s="217">
        <f ca="1"/>
        <v>6197.1617239999996</v>
      </c>
      <c r="G22" s="217">
        <f ca="1"/>
        <v>0</v>
      </c>
      <c r="H22" s="217">
        <f ca="1"/>
        <v>0</v>
      </c>
      <c r="I22" s="217">
        <f ca="1"/>
        <v>2721.6101819999999</v>
      </c>
      <c r="J22" s="217">
        <f ca="1"/>
        <v>56760.545559999999</v>
      </c>
      <c r="K22" s="217">
        <f ca="1"/>
        <v>4335.2431710000001</v>
      </c>
      <c r="L22" s="217">
        <f ca="1"/>
        <v>650.01563569999996</v>
      </c>
      <c r="M22" s="217">
        <f ca="1"/>
        <v>732882.94070000004</v>
      </c>
      <c r="N22" s="217">
        <f ca="1"/>
        <v>4486.3234469999998</v>
      </c>
      <c r="O22" s="217">
        <f ca="1"/>
        <v>5760.7415520000004</v>
      </c>
      <c r="P22" s="217">
        <f ca="1"/>
        <v>157798.78219999999</v>
      </c>
      <c r="Q22" s="217">
        <f ca="1"/>
        <v>11232.485979999999</v>
      </c>
      <c r="R22" s="217">
        <f ca="1"/>
        <v>59.452649610000002</v>
      </c>
      <c r="S22" s="217">
        <f ca="1"/>
        <v>202986.31899999999</v>
      </c>
      <c r="T22" s="217">
        <f ca="1"/>
        <v>3653.7537419999999</v>
      </c>
      <c r="U22" s="217">
        <f ca="1"/>
        <v>0</v>
      </c>
      <c r="V22" s="217">
        <f ca="1"/>
        <v>28.26141514</v>
      </c>
      <c r="W22" s="217">
        <f ca="1"/>
        <v>2.0426040250000002</v>
      </c>
      <c r="X22" s="217">
        <f ca="1"/>
        <v>8.2889991470000002</v>
      </c>
      <c r="Y22" s="217">
        <f ca="1"/>
        <v>462255719.5</v>
      </c>
      <c r="Z22" s="217">
        <f ca="1"/>
        <v>1</v>
      </c>
      <c r="AA22" s="217">
        <f ca="1"/>
        <v>0</v>
      </c>
      <c r="AB22" s="217">
        <f ca="1"/>
        <v>19750.39662</v>
      </c>
      <c r="AC22" s="217">
        <f ca="1"/>
        <v>0</v>
      </c>
      <c r="AD22" s="217">
        <f ca="1"/>
        <v>0</v>
      </c>
      <c r="AE22" s="217">
        <f ca="1"/>
        <v>102</v>
      </c>
      <c r="AF22" s="217">
        <f ca="1"/>
        <v>0</v>
      </c>
      <c r="AG22" s="217">
        <f ca="1"/>
        <v>36851.13955</v>
      </c>
      <c r="AH22" s="217">
        <f ca="1"/>
        <v>10961.215990000001</v>
      </c>
      <c r="AI22" s="217">
        <f ca="1"/>
        <v>808806</v>
      </c>
      <c r="AJ22" s="217">
        <f ca="1"/>
        <v>0</v>
      </c>
      <c r="AK22" s="217">
        <f ca="1"/>
        <v>0</v>
      </c>
      <c r="AL22" s="217">
        <f ca="1"/>
        <v>0</v>
      </c>
      <c r="AM22" s="217">
        <f ca="1"/>
        <v>0</v>
      </c>
      <c r="AN22" s="217">
        <f ca="1"/>
        <v>0</v>
      </c>
      <c r="AO22" s="217">
        <f ca="1"/>
        <v>0</v>
      </c>
      <c r="AP22" s="217">
        <f ca="1"/>
        <v>146896.63260000001</v>
      </c>
      <c r="AQ22" s="217">
        <f ca="1"/>
        <v>0</v>
      </c>
      <c r="AR22" s="217">
        <f ca="1"/>
        <v>0</v>
      </c>
      <c r="AS22" s="217">
        <f ca="1"/>
        <v>0</v>
      </c>
      <c r="AT22" s="217">
        <f ca="1"/>
        <v>0</v>
      </c>
      <c r="AU22" s="217">
        <f ca="1"/>
        <v>0</v>
      </c>
      <c r="AV22" s="217">
        <f ca="1"/>
        <v>18912.862929999999</v>
      </c>
      <c r="AW22" s="217">
        <f ca="1"/>
        <v>1816886.2305999999</v>
      </c>
      <c r="AX22" s="217">
        <f ca="1"/>
        <v>0</v>
      </c>
      <c r="AY22" s="217">
        <f ca="1"/>
        <v>0</v>
      </c>
      <c r="AZ22" s="217">
        <f ca="1"/>
        <v>0</v>
      </c>
      <c r="BA22" s="217">
        <f ca="1"/>
        <v>0</v>
      </c>
      <c r="BB22" s="217">
        <f ca="1"/>
        <v>0</v>
      </c>
      <c r="BC22" s="217">
        <f ca="1"/>
        <v>0</v>
      </c>
      <c r="BD22" s="217">
        <f ca="1"/>
        <v>0</v>
      </c>
      <c r="BE22" s="217">
        <f ca="1"/>
        <v>10961.215990000001</v>
      </c>
      <c r="BF22" s="217">
        <f ca="1"/>
        <v>38.593018311999998</v>
      </c>
      <c r="BG22" s="217">
        <f ca="1"/>
        <v>0</v>
      </c>
      <c r="BH22" s="217">
        <f ca="1"/>
        <v>0</v>
      </c>
      <c r="BI22" s="217">
        <f ca="1"/>
        <v>0</v>
      </c>
      <c r="BJ22" s="217">
        <f ca="1"/>
        <v>1</v>
      </c>
      <c r="BK22" s="217">
        <f ca="1"/>
        <v>0</v>
      </c>
      <c r="BL22" s="217">
        <f ca="1"/>
        <v>0</v>
      </c>
      <c r="BM22" s="217">
        <f ca="1"/>
        <v>0</v>
      </c>
      <c r="BN22" s="217">
        <f ca="1"/>
        <v>0</v>
      </c>
    </row>
    <row r="23" spans="1:66" s="217" customFormat="1" x14ac:dyDescent="0.2">
      <c r="A23"/>
      <c r="B23" s="347" t="str">
        <f ca="1"/>
        <v>All</v>
      </c>
      <c r="C23" s="345">
        <f ca="1"/>
        <v>43598</v>
      </c>
      <c r="D23" s="353">
        <f ca="1"/>
        <v>9793229.7449999992</v>
      </c>
      <c r="E23" s="217">
        <f ca="1"/>
        <v>2359.4805160000001</v>
      </c>
      <c r="F23" s="217">
        <f ca="1"/>
        <v>4489.8874530000003</v>
      </c>
      <c r="G23" s="217">
        <f ca="1"/>
        <v>0</v>
      </c>
      <c r="H23" s="217">
        <f ca="1"/>
        <v>0</v>
      </c>
      <c r="I23" s="217">
        <f ca="1"/>
        <v>2168.920736</v>
      </c>
      <c r="J23" s="217">
        <f ca="1"/>
        <v>44992.444049999998</v>
      </c>
      <c r="K23" s="217">
        <f ca="1"/>
        <v>3140.9143060000001</v>
      </c>
      <c r="L23" s="217">
        <f ca="1"/>
        <v>239.57215840000001</v>
      </c>
      <c r="M23" s="217">
        <f ca="1"/>
        <v>158110.1379</v>
      </c>
      <c r="N23" s="217">
        <f ca="1"/>
        <v>2845.9824829999998</v>
      </c>
      <c r="O23" s="217">
        <f ca="1"/>
        <v>5848.3791620000002</v>
      </c>
      <c r="P23" s="217">
        <f ca="1"/>
        <v>154577.32939999999</v>
      </c>
      <c r="Q23" s="217">
        <f ca="1"/>
        <v>11706.72875</v>
      </c>
      <c r="R23" s="217">
        <f ca="1"/>
        <v>50.204459669999999</v>
      </c>
      <c r="S23" s="217">
        <f ca="1"/>
        <v>168016.27050000001</v>
      </c>
      <c r="T23" s="217">
        <f ca="1"/>
        <v>3024.2928689999999</v>
      </c>
      <c r="U23" s="217">
        <f ca="1"/>
        <v>0</v>
      </c>
      <c r="V23" s="217">
        <f ca="1"/>
        <v>22.632371110000001</v>
      </c>
      <c r="W23" s="217">
        <f ca="1"/>
        <v>2.6324538569999998</v>
      </c>
      <c r="X23" s="217">
        <f ca="1"/>
        <v>7.6927031279999998</v>
      </c>
      <c r="Y23" s="217">
        <f ca="1"/>
        <v>295458578.89999998</v>
      </c>
      <c r="Z23" s="217">
        <f ca="1"/>
        <v>0</v>
      </c>
      <c r="AA23" s="217">
        <f ca="1"/>
        <v>0</v>
      </c>
      <c r="AB23" s="217">
        <f ca="1"/>
        <v>19750.39662</v>
      </c>
      <c r="AC23" s="217">
        <f ca="1"/>
        <v>0</v>
      </c>
      <c r="AD23" s="217">
        <f ca="1"/>
        <v>0</v>
      </c>
      <c r="AE23" s="217">
        <f ca="1"/>
        <v>110.3831045</v>
      </c>
      <c r="AF23" s="217">
        <f ca="1"/>
        <v>0</v>
      </c>
      <c r="AG23" s="217">
        <f ca="1"/>
        <v>36851.142910000002</v>
      </c>
      <c r="AH23" s="217">
        <f ca="1"/>
        <v>136054.03950000001</v>
      </c>
      <c r="AI23" s="217">
        <f ca="1"/>
        <v>478114</v>
      </c>
      <c r="AJ23" s="217">
        <f ca="1"/>
        <v>0</v>
      </c>
      <c r="AK23" s="217">
        <f ca="1"/>
        <v>0</v>
      </c>
      <c r="AL23" s="217">
        <f ca="1"/>
        <v>0</v>
      </c>
      <c r="AM23" s="217">
        <f ca="1"/>
        <v>0</v>
      </c>
      <c r="AN23" s="217">
        <f ca="1"/>
        <v>0</v>
      </c>
      <c r="AO23" s="217">
        <f ca="1"/>
        <v>0</v>
      </c>
      <c r="AP23" s="217">
        <f ca="1"/>
        <v>146896.63260000001</v>
      </c>
      <c r="AQ23" s="217">
        <f ca="1"/>
        <v>0</v>
      </c>
      <c r="AR23" s="217">
        <f ca="1"/>
        <v>0</v>
      </c>
      <c r="AS23" s="217">
        <f ca="1"/>
        <v>0</v>
      </c>
      <c r="AT23" s="217">
        <f ca="1"/>
        <v>0</v>
      </c>
      <c r="AU23" s="217">
        <f ca="1"/>
        <v>0</v>
      </c>
      <c r="AV23" s="217">
        <f ca="1"/>
        <v>8320.4342340000003</v>
      </c>
      <c r="AW23" s="217">
        <f ca="1"/>
        <v>1715298.4646600001</v>
      </c>
      <c r="AX23" s="217">
        <f ca="1"/>
        <v>0</v>
      </c>
      <c r="AY23" s="217">
        <f ca="1"/>
        <v>0</v>
      </c>
      <c r="AZ23" s="217">
        <f ca="1"/>
        <v>0</v>
      </c>
      <c r="BA23" s="217">
        <f ca="1"/>
        <v>0</v>
      </c>
      <c r="BB23" s="217">
        <f ca="1"/>
        <v>0</v>
      </c>
      <c r="BC23" s="217">
        <f ca="1"/>
        <v>0</v>
      </c>
      <c r="BD23" s="217">
        <f ca="1"/>
        <v>0</v>
      </c>
      <c r="BE23" s="217">
        <f ca="1"/>
        <v>136054.03950000001</v>
      </c>
      <c r="BF23" s="217">
        <f ca="1"/>
        <v>32.957528095000001</v>
      </c>
      <c r="BG23" s="217">
        <f ca="1"/>
        <v>0</v>
      </c>
      <c r="BH23" s="217">
        <f ca="1"/>
        <v>0</v>
      </c>
      <c r="BI23" s="217">
        <f ca="1"/>
        <v>0</v>
      </c>
      <c r="BJ23" s="217">
        <f ca="1"/>
        <v>0</v>
      </c>
      <c r="BK23" s="217">
        <f ca="1"/>
        <v>0</v>
      </c>
      <c r="BL23" s="217">
        <f ca="1"/>
        <v>0</v>
      </c>
      <c r="BM23" s="217">
        <f ca="1"/>
        <v>0</v>
      </c>
      <c r="BN23" s="217">
        <f ca="1"/>
        <v>0</v>
      </c>
    </row>
    <row r="24" spans="1:66" s="217" customFormat="1" x14ac:dyDescent="0.2">
      <c r="A24"/>
      <c r="B24" s="347" t="str">
        <f ca="1"/>
        <v>All</v>
      </c>
      <c r="C24" s="345">
        <f ca="1"/>
        <v>43605</v>
      </c>
      <c r="D24" s="353">
        <f ca="1"/>
        <v>9953995.2880000006</v>
      </c>
      <c r="E24" s="217">
        <f ca="1"/>
        <v>2214.6884879999998</v>
      </c>
      <c r="F24" s="217">
        <f ca="1"/>
        <v>5480.5230279999996</v>
      </c>
      <c r="G24" s="217">
        <f ca="1"/>
        <v>0</v>
      </c>
      <c r="H24" s="217">
        <f ca="1"/>
        <v>0</v>
      </c>
      <c r="I24" s="217">
        <f ca="1"/>
        <v>2417.7410839999998</v>
      </c>
      <c r="J24" s="217">
        <f ca="1"/>
        <v>43253.784350000002</v>
      </c>
      <c r="K24" s="217">
        <f ca="1"/>
        <v>3833.9164099999998</v>
      </c>
      <c r="L24" s="217">
        <f ca="1"/>
        <v>221.9565585</v>
      </c>
      <c r="M24" s="217">
        <f ca="1"/>
        <v>145836.02830000001</v>
      </c>
      <c r="N24" s="217">
        <f ca="1"/>
        <v>2625.0485090000002</v>
      </c>
      <c r="O24" s="217">
        <f ca="1"/>
        <v>6169.863859</v>
      </c>
      <c r="P24" s="217">
        <f ca="1"/>
        <v>158784.375</v>
      </c>
      <c r="Q24" s="217">
        <f ca="1"/>
        <v>12024.19269</v>
      </c>
      <c r="R24" s="217">
        <f ca="1"/>
        <v>47.562119690000003</v>
      </c>
      <c r="S24" s="217">
        <f ca="1"/>
        <v>178148.32320000001</v>
      </c>
      <c r="T24" s="217">
        <f ca="1"/>
        <v>3206.669817</v>
      </c>
      <c r="U24" s="217">
        <f ca="1"/>
        <v>3198</v>
      </c>
      <c r="V24" s="217">
        <f ca="1"/>
        <v>20.942121019999998</v>
      </c>
      <c r="W24" s="217">
        <f ca="1"/>
        <v>2.852857524</v>
      </c>
      <c r="X24" s="217">
        <f ca="1"/>
        <v>7.5920984699999998</v>
      </c>
      <c r="Y24" s="217">
        <f ca="1"/>
        <v>289030005.39999998</v>
      </c>
      <c r="Z24" s="217">
        <f ca="1"/>
        <v>0</v>
      </c>
      <c r="AA24" s="217">
        <f ca="1"/>
        <v>0</v>
      </c>
      <c r="AB24" s="217">
        <f ca="1"/>
        <v>19750.39662</v>
      </c>
      <c r="AC24" s="217">
        <f ca="1"/>
        <v>0</v>
      </c>
      <c r="AD24" s="217">
        <f ca="1"/>
        <v>0</v>
      </c>
      <c r="AE24" s="217">
        <f ca="1"/>
        <v>77.713665489999997</v>
      </c>
      <c r="AF24" s="217">
        <f ca="1"/>
        <v>0</v>
      </c>
      <c r="AG24" s="217">
        <f ca="1"/>
        <v>21490.030699999999</v>
      </c>
      <c r="AH24" s="217">
        <f ca="1"/>
        <v>69175.357029999999</v>
      </c>
      <c r="AI24" s="217">
        <f ca="1"/>
        <v>382228</v>
      </c>
      <c r="AJ24" s="217">
        <f ca="1"/>
        <v>0</v>
      </c>
      <c r="AK24" s="217">
        <f ca="1"/>
        <v>0</v>
      </c>
      <c r="AL24" s="217">
        <f ca="1"/>
        <v>0</v>
      </c>
      <c r="AM24" s="217">
        <f ca="1"/>
        <v>0</v>
      </c>
      <c r="AN24" s="217">
        <f ca="1"/>
        <v>0</v>
      </c>
      <c r="AO24" s="217">
        <f ca="1"/>
        <v>0</v>
      </c>
      <c r="AP24" s="217">
        <f ca="1"/>
        <v>146896.63260000001</v>
      </c>
      <c r="AQ24" s="217">
        <f ca="1"/>
        <v>0</v>
      </c>
      <c r="AR24" s="217">
        <f ca="1"/>
        <v>0</v>
      </c>
      <c r="AS24" s="217">
        <f ca="1"/>
        <v>0</v>
      </c>
      <c r="AT24" s="217">
        <f ca="1"/>
        <v>0</v>
      </c>
      <c r="AU24" s="217">
        <f ca="1"/>
        <v>0</v>
      </c>
      <c r="AV24" s="217">
        <f ca="1"/>
        <v>4241.9904120000001</v>
      </c>
      <c r="AW24" s="217">
        <f ca="1"/>
        <v>1359130.1177959901</v>
      </c>
      <c r="AX24" s="217">
        <f ca="1"/>
        <v>0</v>
      </c>
      <c r="AY24" s="217">
        <f ca="1"/>
        <v>0</v>
      </c>
      <c r="AZ24" s="217">
        <f ca="1"/>
        <v>0</v>
      </c>
      <c r="BA24" s="217">
        <f ca="1"/>
        <v>0</v>
      </c>
      <c r="BB24" s="217">
        <f ca="1"/>
        <v>0</v>
      </c>
      <c r="BC24" s="217">
        <f ca="1"/>
        <v>0</v>
      </c>
      <c r="BD24" s="217">
        <f ca="1"/>
        <v>0</v>
      </c>
      <c r="BE24" s="217">
        <f ca="1"/>
        <v>69175.357029999999</v>
      </c>
      <c r="BF24" s="217">
        <f ca="1"/>
        <v>31.387077013999999</v>
      </c>
      <c r="BG24" s="217">
        <f ca="1"/>
        <v>0</v>
      </c>
      <c r="BH24" s="217">
        <f ca="1"/>
        <v>0</v>
      </c>
      <c r="BI24" s="217">
        <f ca="1"/>
        <v>0</v>
      </c>
      <c r="BJ24" s="217">
        <f ca="1"/>
        <v>0</v>
      </c>
      <c r="BK24" s="217">
        <f ca="1"/>
        <v>0</v>
      </c>
      <c r="BL24" s="217">
        <f ca="1"/>
        <v>0</v>
      </c>
      <c r="BM24" s="217">
        <f ca="1"/>
        <v>0</v>
      </c>
      <c r="BN24" s="217">
        <f ca="1"/>
        <v>0</v>
      </c>
    </row>
    <row r="25" spans="1:66" s="217" customFormat="1" x14ac:dyDescent="0.2">
      <c r="A25"/>
      <c r="B25" s="347" t="str">
        <f ca="1"/>
        <v>All</v>
      </c>
      <c r="C25" s="345">
        <f ca="1"/>
        <v>43612</v>
      </c>
      <c r="D25" s="353">
        <f ca="1"/>
        <v>7779670.7589999996</v>
      </c>
      <c r="E25" s="217">
        <f ca="1"/>
        <v>1723.6546559999999</v>
      </c>
      <c r="F25" s="217">
        <f ca="1"/>
        <v>11291.22854</v>
      </c>
      <c r="G25" s="217">
        <f ca="1"/>
        <v>0</v>
      </c>
      <c r="H25" s="217">
        <f ca="1"/>
        <v>0</v>
      </c>
      <c r="I25" s="217">
        <f ca="1"/>
        <v>4467.3161309999996</v>
      </c>
      <c r="J25" s="217">
        <f ca="1"/>
        <v>70965.324909999996</v>
      </c>
      <c r="K25" s="217">
        <f ca="1"/>
        <v>7898.8129689999996</v>
      </c>
      <c r="L25" s="217">
        <f ca="1"/>
        <v>2469.7071040000001</v>
      </c>
      <c r="M25" s="217">
        <f ca="1"/>
        <v>4204518.6849999996</v>
      </c>
      <c r="N25" s="217">
        <f ca="1"/>
        <v>19855.88162</v>
      </c>
      <c r="O25" s="217">
        <f ca="1"/>
        <v>5153.8841359999997</v>
      </c>
      <c r="P25" s="217">
        <f ca="1"/>
        <v>128043.39169999999</v>
      </c>
      <c r="Q25" s="217">
        <f ca="1"/>
        <v>9694.0760040000005</v>
      </c>
      <c r="R25" s="217">
        <f ca="1"/>
        <v>62.094989589999997</v>
      </c>
      <c r="S25" s="217">
        <f ca="1"/>
        <v>204948.69690000001</v>
      </c>
      <c r="T25" s="217">
        <f ca="1"/>
        <v>3689.0765430000001</v>
      </c>
      <c r="U25" s="217">
        <f ca="1"/>
        <v>38430</v>
      </c>
      <c r="V25" s="217">
        <f ca="1"/>
        <v>20.154423009999999</v>
      </c>
      <c r="W25" s="217">
        <f ca="1"/>
        <v>3.6499201970000001</v>
      </c>
      <c r="X25" s="217">
        <f ca="1"/>
        <v>8.8003613279999993</v>
      </c>
      <c r="Y25" s="217">
        <f ca="1"/>
        <v>267042304.5</v>
      </c>
      <c r="Z25" s="217">
        <f ca="1"/>
        <v>0</v>
      </c>
      <c r="AA25" s="217">
        <f ca="1"/>
        <v>0</v>
      </c>
      <c r="AB25" s="217">
        <f ca="1"/>
        <v>0</v>
      </c>
      <c r="AC25" s="217">
        <f ca="1"/>
        <v>0</v>
      </c>
      <c r="AD25" s="217">
        <f ca="1"/>
        <v>0</v>
      </c>
      <c r="AE25" s="217">
        <f ca="1"/>
        <v>14.354753499999999</v>
      </c>
      <c r="AF25" s="217">
        <f ca="1"/>
        <v>0</v>
      </c>
      <c r="AG25" s="217">
        <f ca="1"/>
        <v>16416.428629999999</v>
      </c>
      <c r="AH25" s="217">
        <f ca="1"/>
        <v>0</v>
      </c>
      <c r="AI25" s="217">
        <f ca="1"/>
        <v>552615</v>
      </c>
      <c r="AJ25" s="217">
        <f ca="1"/>
        <v>0</v>
      </c>
      <c r="AK25" s="217">
        <f ca="1"/>
        <v>0</v>
      </c>
      <c r="AL25" s="217">
        <f ca="1"/>
        <v>0</v>
      </c>
      <c r="AM25" s="217">
        <f ca="1"/>
        <v>0</v>
      </c>
      <c r="AN25" s="217">
        <f ca="1"/>
        <v>0</v>
      </c>
      <c r="AO25" s="217">
        <f ca="1"/>
        <v>0</v>
      </c>
      <c r="AP25" s="217">
        <f ca="1"/>
        <v>0</v>
      </c>
      <c r="AQ25" s="217">
        <f ca="1"/>
        <v>0</v>
      </c>
      <c r="AR25" s="217">
        <f ca="1"/>
        <v>0</v>
      </c>
      <c r="AS25" s="217">
        <f ca="1"/>
        <v>0</v>
      </c>
      <c r="AT25" s="217">
        <f ca="1"/>
        <v>0</v>
      </c>
      <c r="AU25" s="217">
        <f ca="1"/>
        <v>0</v>
      </c>
      <c r="AV25" s="217">
        <f ca="1"/>
        <v>0</v>
      </c>
      <c r="AW25" s="217">
        <f ca="1"/>
        <v>747212.86916399898</v>
      </c>
      <c r="AX25" s="217">
        <f ca="1"/>
        <v>0</v>
      </c>
      <c r="AY25" s="217">
        <f ca="1"/>
        <v>0</v>
      </c>
      <c r="AZ25" s="217">
        <f ca="1"/>
        <v>0</v>
      </c>
      <c r="BA25" s="217">
        <f ca="1"/>
        <v>0</v>
      </c>
      <c r="BB25" s="217">
        <f ca="1"/>
        <v>0</v>
      </c>
      <c r="BC25" s="217">
        <f ca="1"/>
        <v>0</v>
      </c>
      <c r="BD25" s="217">
        <f ca="1"/>
        <v>0</v>
      </c>
      <c r="BE25" s="217">
        <f ca="1"/>
        <v>0</v>
      </c>
      <c r="BF25" s="217">
        <f ca="1"/>
        <v>32.604704534999897</v>
      </c>
      <c r="BG25" s="217">
        <f ca="1"/>
        <v>0</v>
      </c>
      <c r="BH25" s="217">
        <f ca="1"/>
        <v>0</v>
      </c>
      <c r="BI25" s="217">
        <f ca="1"/>
        <v>0</v>
      </c>
      <c r="BJ25" s="217">
        <f ca="1"/>
        <v>0</v>
      </c>
      <c r="BK25" s="217">
        <f ca="1"/>
        <v>0</v>
      </c>
      <c r="BL25" s="217">
        <f ca="1"/>
        <v>0</v>
      </c>
      <c r="BM25" s="217">
        <f ca="1"/>
        <v>0</v>
      </c>
      <c r="BN25" s="217">
        <f ca="1"/>
        <v>0</v>
      </c>
    </row>
    <row r="26" spans="1:66" s="217" customFormat="1" x14ac:dyDescent="0.2">
      <c r="A26"/>
      <c r="B26" s="347" t="str">
        <f ca="1"/>
        <v>All</v>
      </c>
      <c r="C26" s="345">
        <f ca="1"/>
        <v>43619</v>
      </c>
      <c r="D26" s="353">
        <f ca="1"/>
        <v>9289882.693</v>
      </c>
      <c r="E26" s="217">
        <f ca="1"/>
        <v>1821.8614230000001</v>
      </c>
      <c r="F26" s="217">
        <f ca="1"/>
        <v>6868.3042480000004</v>
      </c>
      <c r="G26" s="217">
        <f ca="1"/>
        <v>0</v>
      </c>
      <c r="H26" s="217">
        <f ca="1"/>
        <v>0</v>
      </c>
      <c r="I26" s="217">
        <f ca="1"/>
        <v>2742.7489019999998</v>
      </c>
      <c r="J26" s="217">
        <f ca="1"/>
        <v>48760.420870000002</v>
      </c>
      <c r="K26" s="217">
        <f ca="1"/>
        <v>4804.7429460000003</v>
      </c>
      <c r="L26" s="217">
        <f ca="1"/>
        <v>1750.5502389999999</v>
      </c>
      <c r="M26" s="217">
        <f ca="1"/>
        <v>2885322.9619999998</v>
      </c>
      <c r="N26" s="217">
        <f ca="1"/>
        <v>13883.499260000001</v>
      </c>
      <c r="O26" s="217">
        <f ca="1"/>
        <v>2430.5123939999999</v>
      </c>
      <c r="P26" s="217">
        <f ca="1"/>
        <v>55961.678099999997</v>
      </c>
      <c r="Q26" s="217">
        <f ca="1"/>
        <v>4639.0065750000003</v>
      </c>
      <c r="R26" s="217">
        <f ca="1"/>
        <v>36.111979759999997</v>
      </c>
      <c r="S26" s="217">
        <f ca="1"/>
        <v>144750.02660000001</v>
      </c>
      <c r="T26" s="217">
        <f ca="1"/>
        <v>2605.5004789999998</v>
      </c>
      <c r="U26" s="217">
        <f ca="1"/>
        <v>0</v>
      </c>
      <c r="V26" s="217">
        <f ca="1"/>
        <v>20.906967009999999</v>
      </c>
      <c r="W26" s="217">
        <f ca="1"/>
        <v>5.6769863259999997</v>
      </c>
      <c r="X26" s="217">
        <f ca="1"/>
        <v>7.4157467779999999</v>
      </c>
      <c r="Y26" s="217">
        <f ca="1"/>
        <v>305597951.39999998</v>
      </c>
      <c r="Z26" s="217">
        <f ca="1"/>
        <v>0</v>
      </c>
      <c r="AA26" s="217">
        <f ca="1"/>
        <v>0</v>
      </c>
      <c r="AB26" s="217">
        <f ca="1"/>
        <v>0</v>
      </c>
      <c r="AC26" s="217">
        <f ca="1"/>
        <v>0</v>
      </c>
      <c r="AD26" s="217">
        <f ca="1"/>
        <v>0</v>
      </c>
      <c r="AE26" s="217">
        <f ca="1"/>
        <v>20.789643000000002</v>
      </c>
      <c r="AF26" s="217">
        <f ca="1"/>
        <v>0</v>
      </c>
      <c r="AG26" s="217">
        <f ca="1"/>
        <v>26620.5785</v>
      </c>
      <c r="AH26" s="217">
        <f ca="1"/>
        <v>0</v>
      </c>
      <c r="AI26" s="217">
        <f ca="1"/>
        <v>208810</v>
      </c>
      <c r="AJ26" s="217">
        <f ca="1"/>
        <v>0</v>
      </c>
      <c r="AK26" s="217">
        <f ca="1"/>
        <v>0</v>
      </c>
      <c r="AL26" s="217">
        <f ca="1"/>
        <v>0</v>
      </c>
      <c r="AM26" s="217">
        <f ca="1"/>
        <v>0</v>
      </c>
      <c r="AN26" s="217">
        <f ca="1"/>
        <v>0</v>
      </c>
      <c r="AO26" s="217">
        <f ca="1"/>
        <v>0</v>
      </c>
      <c r="AP26" s="217">
        <f ca="1"/>
        <v>0</v>
      </c>
      <c r="AQ26" s="217">
        <f ca="1"/>
        <v>0</v>
      </c>
      <c r="AR26" s="217">
        <f ca="1"/>
        <v>0</v>
      </c>
      <c r="AS26" s="217">
        <f ca="1"/>
        <v>0</v>
      </c>
      <c r="AT26" s="217">
        <f ca="1"/>
        <v>0</v>
      </c>
      <c r="AU26" s="217">
        <f ca="1"/>
        <v>0</v>
      </c>
      <c r="AV26" s="217">
        <f ca="1"/>
        <v>13444.237150000001</v>
      </c>
      <c r="AW26" s="217">
        <f ca="1"/>
        <v>2402321.5124511598</v>
      </c>
      <c r="AX26" s="217">
        <f ca="1"/>
        <v>0</v>
      </c>
      <c r="AY26" s="217">
        <f ca="1"/>
        <v>0</v>
      </c>
      <c r="AZ26" s="217">
        <f ca="1"/>
        <v>0</v>
      </c>
      <c r="BA26" s="217">
        <f ca="1"/>
        <v>0</v>
      </c>
      <c r="BB26" s="217">
        <f ca="1"/>
        <v>0</v>
      </c>
      <c r="BC26" s="217">
        <f ca="1"/>
        <v>0</v>
      </c>
      <c r="BD26" s="217">
        <f ca="1"/>
        <v>0</v>
      </c>
      <c r="BE26" s="217">
        <f ca="1"/>
        <v>0</v>
      </c>
      <c r="BF26" s="217">
        <f ca="1"/>
        <v>33.999700113999999</v>
      </c>
      <c r="BG26" s="217">
        <f ca="1"/>
        <v>0</v>
      </c>
      <c r="BH26" s="217">
        <f ca="1"/>
        <v>0</v>
      </c>
      <c r="BI26" s="217">
        <f ca="1"/>
        <v>0</v>
      </c>
      <c r="BJ26" s="217">
        <f ca="1"/>
        <v>0</v>
      </c>
      <c r="BK26" s="217">
        <f ca="1"/>
        <v>0</v>
      </c>
      <c r="BL26" s="217">
        <f ca="1"/>
        <v>0</v>
      </c>
      <c r="BM26" s="217">
        <f ca="1"/>
        <v>0</v>
      </c>
      <c r="BN26" s="217">
        <f ca="1"/>
        <v>0</v>
      </c>
    </row>
    <row r="27" spans="1:66" s="217" customFormat="1" x14ac:dyDescent="0.2">
      <c r="A27"/>
      <c r="B27" s="347" t="str">
        <f ca="1"/>
        <v>All</v>
      </c>
      <c r="C27" s="345">
        <f ca="1"/>
        <v>43626</v>
      </c>
      <c r="D27" s="353">
        <f ca="1"/>
        <v>7877616.6009999998</v>
      </c>
      <c r="E27" s="217">
        <f ca="1"/>
        <v>1889.8507219999999</v>
      </c>
      <c r="F27" s="217">
        <f ca="1"/>
        <v>5410.6199550000001</v>
      </c>
      <c r="G27" s="217">
        <f ca="1"/>
        <v>0</v>
      </c>
      <c r="H27" s="217">
        <f ca="1"/>
        <v>0</v>
      </c>
      <c r="I27" s="217">
        <f ca="1"/>
        <v>2537.086773</v>
      </c>
      <c r="J27" s="217">
        <f ca="1"/>
        <v>41879.767549999997</v>
      </c>
      <c r="K27" s="217">
        <f ca="1"/>
        <v>3785.015504</v>
      </c>
      <c r="L27" s="217">
        <f ca="1"/>
        <v>906.76300400000002</v>
      </c>
      <c r="M27" s="217">
        <f ca="1"/>
        <v>1386706.1880000001</v>
      </c>
      <c r="N27" s="217">
        <f ca="1"/>
        <v>7514.2969590000002</v>
      </c>
      <c r="O27" s="217">
        <f ca="1"/>
        <v>1586.28477</v>
      </c>
      <c r="P27" s="217">
        <f ca="1"/>
        <v>42219.748630000002</v>
      </c>
      <c r="Q27" s="217">
        <f ca="1"/>
        <v>3146.049254</v>
      </c>
      <c r="R27" s="217">
        <f ca="1"/>
        <v>25.54261983</v>
      </c>
      <c r="S27" s="217">
        <f ca="1"/>
        <v>97141.225560000006</v>
      </c>
      <c r="T27" s="217">
        <f ca="1"/>
        <v>1748.54206</v>
      </c>
      <c r="U27" s="217">
        <f ca="1"/>
        <v>0</v>
      </c>
      <c r="V27" s="217">
        <f ca="1"/>
        <v>24.117739759999999</v>
      </c>
      <c r="W27" s="217">
        <f ca="1"/>
        <v>9.2095854179999996</v>
      </c>
      <c r="X27" s="217">
        <f ca="1"/>
        <v>7.2438223329999998</v>
      </c>
      <c r="Y27" s="217">
        <f ca="1"/>
        <v>330777164.89999998</v>
      </c>
      <c r="Z27" s="217">
        <f ca="1"/>
        <v>0</v>
      </c>
      <c r="AA27" s="217">
        <f ca="1"/>
        <v>0</v>
      </c>
      <c r="AB27" s="217">
        <f ca="1"/>
        <v>0</v>
      </c>
      <c r="AC27" s="217">
        <f ca="1"/>
        <v>0</v>
      </c>
      <c r="AD27" s="217">
        <f ca="1"/>
        <v>0</v>
      </c>
      <c r="AE27" s="217">
        <f ca="1"/>
        <v>53.9540735</v>
      </c>
      <c r="AF27" s="217">
        <f ca="1"/>
        <v>0</v>
      </c>
      <c r="AG27" s="217">
        <f ca="1"/>
        <v>26620.544870000002</v>
      </c>
      <c r="AH27" s="217">
        <f ca="1"/>
        <v>0</v>
      </c>
      <c r="AI27" s="217">
        <f ca="1"/>
        <v>567189</v>
      </c>
      <c r="AJ27" s="217">
        <f ca="1"/>
        <v>0</v>
      </c>
      <c r="AK27" s="217">
        <f ca="1"/>
        <v>0</v>
      </c>
      <c r="AL27" s="217">
        <f ca="1"/>
        <v>0</v>
      </c>
      <c r="AM27" s="217">
        <f ca="1"/>
        <v>0</v>
      </c>
      <c r="AN27" s="217">
        <f ca="1"/>
        <v>0</v>
      </c>
      <c r="AO27" s="217">
        <f ca="1"/>
        <v>0</v>
      </c>
      <c r="AP27" s="217">
        <f ca="1"/>
        <v>0</v>
      </c>
      <c r="AQ27" s="217">
        <f ca="1"/>
        <v>0</v>
      </c>
      <c r="AR27" s="217">
        <f ca="1"/>
        <v>0</v>
      </c>
      <c r="AS27" s="217">
        <f ca="1"/>
        <v>0</v>
      </c>
      <c r="AT27" s="217">
        <f ca="1"/>
        <v>0</v>
      </c>
      <c r="AU27" s="217">
        <f ca="1"/>
        <v>0</v>
      </c>
      <c r="AV27" s="217">
        <f ca="1"/>
        <v>17661.09506</v>
      </c>
      <c r="AW27" s="217">
        <f ca="1"/>
        <v>4182764.0850925399</v>
      </c>
      <c r="AX27" s="217">
        <f ca="1"/>
        <v>0</v>
      </c>
      <c r="AY27" s="217">
        <f ca="1"/>
        <v>0</v>
      </c>
      <c r="AZ27" s="217">
        <f ca="1"/>
        <v>0</v>
      </c>
      <c r="BA27" s="217">
        <f ca="1"/>
        <v>0</v>
      </c>
      <c r="BB27" s="217">
        <f ca="1"/>
        <v>0</v>
      </c>
      <c r="BC27" s="217">
        <f ca="1"/>
        <v>0</v>
      </c>
      <c r="BD27" s="217">
        <f ca="1"/>
        <v>0</v>
      </c>
      <c r="BE27" s="217">
        <f ca="1"/>
        <v>0</v>
      </c>
      <c r="BF27" s="217">
        <f ca="1"/>
        <v>40.5711475109999</v>
      </c>
      <c r="BG27" s="217">
        <f ca="1"/>
        <v>0</v>
      </c>
      <c r="BH27" s="217">
        <f ca="1"/>
        <v>0</v>
      </c>
      <c r="BI27" s="217">
        <f ca="1"/>
        <v>0</v>
      </c>
      <c r="BJ27" s="217">
        <f ca="1"/>
        <v>0</v>
      </c>
      <c r="BK27" s="217">
        <f ca="1"/>
        <v>0</v>
      </c>
      <c r="BL27" s="217">
        <f ca="1"/>
        <v>0</v>
      </c>
      <c r="BM27" s="217">
        <f ca="1"/>
        <v>0</v>
      </c>
      <c r="BN27" s="217">
        <f ca="1"/>
        <v>0</v>
      </c>
    </row>
    <row r="28" spans="1:66" s="217" customFormat="1" x14ac:dyDescent="0.2">
      <c r="A28"/>
      <c r="B28" s="347" t="str">
        <f ca="1"/>
        <v>All</v>
      </c>
      <c r="C28" s="345">
        <f ca="1"/>
        <v>43633</v>
      </c>
      <c r="D28" s="353">
        <f ca="1"/>
        <v>6779537.8909999998</v>
      </c>
      <c r="E28" s="217">
        <f ca="1"/>
        <v>2083.1166020000001</v>
      </c>
      <c r="F28" s="217">
        <f ca="1"/>
        <v>3525.0752219999999</v>
      </c>
      <c r="G28" s="217">
        <f ca="1"/>
        <v>0</v>
      </c>
      <c r="H28" s="217">
        <f ca="1"/>
        <v>0</v>
      </c>
      <c r="I28" s="217">
        <f ca="1"/>
        <v>2142.0569460000002</v>
      </c>
      <c r="J28" s="217">
        <f ca="1"/>
        <v>42621.824699999997</v>
      </c>
      <c r="K28" s="217">
        <f ca="1"/>
        <v>2465.9770010000002</v>
      </c>
      <c r="L28" s="217">
        <f ca="1"/>
        <v>101.7300893</v>
      </c>
      <c r="M28" s="217">
        <f ca="1"/>
        <v>61842.205730000001</v>
      </c>
      <c r="N28" s="217">
        <f ca="1"/>
        <v>1113.159703</v>
      </c>
      <c r="O28" s="217">
        <f ca="1"/>
        <v>1648.8201489999999</v>
      </c>
      <c r="P28" s="217">
        <f ca="1"/>
        <v>42427.172319999998</v>
      </c>
      <c r="Q28" s="217">
        <f ca="1"/>
        <v>3237.2496179999998</v>
      </c>
      <c r="R28" s="217">
        <f ca="1"/>
        <v>24.661839839999999</v>
      </c>
      <c r="S28" s="217">
        <f ca="1"/>
        <v>100385.13830000001</v>
      </c>
      <c r="T28" s="217">
        <f ca="1"/>
        <v>1806.932489</v>
      </c>
      <c r="U28" s="217">
        <f ca="1"/>
        <v>0</v>
      </c>
      <c r="V28" s="217">
        <f ca="1"/>
        <v>17.449087509999998</v>
      </c>
      <c r="W28" s="217">
        <f ca="1"/>
        <v>8.8265496550000009</v>
      </c>
      <c r="X28" s="217">
        <f ca="1"/>
        <v>8.5340934470000001</v>
      </c>
      <c r="Y28" s="217">
        <f ca="1"/>
        <v>279751001.39999998</v>
      </c>
      <c r="Z28" s="217">
        <f ca="1"/>
        <v>0</v>
      </c>
      <c r="AA28" s="217">
        <f ca="1"/>
        <v>0</v>
      </c>
      <c r="AB28" s="217">
        <f ca="1"/>
        <v>0</v>
      </c>
      <c r="AC28" s="217">
        <f ca="1"/>
        <v>322613.1851</v>
      </c>
      <c r="AD28" s="217">
        <f ca="1"/>
        <v>1947.12049</v>
      </c>
      <c r="AE28" s="217">
        <f ca="1"/>
        <v>112.36307050000001</v>
      </c>
      <c r="AF28" s="217">
        <f ca="1"/>
        <v>0</v>
      </c>
      <c r="AG28" s="217">
        <f ca="1"/>
        <v>19098.04119</v>
      </c>
      <c r="AH28" s="217">
        <f ca="1"/>
        <v>0</v>
      </c>
      <c r="AI28" s="217">
        <f ca="1"/>
        <v>508934</v>
      </c>
      <c r="AJ28" s="217">
        <f ca="1"/>
        <v>0</v>
      </c>
      <c r="AK28" s="217">
        <f ca="1"/>
        <v>0</v>
      </c>
      <c r="AL28" s="217">
        <f ca="1"/>
        <v>0</v>
      </c>
      <c r="AM28" s="217">
        <f ca="1"/>
        <v>0</v>
      </c>
      <c r="AN28" s="217">
        <f ca="1"/>
        <v>0</v>
      </c>
      <c r="AO28" s="217">
        <f ca="1"/>
        <v>0</v>
      </c>
      <c r="AP28" s="217">
        <f ca="1"/>
        <v>0</v>
      </c>
      <c r="AQ28" s="217">
        <f ca="1"/>
        <v>0</v>
      </c>
      <c r="AR28" s="217">
        <f ca="1"/>
        <v>0</v>
      </c>
      <c r="AS28" s="217">
        <f ca="1"/>
        <v>0</v>
      </c>
      <c r="AT28" s="217">
        <f ca="1"/>
        <v>0</v>
      </c>
      <c r="AU28" s="217">
        <f ca="1"/>
        <v>0</v>
      </c>
      <c r="AV28" s="217">
        <f ca="1"/>
        <v>5969.1952350000001</v>
      </c>
      <c r="AW28" s="217">
        <f ca="1"/>
        <v>3420824.8234218601</v>
      </c>
      <c r="AX28" s="217">
        <f ca="1"/>
        <v>0</v>
      </c>
      <c r="AY28" s="217">
        <f ca="1"/>
        <v>0</v>
      </c>
      <c r="AZ28" s="217">
        <f ca="1"/>
        <v>0</v>
      </c>
      <c r="BA28" s="217">
        <f ca="1"/>
        <v>0</v>
      </c>
      <c r="BB28" s="217">
        <f ca="1"/>
        <v>0</v>
      </c>
      <c r="BC28" s="217">
        <f ca="1"/>
        <v>0</v>
      </c>
      <c r="BD28" s="217">
        <f ca="1"/>
        <v>0</v>
      </c>
      <c r="BE28" s="217">
        <f ca="1"/>
        <v>0</v>
      </c>
      <c r="BF28" s="217">
        <f ca="1"/>
        <v>34.809730611999903</v>
      </c>
      <c r="BG28" s="217">
        <f ca="1"/>
        <v>0</v>
      </c>
      <c r="BH28" s="217">
        <f ca="1"/>
        <v>0</v>
      </c>
      <c r="BI28" s="217">
        <f ca="1"/>
        <v>0</v>
      </c>
      <c r="BJ28" s="217">
        <f ca="1"/>
        <v>0</v>
      </c>
      <c r="BK28" s="217">
        <f ca="1"/>
        <v>0</v>
      </c>
      <c r="BL28" s="217">
        <f ca="1"/>
        <v>0</v>
      </c>
      <c r="BM28" s="217">
        <f ca="1"/>
        <v>0</v>
      </c>
      <c r="BN28" s="217">
        <f ca="1"/>
        <v>0</v>
      </c>
    </row>
    <row r="29" spans="1:66" s="217" customFormat="1" x14ac:dyDescent="0.2">
      <c r="A29"/>
      <c r="B29" s="347" t="str">
        <f ca="1"/>
        <v>All</v>
      </c>
      <c r="C29" s="345">
        <f ca="1"/>
        <v>43640</v>
      </c>
      <c r="D29" s="353">
        <f ca="1"/>
        <v>8152210.6619999995</v>
      </c>
      <c r="E29" s="217">
        <f ca="1"/>
        <v>2071.7850520000002</v>
      </c>
      <c r="F29" s="217">
        <f ca="1"/>
        <v>3794.9675609999999</v>
      </c>
      <c r="G29" s="217">
        <f ca="1"/>
        <v>0</v>
      </c>
      <c r="H29" s="217">
        <f ca="1"/>
        <v>0</v>
      </c>
      <c r="I29" s="217">
        <f ca="1"/>
        <v>1614.9101189999999</v>
      </c>
      <c r="J29" s="217">
        <f ca="1"/>
        <v>39450.576330000004</v>
      </c>
      <c r="K29" s="217">
        <f ca="1"/>
        <v>2654.7809999999999</v>
      </c>
      <c r="L29" s="217">
        <f ca="1"/>
        <v>288.89583809999999</v>
      </c>
      <c r="M29" s="217">
        <f ca="1"/>
        <v>135038.54639999999</v>
      </c>
      <c r="N29" s="217">
        <f ca="1"/>
        <v>2430.6938340000002</v>
      </c>
      <c r="O29" s="217">
        <f ca="1"/>
        <v>1736.4577589999999</v>
      </c>
      <c r="P29" s="217">
        <f ca="1"/>
        <v>45270.770530000002</v>
      </c>
      <c r="Q29" s="217">
        <f ca="1"/>
        <v>3392.619209</v>
      </c>
      <c r="R29" s="217">
        <f ca="1"/>
        <v>26.423399830000001</v>
      </c>
      <c r="S29" s="217">
        <f ca="1"/>
        <v>115328.0113</v>
      </c>
      <c r="T29" s="217">
        <f ca="1"/>
        <v>2075.9042030000001</v>
      </c>
      <c r="U29" s="217">
        <f ca="1"/>
        <v>0</v>
      </c>
      <c r="V29" s="217">
        <f ca="1"/>
        <v>0</v>
      </c>
      <c r="W29" s="217">
        <f ca="1"/>
        <v>8.0116423529999992</v>
      </c>
      <c r="X29" s="217">
        <f ca="1"/>
        <v>7.6970894110000003</v>
      </c>
      <c r="Y29" s="217">
        <f ca="1"/>
        <v>277170297</v>
      </c>
      <c r="Z29" s="217">
        <f ca="1"/>
        <v>0</v>
      </c>
      <c r="AA29" s="217">
        <f ca="1"/>
        <v>0</v>
      </c>
      <c r="AB29" s="217">
        <f ca="1"/>
        <v>0</v>
      </c>
      <c r="AC29" s="217">
        <f ca="1"/>
        <v>349689.22009999998</v>
      </c>
      <c r="AD29" s="217">
        <f ca="1"/>
        <v>2161.3702990000002</v>
      </c>
      <c r="AE29" s="217">
        <f ca="1"/>
        <v>72.763750490000007</v>
      </c>
      <c r="AF29" s="217">
        <f ca="1"/>
        <v>0</v>
      </c>
      <c r="AG29" s="217">
        <f ca="1"/>
        <v>291.69793010000001</v>
      </c>
      <c r="AH29" s="217">
        <f ca="1"/>
        <v>0</v>
      </c>
      <c r="AI29" s="217">
        <f ca="1"/>
        <v>476393</v>
      </c>
      <c r="AJ29" s="217">
        <f ca="1"/>
        <v>0</v>
      </c>
      <c r="AK29" s="217">
        <f ca="1"/>
        <v>0</v>
      </c>
      <c r="AL29" s="217">
        <f ca="1"/>
        <v>0</v>
      </c>
      <c r="AM29" s="217">
        <f ca="1"/>
        <v>0</v>
      </c>
      <c r="AN29" s="217">
        <f ca="1"/>
        <v>0</v>
      </c>
      <c r="AO29" s="217">
        <f ca="1"/>
        <v>0</v>
      </c>
      <c r="AP29" s="217">
        <f ca="1"/>
        <v>0</v>
      </c>
      <c r="AQ29" s="217">
        <f ca="1"/>
        <v>0</v>
      </c>
      <c r="AR29" s="217">
        <f ca="1"/>
        <v>0</v>
      </c>
      <c r="AS29" s="217">
        <f ca="1"/>
        <v>0</v>
      </c>
      <c r="AT29" s="217">
        <f ca="1"/>
        <v>0</v>
      </c>
      <c r="AU29" s="217">
        <f ca="1"/>
        <v>0</v>
      </c>
      <c r="AV29" s="217">
        <f ca="1"/>
        <v>6456.3397599999998</v>
      </c>
      <c r="AW29" s="217">
        <f ca="1"/>
        <v>3084272.7479454</v>
      </c>
      <c r="AX29" s="217">
        <f ca="1"/>
        <v>0</v>
      </c>
      <c r="AY29" s="217">
        <f ca="1"/>
        <v>0</v>
      </c>
      <c r="AZ29" s="217">
        <f ca="1"/>
        <v>0</v>
      </c>
      <c r="BA29" s="217">
        <f ca="1"/>
        <v>0</v>
      </c>
      <c r="BB29" s="217">
        <f ca="1"/>
        <v>0</v>
      </c>
      <c r="BC29" s="217">
        <f ca="1"/>
        <v>0</v>
      </c>
      <c r="BD29" s="217">
        <f ca="1"/>
        <v>0</v>
      </c>
      <c r="BE29" s="217">
        <f ca="1"/>
        <v>0</v>
      </c>
      <c r="BF29" s="217">
        <f ca="1"/>
        <v>15.708731763999999</v>
      </c>
      <c r="BG29" s="217">
        <f ca="1"/>
        <v>0</v>
      </c>
      <c r="BH29" s="217">
        <f ca="1"/>
        <v>0</v>
      </c>
      <c r="BI29" s="217">
        <f ca="1"/>
        <v>0</v>
      </c>
      <c r="BJ29" s="217">
        <f ca="1"/>
        <v>0</v>
      </c>
      <c r="BK29" s="217">
        <f ca="1"/>
        <v>0</v>
      </c>
      <c r="BL29" s="217">
        <f ca="1"/>
        <v>0</v>
      </c>
      <c r="BM29" s="217">
        <f ca="1"/>
        <v>0</v>
      </c>
      <c r="BN29" s="217">
        <f ca="1"/>
        <v>0</v>
      </c>
    </row>
    <row r="30" spans="1:66" s="217" customFormat="1" x14ac:dyDescent="0.2">
      <c r="A30"/>
      <c r="B30" s="347" t="str">
        <f ca="1"/>
        <v>All</v>
      </c>
      <c r="C30" s="345">
        <f ca="1"/>
        <v>43647</v>
      </c>
      <c r="D30" s="353">
        <f ca="1"/>
        <v>6559549.4809999997</v>
      </c>
      <c r="E30" s="217">
        <f ca="1"/>
        <v>1700.9915559999999</v>
      </c>
      <c r="F30" s="217">
        <f ca="1"/>
        <v>4502.6417419999998</v>
      </c>
      <c r="G30" s="217">
        <f ca="1"/>
        <v>0</v>
      </c>
      <c r="H30" s="217">
        <f ca="1"/>
        <v>0</v>
      </c>
      <c r="I30" s="217">
        <f ca="1"/>
        <v>1100.0942130000001</v>
      </c>
      <c r="J30" s="217">
        <f ca="1"/>
        <v>33220.819430000003</v>
      </c>
      <c r="K30" s="217">
        <f ca="1"/>
        <v>3149.8366080000001</v>
      </c>
      <c r="L30" s="217">
        <f ca="1"/>
        <v>0.44038999699999998</v>
      </c>
      <c r="M30" s="217">
        <f ca="1"/>
        <v>41.396659730000003</v>
      </c>
      <c r="N30" s="217">
        <f ca="1"/>
        <v>0.74513987500000001</v>
      </c>
      <c r="O30" s="217">
        <f ca="1"/>
        <v>5287.7626950000003</v>
      </c>
      <c r="P30" s="217">
        <f ca="1"/>
        <v>116205.2681</v>
      </c>
      <c r="Q30" s="217">
        <f ca="1"/>
        <v>9420.1402139999991</v>
      </c>
      <c r="R30" s="217">
        <f ca="1"/>
        <v>0</v>
      </c>
      <c r="S30" s="217">
        <f ca="1"/>
        <v>573.38777619999996</v>
      </c>
      <c r="T30" s="217">
        <f ca="1"/>
        <v>10.32097997</v>
      </c>
      <c r="U30" s="217">
        <f ca="1"/>
        <v>0</v>
      </c>
      <c r="V30" s="217">
        <f ca="1"/>
        <v>0</v>
      </c>
      <c r="W30" s="217">
        <f ca="1"/>
        <v>7.4340940519999998</v>
      </c>
      <c r="X30" s="217">
        <f ca="1"/>
        <v>8.2970446019999997</v>
      </c>
      <c r="Y30" s="217">
        <f ca="1"/>
        <v>250162302.5</v>
      </c>
      <c r="Z30" s="217">
        <f ca="1"/>
        <v>0</v>
      </c>
      <c r="AA30" s="217">
        <f ca="1"/>
        <v>32341.274460000001</v>
      </c>
      <c r="AB30" s="217">
        <f ca="1"/>
        <v>0</v>
      </c>
      <c r="AC30" s="217">
        <f ca="1"/>
        <v>0</v>
      </c>
      <c r="AD30" s="217">
        <f ca="1"/>
        <v>0</v>
      </c>
      <c r="AE30" s="217">
        <f ca="1"/>
        <v>0</v>
      </c>
      <c r="AF30" s="217">
        <f ca="1"/>
        <v>0</v>
      </c>
      <c r="AG30" s="217">
        <f ca="1"/>
        <v>291.69829820000001</v>
      </c>
      <c r="AH30" s="217">
        <f ca="1"/>
        <v>86858.472070000003</v>
      </c>
      <c r="AI30" s="217">
        <f ca="1"/>
        <v>273099</v>
      </c>
      <c r="AJ30" s="217">
        <f ca="1"/>
        <v>0</v>
      </c>
      <c r="AK30" s="217">
        <f ca="1"/>
        <v>0</v>
      </c>
      <c r="AL30" s="217">
        <f ca="1"/>
        <v>0</v>
      </c>
      <c r="AM30" s="217">
        <f ca="1"/>
        <v>0</v>
      </c>
      <c r="AN30" s="217">
        <f ca="1"/>
        <v>0</v>
      </c>
      <c r="AO30" s="217">
        <f ca="1"/>
        <v>0</v>
      </c>
      <c r="AP30" s="217">
        <f ca="1"/>
        <v>0</v>
      </c>
      <c r="AQ30" s="217">
        <f ca="1"/>
        <v>0</v>
      </c>
      <c r="AR30" s="217">
        <f ca="1"/>
        <v>0</v>
      </c>
      <c r="AS30" s="217">
        <f ca="1"/>
        <v>0</v>
      </c>
      <c r="AT30" s="217">
        <f ca="1"/>
        <v>0</v>
      </c>
      <c r="AU30" s="217">
        <f ca="1"/>
        <v>0</v>
      </c>
      <c r="AV30" s="217">
        <f ca="1"/>
        <v>6404.138003</v>
      </c>
      <c r="AW30" s="217">
        <f ca="1"/>
        <v>3160890.2166984999</v>
      </c>
      <c r="AX30" s="217">
        <f ca="1"/>
        <v>0</v>
      </c>
      <c r="AY30" s="217">
        <f ca="1"/>
        <v>0</v>
      </c>
      <c r="AZ30" s="217">
        <f ca="1"/>
        <v>0</v>
      </c>
      <c r="BA30" s="217">
        <f ca="1"/>
        <v>0</v>
      </c>
      <c r="BB30" s="217">
        <f ca="1"/>
        <v>0</v>
      </c>
      <c r="BC30" s="217">
        <f ca="1"/>
        <v>0</v>
      </c>
      <c r="BD30" s="217">
        <f ca="1"/>
        <v>0</v>
      </c>
      <c r="BE30" s="217">
        <f ca="1"/>
        <v>86858.472070000003</v>
      </c>
      <c r="BF30" s="217">
        <f ca="1"/>
        <v>15.731138653999899</v>
      </c>
      <c r="BG30" s="217">
        <f ca="1"/>
        <v>0</v>
      </c>
      <c r="BH30" s="217">
        <f ca="1"/>
        <v>0</v>
      </c>
      <c r="BI30" s="217">
        <f ca="1"/>
        <v>0</v>
      </c>
      <c r="BJ30" s="217">
        <f ca="1"/>
        <v>0</v>
      </c>
      <c r="BK30" s="217">
        <f ca="1"/>
        <v>0</v>
      </c>
      <c r="BL30" s="217">
        <f ca="1"/>
        <v>0</v>
      </c>
      <c r="BM30" s="217">
        <f ca="1"/>
        <v>0</v>
      </c>
      <c r="BN30" s="217">
        <f ca="1"/>
        <v>0</v>
      </c>
    </row>
    <row r="31" spans="1:66" s="217" customFormat="1" x14ac:dyDescent="0.2">
      <c r="A31"/>
      <c r="B31" s="347" t="str">
        <f ca="1"/>
        <v>All</v>
      </c>
      <c r="C31" s="345">
        <f ca="1"/>
        <v>43654</v>
      </c>
      <c r="D31" s="353">
        <f ca="1"/>
        <v>9809436.0380000006</v>
      </c>
      <c r="E31" s="217">
        <f ca="1"/>
        <v>1620.4116449999999</v>
      </c>
      <c r="F31" s="217">
        <f ca="1"/>
        <v>4829.4310530000002</v>
      </c>
      <c r="G31" s="217">
        <f ca="1"/>
        <v>0</v>
      </c>
      <c r="H31" s="217">
        <f ca="1"/>
        <v>0</v>
      </c>
      <c r="I31" s="217">
        <f ca="1"/>
        <v>1299.5908810000001</v>
      </c>
      <c r="J31" s="217">
        <f ca="1"/>
        <v>41215.659440000003</v>
      </c>
      <c r="K31" s="217">
        <f ca="1"/>
        <v>3378.4430550000002</v>
      </c>
      <c r="L31" s="217">
        <f ca="1"/>
        <v>0</v>
      </c>
      <c r="M31" s="217">
        <f ca="1"/>
        <v>0</v>
      </c>
      <c r="N31" s="217">
        <f ca="1"/>
        <v>0</v>
      </c>
      <c r="O31" s="217">
        <f ca="1"/>
        <v>5671.7827729999999</v>
      </c>
      <c r="P31" s="217">
        <f ca="1"/>
        <v>126888.6891</v>
      </c>
      <c r="Q31" s="217">
        <f ca="1"/>
        <v>10174.40497</v>
      </c>
      <c r="R31" s="217">
        <f ca="1"/>
        <v>0</v>
      </c>
      <c r="S31" s="217">
        <f ca="1"/>
        <v>0</v>
      </c>
      <c r="T31" s="217">
        <f ca="1"/>
        <v>0</v>
      </c>
      <c r="U31" s="217">
        <f ca="1"/>
        <v>0</v>
      </c>
      <c r="V31" s="217">
        <f ca="1"/>
        <v>0</v>
      </c>
      <c r="W31" s="217">
        <f ca="1"/>
        <v>7.7314316639999996</v>
      </c>
      <c r="X31" s="217">
        <f ca="1"/>
        <v>5.5842532350000003</v>
      </c>
      <c r="Y31" s="217">
        <f ca="1"/>
        <v>286625083.89999998</v>
      </c>
      <c r="Z31" s="217">
        <f ca="1"/>
        <v>0</v>
      </c>
      <c r="AA31" s="217">
        <f ca="1"/>
        <v>32341.274460000001</v>
      </c>
      <c r="AB31" s="217">
        <f ca="1"/>
        <v>0</v>
      </c>
      <c r="AC31" s="217">
        <f ca="1"/>
        <v>0</v>
      </c>
      <c r="AD31" s="217">
        <f ca="1"/>
        <v>0</v>
      </c>
      <c r="AE31" s="217">
        <f ca="1"/>
        <v>0</v>
      </c>
      <c r="AF31" s="217">
        <f ca="1"/>
        <v>0</v>
      </c>
      <c r="AG31" s="217">
        <f ca="1"/>
        <v>291.69866580000001</v>
      </c>
      <c r="AH31" s="217">
        <f ca="1"/>
        <v>49266.731379999997</v>
      </c>
      <c r="AI31" s="217">
        <f ca="1"/>
        <v>512532</v>
      </c>
      <c r="AJ31" s="217">
        <f ca="1"/>
        <v>0</v>
      </c>
      <c r="AK31" s="217">
        <f ca="1"/>
        <v>0</v>
      </c>
      <c r="AL31" s="217">
        <f ca="1"/>
        <v>0</v>
      </c>
      <c r="AM31" s="217">
        <f ca="1"/>
        <v>0</v>
      </c>
      <c r="AN31" s="217">
        <f ca="1"/>
        <v>0</v>
      </c>
      <c r="AO31" s="217">
        <f ca="1"/>
        <v>0</v>
      </c>
      <c r="AP31" s="217">
        <f ca="1"/>
        <v>0</v>
      </c>
      <c r="AQ31" s="217">
        <f ca="1"/>
        <v>0</v>
      </c>
      <c r="AR31" s="217">
        <f ca="1"/>
        <v>0</v>
      </c>
      <c r="AS31" s="217">
        <f ca="1"/>
        <v>0</v>
      </c>
      <c r="AT31" s="217">
        <f ca="1"/>
        <v>0</v>
      </c>
      <c r="AU31" s="217">
        <f ca="1"/>
        <v>0</v>
      </c>
      <c r="AV31" s="217">
        <f ca="1"/>
        <v>7229.5536949999996</v>
      </c>
      <c r="AW31" s="217">
        <f ca="1"/>
        <v>3418729.9370376999</v>
      </c>
      <c r="AX31" s="217">
        <f ca="1"/>
        <v>0</v>
      </c>
      <c r="AY31" s="217">
        <f ca="1"/>
        <v>0</v>
      </c>
      <c r="AZ31" s="217">
        <f ca="1"/>
        <v>0</v>
      </c>
      <c r="BA31" s="217">
        <f ca="1"/>
        <v>0</v>
      </c>
      <c r="BB31" s="217">
        <f ca="1"/>
        <v>0</v>
      </c>
      <c r="BC31" s="217">
        <f ca="1"/>
        <v>0</v>
      </c>
      <c r="BD31" s="217">
        <f ca="1"/>
        <v>0</v>
      </c>
      <c r="BE31" s="217">
        <f ca="1"/>
        <v>49266.731379999997</v>
      </c>
      <c r="BF31" s="217">
        <f ca="1"/>
        <v>13.315684899000001</v>
      </c>
      <c r="BG31" s="217">
        <f ca="1"/>
        <v>0</v>
      </c>
      <c r="BH31" s="217">
        <f ca="1"/>
        <v>0</v>
      </c>
      <c r="BI31" s="217">
        <f ca="1"/>
        <v>1</v>
      </c>
      <c r="BJ31" s="217">
        <f ca="1"/>
        <v>0</v>
      </c>
      <c r="BK31" s="217">
        <f ca="1"/>
        <v>0</v>
      </c>
      <c r="BL31" s="217">
        <f ca="1"/>
        <v>0</v>
      </c>
      <c r="BM31" s="217">
        <f ca="1"/>
        <v>0</v>
      </c>
      <c r="BN31" s="217">
        <f ca="1"/>
        <v>0</v>
      </c>
    </row>
    <row r="32" spans="1:66" s="217" customFormat="1" x14ac:dyDescent="0.2">
      <c r="A32"/>
      <c r="B32" s="347" t="str">
        <f ca="1"/>
        <v>All</v>
      </c>
      <c r="C32" s="345">
        <f ca="1"/>
        <v>43661</v>
      </c>
      <c r="D32" s="353">
        <f ca="1"/>
        <v>8647284.5350000001</v>
      </c>
      <c r="E32" s="217">
        <f ca="1"/>
        <v>1457.992763</v>
      </c>
      <c r="F32" s="217">
        <f ca="1"/>
        <v>5723.5470029999997</v>
      </c>
      <c r="G32" s="217">
        <f ca="1"/>
        <v>0</v>
      </c>
      <c r="H32" s="217">
        <f ca="1"/>
        <v>0</v>
      </c>
      <c r="I32" s="217">
        <f ca="1"/>
        <v>1496.8856000000001</v>
      </c>
      <c r="J32" s="217">
        <f ca="1"/>
        <v>42978.5406</v>
      </c>
      <c r="K32" s="217">
        <f ca="1"/>
        <v>4003.9245639999999</v>
      </c>
      <c r="L32" s="217">
        <f ca="1"/>
        <v>0</v>
      </c>
      <c r="M32" s="217">
        <f ca="1"/>
        <v>0</v>
      </c>
      <c r="N32" s="217">
        <f ca="1"/>
        <v>0</v>
      </c>
      <c r="O32" s="217">
        <f ca="1"/>
        <v>5503.9941840000001</v>
      </c>
      <c r="P32" s="217">
        <f ca="1"/>
        <v>125268.9347</v>
      </c>
      <c r="Q32" s="217">
        <f ca="1"/>
        <v>10088.436439999999</v>
      </c>
      <c r="R32" s="217">
        <f ca="1"/>
        <v>0</v>
      </c>
      <c r="S32" s="217">
        <f ca="1"/>
        <v>0</v>
      </c>
      <c r="T32" s="217">
        <f ca="1"/>
        <v>0</v>
      </c>
      <c r="U32" s="217">
        <f ca="1"/>
        <v>0</v>
      </c>
      <c r="V32" s="217">
        <f ca="1"/>
        <v>0</v>
      </c>
      <c r="W32" s="217">
        <f ca="1"/>
        <v>8.0324217600000001</v>
      </c>
      <c r="X32" s="217">
        <f ca="1"/>
        <v>6.636966589</v>
      </c>
      <c r="Y32" s="217">
        <f ca="1"/>
        <v>289366211.60000002</v>
      </c>
      <c r="Z32" s="217">
        <f ca="1"/>
        <v>0</v>
      </c>
      <c r="AA32" s="217">
        <f ca="1"/>
        <v>32341.274460000001</v>
      </c>
      <c r="AB32" s="217">
        <f ca="1"/>
        <v>0</v>
      </c>
      <c r="AC32" s="217">
        <f ca="1"/>
        <v>0</v>
      </c>
      <c r="AD32" s="217">
        <f ca="1"/>
        <v>0</v>
      </c>
      <c r="AE32" s="217">
        <f ca="1"/>
        <v>0</v>
      </c>
      <c r="AF32" s="217">
        <f ca="1"/>
        <v>0</v>
      </c>
      <c r="AG32" s="217">
        <f ca="1"/>
        <v>291.69866580000001</v>
      </c>
      <c r="AH32" s="217">
        <f ca="1"/>
        <v>0</v>
      </c>
      <c r="AI32" s="217">
        <f ca="1"/>
        <v>291780</v>
      </c>
      <c r="AJ32" s="217">
        <f ca="1"/>
        <v>0</v>
      </c>
      <c r="AK32" s="217">
        <f ca="1"/>
        <v>0</v>
      </c>
      <c r="AL32" s="217">
        <f ca="1"/>
        <v>0</v>
      </c>
      <c r="AM32" s="217">
        <f ca="1"/>
        <v>0</v>
      </c>
      <c r="AN32" s="217">
        <f ca="1"/>
        <v>0</v>
      </c>
      <c r="AO32" s="217">
        <f ca="1"/>
        <v>0</v>
      </c>
      <c r="AP32" s="217">
        <f ca="1"/>
        <v>0</v>
      </c>
      <c r="AQ32" s="217">
        <f ca="1"/>
        <v>0</v>
      </c>
      <c r="AR32" s="217">
        <f ca="1"/>
        <v>0</v>
      </c>
      <c r="AS32" s="217">
        <f ca="1"/>
        <v>0</v>
      </c>
      <c r="AT32" s="217">
        <f ca="1"/>
        <v>0</v>
      </c>
      <c r="AU32" s="217">
        <f ca="1"/>
        <v>0</v>
      </c>
      <c r="AV32" s="217">
        <f ca="1"/>
        <v>29253.107960000001</v>
      </c>
      <c r="AW32" s="217">
        <f ca="1"/>
        <v>8324731.8089207299</v>
      </c>
      <c r="AX32" s="217">
        <f ca="1"/>
        <v>0</v>
      </c>
      <c r="AY32" s="217">
        <f ca="1"/>
        <v>0</v>
      </c>
      <c r="AZ32" s="217">
        <f ca="1"/>
        <v>0</v>
      </c>
      <c r="BA32" s="217">
        <f ca="1"/>
        <v>0</v>
      </c>
      <c r="BB32" s="217">
        <f ca="1"/>
        <v>0</v>
      </c>
      <c r="BC32" s="217">
        <f ca="1"/>
        <v>0</v>
      </c>
      <c r="BD32" s="217">
        <f ca="1"/>
        <v>0</v>
      </c>
      <c r="BE32" s="217">
        <f ca="1"/>
        <v>0</v>
      </c>
      <c r="BF32" s="217">
        <f ca="1"/>
        <v>14.669388349</v>
      </c>
      <c r="BG32" s="217">
        <f ca="1"/>
        <v>0</v>
      </c>
      <c r="BH32" s="217">
        <f ca="1"/>
        <v>0</v>
      </c>
      <c r="BI32" s="217">
        <f ca="1"/>
        <v>0</v>
      </c>
      <c r="BJ32" s="217">
        <f ca="1"/>
        <v>0</v>
      </c>
      <c r="BK32" s="217">
        <f ca="1"/>
        <v>0</v>
      </c>
      <c r="BL32" s="217">
        <f ca="1"/>
        <v>0</v>
      </c>
      <c r="BM32" s="217">
        <f ca="1"/>
        <v>0</v>
      </c>
      <c r="BN32" s="217">
        <f ca="1"/>
        <v>0</v>
      </c>
    </row>
    <row r="33" spans="1:66" s="217" customFormat="1" x14ac:dyDescent="0.2">
      <c r="A33"/>
      <c r="B33" s="347" t="str">
        <f ca="1"/>
        <v>All</v>
      </c>
      <c r="C33" s="345">
        <f ca="1"/>
        <v>43668</v>
      </c>
      <c r="D33" s="353">
        <f ca="1"/>
        <v>7670843.8949999996</v>
      </c>
      <c r="E33" s="217">
        <f ca="1"/>
        <v>1340.2705490000001</v>
      </c>
      <c r="F33" s="217">
        <f ca="1"/>
        <v>4548.7359690000003</v>
      </c>
      <c r="G33" s="217">
        <f ca="1"/>
        <v>0</v>
      </c>
      <c r="H33" s="217">
        <f ca="1"/>
        <v>0</v>
      </c>
      <c r="I33" s="217">
        <f ca="1"/>
        <v>1653.2240489999999</v>
      </c>
      <c r="J33" s="217">
        <f ca="1"/>
        <v>47067.121330000002</v>
      </c>
      <c r="K33" s="217">
        <f ca="1"/>
        <v>3182.0819630000001</v>
      </c>
      <c r="L33" s="217">
        <f ca="1"/>
        <v>153.255719</v>
      </c>
      <c r="M33" s="217">
        <f ca="1"/>
        <v>234603.67850000001</v>
      </c>
      <c r="N33" s="217">
        <f ca="1"/>
        <v>1054.224287</v>
      </c>
      <c r="O33" s="217">
        <f ca="1"/>
        <v>5654.1671729999998</v>
      </c>
      <c r="P33" s="217">
        <f ca="1"/>
        <v>131440.5601</v>
      </c>
      <c r="Q33" s="217">
        <f ca="1"/>
        <v>10722.192880000001</v>
      </c>
      <c r="R33" s="217">
        <f ca="1"/>
        <v>0</v>
      </c>
      <c r="S33" s="217">
        <f ca="1"/>
        <v>0</v>
      </c>
      <c r="T33" s="217">
        <f ca="1"/>
        <v>0</v>
      </c>
      <c r="U33" s="217">
        <f ca="1"/>
        <v>2457</v>
      </c>
      <c r="V33" s="217">
        <f ca="1"/>
        <v>0</v>
      </c>
      <c r="W33" s="217">
        <f ca="1"/>
        <v>8.2399633580000007</v>
      </c>
      <c r="X33" s="217">
        <f ca="1"/>
        <v>6.2542399370000004</v>
      </c>
      <c r="Y33" s="217">
        <f ca="1"/>
        <v>280741900.80000001</v>
      </c>
      <c r="Z33" s="217">
        <f ca="1"/>
        <v>0</v>
      </c>
      <c r="AA33" s="217">
        <f ca="1"/>
        <v>32341.274460000001</v>
      </c>
      <c r="AB33" s="217">
        <f ca="1"/>
        <v>0</v>
      </c>
      <c r="AC33" s="217">
        <f ca="1"/>
        <v>0</v>
      </c>
      <c r="AD33" s="217">
        <f ca="1"/>
        <v>0</v>
      </c>
      <c r="AE33" s="217">
        <f ca="1"/>
        <v>0</v>
      </c>
      <c r="AF33" s="217">
        <f ca="1"/>
        <v>0</v>
      </c>
      <c r="AG33" s="217">
        <f ca="1"/>
        <v>291.69866580000001</v>
      </c>
      <c r="AH33" s="217">
        <f ca="1"/>
        <v>21165.404310000002</v>
      </c>
      <c r="AI33" s="217">
        <f ca="1"/>
        <v>264364</v>
      </c>
      <c r="AJ33" s="217">
        <f ca="1"/>
        <v>0</v>
      </c>
      <c r="AK33" s="217">
        <f ca="1"/>
        <v>0</v>
      </c>
      <c r="AL33" s="217">
        <f ca="1"/>
        <v>0</v>
      </c>
      <c r="AM33" s="217">
        <f ca="1"/>
        <v>0</v>
      </c>
      <c r="AN33" s="217">
        <f ca="1"/>
        <v>0</v>
      </c>
      <c r="AO33" s="217">
        <f ca="1"/>
        <v>0</v>
      </c>
      <c r="AP33" s="217">
        <f ca="1"/>
        <v>0</v>
      </c>
      <c r="AQ33" s="217">
        <f ca="1"/>
        <v>0</v>
      </c>
      <c r="AR33" s="217">
        <f ca="1"/>
        <v>0</v>
      </c>
      <c r="AS33" s="217">
        <f ca="1"/>
        <v>0</v>
      </c>
      <c r="AT33" s="217">
        <f ca="1"/>
        <v>0</v>
      </c>
      <c r="AU33" s="217">
        <f ca="1"/>
        <v>6611.4389019999999</v>
      </c>
      <c r="AV33" s="217">
        <f ca="1"/>
        <v>15597.018690000001</v>
      </c>
      <c r="AW33" s="217">
        <f ca="1"/>
        <v>6792616.69548799</v>
      </c>
      <c r="AX33" s="217">
        <f ca="1"/>
        <v>620485.76020000002</v>
      </c>
      <c r="AY33" s="217">
        <f ca="1"/>
        <v>0</v>
      </c>
      <c r="AZ33" s="217">
        <f ca="1"/>
        <v>0</v>
      </c>
      <c r="BA33" s="217">
        <f ca="1"/>
        <v>0</v>
      </c>
      <c r="BB33" s="217">
        <f ca="1"/>
        <v>0</v>
      </c>
      <c r="BC33" s="217">
        <f ca="1"/>
        <v>0</v>
      </c>
      <c r="BD33" s="217">
        <f ca="1"/>
        <v>0</v>
      </c>
      <c r="BE33" s="217">
        <f ca="1"/>
        <v>21165.404310000002</v>
      </c>
      <c r="BF33" s="217">
        <f ca="1"/>
        <v>14.494203295</v>
      </c>
      <c r="BG33" s="217">
        <f ca="1"/>
        <v>0</v>
      </c>
      <c r="BH33" s="217">
        <f ca="1"/>
        <v>0</v>
      </c>
      <c r="BI33" s="217">
        <f ca="1"/>
        <v>0</v>
      </c>
      <c r="BJ33" s="217">
        <f ca="1"/>
        <v>0</v>
      </c>
      <c r="BK33" s="217">
        <f ca="1"/>
        <v>0</v>
      </c>
      <c r="BL33" s="217">
        <f ca="1"/>
        <v>0</v>
      </c>
      <c r="BM33" s="217">
        <f ca="1"/>
        <v>0</v>
      </c>
      <c r="BN33" s="217">
        <f ca="1"/>
        <v>0</v>
      </c>
    </row>
    <row r="34" spans="1:66" s="217" customFormat="1" x14ac:dyDescent="0.2">
      <c r="A34"/>
      <c r="B34" s="347" t="str">
        <f ca="1"/>
        <v>All</v>
      </c>
      <c r="C34" s="345">
        <f ca="1"/>
        <v>43675</v>
      </c>
      <c r="D34" s="353">
        <f ca="1"/>
        <v>7169139.9129999997</v>
      </c>
      <c r="E34" s="217">
        <f ca="1"/>
        <v>1740.022451</v>
      </c>
      <c r="F34" s="217">
        <f ca="1"/>
        <v>4278.83104</v>
      </c>
      <c r="G34" s="217">
        <f ca="1"/>
        <v>0</v>
      </c>
      <c r="H34" s="217">
        <f ca="1"/>
        <v>0</v>
      </c>
      <c r="I34" s="217">
        <f ca="1"/>
        <v>1666.435749</v>
      </c>
      <c r="J34" s="217">
        <f ca="1"/>
        <v>44111.223669999999</v>
      </c>
      <c r="K34" s="217">
        <f ca="1"/>
        <v>2993.2691559999998</v>
      </c>
      <c r="L34" s="217">
        <f ca="1"/>
        <v>1083.359393</v>
      </c>
      <c r="M34" s="217">
        <f ca="1"/>
        <v>743134.7794</v>
      </c>
      <c r="N34" s="217">
        <f ca="1"/>
        <v>4005.6424630000001</v>
      </c>
      <c r="O34" s="217">
        <f ca="1"/>
        <v>5481.0939040000003</v>
      </c>
      <c r="P34" s="217">
        <f ca="1"/>
        <v>129395.389</v>
      </c>
      <c r="Q34" s="217">
        <f ca="1"/>
        <v>10652.84907</v>
      </c>
      <c r="R34" s="217">
        <f ca="1"/>
        <v>66.058499569999995</v>
      </c>
      <c r="S34" s="217">
        <f ca="1"/>
        <v>18722.74034</v>
      </c>
      <c r="T34" s="217">
        <f ca="1"/>
        <v>523.02508</v>
      </c>
      <c r="U34" s="217">
        <f ca="1"/>
        <v>5481</v>
      </c>
      <c r="V34" s="217">
        <f ca="1"/>
        <v>0</v>
      </c>
      <c r="W34" s="217">
        <f ca="1"/>
        <v>8.5712049500000003</v>
      </c>
      <c r="X34" s="217">
        <f ca="1"/>
        <v>6.5639952839999998</v>
      </c>
      <c r="Y34" s="217">
        <f ca="1"/>
        <v>290751832.5</v>
      </c>
      <c r="Z34" s="217">
        <f ca="1"/>
        <v>0</v>
      </c>
      <c r="AA34" s="217">
        <f ca="1"/>
        <v>0</v>
      </c>
      <c r="AB34" s="217">
        <f ca="1"/>
        <v>0</v>
      </c>
      <c r="AC34" s="217">
        <f ca="1"/>
        <v>0</v>
      </c>
      <c r="AD34" s="217">
        <f ca="1"/>
        <v>0</v>
      </c>
      <c r="AE34" s="217">
        <f ca="1"/>
        <v>0</v>
      </c>
      <c r="AF34" s="217">
        <f ca="1"/>
        <v>0</v>
      </c>
      <c r="AG34" s="217">
        <f ca="1"/>
        <v>12580.588369999999</v>
      </c>
      <c r="AH34" s="217">
        <f ca="1"/>
        <v>17348.691470000002</v>
      </c>
      <c r="AI34" s="217">
        <f ca="1"/>
        <v>244009</v>
      </c>
      <c r="AJ34" s="217">
        <f ca="1"/>
        <v>0</v>
      </c>
      <c r="AK34" s="217">
        <f ca="1"/>
        <v>0</v>
      </c>
      <c r="AL34" s="217">
        <f ca="1"/>
        <v>0</v>
      </c>
      <c r="AM34" s="217">
        <f ca="1"/>
        <v>0</v>
      </c>
      <c r="AN34" s="217">
        <f ca="1"/>
        <v>0</v>
      </c>
      <c r="AO34" s="217">
        <f ca="1"/>
        <v>0</v>
      </c>
      <c r="AP34" s="217">
        <f ca="1"/>
        <v>0</v>
      </c>
      <c r="AQ34" s="217">
        <f ca="1"/>
        <v>0</v>
      </c>
      <c r="AR34" s="217">
        <f ca="1"/>
        <v>0</v>
      </c>
      <c r="AS34" s="217">
        <f ca="1"/>
        <v>0</v>
      </c>
      <c r="AT34" s="217">
        <f ca="1"/>
        <v>0</v>
      </c>
      <c r="AU34" s="217">
        <f ca="1"/>
        <v>8900.6549479999994</v>
      </c>
      <c r="AV34" s="217">
        <f ca="1"/>
        <v>33752.82374</v>
      </c>
      <c r="AW34" s="217">
        <f ca="1"/>
        <v>12995156.709832</v>
      </c>
      <c r="AX34" s="217">
        <f ca="1"/>
        <v>1020849.273</v>
      </c>
      <c r="AY34" s="217">
        <f ca="1"/>
        <v>0</v>
      </c>
      <c r="AZ34" s="217">
        <f ca="1"/>
        <v>0</v>
      </c>
      <c r="BA34" s="217">
        <f ca="1"/>
        <v>0</v>
      </c>
      <c r="BB34" s="217">
        <f ca="1"/>
        <v>0</v>
      </c>
      <c r="BC34" s="217">
        <f ca="1"/>
        <v>0</v>
      </c>
      <c r="BD34" s="217">
        <f ca="1"/>
        <v>0</v>
      </c>
      <c r="BE34" s="217">
        <f ca="1"/>
        <v>17348.691470000002</v>
      </c>
      <c r="BF34" s="217">
        <f ca="1"/>
        <v>15.135200233999999</v>
      </c>
      <c r="BG34" s="217">
        <f ca="1"/>
        <v>0</v>
      </c>
      <c r="BH34" s="217">
        <f ca="1"/>
        <v>0</v>
      </c>
      <c r="BI34" s="217">
        <f ca="1"/>
        <v>0</v>
      </c>
      <c r="BJ34" s="217">
        <f ca="1"/>
        <v>0</v>
      </c>
      <c r="BK34" s="217">
        <f ca="1"/>
        <v>0</v>
      </c>
      <c r="BL34" s="217">
        <f ca="1"/>
        <v>0</v>
      </c>
      <c r="BM34" s="217">
        <f ca="1"/>
        <v>0</v>
      </c>
      <c r="BN34" s="217">
        <f ca="1"/>
        <v>0</v>
      </c>
    </row>
    <row r="35" spans="1:66" s="217" customFormat="1" x14ac:dyDescent="0.2">
      <c r="A35"/>
      <c r="B35" s="347" t="str">
        <f ca="1"/>
        <v>All</v>
      </c>
      <c r="C35" s="345">
        <f ca="1"/>
        <v>43682</v>
      </c>
      <c r="D35" s="353">
        <f ca="1"/>
        <v>16286039.140000001</v>
      </c>
      <c r="E35" s="217">
        <f ca="1"/>
        <v>1710.4345149999999</v>
      </c>
      <c r="F35" s="217">
        <f ca="1"/>
        <v>6115.7697189999999</v>
      </c>
      <c r="G35" s="217">
        <f ca="1"/>
        <v>0</v>
      </c>
      <c r="H35" s="217">
        <f ca="1"/>
        <v>0</v>
      </c>
      <c r="I35" s="217">
        <f ca="1"/>
        <v>2613.714633</v>
      </c>
      <c r="J35" s="217">
        <f ca="1"/>
        <v>56889.139439999999</v>
      </c>
      <c r="K35" s="217">
        <f ca="1"/>
        <v>4278.3051480000004</v>
      </c>
      <c r="L35" s="217">
        <f ca="1"/>
        <v>1211.953272</v>
      </c>
      <c r="M35" s="217">
        <f ca="1"/>
        <v>1212994.3540000001</v>
      </c>
      <c r="N35" s="217">
        <f ca="1"/>
        <v>6005.0112849999996</v>
      </c>
      <c r="O35" s="217">
        <f ca="1"/>
        <v>5827.680832</v>
      </c>
      <c r="P35" s="217">
        <f ca="1"/>
        <v>131048.613</v>
      </c>
      <c r="Q35" s="217">
        <f ca="1"/>
        <v>11488.114750000001</v>
      </c>
      <c r="R35" s="217">
        <f ca="1"/>
        <v>77.508639489999993</v>
      </c>
      <c r="S35" s="217">
        <f ca="1"/>
        <v>18936.76988</v>
      </c>
      <c r="T35" s="217">
        <f ca="1"/>
        <v>522.97971989999996</v>
      </c>
      <c r="U35" s="217">
        <f ca="1"/>
        <v>0</v>
      </c>
      <c r="V35" s="217">
        <f ca="1"/>
        <v>0</v>
      </c>
      <c r="W35" s="217">
        <f ca="1"/>
        <v>8.341672999</v>
      </c>
      <c r="X35" s="217">
        <f ca="1"/>
        <v>6.3279099289999996</v>
      </c>
      <c r="Y35" s="217">
        <f ca="1"/>
        <v>297056853.39999998</v>
      </c>
      <c r="Z35" s="217">
        <f ca="1"/>
        <v>0</v>
      </c>
      <c r="AA35" s="217">
        <f ca="1"/>
        <v>0</v>
      </c>
      <c r="AB35" s="217">
        <f ca="1"/>
        <v>5760.5323490000001</v>
      </c>
      <c r="AC35" s="217">
        <f ca="1"/>
        <v>0</v>
      </c>
      <c r="AD35" s="217">
        <f ca="1"/>
        <v>0</v>
      </c>
      <c r="AE35" s="217">
        <f ca="1"/>
        <v>0</v>
      </c>
      <c r="AF35" s="217">
        <f ca="1"/>
        <v>0</v>
      </c>
      <c r="AG35" s="217">
        <f ca="1"/>
        <v>21797.254809999999</v>
      </c>
      <c r="AH35" s="217">
        <f ca="1"/>
        <v>206293.87040000001</v>
      </c>
      <c r="AI35" s="217">
        <f ca="1"/>
        <v>349192</v>
      </c>
      <c r="AJ35" s="217">
        <f ca="1"/>
        <v>0</v>
      </c>
      <c r="AK35" s="217">
        <f ca="1"/>
        <v>0</v>
      </c>
      <c r="AL35" s="217">
        <f ca="1"/>
        <v>0</v>
      </c>
      <c r="AM35" s="217">
        <f ca="1"/>
        <v>0</v>
      </c>
      <c r="AN35" s="217">
        <f ca="1"/>
        <v>0</v>
      </c>
      <c r="AO35" s="217">
        <f ca="1"/>
        <v>0</v>
      </c>
      <c r="AP35" s="217">
        <f ca="1"/>
        <v>145949.93040000001</v>
      </c>
      <c r="AQ35" s="217">
        <f ca="1"/>
        <v>0</v>
      </c>
      <c r="AR35" s="217">
        <f ca="1"/>
        <v>0</v>
      </c>
      <c r="AS35" s="217">
        <f ca="1"/>
        <v>0</v>
      </c>
      <c r="AT35" s="217">
        <f ca="1"/>
        <v>0</v>
      </c>
      <c r="AU35" s="217">
        <f ca="1"/>
        <v>7658.683943</v>
      </c>
      <c r="AV35" s="217">
        <f ca="1"/>
        <v>28119.24798</v>
      </c>
      <c r="AW35" s="217">
        <f ca="1"/>
        <v>16747631.257503999</v>
      </c>
      <c r="AX35" s="217">
        <f ca="1"/>
        <v>923289.98939999996</v>
      </c>
      <c r="AY35" s="217">
        <f ca="1"/>
        <v>0</v>
      </c>
      <c r="AZ35" s="217">
        <f ca="1"/>
        <v>0</v>
      </c>
      <c r="BA35" s="217">
        <f ca="1"/>
        <v>0</v>
      </c>
      <c r="BB35" s="217">
        <f ca="1"/>
        <v>0</v>
      </c>
      <c r="BC35" s="217">
        <f ca="1"/>
        <v>0</v>
      </c>
      <c r="BD35" s="217">
        <f ca="1"/>
        <v>0</v>
      </c>
      <c r="BE35" s="217">
        <f ca="1"/>
        <v>206293.87040000001</v>
      </c>
      <c r="BF35" s="217">
        <f ca="1"/>
        <v>14.669582928000001</v>
      </c>
      <c r="BG35" s="217">
        <f ca="1"/>
        <v>0</v>
      </c>
      <c r="BH35" s="217">
        <f ca="1"/>
        <v>0</v>
      </c>
      <c r="BI35" s="217">
        <f ca="1"/>
        <v>0</v>
      </c>
      <c r="BJ35" s="217">
        <f ca="1"/>
        <v>0</v>
      </c>
      <c r="BK35" s="217">
        <f ca="1"/>
        <v>0</v>
      </c>
      <c r="BL35" s="217">
        <f ca="1"/>
        <v>1.5</v>
      </c>
      <c r="BM35" s="217">
        <f ca="1"/>
        <v>0</v>
      </c>
      <c r="BN35" s="217">
        <f ca="1"/>
        <v>0</v>
      </c>
    </row>
    <row r="36" spans="1:66" s="217" customFormat="1" x14ac:dyDescent="0.2">
      <c r="A36"/>
      <c r="B36" s="347" t="str">
        <f ca="1"/>
        <v>All</v>
      </c>
      <c r="C36" s="345">
        <f ca="1"/>
        <v>43689</v>
      </c>
      <c r="D36" s="353">
        <f ca="1"/>
        <v>9260269.5020000003</v>
      </c>
      <c r="E36" s="217">
        <f ca="1"/>
        <v>1841.3768700000001</v>
      </c>
      <c r="F36" s="217">
        <f ca="1"/>
        <v>5839.78982</v>
      </c>
      <c r="G36" s="217">
        <f ca="1"/>
        <v>0</v>
      </c>
      <c r="H36" s="217">
        <f ca="1"/>
        <v>0</v>
      </c>
      <c r="I36" s="217">
        <f ca="1"/>
        <v>3433.7208070000001</v>
      </c>
      <c r="J36" s="217">
        <f ca="1"/>
        <v>72267.117750000005</v>
      </c>
      <c r="K36" s="217">
        <f ca="1"/>
        <v>4085.242577</v>
      </c>
      <c r="L36" s="217">
        <f ca="1"/>
        <v>1195.658842</v>
      </c>
      <c r="M36" s="217">
        <f ca="1"/>
        <v>1136390.716</v>
      </c>
      <c r="N36" s="217">
        <f ca="1"/>
        <v>5738.9828779999998</v>
      </c>
      <c r="O36" s="217">
        <f ca="1"/>
        <v>5801.2574320000003</v>
      </c>
      <c r="P36" s="217">
        <f ca="1"/>
        <v>132384.31589999999</v>
      </c>
      <c r="Q36" s="217">
        <f ca="1"/>
        <v>11724.080120000001</v>
      </c>
      <c r="R36" s="217">
        <f ca="1"/>
        <v>147.090259</v>
      </c>
      <c r="S36" s="217">
        <f ca="1"/>
        <v>43957.087169999999</v>
      </c>
      <c r="T36" s="217">
        <f ca="1"/>
        <v>798.41596159999995</v>
      </c>
      <c r="U36" s="217">
        <f ca="1"/>
        <v>0</v>
      </c>
      <c r="V36" s="217">
        <f ca="1"/>
        <v>0</v>
      </c>
      <c r="W36" s="217">
        <f ca="1"/>
        <v>7.9233789359999998</v>
      </c>
      <c r="X36" s="217">
        <f ca="1"/>
        <v>7.2773384090000004</v>
      </c>
      <c r="Y36" s="217">
        <f ca="1"/>
        <v>271317513.30000001</v>
      </c>
      <c r="Z36" s="217">
        <f ca="1"/>
        <v>0</v>
      </c>
      <c r="AA36" s="217">
        <f ca="1"/>
        <v>0</v>
      </c>
      <c r="AB36" s="217">
        <f ca="1"/>
        <v>5760.5323490000001</v>
      </c>
      <c r="AC36" s="217">
        <f ca="1"/>
        <v>0</v>
      </c>
      <c r="AD36" s="217">
        <f ca="1"/>
        <v>0</v>
      </c>
      <c r="AE36" s="217">
        <f ca="1"/>
        <v>0</v>
      </c>
      <c r="AF36" s="217">
        <f ca="1"/>
        <v>0</v>
      </c>
      <c r="AG36" s="217">
        <f ca="1"/>
        <v>21797.25518</v>
      </c>
      <c r="AH36" s="217">
        <f ca="1"/>
        <v>0</v>
      </c>
      <c r="AI36" s="217">
        <f ca="1"/>
        <v>541877</v>
      </c>
      <c r="AJ36" s="217">
        <f ca="1"/>
        <v>0</v>
      </c>
      <c r="AK36" s="217">
        <f ca="1"/>
        <v>0</v>
      </c>
      <c r="AL36" s="217">
        <f ca="1"/>
        <v>0</v>
      </c>
      <c r="AM36" s="217">
        <f ca="1"/>
        <v>0</v>
      </c>
      <c r="AN36" s="217">
        <f ca="1"/>
        <v>0</v>
      </c>
      <c r="AO36" s="217">
        <f ca="1"/>
        <v>0</v>
      </c>
      <c r="AP36" s="217">
        <f ca="1"/>
        <v>145949.93040000001</v>
      </c>
      <c r="AQ36" s="217">
        <f ca="1"/>
        <v>0</v>
      </c>
      <c r="AR36" s="217">
        <f ca="1"/>
        <v>0</v>
      </c>
      <c r="AS36" s="217">
        <f ca="1"/>
        <v>0</v>
      </c>
      <c r="AT36" s="217">
        <f ca="1"/>
        <v>0</v>
      </c>
      <c r="AU36" s="217">
        <f ca="1"/>
        <v>7613.4141399999999</v>
      </c>
      <c r="AV36" s="217">
        <f ca="1"/>
        <v>31541.163919999999</v>
      </c>
      <c r="AW36" s="217">
        <f ca="1"/>
        <v>19334638.0942</v>
      </c>
      <c r="AX36" s="217">
        <f ca="1"/>
        <v>830348.43700000003</v>
      </c>
      <c r="AY36" s="217">
        <f ca="1"/>
        <v>0</v>
      </c>
      <c r="AZ36" s="217">
        <f ca="1"/>
        <v>0</v>
      </c>
      <c r="BA36" s="217">
        <f ca="1"/>
        <v>0</v>
      </c>
      <c r="BB36" s="217">
        <f ca="1"/>
        <v>0</v>
      </c>
      <c r="BC36" s="217">
        <f ca="1"/>
        <v>0</v>
      </c>
      <c r="BD36" s="217">
        <f ca="1"/>
        <v>0</v>
      </c>
      <c r="BE36" s="217">
        <f ca="1"/>
        <v>0</v>
      </c>
      <c r="BF36" s="217">
        <f ca="1"/>
        <v>15.200717344999999</v>
      </c>
      <c r="BG36" s="217">
        <f ca="1"/>
        <v>0</v>
      </c>
      <c r="BH36" s="217">
        <f ca="1"/>
        <v>0</v>
      </c>
      <c r="BI36" s="217">
        <f ca="1"/>
        <v>0</v>
      </c>
      <c r="BJ36" s="217">
        <f ca="1"/>
        <v>0</v>
      </c>
      <c r="BK36" s="217">
        <f ca="1"/>
        <v>0</v>
      </c>
      <c r="BL36" s="217">
        <f ca="1"/>
        <v>0</v>
      </c>
      <c r="BM36" s="217">
        <f ca="1"/>
        <v>0</v>
      </c>
      <c r="BN36" s="217">
        <f ca="1"/>
        <v>0</v>
      </c>
    </row>
    <row r="37" spans="1:66" s="217" customFormat="1" x14ac:dyDescent="0.2">
      <c r="A37"/>
      <c r="B37" s="347" t="str">
        <f ca="1"/>
        <v>All</v>
      </c>
      <c r="C37" s="345">
        <f ca="1"/>
        <v>43696</v>
      </c>
      <c r="D37" s="353">
        <f ca="1"/>
        <v>8989828.5419999994</v>
      </c>
      <c r="E37" s="217">
        <f ca="1"/>
        <v>2448.2443239999998</v>
      </c>
      <c r="F37" s="217">
        <f ca="1"/>
        <v>6606.6335779999999</v>
      </c>
      <c r="G37" s="217">
        <f ca="1"/>
        <v>0</v>
      </c>
      <c r="H37" s="217">
        <f ca="1"/>
        <v>0</v>
      </c>
      <c r="I37" s="217">
        <f ca="1"/>
        <v>3897.451474</v>
      </c>
      <c r="J37" s="217">
        <f ca="1"/>
        <v>76505.431079999995</v>
      </c>
      <c r="K37" s="217">
        <f ca="1"/>
        <v>4621.6904400000003</v>
      </c>
      <c r="L37" s="217">
        <f ca="1"/>
        <v>1140.610093</v>
      </c>
      <c r="M37" s="217">
        <f ca="1"/>
        <v>1292011.3289999999</v>
      </c>
      <c r="N37" s="217">
        <f ca="1"/>
        <v>6518.2922339999996</v>
      </c>
      <c r="O37" s="217">
        <f ca="1"/>
        <v>5604.4031029999996</v>
      </c>
      <c r="P37" s="217">
        <f ca="1"/>
        <v>132522.59830000001</v>
      </c>
      <c r="Q37" s="217">
        <f ca="1"/>
        <v>11559.18489</v>
      </c>
      <c r="R37" s="217">
        <f ca="1"/>
        <v>219.75460860000001</v>
      </c>
      <c r="S37" s="217">
        <f ca="1"/>
        <v>123713.9176</v>
      </c>
      <c r="T37" s="217">
        <f ca="1"/>
        <v>1528.2677639999999</v>
      </c>
      <c r="U37" s="217">
        <f ca="1"/>
        <v>0</v>
      </c>
      <c r="V37" s="217">
        <f ca="1"/>
        <v>0</v>
      </c>
      <c r="W37" s="217">
        <f ca="1"/>
        <v>9.0637560859999997</v>
      </c>
      <c r="X37" s="217">
        <f ca="1"/>
        <v>6.4200264699999998</v>
      </c>
      <c r="Y37" s="217">
        <f ca="1"/>
        <v>352047455</v>
      </c>
      <c r="Z37" s="217">
        <f ca="1"/>
        <v>0</v>
      </c>
      <c r="AA37" s="217">
        <f ca="1"/>
        <v>0</v>
      </c>
      <c r="AB37" s="217">
        <f ca="1"/>
        <v>5760.5323490000001</v>
      </c>
      <c r="AC37" s="217">
        <f ca="1"/>
        <v>0</v>
      </c>
      <c r="AD37" s="217">
        <f ca="1"/>
        <v>0</v>
      </c>
      <c r="AE37" s="217">
        <f ca="1"/>
        <v>0</v>
      </c>
      <c r="AF37" s="217">
        <f ca="1"/>
        <v>0</v>
      </c>
      <c r="AG37" s="217">
        <f ca="1"/>
        <v>9508.3651119999995</v>
      </c>
      <c r="AH37" s="217">
        <f ca="1"/>
        <v>269579.6434</v>
      </c>
      <c r="AI37" s="217">
        <f ca="1"/>
        <v>359922</v>
      </c>
      <c r="AJ37" s="217">
        <f ca="1"/>
        <v>0</v>
      </c>
      <c r="AK37" s="217">
        <f ca="1"/>
        <v>0</v>
      </c>
      <c r="AL37" s="217">
        <f ca="1"/>
        <v>0</v>
      </c>
      <c r="AM37" s="217">
        <f ca="1"/>
        <v>0</v>
      </c>
      <c r="AN37" s="217">
        <f ca="1"/>
        <v>0</v>
      </c>
      <c r="AO37" s="217">
        <f ca="1"/>
        <v>0</v>
      </c>
      <c r="AP37" s="217">
        <f ca="1"/>
        <v>145949.93040000001</v>
      </c>
      <c r="AQ37" s="217">
        <f ca="1"/>
        <v>0</v>
      </c>
      <c r="AR37" s="217">
        <f ca="1"/>
        <v>0</v>
      </c>
      <c r="AS37" s="217">
        <f ca="1"/>
        <v>0</v>
      </c>
      <c r="AT37" s="217">
        <f ca="1"/>
        <v>0</v>
      </c>
      <c r="AU37" s="217">
        <f ca="1"/>
        <v>7578.0155240000004</v>
      </c>
      <c r="AV37" s="217">
        <f ca="1"/>
        <v>32550.927469999999</v>
      </c>
      <c r="AW37" s="217">
        <f ca="1"/>
        <v>21431040.092328001</v>
      </c>
      <c r="AX37" s="217">
        <f ca="1"/>
        <v>753574.67810000002</v>
      </c>
      <c r="AY37" s="217">
        <f ca="1"/>
        <v>0</v>
      </c>
      <c r="AZ37" s="217">
        <f ca="1"/>
        <v>0</v>
      </c>
      <c r="BA37" s="217">
        <f ca="1"/>
        <v>0</v>
      </c>
      <c r="BB37" s="217">
        <f ca="1"/>
        <v>0</v>
      </c>
      <c r="BC37" s="217">
        <f ca="1"/>
        <v>0</v>
      </c>
      <c r="BD37" s="217">
        <f ca="1"/>
        <v>0</v>
      </c>
      <c r="BE37" s="217">
        <f ca="1"/>
        <v>269579.6434</v>
      </c>
      <c r="BF37" s="217">
        <f ca="1"/>
        <v>15.483782556</v>
      </c>
      <c r="BG37" s="217">
        <f ca="1"/>
        <v>0</v>
      </c>
      <c r="BH37" s="217">
        <f ca="1"/>
        <v>0</v>
      </c>
      <c r="BI37" s="217">
        <f ca="1"/>
        <v>0</v>
      </c>
      <c r="BJ37" s="217">
        <f ca="1"/>
        <v>0</v>
      </c>
      <c r="BK37" s="217">
        <f ca="1"/>
        <v>0</v>
      </c>
      <c r="BL37" s="217">
        <f ca="1"/>
        <v>0</v>
      </c>
      <c r="BM37" s="217">
        <f ca="1"/>
        <v>0</v>
      </c>
      <c r="BN37" s="217">
        <f ca="1"/>
        <v>0</v>
      </c>
    </row>
    <row r="38" spans="1:66" s="217" customFormat="1" x14ac:dyDescent="0.2">
      <c r="A38"/>
      <c r="B38" s="347" t="str">
        <f ca="1"/>
        <v>All</v>
      </c>
      <c r="C38" s="345">
        <f ca="1"/>
        <v>43703</v>
      </c>
      <c r="D38" s="353">
        <f ca="1"/>
        <v>11458412.84</v>
      </c>
      <c r="E38" s="217">
        <f ca="1"/>
        <v>2003.1662220000001</v>
      </c>
      <c r="F38" s="217">
        <f ca="1"/>
        <v>7313.2123760000004</v>
      </c>
      <c r="G38" s="217">
        <f ca="1"/>
        <v>0</v>
      </c>
      <c r="H38" s="217">
        <f ca="1"/>
        <v>0</v>
      </c>
      <c r="I38" s="217">
        <f ca="1"/>
        <v>3380.433618</v>
      </c>
      <c r="J38" s="217">
        <f ca="1"/>
        <v>68991.056559999997</v>
      </c>
      <c r="K38" s="217">
        <f ca="1"/>
        <v>5115.9797689999996</v>
      </c>
      <c r="L38" s="217">
        <f ca="1"/>
        <v>1936.8352070000001</v>
      </c>
      <c r="M38" s="217">
        <f ca="1"/>
        <v>1676861.101</v>
      </c>
      <c r="N38" s="217">
        <f ca="1"/>
        <v>8668.4696540000004</v>
      </c>
      <c r="O38" s="217">
        <f ca="1"/>
        <v>5866.4351509999997</v>
      </c>
      <c r="P38" s="217">
        <f ca="1"/>
        <v>132371.98490000001</v>
      </c>
      <c r="Q38" s="217">
        <f ca="1"/>
        <v>12022.589669999999</v>
      </c>
      <c r="R38" s="217">
        <f ca="1"/>
        <v>200.3774487</v>
      </c>
      <c r="S38" s="217">
        <f ca="1"/>
        <v>217347.87719999999</v>
      </c>
      <c r="T38" s="217">
        <f ca="1"/>
        <v>2257.6657770000002</v>
      </c>
      <c r="U38" s="217">
        <f ca="1"/>
        <v>5604</v>
      </c>
      <c r="V38" s="217">
        <f ca="1"/>
        <v>0</v>
      </c>
      <c r="W38" s="217">
        <f ca="1"/>
        <v>9.5630767320000007</v>
      </c>
      <c r="X38" s="217">
        <f ca="1"/>
        <v>4.6217639269999999</v>
      </c>
      <c r="Y38" s="217">
        <f ca="1"/>
        <v>359328829.60000002</v>
      </c>
      <c r="Z38" s="217">
        <f ca="1"/>
        <v>0</v>
      </c>
      <c r="AA38" s="217">
        <f ca="1"/>
        <v>0</v>
      </c>
      <c r="AB38" s="217">
        <f ca="1"/>
        <v>0</v>
      </c>
      <c r="AC38" s="217">
        <f ca="1"/>
        <v>0</v>
      </c>
      <c r="AD38" s="217">
        <f ca="1"/>
        <v>0</v>
      </c>
      <c r="AE38" s="217">
        <f ca="1"/>
        <v>0</v>
      </c>
      <c r="AF38" s="217">
        <f ca="1"/>
        <v>0</v>
      </c>
      <c r="AG38" s="217">
        <f ca="1"/>
        <v>11872.30063</v>
      </c>
      <c r="AH38" s="217">
        <f ca="1"/>
        <v>49267.282950000001</v>
      </c>
      <c r="AI38" s="217">
        <f ca="1"/>
        <v>780186</v>
      </c>
      <c r="AJ38" s="217">
        <f ca="1"/>
        <v>0</v>
      </c>
      <c r="AK38" s="217">
        <f ca="1"/>
        <v>0</v>
      </c>
      <c r="AL38" s="217">
        <f ca="1"/>
        <v>0</v>
      </c>
      <c r="AM38" s="217">
        <f ca="1"/>
        <v>0</v>
      </c>
      <c r="AN38" s="217">
        <f ca="1"/>
        <v>0</v>
      </c>
      <c r="AO38" s="217">
        <f ca="1"/>
        <v>0</v>
      </c>
      <c r="AP38" s="217">
        <f ca="1"/>
        <v>9867.6804960000009</v>
      </c>
      <c r="AQ38" s="217">
        <f ca="1"/>
        <v>0</v>
      </c>
      <c r="AR38" s="217">
        <f ca="1"/>
        <v>0</v>
      </c>
      <c r="AS38" s="217">
        <f ca="1"/>
        <v>0</v>
      </c>
      <c r="AT38" s="217">
        <f ca="1"/>
        <v>0</v>
      </c>
      <c r="AU38" s="217">
        <f ca="1"/>
        <v>18806.79982</v>
      </c>
      <c r="AV38" s="217">
        <f ca="1"/>
        <v>52784.426760000002</v>
      </c>
      <c r="AW38" s="217">
        <f ca="1"/>
        <v>21608945.4267039</v>
      </c>
      <c r="AX38" s="217">
        <f ca="1"/>
        <v>1911183.602</v>
      </c>
      <c r="AY38" s="217">
        <f ca="1"/>
        <v>0</v>
      </c>
      <c r="AZ38" s="217">
        <f ca="1"/>
        <v>0</v>
      </c>
      <c r="BA38" s="217">
        <f ca="1"/>
        <v>0</v>
      </c>
      <c r="BB38" s="217">
        <f ca="1"/>
        <v>0</v>
      </c>
      <c r="BC38" s="217">
        <f ca="1"/>
        <v>0</v>
      </c>
      <c r="BD38" s="217">
        <f ca="1"/>
        <v>0</v>
      </c>
      <c r="BE38" s="217">
        <f ca="1"/>
        <v>49267.282950000001</v>
      </c>
      <c r="BF38" s="217">
        <f ca="1"/>
        <v>14.184840659000001</v>
      </c>
      <c r="BG38" s="217">
        <f ca="1"/>
        <v>1</v>
      </c>
      <c r="BH38" s="217">
        <f ca="1"/>
        <v>0</v>
      </c>
      <c r="BI38" s="217">
        <f ca="1"/>
        <v>0</v>
      </c>
      <c r="BJ38" s="217">
        <f ca="1"/>
        <v>0</v>
      </c>
      <c r="BK38" s="217">
        <f ca="1"/>
        <v>0</v>
      </c>
      <c r="BL38" s="217">
        <f ca="1"/>
        <v>0</v>
      </c>
      <c r="BM38" s="217">
        <f ca="1"/>
        <v>0</v>
      </c>
      <c r="BN38" s="217">
        <f ca="1"/>
        <v>0</v>
      </c>
    </row>
    <row r="39" spans="1:66" s="217" customFormat="1" x14ac:dyDescent="0.2">
      <c r="A39"/>
      <c r="B39" s="347" t="str">
        <f ca="1"/>
        <v>All</v>
      </c>
      <c r="C39" s="345">
        <f ca="1"/>
        <v>43710</v>
      </c>
      <c r="D39" s="353">
        <f ca="1"/>
        <v>8988057.9379999992</v>
      </c>
      <c r="E39" s="217">
        <f ca="1"/>
        <v>1876.6305809999999</v>
      </c>
      <c r="F39" s="217">
        <f ca="1"/>
        <v>7181.6719670000002</v>
      </c>
      <c r="G39" s="217">
        <f ca="1"/>
        <v>0</v>
      </c>
      <c r="H39" s="217">
        <f ca="1"/>
        <v>0</v>
      </c>
      <c r="I39" s="217">
        <f ca="1"/>
        <v>3095.5012900000002</v>
      </c>
      <c r="J39" s="217">
        <f ca="1"/>
        <v>55923.804559999997</v>
      </c>
      <c r="K39" s="217">
        <f ca="1"/>
        <v>5023.9602789999999</v>
      </c>
      <c r="L39" s="217">
        <f ca="1"/>
        <v>2248.6313249999998</v>
      </c>
      <c r="M39" s="217">
        <f ca="1"/>
        <v>1948714.727</v>
      </c>
      <c r="N39" s="217">
        <f ca="1"/>
        <v>10114.47414</v>
      </c>
      <c r="O39" s="217">
        <f ca="1"/>
        <v>5158.2880359999999</v>
      </c>
      <c r="P39" s="217">
        <f ca="1"/>
        <v>127456.7922</v>
      </c>
      <c r="Q39" s="217">
        <f ca="1"/>
        <v>10624.22372</v>
      </c>
      <c r="R39" s="217">
        <f ca="1"/>
        <v>676.87942559999999</v>
      </c>
      <c r="S39" s="217">
        <f ca="1"/>
        <v>700924.27899999998</v>
      </c>
      <c r="T39" s="217">
        <f ca="1"/>
        <v>6105.5428389999997</v>
      </c>
      <c r="U39" s="217">
        <f ca="1"/>
        <v>0</v>
      </c>
      <c r="V39" s="217">
        <f ca="1"/>
        <v>0</v>
      </c>
      <c r="W39" s="217">
        <f ca="1"/>
        <v>9.509611606</v>
      </c>
      <c r="X39" s="217">
        <f ca="1"/>
        <v>4.7931631550000002</v>
      </c>
      <c r="Y39" s="217">
        <f ca="1"/>
        <v>276574065.60000002</v>
      </c>
      <c r="Z39" s="217">
        <f ca="1"/>
        <v>0</v>
      </c>
      <c r="AA39" s="217">
        <f ca="1"/>
        <v>0</v>
      </c>
      <c r="AB39" s="217">
        <f ca="1"/>
        <v>5760.5323490000001</v>
      </c>
      <c r="AC39" s="217">
        <f ca="1"/>
        <v>0</v>
      </c>
      <c r="AD39" s="217">
        <f ca="1"/>
        <v>0</v>
      </c>
      <c r="AE39" s="217">
        <f ca="1"/>
        <v>0</v>
      </c>
      <c r="AF39" s="217">
        <f ca="1"/>
        <v>0</v>
      </c>
      <c r="AG39" s="217">
        <f ca="1"/>
        <v>15877.169760000001</v>
      </c>
      <c r="AH39" s="217">
        <f ca="1"/>
        <v>0</v>
      </c>
      <c r="AI39" s="217">
        <f ca="1"/>
        <v>269382</v>
      </c>
      <c r="AJ39" s="217">
        <f ca="1"/>
        <v>0</v>
      </c>
      <c r="AK39" s="217">
        <f ca="1"/>
        <v>0</v>
      </c>
      <c r="AL39" s="217">
        <f ca="1"/>
        <v>0</v>
      </c>
      <c r="AM39" s="217">
        <f ca="1"/>
        <v>0</v>
      </c>
      <c r="AN39" s="217">
        <f ca="1"/>
        <v>0</v>
      </c>
      <c r="AO39" s="217">
        <f ca="1"/>
        <v>0</v>
      </c>
      <c r="AP39" s="217">
        <f ca="1"/>
        <v>138147.527</v>
      </c>
      <c r="AQ39" s="217">
        <f ca="1"/>
        <v>0</v>
      </c>
      <c r="AR39" s="217">
        <f ca="1"/>
        <v>0</v>
      </c>
      <c r="AS39" s="217">
        <f ca="1"/>
        <v>0</v>
      </c>
      <c r="AT39" s="217">
        <f ca="1"/>
        <v>0</v>
      </c>
      <c r="AU39" s="217">
        <f ca="1"/>
        <v>42044.42121</v>
      </c>
      <c r="AV39" s="217">
        <f ca="1"/>
        <v>40161.973870000002</v>
      </c>
      <c r="AW39" s="217">
        <f ca="1"/>
        <v>22128469.741719998</v>
      </c>
      <c r="AX39" s="217">
        <f ca="1"/>
        <v>4101108.3769999999</v>
      </c>
      <c r="AY39" s="217">
        <f ca="1"/>
        <v>0</v>
      </c>
      <c r="AZ39" s="217">
        <f ca="1"/>
        <v>0</v>
      </c>
      <c r="BA39" s="217">
        <f ca="1"/>
        <v>0</v>
      </c>
      <c r="BB39" s="217">
        <f ca="1"/>
        <v>0</v>
      </c>
      <c r="BC39" s="217">
        <f ca="1"/>
        <v>0</v>
      </c>
      <c r="BD39" s="217">
        <f ca="1"/>
        <v>0</v>
      </c>
      <c r="BE39" s="217">
        <f ca="1"/>
        <v>0</v>
      </c>
      <c r="BF39" s="217">
        <f ca="1"/>
        <v>14.302774761</v>
      </c>
      <c r="BG39" s="217">
        <f ca="1"/>
        <v>0</v>
      </c>
      <c r="BH39" s="217">
        <f ca="1"/>
        <v>0</v>
      </c>
      <c r="BI39" s="217">
        <f ca="1"/>
        <v>0</v>
      </c>
      <c r="BJ39" s="217">
        <f ca="1"/>
        <v>0</v>
      </c>
      <c r="BK39" s="217">
        <f ca="1"/>
        <v>0</v>
      </c>
      <c r="BL39" s="217">
        <f ca="1"/>
        <v>0</v>
      </c>
      <c r="BM39" s="217">
        <f ca="1"/>
        <v>0</v>
      </c>
      <c r="BN39" s="217">
        <f ca="1"/>
        <v>0</v>
      </c>
    </row>
    <row r="40" spans="1:66" s="217" customFormat="1" x14ac:dyDescent="0.2">
      <c r="A40"/>
      <c r="B40" s="347" t="str">
        <f ca="1"/>
        <v>All</v>
      </c>
      <c r="C40" s="345">
        <f ca="1"/>
        <v>43717</v>
      </c>
      <c r="D40" s="353">
        <f ca="1"/>
        <v>9665573.1909999996</v>
      </c>
      <c r="E40" s="217">
        <f ca="1"/>
        <v>1702.880148</v>
      </c>
      <c r="F40" s="217">
        <f ca="1"/>
        <v>4397.4094150000001</v>
      </c>
      <c r="G40" s="217">
        <f ca="1"/>
        <v>0</v>
      </c>
      <c r="H40" s="217">
        <f ca="1"/>
        <v>0</v>
      </c>
      <c r="I40" s="217">
        <f ca="1"/>
        <v>2178.609316</v>
      </c>
      <c r="J40" s="217">
        <f ca="1"/>
        <v>45656.992559999999</v>
      </c>
      <c r="K40" s="217">
        <f ca="1"/>
        <v>3076.221016</v>
      </c>
      <c r="L40" s="217">
        <f ca="1"/>
        <v>3243.031939</v>
      </c>
      <c r="M40" s="217">
        <f ca="1"/>
        <v>3909142.9479999999</v>
      </c>
      <c r="N40" s="217">
        <f ca="1"/>
        <v>20399.658490000002</v>
      </c>
      <c r="O40" s="217">
        <f ca="1"/>
        <v>5082.5409570000002</v>
      </c>
      <c r="P40" s="217">
        <f ca="1"/>
        <v>122372.9301</v>
      </c>
      <c r="Q40" s="217">
        <f ca="1"/>
        <v>10622.73079</v>
      </c>
      <c r="R40" s="217">
        <f ca="1"/>
        <v>2334.5073750000001</v>
      </c>
      <c r="S40" s="217">
        <f ca="1"/>
        <v>2183822.2119999998</v>
      </c>
      <c r="T40" s="217">
        <f ca="1"/>
        <v>18822.797470000001</v>
      </c>
      <c r="U40" s="217">
        <f ca="1"/>
        <v>0</v>
      </c>
      <c r="V40" s="217">
        <f ca="1"/>
        <v>0</v>
      </c>
      <c r="W40" s="217">
        <f ca="1"/>
        <v>10.25781928</v>
      </c>
      <c r="X40" s="217">
        <f ca="1"/>
        <v>4.1013936370000001</v>
      </c>
      <c r="Y40" s="217">
        <f ca="1"/>
        <v>300539916.19999999</v>
      </c>
      <c r="Z40" s="217">
        <f ca="1"/>
        <v>0</v>
      </c>
      <c r="AA40" s="217">
        <f ca="1"/>
        <v>0</v>
      </c>
      <c r="AB40" s="217">
        <f ca="1"/>
        <v>13989.86427</v>
      </c>
      <c r="AC40" s="217">
        <f ca="1"/>
        <v>0</v>
      </c>
      <c r="AD40" s="217">
        <f ca="1"/>
        <v>0</v>
      </c>
      <c r="AE40" s="217">
        <f ca="1"/>
        <v>0</v>
      </c>
      <c r="AF40" s="217">
        <f ca="1"/>
        <v>0</v>
      </c>
      <c r="AG40" s="217">
        <f ca="1"/>
        <v>15972.86443</v>
      </c>
      <c r="AH40" s="217">
        <f ca="1"/>
        <v>91388.932409999994</v>
      </c>
      <c r="AI40" s="217">
        <f ca="1"/>
        <v>246753</v>
      </c>
      <c r="AJ40" s="217">
        <f ca="1"/>
        <v>0</v>
      </c>
      <c r="AK40" s="217">
        <f ca="1"/>
        <v>0</v>
      </c>
      <c r="AL40" s="217">
        <f ca="1"/>
        <v>0</v>
      </c>
      <c r="AM40" s="217">
        <f ca="1"/>
        <v>0</v>
      </c>
      <c r="AN40" s="217">
        <f ca="1"/>
        <v>0</v>
      </c>
      <c r="AO40" s="217">
        <f ca="1"/>
        <v>0</v>
      </c>
      <c r="AP40" s="217">
        <f ca="1"/>
        <v>138147.527</v>
      </c>
      <c r="AQ40" s="217">
        <f ca="1"/>
        <v>0</v>
      </c>
      <c r="AR40" s="217">
        <f ca="1"/>
        <v>0</v>
      </c>
      <c r="AS40" s="217">
        <f ca="1"/>
        <v>0</v>
      </c>
      <c r="AT40" s="217">
        <f ca="1"/>
        <v>0</v>
      </c>
      <c r="AU40" s="217">
        <f ca="1"/>
        <v>82304.089000000007</v>
      </c>
      <c r="AV40" s="217">
        <f ca="1"/>
        <v>39481.06626</v>
      </c>
      <c r="AW40" s="217">
        <f ca="1"/>
        <v>21100555.36352</v>
      </c>
      <c r="AX40" s="217">
        <f ca="1"/>
        <v>7846668.0449999999</v>
      </c>
      <c r="AY40" s="217">
        <f ca="1"/>
        <v>0</v>
      </c>
      <c r="AZ40" s="217">
        <f ca="1"/>
        <v>0</v>
      </c>
      <c r="BA40" s="217">
        <f ca="1"/>
        <v>0</v>
      </c>
      <c r="BB40" s="217">
        <f ca="1"/>
        <v>0</v>
      </c>
      <c r="BC40" s="217">
        <f ca="1"/>
        <v>0</v>
      </c>
      <c r="BD40" s="217">
        <f ca="1"/>
        <v>0</v>
      </c>
      <c r="BE40" s="217">
        <f ca="1"/>
        <v>91388.932409999994</v>
      </c>
      <c r="BF40" s="217">
        <f ca="1"/>
        <v>14.359212917000001</v>
      </c>
      <c r="BG40" s="217">
        <f ca="1"/>
        <v>0</v>
      </c>
      <c r="BH40" s="217">
        <f ca="1"/>
        <v>0</v>
      </c>
      <c r="BI40" s="217">
        <f ca="1"/>
        <v>0</v>
      </c>
      <c r="BJ40" s="217">
        <f ca="1"/>
        <v>0</v>
      </c>
      <c r="BK40" s="217">
        <f ca="1"/>
        <v>0</v>
      </c>
      <c r="BL40" s="217">
        <f ca="1"/>
        <v>0</v>
      </c>
      <c r="BM40" s="217">
        <f ca="1"/>
        <v>0</v>
      </c>
      <c r="BN40" s="217">
        <f ca="1"/>
        <v>0</v>
      </c>
    </row>
    <row r="41" spans="1:66" s="217" customFormat="1" x14ac:dyDescent="0.2">
      <c r="A41"/>
      <c r="B41" s="347" t="str">
        <f ca="1"/>
        <v>All</v>
      </c>
      <c r="C41" s="345">
        <f ca="1"/>
        <v>43724</v>
      </c>
      <c r="D41" s="353">
        <f ca="1"/>
        <v>9216226.3289999999</v>
      </c>
      <c r="E41" s="217">
        <f ca="1"/>
        <v>1452.326988</v>
      </c>
      <c r="F41" s="217">
        <f ca="1"/>
        <v>5103.0376219999998</v>
      </c>
      <c r="G41" s="217">
        <f ca="1"/>
        <v>0</v>
      </c>
      <c r="H41" s="217">
        <f ca="1"/>
        <v>0</v>
      </c>
      <c r="I41" s="217">
        <f ca="1"/>
        <v>2511.5441540000002</v>
      </c>
      <c r="J41" s="217">
        <f ca="1"/>
        <v>51996.406569999999</v>
      </c>
      <c r="K41" s="217">
        <f ca="1"/>
        <v>3569.8453559999998</v>
      </c>
      <c r="L41" s="217">
        <f ca="1"/>
        <v>3047.0583900000001</v>
      </c>
      <c r="M41" s="217">
        <f ca="1"/>
        <v>4176320.9530000002</v>
      </c>
      <c r="N41" s="217">
        <f ca="1"/>
        <v>21515.33095</v>
      </c>
      <c r="O41" s="217">
        <f ca="1"/>
        <v>5144.1955559999997</v>
      </c>
      <c r="P41" s="217">
        <f ca="1"/>
        <v>125969.5952</v>
      </c>
      <c r="Q41" s="217">
        <f ca="1"/>
        <v>10668.615030000001</v>
      </c>
      <c r="R41" s="217">
        <f ca="1"/>
        <v>2571.877583</v>
      </c>
      <c r="S41" s="217">
        <f ca="1"/>
        <v>1962573.801</v>
      </c>
      <c r="T41" s="217">
        <f ca="1"/>
        <v>16895.458610000001</v>
      </c>
      <c r="U41" s="217">
        <f ca="1"/>
        <v>0</v>
      </c>
      <c r="V41" s="217">
        <f ca="1"/>
        <v>0</v>
      </c>
      <c r="W41" s="217">
        <f ca="1"/>
        <v>10.24263689</v>
      </c>
      <c r="X41" s="217">
        <f ca="1"/>
        <v>4.5988284760000004</v>
      </c>
      <c r="Y41" s="217">
        <f ca="1"/>
        <v>315704625.80000001</v>
      </c>
      <c r="Z41" s="217">
        <f ca="1"/>
        <v>0</v>
      </c>
      <c r="AA41" s="217">
        <f ca="1"/>
        <v>0</v>
      </c>
      <c r="AB41" s="217">
        <f ca="1"/>
        <v>13989.86427</v>
      </c>
      <c r="AC41" s="217">
        <f ca="1"/>
        <v>0</v>
      </c>
      <c r="AD41" s="217">
        <f ca="1"/>
        <v>0</v>
      </c>
      <c r="AE41" s="217">
        <f ca="1"/>
        <v>0</v>
      </c>
      <c r="AF41" s="217">
        <f ca="1"/>
        <v>0</v>
      </c>
      <c r="AG41" s="217">
        <f ca="1"/>
        <v>4452.0623269999996</v>
      </c>
      <c r="AH41" s="217">
        <f ca="1"/>
        <v>0</v>
      </c>
      <c r="AI41" s="217">
        <f ca="1"/>
        <v>411483</v>
      </c>
      <c r="AJ41" s="217">
        <f ca="1"/>
        <v>0</v>
      </c>
      <c r="AK41" s="217">
        <f ca="1"/>
        <v>0</v>
      </c>
      <c r="AL41" s="217">
        <f ca="1"/>
        <v>0</v>
      </c>
      <c r="AM41" s="217">
        <f ca="1"/>
        <v>0</v>
      </c>
      <c r="AN41" s="217">
        <f ca="1"/>
        <v>0</v>
      </c>
      <c r="AO41" s="217">
        <f ca="1"/>
        <v>0</v>
      </c>
      <c r="AP41" s="217">
        <f ca="1"/>
        <v>138147.527</v>
      </c>
      <c r="AQ41" s="217">
        <f ca="1"/>
        <v>0</v>
      </c>
      <c r="AR41" s="217">
        <f ca="1"/>
        <v>0</v>
      </c>
      <c r="AS41" s="217">
        <f ca="1"/>
        <v>0</v>
      </c>
      <c r="AT41" s="217">
        <f ca="1"/>
        <v>0</v>
      </c>
      <c r="AU41" s="217">
        <f ca="1"/>
        <v>90350.779349999997</v>
      </c>
      <c r="AV41" s="217">
        <f ca="1"/>
        <v>47394.175479999998</v>
      </c>
      <c r="AW41" s="217">
        <f ca="1"/>
        <v>20264699.78816</v>
      </c>
      <c r="AX41" s="217">
        <f ca="1"/>
        <v>7851876.5350000001</v>
      </c>
      <c r="AY41" s="217">
        <f ca="1"/>
        <v>0</v>
      </c>
      <c r="AZ41" s="217">
        <f ca="1"/>
        <v>0</v>
      </c>
      <c r="BA41" s="217">
        <f ca="1"/>
        <v>0</v>
      </c>
      <c r="BB41" s="217">
        <f ca="1"/>
        <v>0</v>
      </c>
      <c r="BC41" s="217">
        <f ca="1"/>
        <v>0</v>
      </c>
      <c r="BD41" s="217">
        <f ca="1"/>
        <v>0</v>
      </c>
      <c r="BE41" s="217">
        <f ca="1"/>
        <v>0</v>
      </c>
      <c r="BF41" s="217">
        <f ca="1"/>
        <v>14.841465366</v>
      </c>
      <c r="BG41" s="217">
        <f ca="1"/>
        <v>0</v>
      </c>
      <c r="BH41" s="217">
        <f ca="1"/>
        <v>0</v>
      </c>
      <c r="BI41" s="217">
        <f ca="1"/>
        <v>0</v>
      </c>
      <c r="BJ41" s="217">
        <f ca="1"/>
        <v>0</v>
      </c>
      <c r="BK41" s="217">
        <f ca="1"/>
        <v>0</v>
      </c>
      <c r="BL41" s="217">
        <f ca="1"/>
        <v>0</v>
      </c>
      <c r="BM41" s="217">
        <f ca="1"/>
        <v>0</v>
      </c>
      <c r="BN41" s="217">
        <f ca="1"/>
        <v>0</v>
      </c>
    </row>
    <row r="42" spans="1:66" s="217" customFormat="1" x14ac:dyDescent="0.2">
      <c r="A42"/>
      <c r="B42" s="347" t="str">
        <f ca="1"/>
        <v>All</v>
      </c>
      <c r="C42" s="345">
        <f ca="1"/>
        <v>43731</v>
      </c>
      <c r="D42" s="353">
        <f ca="1"/>
        <v>7296708.9639999997</v>
      </c>
      <c r="E42" s="217">
        <f ca="1"/>
        <v>1834.4520339999999</v>
      </c>
      <c r="F42" s="217">
        <f ca="1"/>
        <v>5452.3452399999996</v>
      </c>
      <c r="G42" s="217">
        <f ca="1"/>
        <v>0</v>
      </c>
      <c r="H42" s="217">
        <f ca="1"/>
        <v>0</v>
      </c>
      <c r="I42" s="217">
        <f ca="1"/>
        <v>2511.5441540000002</v>
      </c>
      <c r="J42" s="217">
        <f ca="1"/>
        <v>48450.826699999998</v>
      </c>
      <c r="K42" s="217">
        <f ca="1"/>
        <v>3814.204553</v>
      </c>
      <c r="L42" s="217">
        <f ca="1"/>
        <v>3789.5559250000001</v>
      </c>
      <c r="M42" s="217">
        <f ca="1"/>
        <v>5972474.8969999999</v>
      </c>
      <c r="N42" s="217">
        <f ca="1"/>
        <v>28637.48244</v>
      </c>
      <c r="O42" s="217">
        <f ca="1"/>
        <v>5110.7259160000003</v>
      </c>
      <c r="P42" s="217">
        <f ca="1"/>
        <v>122520.0203</v>
      </c>
      <c r="Q42" s="217">
        <f ca="1"/>
        <v>10761.783939999999</v>
      </c>
      <c r="R42" s="217">
        <f ca="1"/>
        <v>2078.2003960000002</v>
      </c>
      <c r="S42" s="217">
        <f ca="1"/>
        <v>1785880.5260000001</v>
      </c>
      <c r="T42" s="217">
        <f ca="1"/>
        <v>16548.11535</v>
      </c>
      <c r="U42" s="217">
        <f ca="1"/>
        <v>0</v>
      </c>
      <c r="V42" s="217">
        <f ca="1"/>
        <v>0</v>
      </c>
      <c r="W42" s="217">
        <f ca="1"/>
        <v>9.9851210909999999</v>
      </c>
      <c r="X42" s="217">
        <f ca="1"/>
        <v>5.1489992400000002</v>
      </c>
      <c r="Y42" s="217">
        <f ca="1"/>
        <v>317326399.10000002</v>
      </c>
      <c r="Z42" s="217">
        <f ca="1"/>
        <v>0</v>
      </c>
      <c r="AA42" s="217">
        <f ca="1"/>
        <v>0</v>
      </c>
      <c r="AB42" s="217">
        <f ca="1"/>
        <v>8229.3319260000007</v>
      </c>
      <c r="AC42" s="217">
        <f ca="1"/>
        <v>0</v>
      </c>
      <c r="AD42" s="217">
        <f ca="1"/>
        <v>0</v>
      </c>
      <c r="AE42" s="217">
        <f ca="1"/>
        <v>0</v>
      </c>
      <c r="AF42" s="217">
        <f ca="1"/>
        <v>0</v>
      </c>
      <c r="AG42" s="217">
        <f ca="1"/>
        <v>590.38398440000003</v>
      </c>
      <c r="AH42" s="217">
        <f ca="1"/>
        <v>0</v>
      </c>
      <c r="AI42" s="217">
        <f ca="1"/>
        <v>355519</v>
      </c>
      <c r="AJ42" s="217">
        <f ca="1"/>
        <v>0</v>
      </c>
      <c r="AK42" s="217">
        <f ca="1"/>
        <v>0</v>
      </c>
      <c r="AL42" s="217">
        <f ca="1"/>
        <v>0</v>
      </c>
      <c r="AM42" s="217">
        <f ca="1"/>
        <v>0</v>
      </c>
      <c r="AN42" s="217">
        <f ca="1"/>
        <v>0</v>
      </c>
      <c r="AO42" s="217">
        <f ca="1"/>
        <v>0</v>
      </c>
      <c r="AP42" s="217">
        <f ca="1"/>
        <v>128279.84639999999</v>
      </c>
      <c r="AQ42" s="217">
        <f ca="1"/>
        <v>0</v>
      </c>
      <c r="AR42" s="217">
        <f ca="1"/>
        <v>0</v>
      </c>
      <c r="AS42" s="217">
        <f ca="1"/>
        <v>0</v>
      </c>
      <c r="AT42" s="217">
        <f ca="1"/>
        <v>0</v>
      </c>
      <c r="AU42" s="217">
        <f ca="1"/>
        <v>100171.7729</v>
      </c>
      <c r="AV42" s="217">
        <f ca="1"/>
        <v>45551.63882</v>
      </c>
      <c r="AW42" s="217">
        <f ca="1"/>
        <v>17794492.1578799</v>
      </c>
      <c r="AX42" s="217">
        <f ca="1"/>
        <v>7746669.892</v>
      </c>
      <c r="AY42" s="217">
        <f ca="1"/>
        <v>0</v>
      </c>
      <c r="AZ42" s="217">
        <f ca="1"/>
        <v>0</v>
      </c>
      <c r="BA42" s="217">
        <f ca="1"/>
        <v>0</v>
      </c>
      <c r="BB42" s="217">
        <f ca="1"/>
        <v>0</v>
      </c>
      <c r="BC42" s="217">
        <f ca="1"/>
        <v>0</v>
      </c>
      <c r="BD42" s="217">
        <f ca="1"/>
        <v>0</v>
      </c>
      <c r="BE42" s="217">
        <f ca="1"/>
        <v>0</v>
      </c>
      <c r="BF42" s="217">
        <f ca="1"/>
        <v>15.134120331</v>
      </c>
      <c r="BG42" s="217">
        <f ca="1"/>
        <v>0</v>
      </c>
      <c r="BH42" s="217">
        <f ca="1"/>
        <v>0</v>
      </c>
      <c r="BI42" s="217">
        <f ca="1"/>
        <v>0</v>
      </c>
      <c r="BJ42" s="217">
        <f ca="1"/>
        <v>0</v>
      </c>
      <c r="BK42" s="217">
        <f ca="1"/>
        <v>0</v>
      </c>
      <c r="BL42" s="217">
        <f ca="1"/>
        <v>0</v>
      </c>
      <c r="BM42" s="217">
        <f ca="1"/>
        <v>0</v>
      </c>
      <c r="BN42" s="217">
        <f ca="1"/>
        <v>0</v>
      </c>
    </row>
    <row r="43" spans="1:66" s="217" customFormat="1" x14ac:dyDescent="0.2">
      <c r="A43"/>
      <c r="B43" s="347" t="str">
        <f ca="1"/>
        <v>All</v>
      </c>
      <c r="C43" s="345">
        <f ca="1"/>
        <v>43738</v>
      </c>
      <c r="D43" s="353">
        <f ca="1"/>
        <v>10761945.16</v>
      </c>
      <c r="E43" s="217">
        <f ca="1"/>
        <v>2092.559561</v>
      </c>
      <c r="F43" s="217">
        <f ca="1"/>
        <v>7459.9307669999998</v>
      </c>
      <c r="G43" s="217">
        <f ca="1"/>
        <v>0</v>
      </c>
      <c r="H43" s="217">
        <f ca="1"/>
        <v>0</v>
      </c>
      <c r="I43" s="217">
        <f ca="1"/>
        <v>3430.1976869999999</v>
      </c>
      <c r="J43" s="217">
        <f ca="1"/>
        <v>58163.628089999998</v>
      </c>
      <c r="K43" s="217">
        <f ca="1"/>
        <v>5218.6170620000003</v>
      </c>
      <c r="L43" s="217">
        <f ca="1"/>
        <v>7339.0993019999996</v>
      </c>
      <c r="M43" s="217">
        <f ca="1"/>
        <v>5325495.3099999996</v>
      </c>
      <c r="N43" s="217">
        <f ca="1"/>
        <v>26884.970809999999</v>
      </c>
      <c r="O43" s="217">
        <f ca="1"/>
        <v>5035.4192270000003</v>
      </c>
      <c r="P43" s="217">
        <f ca="1"/>
        <v>121941.7882</v>
      </c>
      <c r="Q43" s="217">
        <f ca="1"/>
        <v>10561.336020000001</v>
      </c>
      <c r="R43" s="217">
        <f ca="1"/>
        <v>1201.383912</v>
      </c>
      <c r="S43" s="217">
        <f ca="1"/>
        <v>657629.098</v>
      </c>
      <c r="T43" s="217">
        <f ca="1"/>
        <v>6857.2276279999996</v>
      </c>
      <c r="U43" s="217">
        <f ca="1"/>
        <v>0</v>
      </c>
      <c r="V43" s="217">
        <f ca="1"/>
        <v>0</v>
      </c>
      <c r="W43" s="217">
        <f ca="1"/>
        <v>10.215414640000001</v>
      </c>
      <c r="X43" s="217">
        <f ca="1"/>
        <v>4.3914841740000004</v>
      </c>
      <c r="Y43" s="217">
        <f ca="1"/>
        <v>287738198.5</v>
      </c>
      <c r="Z43" s="217">
        <f ca="1"/>
        <v>0</v>
      </c>
      <c r="AA43" s="217">
        <f ca="1"/>
        <v>27773.99524</v>
      </c>
      <c r="AB43" s="217">
        <f ca="1"/>
        <v>0</v>
      </c>
      <c r="AC43" s="217">
        <f ca="1"/>
        <v>0</v>
      </c>
      <c r="AD43" s="217">
        <f ca="1"/>
        <v>0</v>
      </c>
      <c r="AE43" s="217">
        <f ca="1"/>
        <v>0</v>
      </c>
      <c r="AF43" s="217">
        <f ca="1"/>
        <v>0</v>
      </c>
      <c r="AG43" s="217">
        <f ca="1"/>
        <v>37200.521860000001</v>
      </c>
      <c r="AH43" s="217">
        <f ca="1"/>
        <v>14255.861199999999</v>
      </c>
      <c r="AI43" s="217">
        <f ca="1"/>
        <v>629710</v>
      </c>
      <c r="AJ43" s="217">
        <f ca="1"/>
        <v>0</v>
      </c>
      <c r="AK43" s="217">
        <f ca="1"/>
        <v>0</v>
      </c>
      <c r="AL43" s="217">
        <f ca="1"/>
        <v>0</v>
      </c>
      <c r="AM43" s="217">
        <f ca="1"/>
        <v>0</v>
      </c>
      <c r="AN43" s="217">
        <f ca="1"/>
        <v>0</v>
      </c>
      <c r="AO43" s="217">
        <f ca="1"/>
        <v>0</v>
      </c>
      <c r="AP43" s="217">
        <f ca="1"/>
        <v>0</v>
      </c>
      <c r="AQ43" s="217">
        <f ca="1"/>
        <v>0</v>
      </c>
      <c r="AR43" s="217">
        <f ca="1"/>
        <v>0</v>
      </c>
      <c r="AS43" s="217">
        <f ca="1"/>
        <v>0</v>
      </c>
      <c r="AT43" s="217">
        <f ca="1"/>
        <v>0</v>
      </c>
      <c r="AU43" s="217">
        <f ca="1"/>
        <v>43809.324430000001</v>
      </c>
      <c r="AV43" s="217">
        <f ca="1"/>
        <v>39598.599649999996</v>
      </c>
      <c r="AW43" s="217">
        <f ca="1"/>
        <v>15592171.094184</v>
      </c>
      <c r="AX43" s="217">
        <f ca="1"/>
        <v>4541012.5640000002</v>
      </c>
      <c r="AY43" s="217">
        <f ca="1"/>
        <v>0</v>
      </c>
      <c r="AZ43" s="217">
        <f ca="1"/>
        <v>0</v>
      </c>
      <c r="BA43" s="217">
        <f ca="1"/>
        <v>0</v>
      </c>
      <c r="BB43" s="217">
        <f ca="1"/>
        <v>0</v>
      </c>
      <c r="BC43" s="217">
        <f ca="1"/>
        <v>0</v>
      </c>
      <c r="BD43" s="217">
        <f ca="1"/>
        <v>0</v>
      </c>
      <c r="BE43" s="217">
        <f ca="1"/>
        <v>14255.861199999999</v>
      </c>
      <c r="BF43" s="217">
        <f ca="1"/>
        <v>14.606898813999999</v>
      </c>
      <c r="BG43" s="217">
        <f ca="1"/>
        <v>0</v>
      </c>
      <c r="BH43" s="217">
        <f ca="1"/>
        <v>0</v>
      </c>
      <c r="BI43" s="217">
        <f ca="1"/>
        <v>0</v>
      </c>
      <c r="BJ43" s="217">
        <f ca="1"/>
        <v>0</v>
      </c>
      <c r="BK43" s="217">
        <f ca="1"/>
        <v>0</v>
      </c>
      <c r="BL43" s="217">
        <f ca="1"/>
        <v>0</v>
      </c>
      <c r="BM43" s="217">
        <f ca="1"/>
        <v>0</v>
      </c>
      <c r="BN43" s="217">
        <f ca="1"/>
        <v>0</v>
      </c>
    </row>
    <row r="44" spans="1:66" s="217" customFormat="1" x14ac:dyDescent="0.2">
      <c r="A44"/>
      <c r="B44" s="347" t="str">
        <f ca="1"/>
        <v>All</v>
      </c>
      <c r="C44" s="345">
        <f ca="1"/>
        <v>43745</v>
      </c>
      <c r="D44" s="353">
        <f ca="1"/>
        <v>10128820.43</v>
      </c>
      <c r="E44" s="217">
        <f ca="1"/>
        <v>2095.7072130000001</v>
      </c>
      <c r="F44" s="217">
        <f ca="1"/>
        <v>8053.439582</v>
      </c>
      <c r="G44" s="217">
        <f ca="1"/>
        <v>0</v>
      </c>
      <c r="H44" s="217">
        <f ca="1"/>
        <v>0</v>
      </c>
      <c r="I44" s="217">
        <f ca="1"/>
        <v>3903.1765439999999</v>
      </c>
      <c r="J44" s="217">
        <f ca="1"/>
        <v>64240.129269999998</v>
      </c>
      <c r="K44" s="217">
        <f ca="1"/>
        <v>5633.8079429999998</v>
      </c>
      <c r="L44" s="217">
        <f ca="1"/>
        <v>10408.17719</v>
      </c>
      <c r="M44" s="217">
        <f ca="1"/>
        <v>5542195.8140000002</v>
      </c>
      <c r="N44" s="217">
        <f ca="1"/>
        <v>29697.509549999999</v>
      </c>
      <c r="O44" s="217">
        <f ca="1"/>
        <v>5136.2685359999996</v>
      </c>
      <c r="P44" s="217">
        <f ca="1"/>
        <v>126259.8122</v>
      </c>
      <c r="Q44" s="217">
        <f ca="1"/>
        <v>10709.18375</v>
      </c>
      <c r="R44" s="217">
        <f ca="1"/>
        <v>857.87971440000001</v>
      </c>
      <c r="S44" s="217">
        <f ca="1"/>
        <v>439252.0294</v>
      </c>
      <c r="T44" s="217">
        <f ca="1"/>
        <v>4585.2007599999997</v>
      </c>
      <c r="U44" s="217">
        <f ca="1"/>
        <v>0</v>
      </c>
      <c r="V44" s="217">
        <f ca="1"/>
        <v>0</v>
      </c>
      <c r="W44" s="217">
        <f ca="1"/>
        <v>9.0006447739999995</v>
      </c>
      <c r="X44" s="217">
        <f ca="1"/>
        <v>4.4797365139999998</v>
      </c>
      <c r="Y44" s="217">
        <f ca="1"/>
        <v>288933437.30000001</v>
      </c>
      <c r="Z44" s="217">
        <f ca="1"/>
        <v>0</v>
      </c>
      <c r="AA44" s="217">
        <f ca="1"/>
        <v>27773.99524</v>
      </c>
      <c r="AB44" s="217">
        <f ca="1"/>
        <v>41146.659630000002</v>
      </c>
      <c r="AC44" s="217">
        <f ca="1"/>
        <v>0</v>
      </c>
      <c r="AD44" s="217">
        <f ca="1"/>
        <v>0</v>
      </c>
      <c r="AE44" s="217">
        <f ca="1"/>
        <v>0</v>
      </c>
      <c r="AF44" s="217">
        <f ca="1"/>
        <v>0</v>
      </c>
      <c r="AG44" s="217">
        <f ca="1"/>
        <v>43502.902130000002</v>
      </c>
      <c r="AH44" s="217">
        <f ca="1"/>
        <v>184237.3499</v>
      </c>
      <c r="AI44" s="217">
        <f ca="1"/>
        <v>908493</v>
      </c>
      <c r="AJ44" s="217">
        <f ca="1"/>
        <v>0</v>
      </c>
      <c r="AK44" s="217">
        <f ca="1"/>
        <v>0</v>
      </c>
      <c r="AL44" s="217">
        <f ca="1"/>
        <v>0</v>
      </c>
      <c r="AM44" s="217">
        <f ca="1"/>
        <v>0</v>
      </c>
      <c r="AN44" s="217">
        <f ca="1"/>
        <v>0</v>
      </c>
      <c r="AO44" s="217">
        <f ca="1"/>
        <v>0</v>
      </c>
      <c r="AP44" s="217">
        <f ca="1"/>
        <v>74947.261530000003</v>
      </c>
      <c r="AQ44" s="217">
        <f ca="1"/>
        <v>0</v>
      </c>
      <c r="AR44" s="217">
        <f ca="1"/>
        <v>0</v>
      </c>
      <c r="AS44" s="217">
        <f ca="1"/>
        <v>0</v>
      </c>
      <c r="AT44" s="217">
        <f ca="1"/>
        <v>0</v>
      </c>
      <c r="AU44" s="217">
        <f ca="1"/>
        <v>30692.413209999999</v>
      </c>
      <c r="AV44" s="217">
        <f ca="1"/>
        <v>39583.249309999999</v>
      </c>
      <c r="AW44" s="217">
        <f ca="1"/>
        <v>14084750.419903999</v>
      </c>
      <c r="AX44" s="217">
        <f ca="1"/>
        <v>3370293.517</v>
      </c>
      <c r="AY44" s="217">
        <f ca="1"/>
        <v>0</v>
      </c>
      <c r="AZ44" s="217">
        <f ca="1"/>
        <v>0</v>
      </c>
      <c r="BA44" s="217">
        <f ca="1"/>
        <v>0</v>
      </c>
      <c r="BB44" s="217">
        <f ca="1"/>
        <v>0</v>
      </c>
      <c r="BC44" s="217">
        <f ca="1"/>
        <v>0</v>
      </c>
      <c r="BD44" s="217">
        <f ca="1"/>
        <v>0</v>
      </c>
      <c r="BE44" s="217">
        <f ca="1"/>
        <v>184237.3499</v>
      </c>
      <c r="BF44" s="217">
        <f ca="1"/>
        <v>13.480381288</v>
      </c>
      <c r="BG44" s="217">
        <f ca="1"/>
        <v>0</v>
      </c>
      <c r="BH44" s="217">
        <f ca="1"/>
        <v>0</v>
      </c>
      <c r="BI44" s="217">
        <f ca="1"/>
        <v>0</v>
      </c>
      <c r="BJ44" s="217">
        <f ca="1"/>
        <v>0</v>
      </c>
      <c r="BK44" s="217">
        <f ca="1"/>
        <v>0</v>
      </c>
      <c r="BL44" s="217">
        <f ca="1"/>
        <v>0</v>
      </c>
      <c r="BM44" s="217">
        <f ca="1"/>
        <v>0</v>
      </c>
      <c r="BN44" s="217">
        <f ca="1"/>
        <v>0</v>
      </c>
    </row>
    <row r="45" spans="1:66" s="217" customFormat="1" x14ac:dyDescent="0.2">
      <c r="A45"/>
      <c r="B45" s="347" t="str">
        <f ca="1"/>
        <v>All</v>
      </c>
      <c r="C45" s="345">
        <f ca="1"/>
        <v>43752</v>
      </c>
      <c r="D45" s="353">
        <f ca="1"/>
        <v>10579812.07</v>
      </c>
      <c r="E45" s="217">
        <f ca="1"/>
        <v>2010.091058</v>
      </c>
      <c r="F45" s="217">
        <f ca="1"/>
        <v>7247.7852659999999</v>
      </c>
      <c r="G45" s="217">
        <f ca="1"/>
        <v>0</v>
      </c>
      <c r="H45" s="217">
        <f ca="1"/>
        <v>0</v>
      </c>
      <c r="I45" s="217">
        <f ca="1"/>
        <v>3946.3347640000002</v>
      </c>
      <c r="J45" s="217">
        <f ca="1"/>
        <v>68344.564039999997</v>
      </c>
      <c r="K45" s="217">
        <f ca="1"/>
        <v>5070.2100369999998</v>
      </c>
      <c r="L45" s="217">
        <f ca="1"/>
        <v>3935.325014</v>
      </c>
      <c r="M45" s="217">
        <f ca="1"/>
        <v>4241440.5420000004</v>
      </c>
      <c r="N45" s="217">
        <f ca="1"/>
        <v>21728.37934</v>
      </c>
      <c r="O45" s="217">
        <f ca="1"/>
        <v>3853.4124750000001</v>
      </c>
      <c r="P45" s="217">
        <f ca="1"/>
        <v>98522.72898</v>
      </c>
      <c r="Q45" s="217">
        <f ca="1"/>
        <v>8031.2294330000004</v>
      </c>
      <c r="R45" s="217">
        <f ca="1"/>
        <v>715.19335530000001</v>
      </c>
      <c r="S45" s="217">
        <f ca="1"/>
        <v>381065.06060000003</v>
      </c>
      <c r="T45" s="217">
        <f ca="1"/>
        <v>3689.9455309999998</v>
      </c>
      <c r="U45" s="217">
        <f ca="1"/>
        <v>576</v>
      </c>
      <c r="V45" s="217">
        <f ca="1"/>
        <v>0</v>
      </c>
      <c r="W45" s="217">
        <f ca="1"/>
        <v>8.6150832459999993</v>
      </c>
      <c r="X45" s="217">
        <f ca="1"/>
        <v>4.7574751510000004</v>
      </c>
      <c r="Y45" s="217">
        <f ca="1"/>
        <v>302209412.60000002</v>
      </c>
      <c r="Z45" s="217">
        <f ca="1"/>
        <v>0</v>
      </c>
      <c r="AA45" s="217">
        <f ca="1"/>
        <v>27773.99524</v>
      </c>
      <c r="AB45" s="217">
        <f ca="1"/>
        <v>41146.659630000002</v>
      </c>
      <c r="AC45" s="217">
        <f ca="1"/>
        <v>0</v>
      </c>
      <c r="AD45" s="217">
        <f ca="1"/>
        <v>0</v>
      </c>
      <c r="AE45" s="217">
        <f ca="1"/>
        <v>0</v>
      </c>
      <c r="AF45" s="217">
        <f ca="1"/>
        <v>0</v>
      </c>
      <c r="AG45" s="217">
        <f ca="1"/>
        <v>31620.342769999999</v>
      </c>
      <c r="AH45" s="217">
        <f ca="1"/>
        <v>34503.704270000002</v>
      </c>
      <c r="AI45" s="217">
        <f ca="1"/>
        <v>515410</v>
      </c>
      <c r="AJ45" s="217">
        <f ca="1"/>
        <v>0</v>
      </c>
      <c r="AK45" s="217">
        <f ca="1"/>
        <v>0</v>
      </c>
      <c r="AL45" s="217">
        <f ca="1"/>
        <v>0</v>
      </c>
      <c r="AM45" s="217">
        <f ca="1"/>
        <v>0</v>
      </c>
      <c r="AN45" s="217">
        <f ca="1"/>
        <v>0</v>
      </c>
      <c r="AO45" s="217">
        <f ca="1"/>
        <v>0</v>
      </c>
      <c r="AP45" s="217">
        <f ca="1"/>
        <v>74947.261530000003</v>
      </c>
      <c r="AQ45" s="217">
        <f ca="1"/>
        <v>0</v>
      </c>
      <c r="AR45" s="217">
        <f ca="1"/>
        <v>0</v>
      </c>
      <c r="AS45" s="217">
        <f ca="1"/>
        <v>0</v>
      </c>
      <c r="AT45" s="217">
        <f ca="1"/>
        <v>0</v>
      </c>
      <c r="AU45" s="217">
        <f ca="1"/>
        <v>29727.620169999998</v>
      </c>
      <c r="AV45" s="217">
        <f ca="1"/>
        <v>38817.12801</v>
      </c>
      <c r="AW45" s="217">
        <f ca="1"/>
        <v>13487317.739672</v>
      </c>
      <c r="AX45" s="217">
        <f ca="1"/>
        <v>3368458.7880000002</v>
      </c>
      <c r="AY45" s="217">
        <f ca="1"/>
        <v>0</v>
      </c>
      <c r="AZ45" s="217">
        <f ca="1"/>
        <v>0</v>
      </c>
      <c r="BA45" s="217">
        <f ca="1"/>
        <v>0</v>
      </c>
      <c r="BB45" s="217">
        <f ca="1"/>
        <v>0</v>
      </c>
      <c r="BC45" s="217">
        <f ca="1"/>
        <v>0</v>
      </c>
      <c r="BD45" s="217">
        <f ca="1"/>
        <v>0</v>
      </c>
      <c r="BE45" s="217">
        <f ca="1"/>
        <v>34503.704270000002</v>
      </c>
      <c r="BF45" s="217">
        <f ca="1"/>
        <v>13.372558396999899</v>
      </c>
      <c r="BG45" s="217">
        <f ca="1"/>
        <v>0</v>
      </c>
      <c r="BH45" s="217">
        <f ca="1"/>
        <v>0</v>
      </c>
      <c r="BI45" s="217">
        <f ca="1"/>
        <v>0</v>
      </c>
      <c r="BJ45" s="217">
        <f ca="1"/>
        <v>0</v>
      </c>
      <c r="BK45" s="217">
        <f ca="1"/>
        <v>0</v>
      </c>
      <c r="BL45" s="217">
        <f ca="1"/>
        <v>0</v>
      </c>
      <c r="BM45" s="217">
        <f ca="1"/>
        <v>0</v>
      </c>
      <c r="BN45" s="217">
        <f ca="1"/>
        <v>0</v>
      </c>
    </row>
    <row r="46" spans="1:66" s="217" customFormat="1" x14ac:dyDescent="0.2">
      <c r="A46"/>
      <c r="B46" s="347" t="str">
        <f ca="1"/>
        <v>All</v>
      </c>
      <c r="C46" s="345">
        <f ca="1"/>
        <v>43759</v>
      </c>
      <c r="D46" s="353">
        <f ca="1"/>
        <v>9540770.0470000003</v>
      </c>
      <c r="E46" s="217">
        <f ca="1"/>
        <v>1855.2265420000001</v>
      </c>
      <c r="F46" s="217">
        <f ca="1"/>
        <v>5778.0517579999996</v>
      </c>
      <c r="G46" s="217">
        <f ca="1"/>
        <v>0</v>
      </c>
      <c r="H46" s="217">
        <f ca="1"/>
        <v>0</v>
      </c>
      <c r="I46" s="217">
        <f ca="1"/>
        <v>3378.6720580000001</v>
      </c>
      <c r="J46" s="217">
        <f ca="1"/>
        <v>61553.750290000004</v>
      </c>
      <c r="K46" s="217">
        <f ca="1"/>
        <v>4042.0535300000001</v>
      </c>
      <c r="L46" s="217">
        <f ca="1"/>
        <v>6508.5237669999997</v>
      </c>
      <c r="M46" s="217">
        <f ca="1"/>
        <v>7760973.9819999998</v>
      </c>
      <c r="N46" s="217">
        <f ca="1"/>
        <v>43894.975550000003</v>
      </c>
      <c r="O46" s="217">
        <f ca="1"/>
        <v>5459.074404</v>
      </c>
      <c r="P46" s="217">
        <f ca="1"/>
        <v>131764.24669999999</v>
      </c>
      <c r="Q46" s="217">
        <f ca="1"/>
        <v>11567.067870000001</v>
      </c>
      <c r="R46" s="217">
        <f ca="1"/>
        <v>625.35379590000002</v>
      </c>
      <c r="S46" s="217">
        <f ca="1"/>
        <v>363346.40950000001</v>
      </c>
      <c r="T46" s="217">
        <f ca="1"/>
        <v>3834.3287359999999</v>
      </c>
      <c r="U46" s="217">
        <f ca="1"/>
        <v>0</v>
      </c>
      <c r="V46" s="217">
        <f ca="1"/>
        <v>0</v>
      </c>
      <c r="W46" s="217">
        <f ca="1"/>
        <v>8.0891389260000004</v>
      </c>
      <c r="X46" s="217">
        <f ca="1"/>
        <v>4.1886452849999998</v>
      </c>
      <c r="Y46" s="217">
        <f ca="1"/>
        <v>316543699.60000002</v>
      </c>
      <c r="Z46" s="217">
        <f ca="1"/>
        <v>0</v>
      </c>
      <c r="AA46" s="217">
        <f ca="1"/>
        <v>27773.99524</v>
      </c>
      <c r="AB46" s="217">
        <f ca="1"/>
        <v>41146.659630000002</v>
      </c>
      <c r="AC46" s="217">
        <f ca="1"/>
        <v>0</v>
      </c>
      <c r="AD46" s="217">
        <f ca="1"/>
        <v>0</v>
      </c>
      <c r="AE46" s="217">
        <f ca="1"/>
        <v>0</v>
      </c>
      <c r="AF46" s="217">
        <f ca="1"/>
        <v>0</v>
      </c>
      <c r="AG46" s="217">
        <f ca="1"/>
        <v>1914.62734</v>
      </c>
      <c r="AH46" s="217">
        <f ca="1"/>
        <v>32527.115020000001</v>
      </c>
      <c r="AI46" s="217">
        <f ca="1"/>
        <v>249037</v>
      </c>
      <c r="AJ46" s="217">
        <f ca="1"/>
        <v>0</v>
      </c>
      <c r="AK46" s="217">
        <f ca="1"/>
        <v>0</v>
      </c>
      <c r="AL46" s="217">
        <f ca="1"/>
        <v>0</v>
      </c>
      <c r="AM46" s="217">
        <f ca="1"/>
        <v>0</v>
      </c>
      <c r="AN46" s="217">
        <f ca="1"/>
        <v>0</v>
      </c>
      <c r="AO46" s="217">
        <f ca="1"/>
        <v>0</v>
      </c>
      <c r="AP46" s="217">
        <f ca="1"/>
        <v>74947.261530000003</v>
      </c>
      <c r="AQ46" s="217">
        <f ca="1"/>
        <v>0</v>
      </c>
      <c r="AR46" s="217">
        <f ca="1"/>
        <v>0</v>
      </c>
      <c r="AS46" s="217">
        <f ca="1"/>
        <v>0</v>
      </c>
      <c r="AT46" s="217">
        <f ca="1"/>
        <v>0</v>
      </c>
      <c r="AU46" s="217">
        <f ca="1"/>
        <v>30583.839250000001</v>
      </c>
      <c r="AV46" s="217">
        <f ca="1"/>
        <v>45228.910920000002</v>
      </c>
      <c r="AW46" s="217">
        <f ca="1"/>
        <v>16747814.971904</v>
      </c>
      <c r="AX46" s="217">
        <f ca="1"/>
        <v>3517644.7609999999</v>
      </c>
      <c r="AY46" s="217">
        <f ca="1"/>
        <v>0</v>
      </c>
      <c r="AZ46" s="217">
        <f ca="1"/>
        <v>0</v>
      </c>
      <c r="BA46" s="217">
        <f ca="1"/>
        <v>0</v>
      </c>
      <c r="BB46" s="217">
        <f ca="1"/>
        <v>0</v>
      </c>
      <c r="BC46" s="217">
        <f ca="1"/>
        <v>0</v>
      </c>
      <c r="BD46" s="217">
        <f ca="1"/>
        <v>0</v>
      </c>
      <c r="BE46" s="217">
        <f ca="1"/>
        <v>32527.115020000001</v>
      </c>
      <c r="BF46" s="217">
        <f ca="1"/>
        <v>12.277784211</v>
      </c>
      <c r="BG46" s="217">
        <f ca="1"/>
        <v>0</v>
      </c>
      <c r="BH46" s="217">
        <f ca="1"/>
        <v>0</v>
      </c>
      <c r="BI46" s="217">
        <f ca="1"/>
        <v>0</v>
      </c>
      <c r="BJ46" s="217">
        <f ca="1"/>
        <v>0</v>
      </c>
      <c r="BK46" s="217">
        <f ca="1"/>
        <v>0</v>
      </c>
      <c r="BL46" s="217">
        <f ca="1"/>
        <v>0</v>
      </c>
      <c r="BM46" s="217">
        <f ca="1"/>
        <v>0</v>
      </c>
      <c r="BN46" s="217">
        <f ca="1"/>
        <v>0</v>
      </c>
    </row>
    <row r="47" spans="1:66" s="217" customFormat="1" x14ac:dyDescent="0.2">
      <c r="A47"/>
      <c r="B47" s="347" t="str">
        <f ca="1"/>
        <v>All</v>
      </c>
      <c r="C47" s="345">
        <f ca="1"/>
        <v>43766</v>
      </c>
      <c r="D47" s="353">
        <f ca="1"/>
        <v>7647281.8370000003</v>
      </c>
      <c r="E47" s="217">
        <f ca="1"/>
        <v>2547.0806210000001</v>
      </c>
      <c r="F47" s="217">
        <f ca="1"/>
        <v>4423.2390530000002</v>
      </c>
      <c r="G47" s="217">
        <f ca="1"/>
        <v>0</v>
      </c>
      <c r="H47" s="217">
        <f ca="1"/>
        <v>0</v>
      </c>
      <c r="I47" s="217">
        <f ca="1"/>
        <v>2537.967553</v>
      </c>
      <c r="J47" s="217">
        <f ca="1"/>
        <v>50843.90595</v>
      </c>
      <c r="K47" s="217">
        <f ca="1"/>
        <v>3094.2902170000002</v>
      </c>
      <c r="L47" s="217">
        <f ca="1"/>
        <v>5828.1212219999998</v>
      </c>
      <c r="M47" s="217">
        <f ca="1"/>
        <v>6258083.2240000004</v>
      </c>
      <c r="N47" s="217">
        <f ca="1"/>
        <v>35549.892780000002</v>
      </c>
      <c r="O47" s="217">
        <f ca="1"/>
        <v>5627.3033830000004</v>
      </c>
      <c r="P47" s="217">
        <f ca="1"/>
        <v>144410.4859</v>
      </c>
      <c r="Q47" s="217">
        <f ca="1"/>
        <v>12966.93115</v>
      </c>
      <c r="R47" s="217">
        <f ca="1"/>
        <v>821.32734459999995</v>
      </c>
      <c r="S47" s="217">
        <f ca="1"/>
        <v>369731.18359999999</v>
      </c>
      <c r="T47" s="217">
        <f ca="1"/>
        <v>3651.9185520000001</v>
      </c>
      <c r="U47" s="217">
        <f ca="1"/>
        <v>0</v>
      </c>
      <c r="V47" s="217">
        <f ca="1"/>
        <v>0</v>
      </c>
      <c r="W47" s="217">
        <f ca="1"/>
        <v>9.0862670580000007</v>
      </c>
      <c r="X47" s="217">
        <f ca="1"/>
        <v>4.8228254799999997</v>
      </c>
      <c r="Y47" s="217">
        <f ca="1"/>
        <v>313502154.80000001</v>
      </c>
      <c r="Z47" s="217">
        <f ca="1"/>
        <v>0</v>
      </c>
      <c r="AA47" s="217">
        <f ca="1"/>
        <v>0</v>
      </c>
      <c r="AB47" s="217">
        <f ca="1"/>
        <v>0</v>
      </c>
      <c r="AC47" s="217">
        <f ca="1"/>
        <v>0</v>
      </c>
      <c r="AD47" s="217">
        <f ca="1"/>
        <v>0</v>
      </c>
      <c r="AE47" s="217">
        <f ca="1"/>
        <v>0</v>
      </c>
      <c r="AF47" s="217">
        <f ca="1"/>
        <v>0</v>
      </c>
      <c r="AG47" s="217">
        <f ca="1"/>
        <v>2772.6948269999998</v>
      </c>
      <c r="AH47" s="217">
        <f ca="1"/>
        <v>24818.093110000002</v>
      </c>
      <c r="AI47" s="217">
        <f ca="1"/>
        <v>109995</v>
      </c>
      <c r="AJ47" s="217">
        <f ca="1"/>
        <v>0</v>
      </c>
      <c r="AK47" s="217">
        <f ca="1"/>
        <v>0</v>
      </c>
      <c r="AL47" s="217">
        <f ca="1"/>
        <v>0</v>
      </c>
      <c r="AM47" s="217">
        <f ca="1"/>
        <v>0</v>
      </c>
      <c r="AN47" s="217">
        <f ca="1"/>
        <v>0</v>
      </c>
      <c r="AO47" s="217">
        <f ca="1"/>
        <v>0</v>
      </c>
      <c r="AP47" s="217">
        <f ca="1"/>
        <v>0</v>
      </c>
      <c r="AQ47" s="217">
        <f ca="1"/>
        <v>0</v>
      </c>
      <c r="AR47" s="217">
        <f ca="1"/>
        <v>0</v>
      </c>
      <c r="AS47" s="217">
        <f ca="1"/>
        <v>0</v>
      </c>
      <c r="AT47" s="217">
        <f ca="1"/>
        <v>0</v>
      </c>
      <c r="AU47" s="217">
        <f ca="1"/>
        <v>22279.665690000002</v>
      </c>
      <c r="AV47" s="217">
        <f ca="1"/>
        <v>36823.482389999997</v>
      </c>
      <c r="AW47" s="217">
        <f ca="1"/>
        <v>17663073.8364239</v>
      </c>
      <c r="AX47" s="217">
        <f ca="1"/>
        <v>2459006.696</v>
      </c>
      <c r="AY47" s="217">
        <f ca="1"/>
        <v>0</v>
      </c>
      <c r="AZ47" s="217">
        <f ca="1"/>
        <v>0</v>
      </c>
      <c r="BA47" s="217">
        <f ca="1"/>
        <v>0</v>
      </c>
      <c r="BB47" s="217">
        <f ca="1"/>
        <v>0</v>
      </c>
      <c r="BC47" s="217">
        <f ca="1"/>
        <v>0</v>
      </c>
      <c r="BD47" s="217">
        <f ca="1"/>
        <v>0</v>
      </c>
      <c r="BE47" s="217">
        <f ca="1"/>
        <v>24818.093110000002</v>
      </c>
      <c r="BF47" s="217">
        <f ca="1"/>
        <v>13.909092537999999</v>
      </c>
      <c r="BG47" s="217">
        <f ca="1"/>
        <v>0</v>
      </c>
      <c r="BH47" s="217">
        <f ca="1"/>
        <v>0</v>
      </c>
      <c r="BI47" s="217">
        <f ca="1"/>
        <v>0</v>
      </c>
      <c r="BJ47" s="217">
        <f ca="1"/>
        <v>0</v>
      </c>
      <c r="BK47" s="217">
        <f ca="1"/>
        <v>0</v>
      </c>
      <c r="BL47" s="217">
        <f ca="1"/>
        <v>0</v>
      </c>
      <c r="BM47" s="217">
        <f ca="1"/>
        <v>0</v>
      </c>
      <c r="BN47" s="217">
        <f ca="1"/>
        <v>0</v>
      </c>
    </row>
    <row r="48" spans="1:66" s="217" customFormat="1" x14ac:dyDescent="0.2">
      <c r="A48"/>
      <c r="B48" s="347" t="str">
        <f ca="1"/>
        <v>All</v>
      </c>
      <c r="C48" s="345">
        <f ca="1"/>
        <v>43773</v>
      </c>
      <c r="D48" s="353">
        <f ca="1"/>
        <v>14800451.35</v>
      </c>
      <c r="E48" s="217">
        <f ca="1"/>
        <v>2689.9840559999998</v>
      </c>
      <c r="F48" s="217">
        <f ca="1"/>
        <v>4829.3240320000004</v>
      </c>
      <c r="G48" s="217">
        <f ca="1"/>
        <v>0</v>
      </c>
      <c r="H48" s="217">
        <f ca="1"/>
        <v>0</v>
      </c>
      <c r="I48" s="217">
        <f ca="1"/>
        <v>2644.541933</v>
      </c>
      <c r="J48" s="217">
        <f ca="1"/>
        <v>52683.855349999998</v>
      </c>
      <c r="K48" s="217">
        <f ca="1"/>
        <v>3378.3681889999998</v>
      </c>
      <c r="L48" s="217">
        <f ca="1"/>
        <v>3995.6584440000001</v>
      </c>
      <c r="M48" s="217">
        <f ca="1"/>
        <v>4094194.3840000001</v>
      </c>
      <c r="N48" s="217">
        <f ca="1"/>
        <v>22095.719659999999</v>
      </c>
      <c r="O48" s="217">
        <f ca="1"/>
        <v>5411.9526740000001</v>
      </c>
      <c r="P48" s="217">
        <f ca="1"/>
        <v>144356.31789999999</v>
      </c>
      <c r="Q48" s="217">
        <f ca="1"/>
        <v>12156.375749999999</v>
      </c>
      <c r="R48" s="217">
        <f ca="1"/>
        <v>1179.8048020000001</v>
      </c>
      <c r="S48" s="217">
        <f ca="1"/>
        <v>640938.75749999995</v>
      </c>
      <c r="T48" s="217">
        <f ca="1"/>
        <v>5107.4859630000001</v>
      </c>
      <c r="U48" s="217">
        <f ca="1"/>
        <v>2592</v>
      </c>
      <c r="V48" s="217">
        <f ca="1"/>
        <v>0</v>
      </c>
      <c r="W48" s="217">
        <f ca="1"/>
        <v>8.6364591389999994</v>
      </c>
      <c r="X48" s="217">
        <f ca="1"/>
        <v>3.2901030800000002</v>
      </c>
      <c r="Y48" s="217">
        <f ca="1"/>
        <v>431940806.89999998</v>
      </c>
      <c r="Z48" s="217">
        <f ca="1"/>
        <v>0</v>
      </c>
      <c r="AA48" s="217">
        <f ca="1"/>
        <v>11784.403319999999</v>
      </c>
      <c r="AB48" s="217">
        <f ca="1"/>
        <v>0</v>
      </c>
      <c r="AC48" s="217">
        <f ca="1"/>
        <v>0</v>
      </c>
      <c r="AD48" s="217">
        <f ca="1"/>
        <v>0</v>
      </c>
      <c r="AE48" s="217">
        <f ca="1"/>
        <v>0</v>
      </c>
      <c r="AF48" s="217">
        <f ca="1"/>
        <v>0</v>
      </c>
      <c r="AG48" s="217">
        <f ca="1"/>
        <v>12694.23137</v>
      </c>
      <c r="AH48" s="217">
        <f ca="1"/>
        <v>64274.348709999998</v>
      </c>
      <c r="AI48" s="217">
        <f ca="1"/>
        <v>114789</v>
      </c>
      <c r="AJ48" s="217">
        <f ca="1"/>
        <v>0</v>
      </c>
      <c r="AK48" s="217">
        <f ca="1"/>
        <v>0</v>
      </c>
      <c r="AL48" s="217">
        <f ca="1"/>
        <v>0</v>
      </c>
      <c r="AM48" s="217">
        <f ca="1"/>
        <v>0</v>
      </c>
      <c r="AN48" s="217">
        <f ca="1"/>
        <v>0</v>
      </c>
      <c r="AO48" s="217">
        <f ca="1"/>
        <v>0</v>
      </c>
      <c r="AP48" s="217">
        <f ca="1"/>
        <v>403689.61820000003</v>
      </c>
      <c r="AQ48" s="217">
        <f ca="1"/>
        <v>0</v>
      </c>
      <c r="AR48" s="217">
        <f ca="1"/>
        <v>0</v>
      </c>
      <c r="AS48" s="217">
        <f ca="1"/>
        <v>0</v>
      </c>
      <c r="AT48" s="217">
        <f ca="1"/>
        <v>0</v>
      </c>
      <c r="AU48" s="217">
        <f ca="1"/>
        <v>25324.920679999999</v>
      </c>
      <c r="AV48" s="217">
        <f ca="1"/>
        <v>49799.405469999998</v>
      </c>
      <c r="AW48" s="217">
        <f ca="1"/>
        <v>18195078.86812</v>
      </c>
      <c r="AX48" s="217">
        <f ca="1"/>
        <v>2877396.3110000002</v>
      </c>
      <c r="AY48" s="217">
        <f ca="1"/>
        <v>0</v>
      </c>
      <c r="AZ48" s="217">
        <f ca="1"/>
        <v>0</v>
      </c>
      <c r="BA48" s="217">
        <f ca="1"/>
        <v>0</v>
      </c>
      <c r="BB48" s="217">
        <f ca="1"/>
        <v>0</v>
      </c>
      <c r="BC48" s="217">
        <f ca="1"/>
        <v>0</v>
      </c>
      <c r="BD48" s="217">
        <f ca="1"/>
        <v>0</v>
      </c>
      <c r="BE48" s="217">
        <f ca="1"/>
        <v>64274.348709999998</v>
      </c>
      <c r="BF48" s="217">
        <f ca="1"/>
        <v>11.926562218999999</v>
      </c>
      <c r="BG48" s="217">
        <f ca="1"/>
        <v>0</v>
      </c>
      <c r="BH48" s="217">
        <f ca="1"/>
        <v>0</v>
      </c>
      <c r="BI48" s="217">
        <f ca="1"/>
        <v>0</v>
      </c>
      <c r="BJ48" s="217">
        <f ca="1"/>
        <v>0</v>
      </c>
      <c r="BK48" s="217">
        <f ca="1"/>
        <v>0</v>
      </c>
      <c r="BL48" s="217">
        <f ca="1"/>
        <v>0</v>
      </c>
      <c r="BM48" s="217">
        <f ca="1"/>
        <v>0</v>
      </c>
      <c r="BN48" s="217">
        <f ca="1"/>
        <v>0</v>
      </c>
    </row>
    <row r="49" spans="1:66" s="217" customFormat="1" x14ac:dyDescent="0.2">
      <c r="A49"/>
      <c r="B49" s="347" t="str">
        <f ca="1"/>
        <v>All</v>
      </c>
      <c r="C49" s="345">
        <f ca="1"/>
        <v>43780</v>
      </c>
      <c r="D49" s="353">
        <f ca="1"/>
        <v>11785160.34</v>
      </c>
      <c r="E49" s="217">
        <f ca="1"/>
        <v>2837.9237360000002</v>
      </c>
      <c r="F49" s="217">
        <f ca="1"/>
        <v>4696.6693539999997</v>
      </c>
      <c r="G49" s="217">
        <f ca="1"/>
        <v>0</v>
      </c>
      <c r="H49" s="217">
        <f ca="1"/>
        <v>0</v>
      </c>
      <c r="I49" s="217">
        <f ca="1"/>
        <v>2607.5491729999999</v>
      </c>
      <c r="J49" s="217">
        <f ca="1"/>
        <v>48920.722829999999</v>
      </c>
      <c r="K49" s="217">
        <f ca="1"/>
        <v>3285.5692089999998</v>
      </c>
      <c r="L49" s="217">
        <f ca="1"/>
        <v>3767.5364249999998</v>
      </c>
      <c r="M49" s="217">
        <f ca="1"/>
        <v>4703977.7520000003</v>
      </c>
      <c r="N49" s="217">
        <f ca="1"/>
        <v>23687.872640000001</v>
      </c>
      <c r="O49" s="217">
        <f ca="1"/>
        <v>2582.8873330000001</v>
      </c>
      <c r="P49" s="217">
        <f ca="1"/>
        <v>67055.102129999999</v>
      </c>
      <c r="Q49" s="217">
        <f ca="1"/>
        <v>5934.5987150000001</v>
      </c>
      <c r="R49" s="217">
        <f ca="1"/>
        <v>1161.748812</v>
      </c>
      <c r="S49" s="217">
        <f ca="1"/>
        <v>739157.17700000003</v>
      </c>
      <c r="T49" s="217">
        <f ca="1"/>
        <v>5924.1669380000003</v>
      </c>
      <c r="U49" s="217">
        <f ca="1"/>
        <v>10</v>
      </c>
      <c r="V49" s="217">
        <f ca="1"/>
        <v>0</v>
      </c>
      <c r="W49" s="217">
        <f ca="1"/>
        <v>8.7961698330000004</v>
      </c>
      <c r="X49" s="217">
        <f ca="1"/>
        <v>3.7728109430000001</v>
      </c>
      <c r="Y49" s="217">
        <f ca="1"/>
        <v>406806943.10000002</v>
      </c>
      <c r="Z49" s="217">
        <f ca="1"/>
        <v>0</v>
      </c>
      <c r="AA49" s="217">
        <f ca="1"/>
        <v>11784.403319999999</v>
      </c>
      <c r="AB49" s="217">
        <f ca="1"/>
        <v>0</v>
      </c>
      <c r="AC49" s="217">
        <f ca="1"/>
        <v>0</v>
      </c>
      <c r="AD49" s="217">
        <f ca="1"/>
        <v>0</v>
      </c>
      <c r="AE49" s="217">
        <f ca="1"/>
        <v>0</v>
      </c>
      <c r="AF49" s="217">
        <f ca="1"/>
        <v>0</v>
      </c>
      <c r="AG49" s="217">
        <f ca="1"/>
        <v>16205.233329999999</v>
      </c>
      <c r="AH49" s="217">
        <f ca="1"/>
        <v>76117.794559999995</v>
      </c>
      <c r="AI49" s="217">
        <f ca="1"/>
        <v>162857</v>
      </c>
      <c r="AJ49" s="217">
        <f ca="1"/>
        <v>0</v>
      </c>
      <c r="AK49" s="217">
        <f ca="1"/>
        <v>0</v>
      </c>
      <c r="AL49" s="217">
        <f ca="1"/>
        <v>0</v>
      </c>
      <c r="AM49" s="217">
        <f ca="1"/>
        <v>0</v>
      </c>
      <c r="AN49" s="217">
        <f ca="1"/>
        <v>0</v>
      </c>
      <c r="AO49" s="217">
        <f ca="1"/>
        <v>0</v>
      </c>
      <c r="AP49" s="217">
        <f ca="1"/>
        <v>403689.61820000003</v>
      </c>
      <c r="AQ49" s="217">
        <f ca="1"/>
        <v>0</v>
      </c>
      <c r="AR49" s="217">
        <f ca="1"/>
        <v>0</v>
      </c>
      <c r="AS49" s="217">
        <f ca="1"/>
        <v>0</v>
      </c>
      <c r="AT49" s="217">
        <f ca="1"/>
        <v>0</v>
      </c>
      <c r="AU49" s="217">
        <f ca="1"/>
        <v>20092.250199999999</v>
      </c>
      <c r="AV49" s="217">
        <f ca="1"/>
        <v>90195.700930000006</v>
      </c>
      <c r="AW49" s="217">
        <f ca="1"/>
        <v>21476988.760288</v>
      </c>
      <c r="AX49" s="217">
        <f ca="1"/>
        <v>2411816.7489999998</v>
      </c>
      <c r="AY49" s="217">
        <f ca="1"/>
        <v>0</v>
      </c>
      <c r="AZ49" s="217">
        <f ca="1"/>
        <v>0</v>
      </c>
      <c r="BA49" s="217">
        <f ca="1"/>
        <v>0</v>
      </c>
      <c r="BB49" s="217">
        <f ca="1"/>
        <v>0</v>
      </c>
      <c r="BC49" s="217">
        <f ca="1"/>
        <v>0</v>
      </c>
      <c r="BD49" s="217">
        <f ca="1"/>
        <v>0</v>
      </c>
      <c r="BE49" s="217">
        <f ca="1"/>
        <v>76117.794559999995</v>
      </c>
      <c r="BF49" s="217">
        <f ca="1"/>
        <v>12.568980776</v>
      </c>
      <c r="BG49" s="217">
        <f ca="1"/>
        <v>0</v>
      </c>
      <c r="BH49" s="217">
        <f ca="1"/>
        <v>0</v>
      </c>
      <c r="BI49" s="217">
        <f ca="1"/>
        <v>0</v>
      </c>
      <c r="BJ49" s="217">
        <f ca="1"/>
        <v>0</v>
      </c>
      <c r="BK49" s="217">
        <f ca="1"/>
        <v>0</v>
      </c>
      <c r="BL49" s="217">
        <f ca="1"/>
        <v>0</v>
      </c>
      <c r="BM49" s="217">
        <f ca="1"/>
        <v>0</v>
      </c>
      <c r="BN49" s="217">
        <f ca="1"/>
        <v>0</v>
      </c>
    </row>
    <row r="50" spans="1:66" s="217" customFormat="1" x14ac:dyDescent="0.2">
      <c r="A50"/>
      <c r="B50" s="347" t="str">
        <f ca="1"/>
        <v>All</v>
      </c>
      <c r="C50" s="345">
        <f ca="1"/>
        <v>43787</v>
      </c>
      <c r="D50" s="353">
        <f ca="1"/>
        <v>10627951.74</v>
      </c>
      <c r="E50" s="217">
        <f ca="1"/>
        <v>4689.3730949999999</v>
      </c>
      <c r="F50" s="217">
        <f ca="1"/>
        <v>6259.1075309999997</v>
      </c>
      <c r="G50" s="217">
        <f ca="1"/>
        <v>0</v>
      </c>
      <c r="H50" s="217">
        <f ca="1"/>
        <v>0</v>
      </c>
      <c r="I50" s="217">
        <f ca="1"/>
        <v>3216.6085389999998</v>
      </c>
      <c r="J50" s="217">
        <f ca="1"/>
        <v>62212.57372</v>
      </c>
      <c r="K50" s="217">
        <f ca="1"/>
        <v>4378.5775460000004</v>
      </c>
      <c r="L50" s="217">
        <f ca="1"/>
        <v>2217.3636350000002</v>
      </c>
      <c r="M50" s="217">
        <f ca="1"/>
        <v>2543841.915</v>
      </c>
      <c r="N50" s="217">
        <f ca="1"/>
        <v>13771.375550000001</v>
      </c>
      <c r="O50" s="217">
        <f ca="1"/>
        <v>0</v>
      </c>
      <c r="P50" s="217">
        <f ca="1"/>
        <v>0</v>
      </c>
      <c r="Q50" s="217">
        <f ca="1"/>
        <v>0</v>
      </c>
      <c r="R50" s="217">
        <f ca="1"/>
        <v>1182.447142</v>
      </c>
      <c r="S50" s="217">
        <f ca="1"/>
        <v>773755.09589999996</v>
      </c>
      <c r="T50" s="217">
        <f ca="1"/>
        <v>5863.2481109999999</v>
      </c>
      <c r="U50" s="217">
        <f ca="1"/>
        <v>204</v>
      </c>
      <c r="V50" s="217">
        <f ca="1"/>
        <v>76.861373510000007</v>
      </c>
      <c r="W50" s="217">
        <f ca="1"/>
        <v>7.7578701639999998</v>
      </c>
      <c r="X50" s="217">
        <f ca="1"/>
        <v>3.608480304</v>
      </c>
      <c r="Y50" s="217">
        <f ca="1"/>
        <v>321605844.80000001</v>
      </c>
      <c r="Z50" s="217">
        <f ca="1"/>
        <v>0</v>
      </c>
      <c r="AA50" s="217">
        <f ca="1"/>
        <v>11784.403319999999</v>
      </c>
      <c r="AB50" s="217">
        <f ca="1"/>
        <v>0</v>
      </c>
      <c r="AC50" s="217">
        <f ca="1"/>
        <v>0</v>
      </c>
      <c r="AD50" s="217">
        <f ca="1"/>
        <v>0</v>
      </c>
      <c r="AE50" s="217">
        <f ca="1"/>
        <v>0</v>
      </c>
      <c r="AF50" s="217">
        <f ca="1"/>
        <v>0</v>
      </c>
      <c r="AG50" s="217">
        <f ca="1"/>
        <v>16205.1697</v>
      </c>
      <c r="AH50" s="217">
        <f ca="1"/>
        <v>175491.30660000001</v>
      </c>
      <c r="AI50" s="217">
        <f ca="1"/>
        <v>767267</v>
      </c>
      <c r="AJ50" s="217">
        <f ca="1"/>
        <v>0</v>
      </c>
      <c r="AK50" s="217">
        <f ca="1"/>
        <v>0</v>
      </c>
      <c r="AL50" s="217">
        <f ca="1"/>
        <v>0</v>
      </c>
      <c r="AM50" s="217">
        <f ca="1"/>
        <v>0</v>
      </c>
      <c r="AN50" s="217">
        <f ca="1"/>
        <v>0</v>
      </c>
      <c r="AO50" s="217">
        <f ca="1"/>
        <v>0</v>
      </c>
      <c r="AP50" s="217">
        <f ca="1"/>
        <v>403689.61820000003</v>
      </c>
      <c r="AQ50" s="217">
        <f ca="1"/>
        <v>0</v>
      </c>
      <c r="AR50" s="217">
        <f ca="1"/>
        <v>0</v>
      </c>
      <c r="AS50" s="217">
        <f ca="1"/>
        <v>0</v>
      </c>
      <c r="AT50" s="217">
        <f ca="1"/>
        <v>0</v>
      </c>
      <c r="AU50" s="217">
        <f ca="1"/>
        <v>18422.10096</v>
      </c>
      <c r="AV50" s="217">
        <f ca="1"/>
        <v>111706.4902</v>
      </c>
      <c r="AW50" s="217">
        <f ca="1"/>
        <v>24211636.313368</v>
      </c>
      <c r="AX50" s="217">
        <f ca="1"/>
        <v>2148885.855</v>
      </c>
      <c r="AY50" s="217">
        <f ca="1"/>
        <v>0</v>
      </c>
      <c r="AZ50" s="217">
        <f ca="1"/>
        <v>0</v>
      </c>
      <c r="BA50" s="217">
        <f ca="1"/>
        <v>0</v>
      </c>
      <c r="BB50" s="217">
        <f ca="1"/>
        <v>0</v>
      </c>
      <c r="BC50" s="217">
        <f ca="1"/>
        <v>0</v>
      </c>
      <c r="BD50" s="217">
        <f ca="1"/>
        <v>0</v>
      </c>
      <c r="BE50" s="217">
        <f ca="1"/>
        <v>175491.30660000001</v>
      </c>
      <c r="BF50" s="217">
        <f ca="1"/>
        <v>88.227723978</v>
      </c>
      <c r="BG50" s="217">
        <f ca="1"/>
        <v>0</v>
      </c>
      <c r="BH50" s="217">
        <f ca="1"/>
        <v>0</v>
      </c>
      <c r="BI50" s="217">
        <f ca="1"/>
        <v>0</v>
      </c>
      <c r="BJ50" s="217">
        <f ca="1"/>
        <v>0</v>
      </c>
      <c r="BK50" s="217">
        <f ca="1"/>
        <v>0</v>
      </c>
      <c r="BL50" s="217">
        <f ca="1"/>
        <v>0</v>
      </c>
      <c r="BM50" s="217">
        <f ca="1"/>
        <v>0</v>
      </c>
      <c r="BN50" s="217">
        <f ca="1"/>
        <v>0</v>
      </c>
    </row>
    <row r="51" spans="1:66" s="217" customFormat="1" x14ac:dyDescent="0.2">
      <c r="A51"/>
      <c r="B51" s="347" t="str">
        <f ca="1"/>
        <v>All</v>
      </c>
      <c r="C51" s="345">
        <f ca="1"/>
        <v>43794</v>
      </c>
      <c r="D51" s="353">
        <f ca="1"/>
        <v>17191909.940000001</v>
      </c>
      <c r="E51" s="217">
        <f ca="1"/>
        <v>4570.3918199999998</v>
      </c>
      <c r="F51" s="217">
        <f ca="1"/>
        <v>8660.8169560000006</v>
      </c>
      <c r="G51" s="217">
        <f ca="1"/>
        <v>1</v>
      </c>
      <c r="H51" s="217">
        <f ca="1"/>
        <v>0</v>
      </c>
      <c r="I51" s="217">
        <f ca="1"/>
        <v>3923.4344839999999</v>
      </c>
      <c r="J51" s="217">
        <f ca="1"/>
        <v>72317.322199999995</v>
      </c>
      <c r="K51" s="217">
        <f ca="1"/>
        <v>6058.7006160000001</v>
      </c>
      <c r="L51" s="217">
        <f ca="1"/>
        <v>2173.3246359999998</v>
      </c>
      <c r="M51" s="217">
        <f ca="1"/>
        <v>2527838.5830000001</v>
      </c>
      <c r="N51" s="217">
        <f ca="1"/>
        <v>14042.765429999999</v>
      </c>
      <c r="O51" s="217">
        <f ca="1"/>
        <v>4626.2969199999998</v>
      </c>
      <c r="P51" s="217">
        <f ca="1"/>
        <v>118057.9889</v>
      </c>
      <c r="Q51" s="217">
        <f ca="1"/>
        <v>10375.54429</v>
      </c>
      <c r="R51" s="217">
        <f ca="1"/>
        <v>1174.0797319999999</v>
      </c>
      <c r="S51" s="217">
        <f ca="1"/>
        <v>766641.47629999998</v>
      </c>
      <c r="T51" s="217">
        <f ca="1"/>
        <v>5780.4099859999997</v>
      </c>
      <c r="U51" s="217">
        <f ca="1"/>
        <v>204</v>
      </c>
      <c r="V51" s="217">
        <f ca="1"/>
        <v>0.45733589000000002</v>
      </c>
      <c r="W51" s="217">
        <f ca="1"/>
        <v>6.8186272990000001</v>
      </c>
      <c r="X51" s="217">
        <f ca="1"/>
        <v>2.9189769729999999</v>
      </c>
      <c r="Y51" s="217">
        <f ca="1"/>
        <v>514423076.89999998</v>
      </c>
      <c r="Z51" s="217">
        <f ca="1"/>
        <v>0</v>
      </c>
      <c r="AA51" s="217">
        <f ca="1"/>
        <v>0</v>
      </c>
      <c r="AB51" s="217">
        <f ca="1"/>
        <v>0</v>
      </c>
      <c r="AC51" s="217">
        <f ca="1"/>
        <v>0</v>
      </c>
      <c r="AD51" s="217">
        <f ca="1"/>
        <v>0</v>
      </c>
      <c r="AE51" s="217">
        <f ca="1"/>
        <v>0</v>
      </c>
      <c r="AF51" s="217">
        <f ca="1"/>
        <v>0</v>
      </c>
      <c r="AG51" s="217">
        <f ca="1"/>
        <v>6855.6674929999999</v>
      </c>
      <c r="AH51" s="217">
        <f ca="1"/>
        <v>105515.06050000001</v>
      </c>
      <c r="AI51" s="217">
        <f ca="1"/>
        <v>204402</v>
      </c>
      <c r="AJ51" s="217">
        <f ca="1"/>
        <v>0</v>
      </c>
      <c r="AK51" s="217">
        <f ca="1"/>
        <v>0</v>
      </c>
      <c r="AL51" s="217">
        <f ca="1"/>
        <v>0</v>
      </c>
      <c r="AM51" s="217">
        <f ca="1"/>
        <v>0</v>
      </c>
      <c r="AN51" s="217">
        <f ca="1"/>
        <v>0</v>
      </c>
      <c r="AO51" s="217">
        <f ca="1"/>
        <v>0</v>
      </c>
      <c r="AP51" s="217">
        <f ca="1"/>
        <v>0</v>
      </c>
      <c r="AQ51" s="217">
        <f ca="1"/>
        <v>0</v>
      </c>
      <c r="AR51" s="217">
        <f ca="1"/>
        <v>0</v>
      </c>
      <c r="AS51" s="217">
        <f ca="1"/>
        <v>0</v>
      </c>
      <c r="AT51" s="217">
        <f ca="1"/>
        <v>0</v>
      </c>
      <c r="AU51" s="217">
        <f ca="1"/>
        <v>19490.99382</v>
      </c>
      <c r="AV51" s="217">
        <f ca="1"/>
        <v>92894.270749999996</v>
      </c>
      <c r="AW51" s="217">
        <f ca="1"/>
        <v>23161803.155007999</v>
      </c>
      <c r="AX51" s="217">
        <f ca="1"/>
        <v>2321208.2790000001</v>
      </c>
      <c r="AY51" s="217">
        <f ca="1"/>
        <v>0</v>
      </c>
      <c r="AZ51" s="217">
        <f ca="1"/>
        <v>0</v>
      </c>
      <c r="BA51" s="217">
        <f ca="1"/>
        <v>0</v>
      </c>
      <c r="BB51" s="217">
        <f ca="1"/>
        <v>0</v>
      </c>
      <c r="BC51" s="217">
        <f ca="1"/>
        <v>0</v>
      </c>
      <c r="BD51" s="217">
        <f ca="1"/>
        <v>0</v>
      </c>
      <c r="BE51" s="217">
        <f ca="1"/>
        <v>105515.06050000001</v>
      </c>
      <c r="BF51" s="217">
        <f ca="1"/>
        <v>10.194940162</v>
      </c>
      <c r="BG51" s="217">
        <f ca="1"/>
        <v>0</v>
      </c>
      <c r="BH51" s="217">
        <f ca="1"/>
        <v>0</v>
      </c>
      <c r="BI51" s="217">
        <f ca="1"/>
        <v>0</v>
      </c>
      <c r="BJ51" s="217">
        <f ca="1"/>
        <v>0</v>
      </c>
      <c r="BK51" s="217">
        <f ca="1"/>
        <v>1</v>
      </c>
      <c r="BL51" s="217">
        <f ca="1"/>
        <v>0</v>
      </c>
      <c r="BM51" s="217">
        <f ca="1"/>
        <v>0</v>
      </c>
      <c r="BN51" s="217">
        <f ca="1"/>
        <v>0</v>
      </c>
    </row>
    <row r="52" spans="1:66" s="217" customFormat="1" x14ac:dyDescent="0.2">
      <c r="A52"/>
      <c r="B52" s="347" t="str">
        <f ca="1"/>
        <v>All</v>
      </c>
      <c r="C52" s="345">
        <f ca="1"/>
        <v>43801</v>
      </c>
      <c r="D52" s="353">
        <f ca="1"/>
        <v>17642889.190000001</v>
      </c>
      <c r="E52" s="217">
        <f ca="1"/>
        <v>3056.3708390000002</v>
      </c>
      <c r="F52" s="217">
        <f ca="1"/>
        <v>7245.5315460000002</v>
      </c>
      <c r="G52" s="217">
        <f ca="1"/>
        <v>0</v>
      </c>
      <c r="H52" s="217">
        <f ca="1"/>
        <v>0</v>
      </c>
      <c r="I52" s="217">
        <f ca="1"/>
        <v>3632.3366959999998</v>
      </c>
      <c r="J52" s="217">
        <f ca="1"/>
        <v>72800.870420000007</v>
      </c>
      <c r="K52" s="217">
        <f ca="1"/>
        <v>5068.6334409999999</v>
      </c>
      <c r="L52" s="217">
        <f ca="1"/>
        <v>1584.0828200000001</v>
      </c>
      <c r="M52" s="217">
        <f ca="1"/>
        <v>2039005.6869999999</v>
      </c>
      <c r="N52" s="217">
        <f ca="1"/>
        <v>11952.72746</v>
      </c>
      <c r="O52" s="217">
        <f ca="1"/>
        <v>6253.0975689999996</v>
      </c>
      <c r="P52" s="217">
        <f ca="1"/>
        <v>161160.27910000001</v>
      </c>
      <c r="Q52" s="217">
        <f ca="1"/>
        <v>13902.980089999999</v>
      </c>
      <c r="R52" s="217">
        <f ca="1"/>
        <v>1359.043531</v>
      </c>
      <c r="S52" s="217">
        <f ca="1"/>
        <v>1167744.7220000001</v>
      </c>
      <c r="T52" s="217">
        <f ca="1"/>
        <v>9738.5896119999998</v>
      </c>
      <c r="U52" s="217">
        <f ca="1"/>
        <v>0</v>
      </c>
      <c r="V52" s="217">
        <f ca="1"/>
        <v>0</v>
      </c>
      <c r="W52" s="217">
        <f ca="1"/>
        <v>8.4547850530000002</v>
      </c>
      <c r="X52" s="217">
        <f ca="1"/>
        <v>3.0338981309999999</v>
      </c>
      <c r="Y52" s="217">
        <f ca="1"/>
        <v>548076923.10000002</v>
      </c>
      <c r="Z52" s="217">
        <f ca="1"/>
        <v>0</v>
      </c>
      <c r="AA52" s="217">
        <f ca="1"/>
        <v>0</v>
      </c>
      <c r="AB52" s="217">
        <f ca="1"/>
        <v>0</v>
      </c>
      <c r="AC52" s="217">
        <f ca="1"/>
        <v>0</v>
      </c>
      <c r="AD52" s="217">
        <f ca="1"/>
        <v>0</v>
      </c>
      <c r="AE52" s="217">
        <f ca="1"/>
        <v>0</v>
      </c>
      <c r="AF52" s="217">
        <f ca="1"/>
        <v>0</v>
      </c>
      <c r="AG52" s="217">
        <f ca="1"/>
        <v>7521.3104059999996</v>
      </c>
      <c r="AH52" s="217">
        <f ca="1"/>
        <v>12288.895350000001</v>
      </c>
      <c r="AI52" s="217">
        <f ca="1"/>
        <v>129262</v>
      </c>
      <c r="AJ52" s="217">
        <f ca="1"/>
        <v>0</v>
      </c>
      <c r="AK52" s="217">
        <f ca="1"/>
        <v>0</v>
      </c>
      <c r="AL52" s="217">
        <f ca="1"/>
        <v>0</v>
      </c>
      <c r="AM52" s="217">
        <f ca="1"/>
        <v>0</v>
      </c>
      <c r="AN52" s="217">
        <f ca="1"/>
        <v>0</v>
      </c>
      <c r="AO52" s="217">
        <f ca="1"/>
        <v>0</v>
      </c>
      <c r="AP52" s="217">
        <f ca="1"/>
        <v>138060.74530000001</v>
      </c>
      <c r="AQ52" s="217">
        <f ca="1"/>
        <v>0</v>
      </c>
      <c r="AR52" s="217">
        <f ca="1"/>
        <v>0</v>
      </c>
      <c r="AS52" s="217">
        <f ca="1"/>
        <v>0</v>
      </c>
      <c r="AT52" s="217">
        <f ca="1"/>
        <v>0</v>
      </c>
      <c r="AU52" s="217">
        <f ca="1"/>
        <v>29703.08828</v>
      </c>
      <c r="AV52" s="217">
        <f ca="1"/>
        <v>84187.22954</v>
      </c>
      <c r="AW52" s="217">
        <f ca="1"/>
        <v>19348115.750560001</v>
      </c>
      <c r="AX52" s="217">
        <f ca="1"/>
        <v>3170355.8390000002</v>
      </c>
      <c r="AY52" s="217">
        <f ca="1"/>
        <v>0</v>
      </c>
      <c r="AZ52" s="217">
        <f ca="1"/>
        <v>0</v>
      </c>
      <c r="BA52" s="217">
        <f ca="1"/>
        <v>0</v>
      </c>
      <c r="BB52" s="217">
        <f ca="1"/>
        <v>0</v>
      </c>
      <c r="BC52" s="217">
        <f ca="1"/>
        <v>0</v>
      </c>
      <c r="BD52" s="217">
        <f ca="1"/>
        <v>0</v>
      </c>
      <c r="BE52" s="217">
        <f ca="1"/>
        <v>12288.895350000001</v>
      </c>
      <c r="BF52" s="217">
        <f ca="1"/>
        <v>11.488683183999999</v>
      </c>
      <c r="BG52" s="217">
        <f ca="1"/>
        <v>0</v>
      </c>
      <c r="BH52" s="217">
        <f ca="1"/>
        <v>0</v>
      </c>
      <c r="BI52" s="217">
        <f ca="1"/>
        <v>0</v>
      </c>
      <c r="BJ52" s="217">
        <f ca="1"/>
        <v>0</v>
      </c>
      <c r="BK52" s="217">
        <f ca="1"/>
        <v>0</v>
      </c>
      <c r="BL52" s="217">
        <f ca="1"/>
        <v>0</v>
      </c>
      <c r="BM52" s="217">
        <f ca="1"/>
        <v>0</v>
      </c>
      <c r="BN52" s="217">
        <f ca="1"/>
        <v>0</v>
      </c>
    </row>
    <row r="53" spans="1:66" s="217" customFormat="1" x14ac:dyDescent="0.2">
      <c r="A53"/>
      <c r="B53" s="347" t="str">
        <f ca="1"/>
        <v>All</v>
      </c>
      <c r="C53" s="345">
        <f ca="1"/>
        <v>43808</v>
      </c>
      <c r="D53" s="353">
        <f ca="1"/>
        <v>17787325.870000001</v>
      </c>
      <c r="E53" s="217">
        <f ca="1"/>
        <v>2525.047051</v>
      </c>
      <c r="F53" s="217">
        <f ca="1"/>
        <v>7306.5141709999998</v>
      </c>
      <c r="G53" s="217">
        <f ca="1"/>
        <v>0</v>
      </c>
      <c r="H53" s="217">
        <f ca="1"/>
        <v>0</v>
      </c>
      <c r="I53" s="217">
        <f ca="1"/>
        <v>3424.4726179999998</v>
      </c>
      <c r="J53" s="217">
        <f ca="1"/>
        <v>73623.959329999998</v>
      </c>
      <c r="K53" s="217">
        <f ca="1"/>
        <v>5111.2940200000003</v>
      </c>
      <c r="L53" s="217">
        <f ca="1"/>
        <v>3270.3361190000001</v>
      </c>
      <c r="M53" s="217">
        <f ca="1"/>
        <v>5636991.9630000005</v>
      </c>
      <c r="N53" s="217">
        <f ca="1"/>
        <v>28290.230820000001</v>
      </c>
      <c r="O53" s="217">
        <f ca="1"/>
        <v>5728.5930820000003</v>
      </c>
      <c r="P53" s="217">
        <f ca="1"/>
        <v>143994.3174</v>
      </c>
      <c r="Q53" s="217">
        <f ca="1"/>
        <v>12500.27189</v>
      </c>
      <c r="R53" s="217">
        <f ca="1"/>
        <v>7806.3530890000002</v>
      </c>
      <c r="S53" s="217">
        <f ca="1"/>
        <v>1918100.1359999999</v>
      </c>
      <c r="T53" s="217">
        <f ca="1"/>
        <v>15568.491110000001</v>
      </c>
      <c r="U53" s="217">
        <f ca="1"/>
        <v>0</v>
      </c>
      <c r="V53" s="217">
        <f ca="1"/>
        <v>0</v>
      </c>
      <c r="W53" s="217">
        <f ca="1"/>
        <v>8.0574319540000001</v>
      </c>
      <c r="X53" s="217">
        <f ca="1"/>
        <v>3.2377600750000002</v>
      </c>
      <c r="Y53" s="217">
        <f ca="1"/>
        <v>615384615.39999998</v>
      </c>
      <c r="Z53" s="217">
        <f ca="1"/>
        <v>0</v>
      </c>
      <c r="AA53" s="217">
        <f ca="1"/>
        <v>0</v>
      </c>
      <c r="AB53" s="217">
        <f ca="1"/>
        <v>0</v>
      </c>
      <c r="AC53" s="217">
        <f ca="1"/>
        <v>0</v>
      </c>
      <c r="AD53" s="217">
        <f ca="1"/>
        <v>0</v>
      </c>
      <c r="AE53" s="217">
        <f ca="1"/>
        <v>0</v>
      </c>
      <c r="AF53" s="217">
        <f ca="1"/>
        <v>0</v>
      </c>
      <c r="AG53" s="217">
        <f ca="1"/>
        <v>37736.571539999997</v>
      </c>
      <c r="AH53" s="217">
        <f ca="1"/>
        <v>0</v>
      </c>
      <c r="AI53" s="217">
        <f ca="1"/>
        <v>265476</v>
      </c>
      <c r="AJ53" s="217">
        <f ca="1"/>
        <v>0</v>
      </c>
      <c r="AK53" s="217">
        <f ca="1"/>
        <v>0</v>
      </c>
      <c r="AL53" s="217">
        <f ca="1"/>
        <v>0</v>
      </c>
      <c r="AM53" s="217">
        <f ca="1"/>
        <v>0</v>
      </c>
      <c r="AN53" s="217">
        <f ca="1"/>
        <v>0</v>
      </c>
      <c r="AO53" s="217">
        <f ca="1"/>
        <v>0</v>
      </c>
      <c r="AP53" s="217">
        <f ca="1"/>
        <v>138060.74530000001</v>
      </c>
      <c r="AQ53" s="217">
        <f ca="1"/>
        <v>0</v>
      </c>
      <c r="AR53" s="217">
        <f ca="1"/>
        <v>0</v>
      </c>
      <c r="AS53" s="217">
        <f ca="1"/>
        <v>0</v>
      </c>
      <c r="AT53" s="217">
        <f ca="1"/>
        <v>0</v>
      </c>
      <c r="AU53" s="217">
        <f ca="1"/>
        <v>66865.909239999994</v>
      </c>
      <c r="AV53" s="217">
        <f ca="1"/>
        <v>96622.542910000004</v>
      </c>
      <c r="AW53" s="217">
        <f ca="1"/>
        <v>16174432.436039999</v>
      </c>
      <c r="AX53" s="217">
        <f ca="1"/>
        <v>6767753.0049999999</v>
      </c>
      <c r="AY53" s="217">
        <f ca="1"/>
        <v>0</v>
      </c>
      <c r="AZ53" s="217">
        <f ca="1"/>
        <v>0</v>
      </c>
      <c r="BA53" s="217">
        <f ca="1"/>
        <v>0</v>
      </c>
      <c r="BB53" s="217">
        <f ca="1"/>
        <v>0</v>
      </c>
      <c r="BC53" s="217">
        <f ca="1"/>
        <v>0</v>
      </c>
      <c r="BD53" s="217">
        <f ca="1"/>
        <v>0</v>
      </c>
      <c r="BE53" s="217">
        <f ca="1"/>
        <v>0</v>
      </c>
      <c r="BF53" s="217">
        <f ca="1"/>
        <v>11.295192029000001</v>
      </c>
      <c r="BG53" s="217">
        <f ca="1"/>
        <v>0</v>
      </c>
      <c r="BH53" s="217">
        <f ca="1"/>
        <v>0</v>
      </c>
      <c r="BI53" s="217">
        <f ca="1"/>
        <v>0</v>
      </c>
      <c r="BJ53" s="217">
        <f ca="1"/>
        <v>0</v>
      </c>
      <c r="BK53" s="217">
        <f ca="1"/>
        <v>0</v>
      </c>
      <c r="BL53" s="217">
        <f ca="1"/>
        <v>0</v>
      </c>
      <c r="BM53" s="217">
        <f ca="1"/>
        <v>0</v>
      </c>
      <c r="BN53" s="217">
        <f ca="1"/>
        <v>0</v>
      </c>
    </row>
    <row r="54" spans="1:66" s="217" customFormat="1" x14ac:dyDescent="0.2">
      <c r="A54"/>
      <c r="B54" s="347" t="str">
        <f ca="1"/>
        <v>All</v>
      </c>
      <c r="C54" s="345">
        <f ca="1"/>
        <v>43815</v>
      </c>
      <c r="D54" s="353">
        <f ca="1"/>
        <v>20681419.510000002</v>
      </c>
      <c r="E54" s="217">
        <f ca="1"/>
        <v>1961.6172059999999</v>
      </c>
      <c r="F54" s="217">
        <f ca="1"/>
        <v>5340.3202780000001</v>
      </c>
      <c r="G54" s="217">
        <f ca="1"/>
        <v>0</v>
      </c>
      <c r="H54" s="217">
        <f ca="1"/>
        <v>0</v>
      </c>
      <c r="I54" s="217">
        <f ca="1"/>
        <v>3059.38931</v>
      </c>
      <c r="J54" s="217">
        <f ca="1"/>
        <v>55964.320440000003</v>
      </c>
      <c r="K54" s="217">
        <f ca="1"/>
        <v>3735.8371529999999</v>
      </c>
      <c r="L54" s="217">
        <f ca="1"/>
        <v>4945.1392779999996</v>
      </c>
      <c r="M54" s="217">
        <f ca="1"/>
        <v>8719721.943</v>
      </c>
      <c r="N54" s="217">
        <f ca="1"/>
        <v>47413.739350000003</v>
      </c>
      <c r="O54" s="217">
        <f ca="1"/>
        <v>5524.6925140000003</v>
      </c>
      <c r="P54" s="217">
        <f ca="1"/>
        <v>134319.38949999999</v>
      </c>
      <c r="Q54" s="217">
        <f ca="1"/>
        <v>12264.02908</v>
      </c>
      <c r="R54" s="217">
        <f ca="1"/>
        <v>9026.233381</v>
      </c>
      <c r="S54" s="217">
        <f ca="1"/>
        <v>2200619.1269999999</v>
      </c>
      <c r="T54" s="217">
        <f ca="1"/>
        <v>17813.734090000002</v>
      </c>
      <c r="U54" s="217">
        <f ca="1"/>
        <v>0</v>
      </c>
      <c r="V54" s="217">
        <f ca="1"/>
        <v>0</v>
      </c>
      <c r="W54" s="217">
        <f ca="1"/>
        <v>8.6326858529999999</v>
      </c>
      <c r="X54" s="217">
        <f ca="1"/>
        <v>3.6436794570000002</v>
      </c>
      <c r="Y54" s="217">
        <f ca="1"/>
        <v>817307692.29999995</v>
      </c>
      <c r="Z54" s="217">
        <f ca="1"/>
        <v>0</v>
      </c>
      <c r="AA54" s="217">
        <f ca="1"/>
        <v>0</v>
      </c>
      <c r="AB54" s="217">
        <f ca="1"/>
        <v>0</v>
      </c>
      <c r="AC54" s="217">
        <f ca="1"/>
        <v>0</v>
      </c>
      <c r="AD54" s="217">
        <f ca="1"/>
        <v>0</v>
      </c>
      <c r="AE54" s="217">
        <f ca="1"/>
        <v>0</v>
      </c>
      <c r="AF54" s="217">
        <f ca="1"/>
        <v>0</v>
      </c>
      <c r="AG54" s="217">
        <f ca="1"/>
        <v>17178.587100000001</v>
      </c>
      <c r="AH54" s="217">
        <f ca="1"/>
        <v>0</v>
      </c>
      <c r="AI54" s="217">
        <f ca="1"/>
        <v>557463</v>
      </c>
      <c r="AJ54" s="217">
        <f ca="1"/>
        <v>0</v>
      </c>
      <c r="AK54" s="217">
        <f ca="1"/>
        <v>0</v>
      </c>
      <c r="AL54" s="217">
        <f ca="1"/>
        <v>0</v>
      </c>
      <c r="AM54" s="217">
        <f ca="1"/>
        <v>0</v>
      </c>
      <c r="AN54" s="217">
        <f ca="1"/>
        <v>0</v>
      </c>
      <c r="AO54" s="217">
        <f ca="1"/>
        <v>0</v>
      </c>
      <c r="AP54" s="217">
        <f ca="1"/>
        <v>138060.74530000001</v>
      </c>
      <c r="AQ54" s="217">
        <f ca="1"/>
        <v>0</v>
      </c>
      <c r="AR54" s="217">
        <f ca="1"/>
        <v>0</v>
      </c>
      <c r="AS54" s="217">
        <f ca="1"/>
        <v>0</v>
      </c>
      <c r="AT54" s="217">
        <f ca="1"/>
        <v>0</v>
      </c>
      <c r="AU54" s="217">
        <f ca="1"/>
        <v>39894.946349999998</v>
      </c>
      <c r="AV54" s="217">
        <f ca="1"/>
        <v>121188.667</v>
      </c>
      <c r="AW54" s="217">
        <f ca="1"/>
        <v>15991883.535383999</v>
      </c>
      <c r="AX54" s="217">
        <f ca="1"/>
        <v>4030850.8059999999</v>
      </c>
      <c r="AY54" s="217">
        <f ca="1"/>
        <v>0</v>
      </c>
      <c r="AZ54" s="217">
        <f ca="1"/>
        <v>0</v>
      </c>
      <c r="BA54" s="217">
        <f ca="1"/>
        <v>0</v>
      </c>
      <c r="BB54" s="217">
        <f ca="1"/>
        <v>0</v>
      </c>
      <c r="BC54" s="217">
        <f ca="1"/>
        <v>0</v>
      </c>
      <c r="BD54" s="217">
        <f ca="1"/>
        <v>0</v>
      </c>
      <c r="BE54" s="217">
        <f ca="1"/>
        <v>0</v>
      </c>
      <c r="BF54" s="217">
        <f ca="1"/>
        <v>12.276365309999999</v>
      </c>
      <c r="BG54" s="217">
        <f ca="1"/>
        <v>0</v>
      </c>
      <c r="BH54" s="217">
        <f ca="1"/>
        <v>0</v>
      </c>
      <c r="BI54" s="217">
        <f ca="1"/>
        <v>0</v>
      </c>
      <c r="BJ54" s="217">
        <f ca="1"/>
        <v>0</v>
      </c>
      <c r="BK54" s="217">
        <f ca="1"/>
        <v>0</v>
      </c>
      <c r="BL54" s="217">
        <f ca="1"/>
        <v>0</v>
      </c>
      <c r="BM54" s="217">
        <f ca="1"/>
        <v>0</v>
      </c>
      <c r="BN54" s="217">
        <f ca="1"/>
        <v>0</v>
      </c>
    </row>
    <row r="55" spans="1:66" s="217" customFormat="1" x14ac:dyDescent="0.2">
      <c r="A55"/>
      <c r="B55" s="347" t="str">
        <f ca="1"/>
        <v>All</v>
      </c>
      <c r="C55" s="345">
        <f ca="1"/>
        <v>43822</v>
      </c>
      <c r="D55" s="353">
        <f ca="1"/>
        <v>14988373.890000001</v>
      </c>
      <c r="E55" s="217">
        <f ca="1"/>
        <v>2642.7692649999999</v>
      </c>
      <c r="F55" s="217">
        <f ca="1"/>
        <v>4758.8166099999999</v>
      </c>
      <c r="G55" s="217">
        <f ca="1"/>
        <v>0</v>
      </c>
      <c r="H55" s="217">
        <f ca="1"/>
        <v>0</v>
      </c>
      <c r="I55" s="217">
        <f ca="1"/>
        <v>3811.1350349999998</v>
      </c>
      <c r="J55" s="217">
        <f ca="1"/>
        <v>56548.277580000002</v>
      </c>
      <c r="K55" s="217">
        <f ca="1"/>
        <v>3329.0445089999998</v>
      </c>
      <c r="L55" s="217">
        <f ca="1"/>
        <v>6787.2906350000003</v>
      </c>
      <c r="M55" s="217">
        <f ca="1"/>
        <v>9072033.9399999995</v>
      </c>
      <c r="N55" s="217">
        <f ca="1"/>
        <v>45282.768340000002</v>
      </c>
      <c r="O55" s="217">
        <f ca="1"/>
        <v>6246.4917189999996</v>
      </c>
      <c r="P55" s="217">
        <f ca="1"/>
        <v>138182.93100000001</v>
      </c>
      <c r="Q55" s="217">
        <f ca="1"/>
        <v>13520.725979999999</v>
      </c>
      <c r="R55" s="217">
        <f ca="1"/>
        <v>3645.1080059999999</v>
      </c>
      <c r="S55" s="217">
        <f ca="1"/>
        <v>2520166.1090000002</v>
      </c>
      <c r="T55" s="217">
        <f ca="1"/>
        <v>21919.011170000002</v>
      </c>
      <c r="U55" s="217">
        <f ca="1"/>
        <v>0</v>
      </c>
      <c r="V55" s="217">
        <f ca="1"/>
        <v>0</v>
      </c>
      <c r="W55" s="217">
        <f ca="1"/>
        <v>9.6579397419999999</v>
      </c>
      <c r="X55" s="217">
        <f ca="1"/>
        <v>3.7340485490000002</v>
      </c>
      <c r="Y55" s="217">
        <f ca="1"/>
        <v>663461538.5</v>
      </c>
      <c r="Z55" s="217">
        <f ca="1"/>
        <v>0</v>
      </c>
      <c r="AA55" s="217">
        <f ca="1"/>
        <v>0</v>
      </c>
      <c r="AB55" s="217">
        <f ca="1"/>
        <v>0</v>
      </c>
      <c r="AC55" s="217">
        <f ca="1"/>
        <v>106883.0196</v>
      </c>
      <c r="AD55" s="217">
        <f ca="1"/>
        <v>1533.0863440000001</v>
      </c>
      <c r="AE55" s="217">
        <f ca="1"/>
        <v>1150</v>
      </c>
      <c r="AF55" s="217">
        <f ca="1"/>
        <v>1.1600126000000001E-2</v>
      </c>
      <c r="AG55" s="217">
        <f ca="1"/>
        <v>17178.568149999999</v>
      </c>
      <c r="AH55" s="217">
        <f ca="1"/>
        <v>0</v>
      </c>
      <c r="AI55" s="217">
        <f ca="1"/>
        <v>231396</v>
      </c>
      <c r="AJ55" s="217">
        <f ca="1"/>
        <v>0</v>
      </c>
      <c r="AK55" s="217">
        <f ca="1"/>
        <v>0</v>
      </c>
      <c r="AL55" s="217">
        <f ca="1"/>
        <v>0</v>
      </c>
      <c r="AM55" s="217">
        <f ca="1"/>
        <v>0</v>
      </c>
      <c r="AN55" s="217">
        <f ca="1"/>
        <v>0</v>
      </c>
      <c r="AO55" s="217">
        <f ca="1"/>
        <v>0</v>
      </c>
      <c r="AP55" s="217">
        <f ca="1"/>
        <v>0</v>
      </c>
      <c r="AQ55" s="217">
        <f ca="1"/>
        <v>0</v>
      </c>
      <c r="AR55" s="217">
        <f ca="1"/>
        <v>0</v>
      </c>
      <c r="AS55" s="217">
        <f ca="1"/>
        <v>0</v>
      </c>
      <c r="AT55" s="217">
        <f ca="1"/>
        <v>1</v>
      </c>
      <c r="AU55" s="217">
        <f ca="1"/>
        <v>10057.22328</v>
      </c>
      <c r="AV55" s="217">
        <f ca="1"/>
        <v>113183.728</v>
      </c>
      <c r="AW55" s="217">
        <f ca="1"/>
        <v>18372696.811175998</v>
      </c>
      <c r="AX55" s="217">
        <f ca="1"/>
        <v>910323.25329999998</v>
      </c>
      <c r="AY55" s="217">
        <f ca="1"/>
        <v>0</v>
      </c>
      <c r="AZ55" s="217">
        <f ca="1"/>
        <v>0</v>
      </c>
      <c r="BA55" s="217">
        <f ca="1"/>
        <v>0</v>
      </c>
      <c r="BB55" s="217">
        <f ca="1"/>
        <v>0</v>
      </c>
      <c r="BC55" s="217">
        <f ca="1"/>
        <v>0</v>
      </c>
      <c r="BD55" s="217">
        <f ca="1"/>
        <v>0</v>
      </c>
      <c r="BE55" s="217">
        <f ca="1"/>
        <v>0</v>
      </c>
      <c r="BF55" s="217">
        <f ca="1"/>
        <v>13.391988291000001</v>
      </c>
      <c r="BG55" s="217">
        <f ca="1"/>
        <v>0</v>
      </c>
      <c r="BH55" s="217">
        <f ca="1"/>
        <v>0</v>
      </c>
      <c r="BI55" s="217">
        <f ca="1"/>
        <v>0</v>
      </c>
      <c r="BJ55" s="217">
        <f ca="1"/>
        <v>0</v>
      </c>
      <c r="BK55" s="217">
        <f ca="1"/>
        <v>0</v>
      </c>
      <c r="BL55" s="217">
        <f ca="1"/>
        <v>0</v>
      </c>
      <c r="BM55" s="217">
        <f ca="1"/>
        <v>0</v>
      </c>
      <c r="BN55" s="217">
        <f ca="1"/>
        <v>0</v>
      </c>
    </row>
    <row r="56" spans="1:66" s="217" customFormat="1" x14ac:dyDescent="0.2">
      <c r="A56"/>
      <c r="B56" s="347" t="str">
        <f ca="1"/>
        <v>All</v>
      </c>
      <c r="C56" s="345">
        <f ca="1"/>
        <v>43829</v>
      </c>
      <c r="D56" s="353">
        <f ca="1"/>
        <v>7394759.4119999995</v>
      </c>
      <c r="E56" s="217">
        <f ca="1"/>
        <v>2592.4068200000002</v>
      </c>
      <c r="F56" s="217">
        <f ca="1"/>
        <v>4247.1278810000003</v>
      </c>
      <c r="G56" s="217">
        <f ca="1"/>
        <v>0</v>
      </c>
      <c r="H56" s="217">
        <f ca="1"/>
        <v>0</v>
      </c>
      <c r="I56" s="217">
        <f ca="1"/>
        <v>3451.776797</v>
      </c>
      <c r="J56" s="217">
        <f ca="1"/>
        <v>62170.296280000002</v>
      </c>
      <c r="K56" s="217">
        <f ca="1"/>
        <v>2971.0911150000002</v>
      </c>
      <c r="L56" s="217">
        <f ca="1"/>
        <v>1778.7351980000001</v>
      </c>
      <c r="M56" s="217">
        <f ca="1"/>
        <v>2262165.3909999998</v>
      </c>
      <c r="N56" s="217">
        <f ca="1"/>
        <v>10290.298989999999</v>
      </c>
      <c r="O56" s="217">
        <f ca="1"/>
        <v>7006.6048540000002</v>
      </c>
      <c r="P56" s="217">
        <f ca="1"/>
        <v>145975.63200000001</v>
      </c>
      <c r="Q56" s="217">
        <f ca="1"/>
        <v>14724.082839999999</v>
      </c>
      <c r="R56" s="217">
        <f ca="1"/>
        <v>1169.2354419999999</v>
      </c>
      <c r="S56" s="217">
        <f ca="1"/>
        <v>743160.76249999995</v>
      </c>
      <c r="T56" s="217">
        <f ca="1"/>
        <v>5676.9288310000002</v>
      </c>
      <c r="U56" s="217">
        <f ca="1"/>
        <v>0</v>
      </c>
      <c r="V56" s="217">
        <f ca="1"/>
        <v>0</v>
      </c>
      <c r="W56" s="217">
        <f ca="1"/>
        <v>7.7292091579999997</v>
      </c>
      <c r="X56" s="217">
        <f ca="1"/>
        <v>4.3767620049999998</v>
      </c>
      <c r="Y56" s="217">
        <f ca="1"/>
        <v>311200541.60000002</v>
      </c>
      <c r="Z56" s="217">
        <f ca="1"/>
        <v>0</v>
      </c>
      <c r="AA56" s="217">
        <f ca="1"/>
        <v>0</v>
      </c>
      <c r="AB56" s="217">
        <f ca="1"/>
        <v>0</v>
      </c>
      <c r="AC56" s="217">
        <f ca="1"/>
        <v>0</v>
      </c>
      <c r="AD56" s="217">
        <f ca="1"/>
        <v>0</v>
      </c>
      <c r="AE56" s="217">
        <f ca="1"/>
        <v>0</v>
      </c>
      <c r="AF56" s="217">
        <f ca="1"/>
        <v>0</v>
      </c>
      <c r="AG56" s="217">
        <f ca="1"/>
        <v>6939.0536769999999</v>
      </c>
      <c r="AH56" s="217">
        <f ca="1"/>
        <v>0</v>
      </c>
      <c r="AI56" s="217">
        <f ca="1"/>
        <v>55628</v>
      </c>
      <c r="AJ56" s="217">
        <f ca="1"/>
        <v>0</v>
      </c>
      <c r="AK56" s="217">
        <f ca="1"/>
        <v>0</v>
      </c>
      <c r="AL56" s="217">
        <f ca="1"/>
        <v>0</v>
      </c>
      <c r="AM56" s="217">
        <f ca="1"/>
        <v>0</v>
      </c>
      <c r="AN56" s="217">
        <f ca="1"/>
        <v>0</v>
      </c>
      <c r="AO56" s="217">
        <f ca="1"/>
        <v>0</v>
      </c>
      <c r="AP56" s="217">
        <f ca="1"/>
        <v>0</v>
      </c>
      <c r="AQ56" s="217">
        <f ca="1"/>
        <v>0</v>
      </c>
      <c r="AR56" s="217">
        <f ca="1"/>
        <v>0</v>
      </c>
      <c r="AS56" s="217">
        <f ca="1"/>
        <v>0</v>
      </c>
      <c r="AT56" s="217">
        <f ca="1"/>
        <v>0</v>
      </c>
      <c r="AU56" s="217">
        <f ca="1"/>
        <v>0</v>
      </c>
      <c r="AV56" s="217">
        <f ca="1"/>
        <v>47057.867559999999</v>
      </c>
      <c r="AW56" s="217">
        <f ca="1"/>
        <v>15371952.690168001</v>
      </c>
      <c r="AX56" s="217">
        <f ca="1"/>
        <v>0</v>
      </c>
      <c r="AY56" s="217">
        <f ca="1"/>
        <v>0</v>
      </c>
      <c r="AZ56" s="217">
        <f ca="1"/>
        <v>0</v>
      </c>
      <c r="BA56" s="217">
        <f ca="1"/>
        <v>0</v>
      </c>
      <c r="BB56" s="217">
        <f ca="1"/>
        <v>0</v>
      </c>
      <c r="BC56" s="217">
        <f ca="1"/>
        <v>0</v>
      </c>
      <c r="BD56" s="217">
        <f ca="1"/>
        <v>0</v>
      </c>
      <c r="BE56" s="217">
        <f ca="1"/>
        <v>0</v>
      </c>
      <c r="BF56" s="217">
        <f ca="1"/>
        <v>12.105971163</v>
      </c>
      <c r="BG56" s="217">
        <f ca="1"/>
        <v>0</v>
      </c>
      <c r="BH56" s="217">
        <f ca="1"/>
        <v>0</v>
      </c>
      <c r="BI56" s="217">
        <f ca="1"/>
        <v>0</v>
      </c>
      <c r="BJ56" s="217">
        <f ca="1"/>
        <v>0</v>
      </c>
      <c r="BK56" s="217">
        <f ca="1"/>
        <v>0</v>
      </c>
      <c r="BL56" s="217">
        <f ca="1"/>
        <v>0</v>
      </c>
      <c r="BM56" s="217">
        <f ca="1"/>
        <v>0</v>
      </c>
      <c r="BN56" s="217">
        <f ca="1"/>
        <v>0</v>
      </c>
    </row>
    <row r="57" spans="1:66" s="217" customFormat="1" x14ac:dyDescent="0.2">
      <c r="A57"/>
      <c r="B57" s="347" t="str">
        <f ca="1"/>
        <v>All</v>
      </c>
      <c r="C57" s="345">
        <f ca="1"/>
        <v>43836</v>
      </c>
      <c r="D57" s="353">
        <f ca="1"/>
        <v>6128183.483</v>
      </c>
      <c r="E57" s="217">
        <f ca="1"/>
        <v>1723.6546559999999</v>
      </c>
      <c r="F57" s="217">
        <f ca="1"/>
        <v>3360.2200560000001</v>
      </c>
      <c r="G57" s="217">
        <f ca="1"/>
        <v>0</v>
      </c>
      <c r="H57" s="217">
        <f ca="1"/>
        <v>0</v>
      </c>
      <c r="I57" s="217">
        <f ca="1"/>
        <v>2671.8461120000002</v>
      </c>
      <c r="J57" s="217">
        <f ca="1"/>
        <v>52967.466509999998</v>
      </c>
      <c r="K57" s="217">
        <f ca="1"/>
        <v>2350.6520719999999</v>
      </c>
      <c r="L57" s="217">
        <f ca="1"/>
        <v>0</v>
      </c>
      <c r="M57" s="217">
        <f ca="1"/>
        <v>0</v>
      </c>
      <c r="N57" s="217">
        <f ca="1"/>
        <v>0</v>
      </c>
      <c r="O57" s="217">
        <f ca="1"/>
        <v>5890.6566009999997</v>
      </c>
      <c r="P57" s="217">
        <f ca="1"/>
        <v>132526.5618</v>
      </c>
      <c r="Q57" s="217">
        <f ca="1"/>
        <v>12795.007299999999</v>
      </c>
      <c r="R57" s="217">
        <f ca="1"/>
        <v>0</v>
      </c>
      <c r="S57" s="217">
        <f ca="1"/>
        <v>0</v>
      </c>
      <c r="T57" s="217">
        <f ca="1"/>
        <v>0</v>
      </c>
      <c r="U57" s="217">
        <f ca="1"/>
        <v>0</v>
      </c>
      <c r="V57" s="217">
        <f ca="1"/>
        <v>0</v>
      </c>
      <c r="W57" s="217">
        <f ca="1"/>
        <v>7.6007757319999998</v>
      </c>
      <c r="X57" s="217">
        <f ca="1"/>
        <v>4.812122381</v>
      </c>
      <c r="Y57" s="217">
        <f ca="1"/>
        <v>245756358.5</v>
      </c>
      <c r="Z57" s="217">
        <f ca="1"/>
        <v>0</v>
      </c>
      <c r="AA57" s="217">
        <f ca="1"/>
        <v>0</v>
      </c>
      <c r="AB57" s="217">
        <f ca="1"/>
        <v>0</v>
      </c>
      <c r="AC57" s="217">
        <f ca="1"/>
        <v>0</v>
      </c>
      <c r="AD57" s="217">
        <f ca="1"/>
        <v>0</v>
      </c>
      <c r="AE57" s="217">
        <f ca="1"/>
        <v>0</v>
      </c>
      <c r="AF57" s="217">
        <f ca="1"/>
        <v>0</v>
      </c>
      <c r="AG57" s="217">
        <f ca="1"/>
        <v>1033.951251</v>
      </c>
      <c r="AH57" s="217">
        <f ca="1"/>
        <v>0</v>
      </c>
      <c r="AI57" s="217">
        <f ca="1"/>
        <v>181213</v>
      </c>
      <c r="AJ57" s="217">
        <f ca="1"/>
        <v>0</v>
      </c>
      <c r="AK57" s="217">
        <f ca="1"/>
        <v>0</v>
      </c>
      <c r="AL57" s="217">
        <f ca="1"/>
        <v>0</v>
      </c>
      <c r="AM57" s="217">
        <f ca="1"/>
        <v>0</v>
      </c>
      <c r="AN57" s="217">
        <f ca="1"/>
        <v>0</v>
      </c>
      <c r="AO57" s="217">
        <f ca="1"/>
        <v>0</v>
      </c>
      <c r="AP57" s="217">
        <f ca="1"/>
        <v>0</v>
      </c>
      <c r="AQ57" s="217">
        <f ca="1"/>
        <v>0</v>
      </c>
      <c r="AR57" s="217">
        <f ca="1"/>
        <v>0</v>
      </c>
      <c r="AS57" s="217">
        <f ca="1"/>
        <v>0</v>
      </c>
      <c r="AT57" s="217">
        <f ca="1"/>
        <v>0</v>
      </c>
      <c r="AU57" s="217">
        <f ca="1"/>
        <v>0</v>
      </c>
      <c r="AV57" s="217">
        <f ca="1"/>
        <v>37469.959540000003</v>
      </c>
      <c r="AW57" s="217">
        <f ca="1"/>
        <v>14646841.935351999</v>
      </c>
      <c r="AX57" s="217">
        <f ca="1"/>
        <v>0</v>
      </c>
      <c r="AY57" s="217">
        <f ca="1"/>
        <v>0</v>
      </c>
      <c r="AZ57" s="217">
        <f ca="1"/>
        <v>0</v>
      </c>
      <c r="BA57" s="217">
        <f ca="1"/>
        <v>0</v>
      </c>
      <c r="BB57" s="217">
        <f ca="1"/>
        <v>0</v>
      </c>
      <c r="BC57" s="217">
        <f ca="1"/>
        <v>0</v>
      </c>
      <c r="BD57" s="217">
        <f ca="1"/>
        <v>0</v>
      </c>
      <c r="BE57" s="217">
        <f ca="1"/>
        <v>0</v>
      </c>
      <c r="BF57" s="217">
        <f ca="1"/>
        <v>12.412898113000001</v>
      </c>
      <c r="BG57" s="217">
        <f ca="1"/>
        <v>0</v>
      </c>
      <c r="BH57" s="217">
        <f ca="1"/>
        <v>0</v>
      </c>
      <c r="BI57" s="217">
        <f ca="1"/>
        <v>0</v>
      </c>
      <c r="BJ57" s="217">
        <f ca="1"/>
        <v>0</v>
      </c>
      <c r="BK57" s="217">
        <f ca="1"/>
        <v>0</v>
      </c>
      <c r="BL57" s="217">
        <f ca="1"/>
        <v>0</v>
      </c>
      <c r="BM57" s="217">
        <f ca="1"/>
        <v>0</v>
      </c>
      <c r="BN57" s="217">
        <f ca="1"/>
        <v>1</v>
      </c>
    </row>
    <row r="58" spans="1:66" s="217" customFormat="1" x14ac:dyDescent="0.2">
      <c r="A58"/>
      <c r="B58" s="347" t="str">
        <f ca="1"/>
        <v>All</v>
      </c>
      <c r="C58" s="345">
        <f ca="1"/>
        <v>43843</v>
      </c>
      <c r="D58" s="353">
        <f ca="1"/>
        <v>6077461.2920000004</v>
      </c>
      <c r="E58" s="217">
        <f ca="1"/>
        <v>1353.490691</v>
      </c>
      <c r="F58" s="217">
        <f ca="1"/>
        <v>3982.1144039999999</v>
      </c>
      <c r="G58" s="217">
        <f ca="1"/>
        <v>0</v>
      </c>
      <c r="H58" s="217">
        <f ca="1"/>
        <v>0</v>
      </c>
      <c r="I58" s="217">
        <f ca="1"/>
        <v>3066.4355500000001</v>
      </c>
      <c r="J58" s="217">
        <f ca="1"/>
        <v>59451.328439999997</v>
      </c>
      <c r="K58" s="217">
        <f ca="1"/>
        <v>2785.7001380000002</v>
      </c>
      <c r="L58" s="217">
        <f ca="1"/>
        <v>0</v>
      </c>
      <c r="M58" s="217">
        <f ca="1"/>
        <v>0</v>
      </c>
      <c r="N58" s="217">
        <f ca="1"/>
        <v>0</v>
      </c>
      <c r="O58" s="217">
        <f ca="1"/>
        <v>7446.9948510000004</v>
      </c>
      <c r="P58" s="217">
        <f ca="1"/>
        <v>170532.65900000001</v>
      </c>
      <c r="Q58" s="217">
        <f ca="1"/>
        <v>16597.118750000001</v>
      </c>
      <c r="R58" s="217">
        <f ca="1"/>
        <v>0</v>
      </c>
      <c r="S58" s="217">
        <f ca="1"/>
        <v>0</v>
      </c>
      <c r="T58" s="217">
        <f ca="1"/>
        <v>0</v>
      </c>
      <c r="U58" s="217">
        <f ca="1"/>
        <v>0</v>
      </c>
      <c r="V58" s="217">
        <f ca="1"/>
        <v>0</v>
      </c>
      <c r="W58" s="217">
        <f ca="1"/>
        <v>7.4100527820000002</v>
      </c>
      <c r="X58" s="217">
        <f ca="1"/>
        <v>4.9373160980000002</v>
      </c>
      <c r="Y58" s="217">
        <f ca="1"/>
        <v>251136338.5</v>
      </c>
      <c r="Z58" s="217">
        <f ca="1"/>
        <v>0</v>
      </c>
      <c r="AA58" s="217">
        <f ca="1"/>
        <v>0</v>
      </c>
      <c r="AB58" s="217">
        <f ca="1"/>
        <v>0</v>
      </c>
      <c r="AC58" s="217">
        <f ca="1"/>
        <v>0</v>
      </c>
      <c r="AD58" s="217">
        <f ca="1"/>
        <v>0</v>
      </c>
      <c r="AE58" s="217">
        <f ca="1"/>
        <v>0</v>
      </c>
      <c r="AF58" s="217">
        <f ca="1"/>
        <v>0</v>
      </c>
      <c r="AG58" s="217">
        <f ca="1"/>
        <v>1033.9507140000001</v>
      </c>
      <c r="AH58" s="217">
        <f ca="1"/>
        <v>114707.674</v>
      </c>
      <c r="AI58" s="217">
        <f ca="1"/>
        <v>173029</v>
      </c>
      <c r="AJ58" s="217">
        <f ca="1"/>
        <v>0</v>
      </c>
      <c r="AK58" s="217">
        <f ca="1"/>
        <v>0</v>
      </c>
      <c r="AL58" s="217">
        <f ca="1"/>
        <v>0</v>
      </c>
      <c r="AM58" s="217">
        <f ca="1"/>
        <v>0</v>
      </c>
      <c r="AN58" s="217">
        <f ca="1"/>
        <v>0</v>
      </c>
      <c r="AO58" s="217">
        <f ca="1"/>
        <v>0</v>
      </c>
      <c r="AP58" s="217">
        <f ca="1"/>
        <v>0</v>
      </c>
      <c r="AQ58" s="217">
        <f ca="1"/>
        <v>0</v>
      </c>
      <c r="AR58" s="217">
        <f ca="1"/>
        <v>0</v>
      </c>
      <c r="AS58" s="217">
        <f ca="1"/>
        <v>0</v>
      </c>
      <c r="AT58" s="217">
        <f ca="1"/>
        <v>0</v>
      </c>
      <c r="AU58" s="217">
        <f ca="1"/>
        <v>0</v>
      </c>
      <c r="AV58" s="217">
        <f ca="1"/>
        <v>47759.553740000003</v>
      </c>
      <c r="AW58" s="217">
        <f ca="1"/>
        <v>14572293.81404</v>
      </c>
      <c r="AX58" s="217">
        <f ca="1"/>
        <v>0</v>
      </c>
      <c r="AY58" s="217">
        <f ca="1"/>
        <v>0</v>
      </c>
      <c r="AZ58" s="217">
        <f ca="1"/>
        <v>0</v>
      </c>
      <c r="BA58" s="217">
        <f ca="1"/>
        <v>0</v>
      </c>
      <c r="BB58" s="217">
        <f ca="1"/>
        <v>0</v>
      </c>
      <c r="BC58" s="217">
        <f ca="1"/>
        <v>0</v>
      </c>
      <c r="BD58" s="217">
        <f ca="1"/>
        <v>0</v>
      </c>
      <c r="BE58" s="217">
        <f ca="1"/>
        <v>114707.674</v>
      </c>
      <c r="BF58" s="217">
        <f ca="1"/>
        <v>12.347368879999999</v>
      </c>
      <c r="BG58" s="217">
        <f ca="1"/>
        <v>0</v>
      </c>
      <c r="BH58" s="217">
        <f ca="1"/>
        <v>0</v>
      </c>
      <c r="BI58" s="217">
        <f ca="1"/>
        <v>0</v>
      </c>
      <c r="BJ58" s="217">
        <f ca="1"/>
        <v>0</v>
      </c>
      <c r="BK58" s="217">
        <f ca="1"/>
        <v>0</v>
      </c>
      <c r="BL58" s="217">
        <f ca="1"/>
        <v>0</v>
      </c>
      <c r="BM58" s="217">
        <f ca="1"/>
        <v>0</v>
      </c>
      <c r="BN58" s="217">
        <f ca="1"/>
        <v>0</v>
      </c>
    </row>
    <row r="59" spans="1:66" s="217" customFormat="1" x14ac:dyDescent="0.2">
      <c r="A59"/>
      <c r="B59" s="347" t="str">
        <f ca="1"/>
        <v>All</v>
      </c>
      <c r="C59" s="345">
        <f ca="1"/>
        <v>43850</v>
      </c>
      <c r="D59" s="353">
        <f ca="1"/>
        <v>7084933.6600000001</v>
      </c>
      <c r="E59" s="217">
        <f ca="1"/>
        <v>3160.87291</v>
      </c>
      <c r="F59" s="217">
        <f ca="1"/>
        <v>3879.5198089999999</v>
      </c>
      <c r="G59" s="217">
        <f ca="1"/>
        <v>0</v>
      </c>
      <c r="H59" s="217">
        <f ca="1"/>
        <v>0</v>
      </c>
      <c r="I59" s="217">
        <f ca="1"/>
        <v>3106.5110399999999</v>
      </c>
      <c r="J59" s="217">
        <f ca="1"/>
        <v>57197.412429999997</v>
      </c>
      <c r="K59" s="217">
        <f ca="1"/>
        <v>2713.9297809999998</v>
      </c>
      <c r="L59" s="217">
        <f ca="1"/>
        <v>0</v>
      </c>
      <c r="M59" s="217">
        <f ca="1"/>
        <v>0</v>
      </c>
      <c r="N59" s="217">
        <f ca="1"/>
        <v>0</v>
      </c>
      <c r="O59" s="217">
        <f ca="1"/>
        <v>8148.5361160000002</v>
      </c>
      <c r="P59" s="217">
        <f ca="1"/>
        <v>184707.0514</v>
      </c>
      <c r="Q59" s="217">
        <f ca="1"/>
        <v>16767.84474</v>
      </c>
      <c r="R59" s="217">
        <f ca="1"/>
        <v>0</v>
      </c>
      <c r="S59" s="217">
        <f ca="1"/>
        <v>0</v>
      </c>
      <c r="T59" s="217">
        <f ca="1"/>
        <v>0</v>
      </c>
      <c r="U59" s="217">
        <f ca="1"/>
        <v>0</v>
      </c>
      <c r="V59" s="217">
        <f ca="1"/>
        <v>0</v>
      </c>
      <c r="W59" s="217">
        <f ca="1"/>
        <v>9.0156332090000006</v>
      </c>
      <c r="X59" s="217">
        <f ca="1"/>
        <v>4.7232514009999997</v>
      </c>
      <c r="Y59" s="217">
        <f ca="1"/>
        <v>269361562.69999999</v>
      </c>
      <c r="Z59" s="217">
        <f ca="1"/>
        <v>0</v>
      </c>
      <c r="AA59" s="217">
        <f ca="1"/>
        <v>0</v>
      </c>
      <c r="AB59" s="217">
        <f ca="1"/>
        <v>0</v>
      </c>
      <c r="AC59" s="217">
        <f ca="1"/>
        <v>0</v>
      </c>
      <c r="AD59" s="217">
        <f ca="1"/>
        <v>0</v>
      </c>
      <c r="AE59" s="217">
        <f ca="1"/>
        <v>0</v>
      </c>
      <c r="AF59" s="217">
        <f ca="1"/>
        <v>0</v>
      </c>
      <c r="AG59" s="217">
        <f ca="1"/>
        <v>924.92650370000001</v>
      </c>
      <c r="AH59" s="217">
        <f ca="1"/>
        <v>47622.358180000003</v>
      </c>
      <c r="AI59" s="217">
        <f ca="1"/>
        <v>80370</v>
      </c>
      <c r="AJ59" s="217">
        <f ca="1"/>
        <v>0</v>
      </c>
      <c r="AK59" s="217">
        <f ca="1"/>
        <v>0</v>
      </c>
      <c r="AL59" s="217">
        <f ca="1"/>
        <v>0</v>
      </c>
      <c r="AM59" s="217">
        <f ca="1"/>
        <v>0</v>
      </c>
      <c r="AN59" s="217">
        <f ca="1"/>
        <v>0</v>
      </c>
      <c r="AO59" s="217">
        <f ca="1"/>
        <v>0</v>
      </c>
      <c r="AP59" s="217">
        <f ca="1"/>
        <v>0</v>
      </c>
      <c r="AQ59" s="217">
        <f ca="1"/>
        <v>0</v>
      </c>
      <c r="AR59" s="217">
        <f ca="1"/>
        <v>0</v>
      </c>
      <c r="AS59" s="217">
        <f ca="1"/>
        <v>0</v>
      </c>
      <c r="AT59" s="217">
        <f ca="1"/>
        <v>0</v>
      </c>
      <c r="AU59" s="217">
        <f ca="1"/>
        <v>0</v>
      </c>
      <c r="AV59" s="217">
        <f ca="1"/>
        <v>43278.573850000001</v>
      </c>
      <c r="AW59" s="217">
        <f ca="1"/>
        <v>12055253.5049599</v>
      </c>
      <c r="AX59" s="217">
        <f ca="1"/>
        <v>0</v>
      </c>
      <c r="AY59" s="217">
        <f ca="1"/>
        <v>0</v>
      </c>
      <c r="AZ59" s="217">
        <f ca="1"/>
        <v>0</v>
      </c>
      <c r="BA59" s="217">
        <f ca="1"/>
        <v>0</v>
      </c>
      <c r="BB59" s="217">
        <f ca="1"/>
        <v>0</v>
      </c>
      <c r="BC59" s="217">
        <f ca="1"/>
        <v>0</v>
      </c>
      <c r="BD59" s="217">
        <f ca="1"/>
        <v>0</v>
      </c>
      <c r="BE59" s="217">
        <f ca="1"/>
        <v>47622.358180000003</v>
      </c>
      <c r="BF59" s="217">
        <f ca="1"/>
        <v>13.738884609999999</v>
      </c>
      <c r="BG59" s="217">
        <f ca="1"/>
        <v>0</v>
      </c>
      <c r="BH59" s="217">
        <f ca="1"/>
        <v>0</v>
      </c>
      <c r="BI59" s="217">
        <f ca="1"/>
        <v>0</v>
      </c>
      <c r="BJ59" s="217">
        <f ca="1"/>
        <v>0</v>
      </c>
      <c r="BK59" s="217">
        <f ca="1"/>
        <v>0</v>
      </c>
      <c r="BL59" s="217">
        <f ca="1"/>
        <v>0</v>
      </c>
      <c r="BM59" s="217">
        <f ca="1"/>
        <v>0</v>
      </c>
      <c r="BN59" s="217">
        <f ca="1"/>
        <v>0</v>
      </c>
    </row>
    <row r="60" spans="1:66" s="217" customFormat="1" x14ac:dyDescent="0.2">
      <c r="A60"/>
      <c r="B60" s="347" t="str">
        <f ca="1"/>
        <v>All</v>
      </c>
      <c r="C60" s="345">
        <f ca="1"/>
        <v>43857</v>
      </c>
      <c r="D60" s="353">
        <f ca="1"/>
        <v>6811065.7240000004</v>
      </c>
      <c r="E60" s="217">
        <f ca="1"/>
        <v>4187.6372439999996</v>
      </c>
      <c r="F60" s="217">
        <f ca="1"/>
        <v>3401.171018</v>
      </c>
      <c r="G60" s="217">
        <f ca="1"/>
        <v>0</v>
      </c>
      <c r="H60" s="217">
        <f ca="1"/>
        <v>0</v>
      </c>
      <c r="I60" s="217">
        <f ca="1"/>
        <v>2754.1990420000002</v>
      </c>
      <c r="J60" s="217">
        <f ca="1"/>
        <v>51385.585639999998</v>
      </c>
      <c r="K60" s="217">
        <f ca="1"/>
        <v>2379.2994410000001</v>
      </c>
      <c r="L60" s="217">
        <f ca="1"/>
        <v>0</v>
      </c>
      <c r="M60" s="217">
        <f ca="1"/>
        <v>0</v>
      </c>
      <c r="N60" s="217">
        <f ca="1"/>
        <v>0</v>
      </c>
      <c r="O60" s="217">
        <f ca="1"/>
        <v>8926.2648509999999</v>
      </c>
      <c r="P60" s="217">
        <f ca="1"/>
        <v>202998.2096</v>
      </c>
      <c r="Q60" s="217">
        <f ca="1"/>
        <v>17285.893110000001</v>
      </c>
      <c r="R60" s="217">
        <f ca="1"/>
        <v>0</v>
      </c>
      <c r="S60" s="217">
        <f ca="1"/>
        <v>0</v>
      </c>
      <c r="T60" s="217">
        <f ca="1"/>
        <v>0</v>
      </c>
      <c r="U60" s="217">
        <f ca="1"/>
        <v>0</v>
      </c>
      <c r="V60" s="217">
        <f ca="1"/>
        <v>0</v>
      </c>
      <c r="W60" s="217">
        <f ca="1"/>
        <v>8.3561109279999997</v>
      </c>
      <c r="X60" s="217">
        <f ca="1"/>
        <v>4.238480708</v>
      </c>
      <c r="Y60" s="217">
        <f ca="1"/>
        <v>263082597</v>
      </c>
      <c r="Z60" s="217">
        <f ca="1"/>
        <v>0</v>
      </c>
      <c r="AA60" s="217">
        <f ca="1"/>
        <v>0</v>
      </c>
      <c r="AB60" s="217">
        <f ca="1"/>
        <v>0</v>
      </c>
      <c r="AC60" s="217">
        <f ca="1"/>
        <v>0</v>
      </c>
      <c r="AD60" s="217">
        <f ca="1"/>
        <v>0</v>
      </c>
      <c r="AE60" s="217">
        <f ca="1"/>
        <v>0</v>
      </c>
      <c r="AF60" s="217">
        <f ca="1"/>
        <v>0</v>
      </c>
      <c r="AG60" s="217">
        <f ca="1"/>
        <v>6895.1169980000004</v>
      </c>
      <c r="AH60" s="217">
        <f ca="1"/>
        <v>194419.6152</v>
      </c>
      <c r="AI60" s="217">
        <f ca="1"/>
        <v>102959</v>
      </c>
      <c r="AJ60" s="217">
        <f ca="1"/>
        <v>0</v>
      </c>
      <c r="AK60" s="217">
        <f ca="1"/>
        <v>0</v>
      </c>
      <c r="AL60" s="217">
        <f ca="1"/>
        <v>0</v>
      </c>
      <c r="AM60" s="217">
        <f ca="1"/>
        <v>0</v>
      </c>
      <c r="AN60" s="217">
        <f ca="1"/>
        <v>0</v>
      </c>
      <c r="AO60" s="217">
        <f ca="1"/>
        <v>0</v>
      </c>
      <c r="AP60" s="217">
        <f ca="1"/>
        <v>0</v>
      </c>
      <c r="AQ60" s="217">
        <f ca="1"/>
        <v>0</v>
      </c>
      <c r="AR60" s="217">
        <f ca="1"/>
        <v>0</v>
      </c>
      <c r="AS60" s="217">
        <f ca="1"/>
        <v>0</v>
      </c>
      <c r="AT60" s="217">
        <f ca="1"/>
        <v>0</v>
      </c>
      <c r="AU60" s="217">
        <f ca="1"/>
        <v>0</v>
      </c>
      <c r="AV60" s="217">
        <f ca="1"/>
        <v>41096.423150000002</v>
      </c>
      <c r="AW60" s="217">
        <f ca="1"/>
        <v>10237101.6984159</v>
      </c>
      <c r="AX60" s="217">
        <f ca="1"/>
        <v>0</v>
      </c>
      <c r="AY60" s="217">
        <f ca="1"/>
        <v>0</v>
      </c>
      <c r="AZ60" s="217">
        <f ca="1"/>
        <v>0</v>
      </c>
      <c r="BA60" s="217">
        <f ca="1"/>
        <v>0</v>
      </c>
      <c r="BB60" s="217">
        <f ca="1"/>
        <v>0</v>
      </c>
      <c r="BC60" s="217">
        <f ca="1"/>
        <v>0</v>
      </c>
      <c r="BD60" s="217">
        <f ca="1"/>
        <v>0</v>
      </c>
      <c r="BE60" s="217">
        <f ca="1"/>
        <v>194419.6152</v>
      </c>
      <c r="BF60" s="217">
        <f ca="1"/>
        <v>12.594591636000001</v>
      </c>
      <c r="BG60" s="217">
        <f ca="1"/>
        <v>0</v>
      </c>
      <c r="BH60" s="217">
        <f ca="1"/>
        <v>0</v>
      </c>
      <c r="BI60" s="217">
        <f ca="1"/>
        <v>0</v>
      </c>
      <c r="BJ60" s="217">
        <f ca="1"/>
        <v>0</v>
      </c>
      <c r="BK60" s="217">
        <f ca="1"/>
        <v>0</v>
      </c>
      <c r="BL60" s="217">
        <f ca="1"/>
        <v>0</v>
      </c>
      <c r="BM60" s="217">
        <f ca="1"/>
        <v>0</v>
      </c>
      <c r="BN60" s="217">
        <f ca="1"/>
        <v>0</v>
      </c>
    </row>
    <row r="61" spans="1:66" s="217" customFormat="1" x14ac:dyDescent="0.2">
      <c r="A61"/>
      <c r="B61" s="347" t="str">
        <f ca="1"/>
        <v>All</v>
      </c>
      <c r="C61" s="345">
        <f ca="1"/>
        <v>43864</v>
      </c>
      <c r="D61" s="353">
        <f ca="1"/>
        <v>18472805.66</v>
      </c>
      <c r="E61" s="217">
        <f ca="1"/>
        <v>4239.8882800000001</v>
      </c>
      <c r="F61" s="217">
        <f ca="1"/>
        <v>3692.045611</v>
      </c>
      <c r="G61" s="217">
        <f ca="1"/>
        <v>0</v>
      </c>
      <c r="H61" s="217">
        <f ca="1"/>
        <v>0</v>
      </c>
      <c r="I61" s="217">
        <f ca="1"/>
        <v>2659.5151930000002</v>
      </c>
      <c r="J61" s="217">
        <f ca="1"/>
        <v>52753.436970000002</v>
      </c>
      <c r="K61" s="217">
        <f ca="1"/>
        <v>2582.7816389999998</v>
      </c>
      <c r="L61" s="217">
        <f ca="1"/>
        <v>648.69446570000002</v>
      </c>
      <c r="M61" s="217">
        <f ca="1"/>
        <v>651444.70129999996</v>
      </c>
      <c r="N61" s="217">
        <f ca="1"/>
        <v>3280.8946510000001</v>
      </c>
      <c r="O61" s="217">
        <f ca="1"/>
        <v>7291.9775719999998</v>
      </c>
      <c r="P61" s="217">
        <f ca="1"/>
        <v>155617.53049999999</v>
      </c>
      <c r="Q61" s="217">
        <f ca="1"/>
        <v>12631.613810000001</v>
      </c>
      <c r="R61" s="217">
        <f ca="1"/>
        <v>502.92537670000002</v>
      </c>
      <c r="S61" s="217">
        <f ca="1"/>
        <v>203119.3168</v>
      </c>
      <c r="T61" s="217">
        <f ca="1"/>
        <v>1699.016946</v>
      </c>
      <c r="U61" s="217">
        <f ca="1"/>
        <v>0</v>
      </c>
      <c r="V61" s="217">
        <f ca="1"/>
        <v>0</v>
      </c>
      <c r="W61" s="217">
        <f ca="1"/>
        <v>7.7439555709999999</v>
      </c>
      <c r="X61" s="217">
        <f ca="1"/>
        <v>4.6251131519999999</v>
      </c>
      <c r="Y61" s="217">
        <f ca="1"/>
        <v>299832372.89999998</v>
      </c>
      <c r="Z61" s="217">
        <f ca="1"/>
        <v>0</v>
      </c>
      <c r="AA61" s="217">
        <f ca="1"/>
        <v>0</v>
      </c>
      <c r="AB61" s="217">
        <f ca="1"/>
        <v>0</v>
      </c>
      <c r="AC61" s="217">
        <f ca="1"/>
        <v>0</v>
      </c>
      <c r="AD61" s="217">
        <f ca="1"/>
        <v>0</v>
      </c>
      <c r="AE61" s="217">
        <f ca="1"/>
        <v>0</v>
      </c>
      <c r="AF61" s="217">
        <f ca="1"/>
        <v>0</v>
      </c>
      <c r="AG61" s="217">
        <f ca="1"/>
        <v>25323.001789999998</v>
      </c>
      <c r="AH61" s="217">
        <f ca="1"/>
        <v>0</v>
      </c>
      <c r="AI61" s="217">
        <f ca="1"/>
        <v>37167</v>
      </c>
      <c r="AJ61" s="217">
        <f ca="1"/>
        <v>0</v>
      </c>
      <c r="AK61" s="217">
        <f ca="1"/>
        <v>0</v>
      </c>
      <c r="AL61" s="217">
        <f ca="1"/>
        <v>0</v>
      </c>
      <c r="AM61" s="217">
        <f ca="1"/>
        <v>0</v>
      </c>
      <c r="AN61" s="217">
        <f ca="1"/>
        <v>0</v>
      </c>
      <c r="AO61" s="217">
        <f ca="1"/>
        <v>0</v>
      </c>
      <c r="AP61" s="217">
        <f ca="1"/>
        <v>173956.5399</v>
      </c>
      <c r="AQ61" s="217">
        <f ca="1"/>
        <v>0</v>
      </c>
      <c r="AR61" s="217">
        <f ca="1"/>
        <v>0</v>
      </c>
      <c r="AS61" s="217">
        <f ca="1"/>
        <v>0</v>
      </c>
      <c r="AT61" s="217">
        <f ca="1"/>
        <v>0</v>
      </c>
      <c r="AU61" s="217">
        <f ca="1"/>
        <v>56409.83541</v>
      </c>
      <c r="AV61" s="217">
        <f ca="1"/>
        <v>42225.592539999998</v>
      </c>
      <c r="AW61" s="217">
        <f ca="1"/>
        <v>8800444.9508720003</v>
      </c>
      <c r="AX61" s="217">
        <f ca="1"/>
        <v>4438657.7489999998</v>
      </c>
      <c r="AY61" s="217">
        <f ca="1"/>
        <v>0</v>
      </c>
      <c r="AZ61" s="217">
        <f ca="1"/>
        <v>0</v>
      </c>
      <c r="BA61" s="217">
        <f ca="1"/>
        <v>0</v>
      </c>
      <c r="BB61" s="217">
        <f ca="1"/>
        <v>0</v>
      </c>
      <c r="BC61" s="217">
        <f ca="1"/>
        <v>0</v>
      </c>
      <c r="BD61" s="217">
        <f ca="1"/>
        <v>0</v>
      </c>
      <c r="BE61" s="217">
        <f ca="1"/>
        <v>0</v>
      </c>
      <c r="BF61" s="217">
        <f ca="1"/>
        <v>12.369068723</v>
      </c>
      <c r="BG61" s="217">
        <f ca="1"/>
        <v>0</v>
      </c>
      <c r="BH61" s="217">
        <f ca="1"/>
        <v>1</v>
      </c>
      <c r="BI61" s="217">
        <f ca="1"/>
        <v>0</v>
      </c>
      <c r="BJ61" s="217">
        <f ca="1"/>
        <v>0</v>
      </c>
      <c r="BK61" s="217">
        <f ca="1"/>
        <v>0</v>
      </c>
      <c r="BL61" s="217">
        <f ca="1"/>
        <v>0</v>
      </c>
      <c r="BM61" s="217">
        <f ca="1"/>
        <v>0</v>
      </c>
      <c r="BN61" s="217">
        <f ca="1"/>
        <v>0</v>
      </c>
    </row>
    <row r="62" spans="1:66" s="217" customFormat="1" x14ac:dyDescent="0.2">
      <c r="A62"/>
      <c r="B62" s="347" t="str">
        <f ca="1"/>
        <v>All</v>
      </c>
      <c r="C62" s="345">
        <f ca="1"/>
        <v>43871</v>
      </c>
      <c r="D62" s="353">
        <f ca="1"/>
        <v>12271156.390000001</v>
      </c>
      <c r="E62" s="217">
        <f ca="1"/>
        <v>3984.298875</v>
      </c>
      <c r="F62" s="217">
        <f ca="1"/>
        <v>2873.8195689999998</v>
      </c>
      <c r="G62" s="217">
        <f ca="1"/>
        <v>0</v>
      </c>
      <c r="H62" s="217">
        <f ca="1"/>
        <v>0.34680349599999999</v>
      </c>
      <c r="I62" s="217">
        <f ca="1"/>
        <v>2078.6407859999999</v>
      </c>
      <c r="J62" s="217">
        <f ca="1"/>
        <v>42005.278700000003</v>
      </c>
      <c r="K62" s="217">
        <f ca="1"/>
        <v>2010.3891450000001</v>
      </c>
      <c r="L62" s="217">
        <f ca="1"/>
        <v>769.80171489999998</v>
      </c>
      <c r="M62" s="217">
        <f ca="1"/>
        <v>896853.78870000003</v>
      </c>
      <c r="N62" s="217">
        <f ca="1"/>
        <v>5042.7712959999999</v>
      </c>
      <c r="O62" s="217">
        <f ca="1"/>
        <v>7480.024101</v>
      </c>
      <c r="P62" s="217">
        <f ca="1"/>
        <v>145714.92110000001</v>
      </c>
      <c r="Q62" s="217">
        <f ca="1"/>
        <v>11518.642589999999</v>
      </c>
      <c r="R62" s="217">
        <f ca="1"/>
        <v>1388.109271</v>
      </c>
      <c r="S62" s="217">
        <f ca="1"/>
        <v>796466.44850000006</v>
      </c>
      <c r="T62" s="217">
        <f ca="1"/>
        <v>7138.0944650000001</v>
      </c>
      <c r="U62" s="217">
        <f ca="1"/>
        <v>0</v>
      </c>
      <c r="V62" s="217">
        <f ca="1"/>
        <v>4.8944247000000003E-2</v>
      </c>
      <c r="W62" s="217">
        <f ca="1"/>
        <v>9.070389746</v>
      </c>
      <c r="X62" s="217">
        <f ca="1"/>
        <v>6.0810299329999999</v>
      </c>
      <c r="Y62" s="217">
        <f ca="1"/>
        <v>361464876.5</v>
      </c>
      <c r="Z62" s="217">
        <f ca="1"/>
        <v>0</v>
      </c>
      <c r="AA62" s="217">
        <f ca="1"/>
        <v>0</v>
      </c>
      <c r="AB62" s="217">
        <f ca="1"/>
        <v>0</v>
      </c>
      <c r="AC62" s="217">
        <f ca="1"/>
        <v>0</v>
      </c>
      <c r="AD62" s="217">
        <f ca="1"/>
        <v>0</v>
      </c>
      <c r="AE62" s="217">
        <f ca="1"/>
        <v>0</v>
      </c>
      <c r="AF62" s="217">
        <f ca="1"/>
        <v>0</v>
      </c>
      <c r="AG62" s="217">
        <f ca="1"/>
        <v>41813.275199999996</v>
      </c>
      <c r="AH62" s="217">
        <f ca="1"/>
        <v>74459.018920000002</v>
      </c>
      <c r="AI62" s="217">
        <f ca="1"/>
        <v>187679</v>
      </c>
      <c r="AJ62" s="217">
        <f ca="1"/>
        <v>0</v>
      </c>
      <c r="AK62" s="217">
        <f ca="1"/>
        <v>0</v>
      </c>
      <c r="AL62" s="217">
        <f ca="1"/>
        <v>0</v>
      </c>
      <c r="AM62" s="217">
        <f ca="1"/>
        <v>0</v>
      </c>
      <c r="AN62" s="217">
        <f ca="1"/>
        <v>0</v>
      </c>
      <c r="AO62" s="217">
        <f ca="1"/>
        <v>0</v>
      </c>
      <c r="AP62" s="217">
        <f ca="1"/>
        <v>173956.5399</v>
      </c>
      <c r="AQ62" s="217">
        <f ca="1"/>
        <v>0</v>
      </c>
      <c r="AR62" s="217">
        <f ca="1"/>
        <v>0</v>
      </c>
      <c r="AS62" s="217">
        <f ca="1"/>
        <v>1</v>
      </c>
      <c r="AT62" s="217">
        <f ca="1"/>
        <v>0</v>
      </c>
      <c r="AU62" s="217">
        <f ca="1"/>
        <v>70190.103640000001</v>
      </c>
      <c r="AV62" s="217">
        <f ca="1"/>
        <v>43195.054819999998</v>
      </c>
      <c r="AW62" s="217">
        <f ca="1"/>
        <v>9160877.8785119895</v>
      </c>
      <c r="AX62" s="217">
        <f ca="1"/>
        <v>5253388.3650000002</v>
      </c>
      <c r="AY62" s="217">
        <f ca="1"/>
        <v>0</v>
      </c>
      <c r="AZ62" s="217">
        <f ca="1"/>
        <v>0</v>
      </c>
      <c r="BA62" s="217">
        <f ca="1"/>
        <v>0</v>
      </c>
      <c r="BB62" s="217">
        <f ca="1"/>
        <v>0</v>
      </c>
      <c r="BC62" s="217">
        <f ca="1"/>
        <v>0</v>
      </c>
      <c r="BD62" s="217">
        <f ca="1"/>
        <v>0</v>
      </c>
      <c r="BE62" s="217">
        <f ca="1"/>
        <v>74459.018920000002</v>
      </c>
      <c r="BF62" s="217">
        <f ca="1"/>
        <v>15.200363926</v>
      </c>
      <c r="BG62" s="217">
        <f ca="1"/>
        <v>0</v>
      </c>
      <c r="BH62" s="217">
        <f ca="1"/>
        <v>0.3</v>
      </c>
      <c r="BI62" s="217">
        <f ca="1"/>
        <v>0</v>
      </c>
      <c r="BJ62" s="217">
        <f ca="1"/>
        <v>0</v>
      </c>
      <c r="BK62" s="217">
        <f ca="1"/>
        <v>0</v>
      </c>
      <c r="BL62" s="217">
        <f ca="1"/>
        <v>0</v>
      </c>
      <c r="BM62" s="217">
        <f ca="1"/>
        <v>0</v>
      </c>
      <c r="BN62" s="217">
        <f ca="1"/>
        <v>0</v>
      </c>
    </row>
    <row r="63" spans="1:66" s="217" customFormat="1" x14ac:dyDescent="0.2">
      <c r="A63"/>
      <c r="B63" s="347" t="str">
        <f ca="1"/>
        <v>All</v>
      </c>
      <c r="C63" s="345">
        <f ca="1"/>
        <v>43878</v>
      </c>
      <c r="D63" s="353">
        <f ca="1"/>
        <v>10431474.85</v>
      </c>
      <c r="E63" s="217">
        <f ca="1"/>
        <v>4256.2560739999999</v>
      </c>
      <c r="F63" s="217">
        <f ca="1"/>
        <v>3321.5881460000001</v>
      </c>
      <c r="G63" s="217">
        <f ca="1"/>
        <v>0</v>
      </c>
      <c r="H63" s="217">
        <f ca="1"/>
        <v>-1.901109057</v>
      </c>
      <c r="I63" s="217">
        <f ca="1"/>
        <v>2045.171147</v>
      </c>
      <c r="J63" s="217">
        <f ca="1"/>
        <v>46091.217100000002</v>
      </c>
      <c r="K63" s="217">
        <f ca="1"/>
        <v>2323.6270030000001</v>
      </c>
      <c r="L63" s="217">
        <f ca="1"/>
        <v>2674.0480619999998</v>
      </c>
      <c r="M63" s="217">
        <f ca="1"/>
        <v>1416785.706</v>
      </c>
      <c r="N63" s="217">
        <f ca="1"/>
        <v>13874.94767</v>
      </c>
      <c r="O63" s="217">
        <f ca="1"/>
        <v>7586.1580899999999</v>
      </c>
      <c r="P63" s="217">
        <f ca="1"/>
        <v>146195.82689999999</v>
      </c>
      <c r="Q63" s="217">
        <f ca="1"/>
        <v>12049.915870000001</v>
      </c>
      <c r="R63" s="217">
        <f ca="1"/>
        <v>1463.85635</v>
      </c>
      <c r="S63" s="217">
        <f ca="1"/>
        <v>1138983.2919999999</v>
      </c>
      <c r="T63" s="217">
        <f ca="1"/>
        <v>10352.660379999999</v>
      </c>
      <c r="U63" s="217">
        <f ca="1"/>
        <v>0</v>
      </c>
      <c r="V63" s="217">
        <f ca="1"/>
        <v>0</v>
      </c>
      <c r="W63" s="217">
        <f ca="1"/>
        <v>7.5275028400000004</v>
      </c>
      <c r="X63" s="217">
        <f ca="1"/>
        <v>5.774697797</v>
      </c>
      <c r="Y63" s="217">
        <f ca="1"/>
        <v>301164115.30000001</v>
      </c>
      <c r="Z63" s="217">
        <f ca="1"/>
        <v>0</v>
      </c>
      <c r="AA63" s="217">
        <f ca="1"/>
        <v>0</v>
      </c>
      <c r="AB63" s="217">
        <f ca="1"/>
        <v>0</v>
      </c>
      <c r="AC63" s="217">
        <f ca="1"/>
        <v>0</v>
      </c>
      <c r="AD63" s="217">
        <f ca="1"/>
        <v>0</v>
      </c>
      <c r="AE63" s="217">
        <f ca="1"/>
        <v>0</v>
      </c>
      <c r="AF63" s="217">
        <f ca="1"/>
        <v>0</v>
      </c>
      <c r="AG63" s="217">
        <f ca="1"/>
        <v>22024.539079999999</v>
      </c>
      <c r="AH63" s="217">
        <f ca="1"/>
        <v>82977.567479999998</v>
      </c>
      <c r="AI63" s="217">
        <f ca="1"/>
        <v>208046</v>
      </c>
      <c r="AJ63" s="217">
        <f ca="1"/>
        <v>0</v>
      </c>
      <c r="AK63" s="217">
        <f ca="1"/>
        <v>0</v>
      </c>
      <c r="AL63" s="217">
        <f ca="1"/>
        <v>0</v>
      </c>
      <c r="AM63" s="217">
        <f ca="1"/>
        <v>0</v>
      </c>
      <c r="AN63" s="217">
        <f ca="1"/>
        <v>0</v>
      </c>
      <c r="AO63" s="217">
        <f ca="1"/>
        <v>0</v>
      </c>
      <c r="AP63" s="217">
        <f ca="1"/>
        <v>0</v>
      </c>
      <c r="AQ63" s="217">
        <f ca="1"/>
        <v>0</v>
      </c>
      <c r="AR63" s="217">
        <f ca="1"/>
        <v>0</v>
      </c>
      <c r="AS63" s="217">
        <f ca="1"/>
        <v>0</v>
      </c>
      <c r="AT63" s="217">
        <f ca="1"/>
        <v>0</v>
      </c>
      <c r="AU63" s="217">
        <f ca="1"/>
        <v>80445.444090000005</v>
      </c>
      <c r="AV63" s="217">
        <f ca="1"/>
        <v>35687.742380000003</v>
      </c>
      <c r="AW63" s="217">
        <f ca="1"/>
        <v>9719215.7224400006</v>
      </c>
      <c r="AX63" s="217">
        <f ca="1"/>
        <v>6052733.767</v>
      </c>
      <c r="AY63" s="217">
        <f ca="1"/>
        <v>0</v>
      </c>
      <c r="AZ63" s="217">
        <f ca="1"/>
        <v>0</v>
      </c>
      <c r="BA63" s="217">
        <f ca="1"/>
        <v>0</v>
      </c>
      <c r="BB63" s="217">
        <f ca="1"/>
        <v>0</v>
      </c>
      <c r="BC63" s="217">
        <f ca="1"/>
        <v>0</v>
      </c>
      <c r="BD63" s="217">
        <f ca="1"/>
        <v>0</v>
      </c>
      <c r="BE63" s="217">
        <f ca="1"/>
        <v>82977.567479999998</v>
      </c>
      <c r="BF63" s="217">
        <f ca="1"/>
        <v>13.302200637</v>
      </c>
      <c r="BG63" s="217">
        <f ca="1"/>
        <v>0</v>
      </c>
      <c r="BH63" s="217">
        <f ca="1"/>
        <v>0.09</v>
      </c>
      <c r="BI63" s="217">
        <f ca="1"/>
        <v>0</v>
      </c>
      <c r="BJ63" s="217">
        <f ca="1"/>
        <v>0</v>
      </c>
      <c r="BK63" s="217">
        <f ca="1"/>
        <v>0</v>
      </c>
      <c r="BL63" s="217">
        <f ca="1"/>
        <v>0</v>
      </c>
      <c r="BM63" s="217">
        <f ca="1"/>
        <v>0</v>
      </c>
      <c r="BN63" s="217">
        <f ca="1"/>
        <v>0</v>
      </c>
    </row>
    <row r="64" spans="1:66" s="217" customFormat="1" x14ac:dyDescent="0.2">
      <c r="A64"/>
      <c r="B64" s="347" t="str">
        <f ca="1"/>
        <v>All</v>
      </c>
      <c r="C64" s="345">
        <f ca="1"/>
        <v>43885</v>
      </c>
      <c r="D64" s="353">
        <f ca="1"/>
        <v>8808837.7780000009</v>
      </c>
      <c r="E64" s="217">
        <f ca="1"/>
        <v>4533.2495179999996</v>
      </c>
      <c r="F64" s="217">
        <f ca="1"/>
        <v>3159.387072</v>
      </c>
      <c r="G64" s="217">
        <f ca="1"/>
        <v>0</v>
      </c>
      <c r="H64" s="217">
        <f ca="1"/>
        <v>1.919655272</v>
      </c>
      <c r="I64" s="217">
        <f ca="1"/>
        <v>2039.0056870000001</v>
      </c>
      <c r="J64" s="217">
        <f ca="1"/>
        <v>41416.036890000003</v>
      </c>
      <c r="K64" s="217">
        <f ca="1"/>
        <v>2210.1587519999998</v>
      </c>
      <c r="L64" s="217">
        <f ca="1"/>
        <v>468.13456689999998</v>
      </c>
      <c r="M64" s="217">
        <f ca="1"/>
        <v>484101.34669999999</v>
      </c>
      <c r="N64" s="217">
        <f ca="1"/>
        <v>2816.2624930000002</v>
      </c>
      <c r="O64" s="217">
        <f ca="1"/>
        <v>7284.0505519999997</v>
      </c>
      <c r="P64" s="217">
        <f ca="1"/>
        <v>147734.99</v>
      </c>
      <c r="Q64" s="217">
        <f ca="1"/>
        <v>12759.62637</v>
      </c>
      <c r="R64" s="217">
        <f ca="1"/>
        <v>1218.1187319999999</v>
      </c>
      <c r="S64" s="217">
        <f ca="1"/>
        <v>1159740.6340000001</v>
      </c>
      <c r="T64" s="217">
        <f ca="1"/>
        <v>10729.30791</v>
      </c>
      <c r="U64" s="217">
        <f ca="1"/>
        <v>0</v>
      </c>
      <c r="V64" s="217">
        <f ca="1"/>
        <v>0.519526975</v>
      </c>
      <c r="W64" s="217">
        <f ca="1"/>
        <v>7.3365021290000003</v>
      </c>
      <c r="X64" s="217">
        <f ca="1"/>
        <v>5.6120590129999997</v>
      </c>
      <c r="Y64" s="217">
        <f ca="1"/>
        <v>295278446.60000002</v>
      </c>
      <c r="Z64" s="217">
        <f ca="1"/>
        <v>0</v>
      </c>
      <c r="AA64" s="217">
        <f ca="1"/>
        <v>0</v>
      </c>
      <c r="AB64" s="217">
        <f ca="1"/>
        <v>0</v>
      </c>
      <c r="AC64" s="217">
        <f ca="1"/>
        <v>0</v>
      </c>
      <c r="AD64" s="217">
        <f ca="1"/>
        <v>0</v>
      </c>
      <c r="AE64" s="217">
        <f ca="1"/>
        <v>0</v>
      </c>
      <c r="AF64" s="217">
        <f ca="1"/>
        <v>0</v>
      </c>
      <c r="AG64" s="217">
        <f ca="1"/>
        <v>22047.154289999999</v>
      </c>
      <c r="AH64" s="217">
        <f ca="1"/>
        <v>0</v>
      </c>
      <c r="AI64" s="217">
        <f ca="1"/>
        <v>70326</v>
      </c>
      <c r="AJ64" s="217">
        <f ca="1"/>
        <v>0</v>
      </c>
      <c r="AK64" s="217">
        <f ca="1"/>
        <v>0</v>
      </c>
      <c r="AL64" s="217">
        <f ca="1"/>
        <v>0</v>
      </c>
      <c r="AM64" s="217">
        <f ca="1"/>
        <v>0</v>
      </c>
      <c r="AN64" s="217">
        <f ca="1"/>
        <v>0</v>
      </c>
      <c r="AO64" s="217">
        <f ca="1"/>
        <v>0</v>
      </c>
      <c r="AP64" s="217">
        <f ca="1"/>
        <v>0</v>
      </c>
      <c r="AQ64" s="217">
        <f ca="1"/>
        <v>0</v>
      </c>
      <c r="AR64" s="217">
        <f ca="1"/>
        <v>0</v>
      </c>
      <c r="AS64" s="217">
        <f ca="1"/>
        <v>0</v>
      </c>
      <c r="AT64" s="217">
        <f ca="1"/>
        <v>0</v>
      </c>
      <c r="AU64" s="217">
        <f ca="1"/>
        <v>10512.470880000001</v>
      </c>
      <c r="AV64" s="217">
        <f ca="1"/>
        <v>31754.109260000001</v>
      </c>
      <c r="AW64" s="217">
        <f ca="1"/>
        <v>9481558.1432319991</v>
      </c>
      <c r="AX64" s="217">
        <f ca="1"/>
        <v>819438.8406</v>
      </c>
      <c r="AY64" s="217">
        <f ca="1"/>
        <v>0</v>
      </c>
      <c r="AZ64" s="217">
        <f ca="1"/>
        <v>0</v>
      </c>
      <c r="BA64" s="217">
        <f ca="1"/>
        <v>0</v>
      </c>
      <c r="BB64" s="217">
        <f ca="1"/>
        <v>0</v>
      </c>
      <c r="BC64" s="217">
        <f ca="1"/>
        <v>0</v>
      </c>
      <c r="BD64" s="217">
        <f ca="1"/>
        <v>0</v>
      </c>
      <c r="BE64" s="217">
        <f ca="1"/>
        <v>0</v>
      </c>
      <c r="BF64" s="217">
        <f ca="1"/>
        <v>13.468088117000001</v>
      </c>
      <c r="BG64" s="217">
        <f ca="1"/>
        <v>0</v>
      </c>
      <c r="BH64" s="217">
        <f ca="1"/>
        <v>2.6999999999999899E-2</v>
      </c>
      <c r="BI64" s="217">
        <f ca="1"/>
        <v>0</v>
      </c>
      <c r="BJ64" s="217">
        <f ca="1"/>
        <v>0</v>
      </c>
      <c r="BK64" s="217">
        <f ca="1"/>
        <v>0</v>
      </c>
      <c r="BL64" s="217">
        <f ca="1"/>
        <v>0</v>
      </c>
      <c r="BM64" s="217">
        <f ca="1"/>
        <v>0</v>
      </c>
      <c r="BN64" s="217">
        <f ca="1"/>
        <v>0</v>
      </c>
    </row>
    <row r="65" spans="1:66" s="217" customFormat="1" x14ac:dyDescent="0.2">
      <c r="A65"/>
      <c r="B65" s="347" t="str">
        <f ca="1"/>
        <v>All</v>
      </c>
      <c r="C65" s="345">
        <f ca="1"/>
        <v>43892</v>
      </c>
      <c r="D65" s="353">
        <f ca="1"/>
        <v>10497654.6</v>
      </c>
      <c r="E65" s="217">
        <f ca="1"/>
        <v>3177.8702349999999</v>
      </c>
      <c r="F65" s="217">
        <f ca="1"/>
        <v>3441.1021409999998</v>
      </c>
      <c r="G65" s="217">
        <f ca="1"/>
        <v>0</v>
      </c>
      <c r="H65" s="217">
        <f ca="1"/>
        <v>2.1399525869999998</v>
      </c>
      <c r="I65" s="217">
        <f ca="1"/>
        <v>2168.920736</v>
      </c>
      <c r="J65" s="217">
        <f ca="1"/>
        <v>39145.386059999997</v>
      </c>
      <c r="K65" s="217">
        <f ca="1"/>
        <v>2407.2333789999998</v>
      </c>
      <c r="L65" s="217">
        <f ca="1"/>
        <v>775.08639489999996</v>
      </c>
      <c r="M65" s="217">
        <f ca="1"/>
        <v>894010.19050000003</v>
      </c>
      <c r="N65" s="217">
        <f ca="1"/>
        <v>5329.514032</v>
      </c>
      <c r="O65" s="217">
        <f ca="1"/>
        <v>5833.8462920000002</v>
      </c>
      <c r="P65" s="217">
        <f ca="1"/>
        <v>121430.4955</v>
      </c>
      <c r="Q65" s="217">
        <f ca="1"/>
        <v>10157.767040000001</v>
      </c>
      <c r="R65" s="217">
        <f ca="1"/>
        <v>2034.6017870000001</v>
      </c>
      <c r="S65" s="217">
        <f ca="1"/>
        <v>1489992.176</v>
      </c>
      <c r="T65" s="217">
        <f ca="1"/>
        <v>14190.038769999999</v>
      </c>
      <c r="U65" s="217">
        <f ca="1"/>
        <v>0</v>
      </c>
      <c r="V65" s="217">
        <f ca="1"/>
        <v>5.5027250519999997</v>
      </c>
      <c r="W65" s="217">
        <f ca="1"/>
        <v>7.5241594669999996</v>
      </c>
      <c r="X65" s="217">
        <f ca="1"/>
        <v>4.7665626799999998</v>
      </c>
      <c r="Y65" s="217">
        <f ca="1"/>
        <v>294573983.89999998</v>
      </c>
      <c r="Z65" s="217">
        <f ca="1"/>
        <v>0</v>
      </c>
      <c r="AA65" s="217">
        <f ca="1"/>
        <v>0</v>
      </c>
      <c r="AB65" s="217">
        <f ca="1"/>
        <v>0</v>
      </c>
      <c r="AC65" s="217">
        <f ca="1"/>
        <v>0</v>
      </c>
      <c r="AD65" s="217">
        <f ca="1"/>
        <v>0</v>
      </c>
      <c r="AE65" s="217">
        <f ca="1"/>
        <v>0</v>
      </c>
      <c r="AF65" s="217">
        <f ca="1"/>
        <v>0</v>
      </c>
      <c r="AG65" s="217">
        <f ca="1"/>
        <v>1002.936031</v>
      </c>
      <c r="AH65" s="217">
        <f ca="1"/>
        <v>0</v>
      </c>
      <c r="AI65" s="217">
        <f ca="1"/>
        <v>993971</v>
      </c>
      <c r="AJ65" s="217">
        <f ca="1"/>
        <v>0</v>
      </c>
      <c r="AK65" s="217">
        <f ca="1"/>
        <v>0</v>
      </c>
      <c r="AL65" s="217">
        <f ca="1"/>
        <v>0</v>
      </c>
      <c r="AM65" s="217">
        <f ca="1"/>
        <v>0</v>
      </c>
      <c r="AN65" s="217">
        <f ca="1"/>
        <v>0</v>
      </c>
      <c r="AO65" s="217">
        <f ca="1"/>
        <v>0</v>
      </c>
      <c r="AP65" s="217">
        <f ca="1"/>
        <v>0</v>
      </c>
      <c r="AQ65" s="217">
        <f ca="1"/>
        <v>0</v>
      </c>
      <c r="AR65" s="217">
        <f ca="1"/>
        <v>0</v>
      </c>
      <c r="AS65" s="217">
        <f ca="1"/>
        <v>0</v>
      </c>
      <c r="AT65" s="217">
        <f ca="1"/>
        <v>0</v>
      </c>
      <c r="AU65" s="217">
        <f ca="1"/>
        <v>30111.17697</v>
      </c>
      <c r="AV65" s="217">
        <f ca="1"/>
        <v>26234.53759</v>
      </c>
      <c r="AW65" s="217">
        <f ca="1"/>
        <v>9433640.2984239999</v>
      </c>
      <c r="AX65" s="217">
        <f ca="1"/>
        <v>2001719.422</v>
      </c>
      <c r="AY65" s="217">
        <f ca="1"/>
        <v>0</v>
      </c>
      <c r="AZ65" s="217">
        <f ca="1"/>
        <v>0</v>
      </c>
      <c r="BA65" s="217">
        <f ca="1"/>
        <v>0</v>
      </c>
      <c r="BB65" s="217">
        <f ca="1"/>
        <v>0</v>
      </c>
      <c r="BC65" s="217">
        <f ca="1"/>
        <v>0</v>
      </c>
      <c r="BD65" s="217">
        <f ca="1"/>
        <v>0</v>
      </c>
      <c r="BE65" s="217">
        <f ca="1"/>
        <v>0</v>
      </c>
      <c r="BF65" s="217">
        <f ca="1"/>
        <v>17.793447198999999</v>
      </c>
      <c r="BG65" s="217">
        <f ca="1"/>
        <v>0</v>
      </c>
      <c r="BH65" s="217">
        <f ca="1"/>
        <v>0</v>
      </c>
      <c r="BI65" s="217">
        <f ca="1"/>
        <v>0</v>
      </c>
      <c r="BJ65" s="217">
        <f ca="1"/>
        <v>0</v>
      </c>
      <c r="BK65" s="217">
        <f ca="1"/>
        <v>0</v>
      </c>
      <c r="BL65" s="217">
        <f ca="1"/>
        <v>0</v>
      </c>
      <c r="BM65" s="217">
        <f ca="1"/>
        <v>0</v>
      </c>
      <c r="BN65" s="217">
        <f ca="1"/>
        <v>0</v>
      </c>
    </row>
    <row r="66" spans="1:66" s="217" customFormat="1" x14ac:dyDescent="0.2">
      <c r="A66"/>
      <c r="B66" s="347" t="str">
        <f ca="1"/>
        <v>All</v>
      </c>
      <c r="C66" s="345">
        <f ca="1"/>
        <v>43899</v>
      </c>
      <c r="D66" s="353">
        <f ca="1"/>
        <v>6525614.6840000004</v>
      </c>
      <c r="E66" s="217">
        <f ca="1"/>
        <v>3508.3737759999999</v>
      </c>
      <c r="F66" s="217">
        <f ca="1"/>
        <v>2876.83502</v>
      </c>
      <c r="G66" s="217">
        <f ca="1"/>
        <v>0</v>
      </c>
      <c r="H66" s="217">
        <f ca="1"/>
        <v>-1.7139053179999999</v>
      </c>
      <c r="I66" s="217">
        <f ca="1"/>
        <v>1676.124329</v>
      </c>
      <c r="J66" s="217">
        <f ca="1"/>
        <v>36173.634359999996</v>
      </c>
      <c r="K66" s="217">
        <f ca="1"/>
        <v>2012.498613</v>
      </c>
      <c r="L66" s="217">
        <f ca="1"/>
        <v>608.178586</v>
      </c>
      <c r="M66" s="217">
        <f ca="1"/>
        <v>904475.17799999996</v>
      </c>
      <c r="N66" s="217">
        <f ca="1"/>
        <v>6256.9761230000004</v>
      </c>
      <c r="O66" s="217">
        <f ca="1"/>
        <v>5624.2206530000003</v>
      </c>
      <c r="P66" s="217">
        <f ca="1"/>
        <v>118679.8195</v>
      </c>
      <c r="Q66" s="217">
        <f ca="1"/>
        <v>10244.88939</v>
      </c>
      <c r="R66" s="217">
        <f ca="1"/>
        <v>1366.5301609999999</v>
      </c>
      <c r="S66" s="217">
        <f ca="1"/>
        <v>868534.95030000003</v>
      </c>
      <c r="T66" s="217">
        <f ca="1"/>
        <v>9009.7412199999999</v>
      </c>
      <c r="U66" s="217">
        <f ca="1"/>
        <v>0</v>
      </c>
      <c r="V66" s="217">
        <f ca="1"/>
        <v>11.551176269999999</v>
      </c>
      <c r="W66" s="217">
        <f ca="1"/>
        <v>6.606795558</v>
      </c>
      <c r="X66" s="217">
        <f ca="1"/>
        <v>6.8387009130000003</v>
      </c>
      <c r="Y66" s="217">
        <f ca="1"/>
        <v>275922109.5</v>
      </c>
      <c r="Z66" s="217">
        <f ca="1"/>
        <v>0</v>
      </c>
      <c r="AA66" s="217">
        <f ca="1"/>
        <v>0</v>
      </c>
      <c r="AB66" s="217">
        <f ca="1"/>
        <v>0</v>
      </c>
      <c r="AC66" s="217">
        <f ca="1"/>
        <v>0</v>
      </c>
      <c r="AD66" s="217">
        <f ca="1"/>
        <v>0</v>
      </c>
      <c r="AE66" s="217">
        <f ca="1"/>
        <v>0</v>
      </c>
      <c r="AF66" s="217">
        <f ca="1"/>
        <v>0</v>
      </c>
      <c r="AG66" s="217">
        <f ca="1"/>
        <v>1002.933392</v>
      </c>
      <c r="AH66" s="217">
        <f ca="1"/>
        <v>0</v>
      </c>
      <c r="AI66" s="217">
        <f ca="1"/>
        <v>670247</v>
      </c>
      <c r="AJ66" s="217">
        <f ca="1"/>
        <v>0</v>
      </c>
      <c r="AK66" s="217">
        <f ca="1"/>
        <v>0</v>
      </c>
      <c r="AL66" s="217">
        <f ca="1"/>
        <v>0</v>
      </c>
      <c r="AM66" s="217">
        <f ca="1"/>
        <v>0</v>
      </c>
      <c r="AN66" s="217">
        <f ca="1"/>
        <v>0</v>
      </c>
      <c r="AO66" s="217">
        <f ca="1"/>
        <v>0</v>
      </c>
      <c r="AP66" s="217">
        <f ca="1"/>
        <v>0</v>
      </c>
      <c r="AQ66" s="217">
        <f ca="1"/>
        <v>0</v>
      </c>
      <c r="AR66" s="217">
        <f ca="1"/>
        <v>0</v>
      </c>
      <c r="AS66" s="217">
        <f ca="1"/>
        <v>0</v>
      </c>
      <c r="AT66" s="217">
        <f ca="1"/>
        <v>0</v>
      </c>
      <c r="AU66" s="217">
        <f ca="1"/>
        <v>32698.946650000002</v>
      </c>
      <c r="AV66" s="217">
        <f ca="1"/>
        <v>36036.608990000001</v>
      </c>
      <c r="AW66" s="217">
        <f ca="1"/>
        <v>11898078.564247999</v>
      </c>
      <c r="AX66" s="217">
        <f ca="1"/>
        <v>2343335.2779999999</v>
      </c>
      <c r="AY66" s="217">
        <f ca="1"/>
        <v>0</v>
      </c>
      <c r="AZ66" s="217">
        <f ca="1"/>
        <v>0</v>
      </c>
      <c r="BA66" s="217">
        <f ca="1"/>
        <v>0</v>
      </c>
      <c r="BB66" s="217">
        <f ca="1"/>
        <v>0</v>
      </c>
      <c r="BC66" s="217">
        <f ca="1"/>
        <v>0</v>
      </c>
      <c r="BD66" s="217">
        <f ca="1"/>
        <v>0</v>
      </c>
      <c r="BE66" s="217">
        <f ca="1"/>
        <v>0</v>
      </c>
      <c r="BF66" s="217">
        <f ca="1"/>
        <v>24.996672741000001</v>
      </c>
      <c r="BG66" s="217">
        <f ca="1"/>
        <v>0</v>
      </c>
      <c r="BH66" s="217">
        <f ca="1"/>
        <v>0</v>
      </c>
      <c r="BI66" s="217">
        <f ca="1"/>
        <v>0</v>
      </c>
      <c r="BJ66" s="217">
        <f ca="1"/>
        <v>0</v>
      </c>
      <c r="BK66" s="217">
        <f ca="1"/>
        <v>0</v>
      </c>
      <c r="BL66" s="217">
        <f ca="1"/>
        <v>0</v>
      </c>
      <c r="BM66" s="217">
        <f ca="1"/>
        <v>0</v>
      </c>
      <c r="BN66" s="217">
        <f ca="1"/>
        <v>0</v>
      </c>
    </row>
    <row r="67" spans="1:66" s="217" customFormat="1" x14ac:dyDescent="0.2">
      <c r="A67"/>
      <c r="B67" s="347" t="str">
        <f ca="1"/>
        <v>All</v>
      </c>
      <c r="C67" s="345">
        <f ca="1"/>
        <v>43906</v>
      </c>
      <c r="D67" s="353">
        <f ca="1"/>
        <v>4232459.3459999999</v>
      </c>
      <c r="E67" s="217">
        <f ca="1"/>
        <v>2276.382482</v>
      </c>
      <c r="F67" s="217">
        <f ca="1"/>
        <v>3886.4005780000002</v>
      </c>
      <c r="G67" s="217">
        <f ca="1"/>
        <v>0</v>
      </c>
      <c r="H67" s="217">
        <f ca="1"/>
        <v>-21.507407629999999</v>
      </c>
      <c r="I67" s="217">
        <f ca="1"/>
        <v>1656.747169</v>
      </c>
      <c r="J67" s="217">
        <f ca="1"/>
        <v>33115.566220000001</v>
      </c>
      <c r="K67" s="217">
        <f ca="1"/>
        <v>2718.7432429999999</v>
      </c>
      <c r="L67" s="217">
        <f ca="1"/>
        <v>609.94014600000003</v>
      </c>
      <c r="M67" s="217">
        <f ca="1"/>
        <v>792897.08759999997</v>
      </c>
      <c r="N67" s="217">
        <f ca="1"/>
        <v>5432.9176600000001</v>
      </c>
      <c r="O67" s="217">
        <f ca="1"/>
        <v>5670.021213</v>
      </c>
      <c r="P67" s="217">
        <f ca="1"/>
        <v>121504.92140000001</v>
      </c>
      <c r="Q67" s="217">
        <f ca="1"/>
        <v>10441.40021</v>
      </c>
      <c r="R67" s="217">
        <f ca="1"/>
        <v>2022.7112569999999</v>
      </c>
      <c r="S67" s="217">
        <f ca="1"/>
        <v>771656.63760000002</v>
      </c>
      <c r="T67" s="217">
        <f ca="1"/>
        <v>9015.1282910000009</v>
      </c>
      <c r="U67" s="217">
        <f ca="1"/>
        <v>0</v>
      </c>
      <c r="V67" s="217">
        <f ca="1"/>
        <v>11.978099950000001</v>
      </c>
      <c r="W67" s="217">
        <f ca="1"/>
        <v>4.8661894270000001</v>
      </c>
      <c r="X67" s="217">
        <f ca="1"/>
        <v>4.3993062079999996</v>
      </c>
      <c r="Y67" s="217">
        <f ca="1"/>
        <v>170718563.90000001</v>
      </c>
      <c r="Z67" s="217">
        <f ca="1"/>
        <v>0</v>
      </c>
      <c r="AA67" s="217">
        <f ca="1"/>
        <v>0</v>
      </c>
      <c r="AB67" s="217">
        <f ca="1"/>
        <v>0</v>
      </c>
      <c r="AC67" s="217">
        <f ca="1"/>
        <v>0</v>
      </c>
      <c r="AD67" s="217">
        <f ca="1"/>
        <v>0</v>
      </c>
      <c r="AE67" s="217">
        <f ca="1"/>
        <v>0</v>
      </c>
      <c r="AF67" s="217">
        <f ca="1"/>
        <v>0</v>
      </c>
      <c r="AG67" s="217">
        <f ca="1"/>
        <v>1002.93035</v>
      </c>
      <c r="AH67" s="217">
        <f ca="1"/>
        <v>0</v>
      </c>
      <c r="AI67" s="217">
        <f ca="1"/>
        <v>317435</v>
      </c>
      <c r="AJ67" s="217">
        <f ca="1"/>
        <v>0</v>
      </c>
      <c r="AK67" s="217">
        <f ca="1"/>
        <v>0</v>
      </c>
      <c r="AL67" s="217">
        <f ca="1"/>
        <v>0</v>
      </c>
      <c r="AM67" s="217">
        <f ca="1"/>
        <v>0</v>
      </c>
      <c r="AN67" s="217">
        <f ca="1"/>
        <v>0</v>
      </c>
      <c r="AO67" s="217">
        <f ca="1"/>
        <v>0</v>
      </c>
      <c r="AP67" s="217">
        <f ca="1"/>
        <v>0</v>
      </c>
      <c r="AQ67" s="217">
        <f ca="1"/>
        <v>0</v>
      </c>
      <c r="AR67" s="217">
        <f ca="1"/>
        <v>0</v>
      </c>
      <c r="AS67" s="217">
        <f ca="1"/>
        <v>0</v>
      </c>
      <c r="AT67" s="217">
        <f ca="1"/>
        <v>0</v>
      </c>
      <c r="AU67" s="217">
        <f ca="1"/>
        <v>32972.720159999997</v>
      </c>
      <c r="AV67" s="217">
        <f ca="1"/>
        <v>30266.593720000001</v>
      </c>
      <c r="AW67" s="217">
        <f ca="1"/>
        <v>13685449.3647919</v>
      </c>
      <c r="AX67" s="217">
        <f ca="1"/>
        <v>2709215.57</v>
      </c>
      <c r="AY67" s="217">
        <f ca="1"/>
        <v>0</v>
      </c>
      <c r="AZ67" s="217">
        <f ca="1"/>
        <v>0</v>
      </c>
      <c r="BA67" s="217">
        <f ca="1"/>
        <v>0</v>
      </c>
      <c r="BB67" s="217">
        <f ca="1"/>
        <v>0</v>
      </c>
      <c r="BC67" s="217">
        <f ca="1"/>
        <v>0</v>
      </c>
      <c r="BD67" s="217">
        <f ca="1"/>
        <v>0</v>
      </c>
      <c r="BE67" s="217">
        <f ca="1"/>
        <v>0</v>
      </c>
      <c r="BF67" s="217">
        <f ca="1"/>
        <v>21.243595585000001</v>
      </c>
      <c r="BG67" s="217">
        <f ca="1"/>
        <v>0</v>
      </c>
      <c r="BH67" s="217">
        <f ca="1"/>
        <v>0</v>
      </c>
      <c r="BI67" s="217">
        <f ca="1"/>
        <v>0</v>
      </c>
      <c r="BJ67" s="217">
        <f ca="1"/>
        <v>0</v>
      </c>
      <c r="BK67" s="217">
        <f ca="1"/>
        <v>0</v>
      </c>
      <c r="BL67" s="217">
        <f ca="1"/>
        <v>0</v>
      </c>
      <c r="BM67" s="217">
        <f ca="1"/>
        <v>0</v>
      </c>
      <c r="BN67" s="217">
        <f ca="1"/>
        <v>0</v>
      </c>
    </row>
    <row r="68" spans="1:66" s="217" customFormat="1" x14ac:dyDescent="0.2">
      <c r="A68"/>
      <c r="B68" s="347" t="str">
        <f ca="1"/>
        <v>All</v>
      </c>
      <c r="C68" s="345">
        <f ca="1"/>
        <v>43913</v>
      </c>
      <c r="D68" s="353">
        <f ca="1"/>
        <v>1984181.811</v>
      </c>
      <c r="E68" s="217">
        <f ca="1"/>
        <v>2498.6067680000001</v>
      </c>
      <c r="F68" s="217">
        <f ca="1"/>
        <v>2409.7925970000001</v>
      </c>
      <c r="G68" s="217">
        <f ca="1"/>
        <v>0</v>
      </c>
      <c r="H68" s="217">
        <f ca="1"/>
        <v>-33.038863630000002</v>
      </c>
      <c r="I68" s="217">
        <f ca="1"/>
        <v>1334.822081</v>
      </c>
      <c r="J68" s="217">
        <f ca="1"/>
        <v>25063.91591</v>
      </c>
      <c r="K68" s="217">
        <f ca="1"/>
        <v>1685.7776779999999</v>
      </c>
      <c r="L68" s="217">
        <f ca="1"/>
        <v>62.535379589999998</v>
      </c>
      <c r="M68" s="217">
        <f ca="1"/>
        <v>83712.413379999998</v>
      </c>
      <c r="N68" s="217">
        <f ca="1"/>
        <v>555.63081729999999</v>
      </c>
      <c r="O68" s="217">
        <f ca="1"/>
        <v>3150.109649</v>
      </c>
      <c r="P68" s="217">
        <f ca="1"/>
        <v>63283.161800000002</v>
      </c>
      <c r="Q68" s="217">
        <f ca="1"/>
        <v>5212.6541809999999</v>
      </c>
      <c r="R68" s="217">
        <f ca="1"/>
        <v>291.0977881</v>
      </c>
      <c r="S68" s="217">
        <f ca="1"/>
        <v>107591.2398</v>
      </c>
      <c r="T68" s="217">
        <f ca="1"/>
        <v>1122.817751</v>
      </c>
      <c r="U68" s="217">
        <f ca="1"/>
        <v>0</v>
      </c>
      <c r="V68" s="217">
        <f ca="1"/>
        <v>7.8075630489999996</v>
      </c>
      <c r="W68" s="217">
        <f ca="1"/>
        <v>5.3550790920000004</v>
      </c>
      <c r="X68" s="217">
        <f ca="1"/>
        <v>3.725751458</v>
      </c>
      <c r="Y68" s="217">
        <f ca="1"/>
        <v>133604758.90000001</v>
      </c>
      <c r="Z68" s="217">
        <f ca="1"/>
        <v>0</v>
      </c>
      <c r="AA68" s="217">
        <f ca="1"/>
        <v>0</v>
      </c>
      <c r="AB68" s="217">
        <f ca="1"/>
        <v>0</v>
      </c>
      <c r="AC68" s="217">
        <f ca="1"/>
        <v>0</v>
      </c>
      <c r="AD68" s="217">
        <f ca="1"/>
        <v>0</v>
      </c>
      <c r="AE68" s="217">
        <f ca="1"/>
        <v>0</v>
      </c>
      <c r="AF68" s="217">
        <f ca="1"/>
        <v>0</v>
      </c>
      <c r="AG68" s="217">
        <f ca="1"/>
        <v>1002.928798</v>
      </c>
      <c r="AH68" s="217">
        <f ca="1"/>
        <v>254695.4319</v>
      </c>
      <c r="AI68" s="217">
        <f ca="1"/>
        <v>393324</v>
      </c>
      <c r="AJ68" s="217">
        <f ca="1"/>
        <v>0</v>
      </c>
      <c r="AK68" s="217">
        <f ca="1"/>
        <v>0</v>
      </c>
      <c r="AL68" s="217">
        <f ca="1"/>
        <v>0</v>
      </c>
      <c r="AM68" s="217">
        <f ca="1"/>
        <v>0</v>
      </c>
      <c r="AN68" s="217">
        <f ca="1"/>
        <v>0</v>
      </c>
      <c r="AO68" s="217">
        <f ca="1"/>
        <v>0</v>
      </c>
      <c r="AP68" s="217">
        <f ca="1"/>
        <v>0</v>
      </c>
      <c r="AQ68" s="217">
        <f ca="1"/>
        <v>0</v>
      </c>
      <c r="AR68" s="217">
        <f ca="1"/>
        <v>0</v>
      </c>
      <c r="AS68" s="217">
        <f ca="1"/>
        <v>0</v>
      </c>
      <c r="AT68" s="217">
        <f ca="1"/>
        <v>0</v>
      </c>
      <c r="AU68" s="217">
        <f ca="1"/>
        <v>9046.1022539999994</v>
      </c>
      <c r="AV68" s="217">
        <f ca="1"/>
        <v>12167.20817</v>
      </c>
      <c r="AW68" s="217">
        <f ca="1"/>
        <v>10825008.054296</v>
      </c>
      <c r="AX68" s="217">
        <f ca="1"/>
        <v>924553.0784</v>
      </c>
      <c r="AY68" s="217">
        <f ca="1"/>
        <v>0</v>
      </c>
      <c r="AZ68" s="217">
        <f ca="1"/>
        <v>0</v>
      </c>
      <c r="BA68" s="217">
        <f ca="1"/>
        <v>0</v>
      </c>
      <c r="BB68" s="217">
        <f ca="1"/>
        <v>0</v>
      </c>
      <c r="BC68" s="217">
        <f ca="1"/>
        <v>0</v>
      </c>
      <c r="BD68" s="217">
        <f ca="1"/>
        <v>0</v>
      </c>
      <c r="BE68" s="217">
        <f ca="1"/>
        <v>254695.4319</v>
      </c>
      <c r="BF68" s="217">
        <f ca="1"/>
        <v>16.888393599</v>
      </c>
      <c r="BG68" s="217">
        <f ca="1"/>
        <v>0</v>
      </c>
      <c r="BH68" s="217">
        <f ca="1"/>
        <v>0</v>
      </c>
      <c r="BI68" s="217">
        <f ca="1"/>
        <v>0</v>
      </c>
      <c r="BJ68" s="217">
        <f ca="1"/>
        <v>0</v>
      </c>
      <c r="BK68" s="217">
        <f ca="1"/>
        <v>0</v>
      </c>
      <c r="BL68" s="217">
        <f ca="1"/>
        <v>0</v>
      </c>
      <c r="BM68" s="217">
        <f ca="1"/>
        <v>0</v>
      </c>
      <c r="BN68" s="217">
        <f ca="1"/>
        <v>0</v>
      </c>
    </row>
    <row r="69" spans="1:66" s="217" customFormat="1" x14ac:dyDescent="0.2">
      <c r="A69"/>
      <c r="B69" s="347" t="str">
        <f ca="1"/>
        <v>All</v>
      </c>
      <c r="C69" s="345">
        <f ca="1"/>
        <v>43920</v>
      </c>
      <c r="D69" s="353">
        <f ca="1"/>
        <v>1334901.0049999999</v>
      </c>
      <c r="E69" s="217">
        <f ca="1"/>
        <v>1243.952374</v>
      </c>
      <c r="F69" s="217">
        <f ca="1"/>
        <v>4078.2374239999999</v>
      </c>
      <c r="G69" s="217">
        <f ca="1"/>
        <v>0</v>
      </c>
      <c r="H69" s="217">
        <f ca="1"/>
        <v>-36.570451660000003</v>
      </c>
      <c r="I69" s="217">
        <f ca="1"/>
        <v>2091.412096</v>
      </c>
      <c r="J69" s="217">
        <f ca="1"/>
        <v>33257.371800000001</v>
      </c>
      <c r="K69" s="217">
        <f ca="1"/>
        <v>2852.9432870000001</v>
      </c>
      <c r="L69" s="217">
        <f ca="1"/>
        <v>0</v>
      </c>
      <c r="M69" s="217">
        <f ca="1"/>
        <v>0</v>
      </c>
      <c r="N69" s="217">
        <f ca="1"/>
        <v>0</v>
      </c>
      <c r="O69" s="217">
        <f ca="1"/>
        <v>997.04295349999995</v>
      </c>
      <c r="P69" s="217">
        <f ca="1"/>
        <v>16846.238560000002</v>
      </c>
      <c r="Q69" s="217">
        <f ca="1"/>
        <v>1316.8233419999999</v>
      </c>
      <c r="R69" s="217">
        <f ca="1"/>
        <v>0</v>
      </c>
      <c r="S69" s="217">
        <f ca="1"/>
        <v>0</v>
      </c>
      <c r="T69" s="217">
        <f ca="1"/>
        <v>0</v>
      </c>
      <c r="U69" s="217">
        <f ca="1"/>
        <v>0</v>
      </c>
      <c r="V69" s="217">
        <f ca="1"/>
        <v>11.909513459999999</v>
      </c>
      <c r="W69" s="217">
        <f ca="1"/>
        <v>6.6228488480000003</v>
      </c>
      <c r="X69" s="217">
        <f ca="1"/>
        <v>9.5146125579999996</v>
      </c>
      <c r="Y69" s="217">
        <f ca="1"/>
        <v>129361299.7</v>
      </c>
      <c r="Z69" s="217">
        <f ca="1"/>
        <v>0</v>
      </c>
      <c r="AA69" s="217">
        <f ca="1"/>
        <v>0</v>
      </c>
      <c r="AB69" s="217">
        <f ca="1"/>
        <v>0</v>
      </c>
      <c r="AC69" s="217">
        <f ca="1"/>
        <v>0</v>
      </c>
      <c r="AD69" s="217">
        <f ca="1"/>
        <v>0</v>
      </c>
      <c r="AE69" s="217">
        <f ca="1"/>
        <v>0</v>
      </c>
      <c r="AF69" s="217">
        <f ca="1"/>
        <v>0</v>
      </c>
      <c r="AG69" s="217">
        <f ca="1"/>
        <v>1002.928971</v>
      </c>
      <c r="AH69" s="217">
        <f ca="1"/>
        <v>79137.489180000004</v>
      </c>
      <c r="AI69" s="217">
        <f ca="1"/>
        <v>16008</v>
      </c>
      <c r="AJ69" s="217">
        <f ca="1"/>
        <v>0</v>
      </c>
      <c r="AK69" s="217">
        <f ca="1"/>
        <v>0</v>
      </c>
      <c r="AL69" s="217">
        <f ca="1"/>
        <v>0</v>
      </c>
      <c r="AM69" s="217">
        <f ca="1"/>
        <v>0</v>
      </c>
      <c r="AN69" s="217">
        <f ca="1"/>
        <v>0</v>
      </c>
      <c r="AO69" s="217">
        <f ca="1"/>
        <v>0</v>
      </c>
      <c r="AP69" s="217">
        <f ca="1"/>
        <v>0</v>
      </c>
      <c r="AQ69" s="217">
        <f ca="1"/>
        <v>0</v>
      </c>
      <c r="AR69" s="217">
        <f ca="1"/>
        <v>0</v>
      </c>
      <c r="AS69" s="217">
        <f ca="1"/>
        <v>0</v>
      </c>
      <c r="AT69" s="217">
        <f ca="1"/>
        <v>0</v>
      </c>
      <c r="AU69" s="217">
        <f ca="1"/>
        <v>0</v>
      </c>
      <c r="AV69" s="217">
        <f ca="1"/>
        <v>8522.2394160000003</v>
      </c>
      <c r="AW69" s="217">
        <f ca="1"/>
        <v>7859571.1622719998</v>
      </c>
      <c r="AX69" s="217">
        <f ca="1"/>
        <v>0</v>
      </c>
      <c r="AY69" s="217">
        <f ca="1"/>
        <v>0</v>
      </c>
      <c r="AZ69" s="217">
        <f ca="1"/>
        <v>0</v>
      </c>
      <c r="BA69" s="217">
        <f ca="1"/>
        <v>0</v>
      </c>
      <c r="BB69" s="217">
        <f ca="1"/>
        <v>0</v>
      </c>
      <c r="BC69" s="217">
        <f ca="1"/>
        <v>0</v>
      </c>
      <c r="BD69" s="217">
        <f ca="1"/>
        <v>0</v>
      </c>
      <c r="BE69" s="217">
        <f ca="1"/>
        <v>79137.489180000004</v>
      </c>
      <c r="BF69" s="217">
        <f ca="1"/>
        <v>28.046974865999999</v>
      </c>
      <c r="BG69" s="217">
        <f ca="1"/>
        <v>0</v>
      </c>
      <c r="BH69" s="217">
        <f ca="1"/>
        <v>0</v>
      </c>
      <c r="BI69" s="217">
        <f ca="1"/>
        <v>0</v>
      </c>
      <c r="BJ69" s="217">
        <f ca="1"/>
        <v>0</v>
      </c>
      <c r="BK69" s="217">
        <f ca="1"/>
        <v>0</v>
      </c>
      <c r="BL69" s="217">
        <f ca="1"/>
        <v>0</v>
      </c>
      <c r="BM69" s="217">
        <f ca="1"/>
        <v>0</v>
      </c>
      <c r="BN69" s="217">
        <f ca="1"/>
        <v>0</v>
      </c>
    </row>
    <row r="70" spans="1:66" s="217" customFormat="1" x14ac:dyDescent="0.2">
      <c r="A70"/>
      <c r="B70" s="347" t="str">
        <f ca="1"/>
        <v>All</v>
      </c>
      <c r="C70" s="345">
        <f ca="1"/>
        <v>43927</v>
      </c>
      <c r="D70" s="353">
        <f ca="1"/>
        <v>1732695.2050000001</v>
      </c>
      <c r="E70" s="217">
        <f ca="1"/>
        <v>321.690113</v>
      </c>
      <c r="F70" s="217">
        <f ca="1"/>
        <v>5037.1887260000003</v>
      </c>
      <c r="G70" s="217">
        <f ca="1"/>
        <v>0</v>
      </c>
      <c r="H70" s="217">
        <f ca="1"/>
        <v>-39.676731539999999</v>
      </c>
      <c r="I70" s="217">
        <f ca="1"/>
        <v>2076.4388359999998</v>
      </c>
      <c r="J70" s="217">
        <f ca="1"/>
        <v>33616.730040000002</v>
      </c>
      <c r="K70" s="217">
        <f ca="1"/>
        <v>3523.7805619999999</v>
      </c>
      <c r="L70" s="217">
        <f ca="1"/>
        <v>0</v>
      </c>
      <c r="M70" s="217">
        <f ca="1"/>
        <v>0</v>
      </c>
      <c r="N70" s="217">
        <f ca="1"/>
        <v>0</v>
      </c>
      <c r="O70" s="217">
        <f ca="1"/>
        <v>865.36634430000004</v>
      </c>
      <c r="P70" s="217">
        <f ca="1"/>
        <v>15072.34765</v>
      </c>
      <c r="Q70" s="217">
        <f ca="1"/>
        <v>1279.090727</v>
      </c>
      <c r="R70" s="217">
        <f ca="1"/>
        <v>0</v>
      </c>
      <c r="S70" s="217">
        <f ca="1"/>
        <v>0</v>
      </c>
      <c r="T70" s="217">
        <f ca="1"/>
        <v>0</v>
      </c>
      <c r="U70" s="217">
        <f ca="1"/>
        <v>0</v>
      </c>
      <c r="V70" s="217">
        <f ca="1"/>
        <v>12.5343524</v>
      </c>
      <c r="W70" s="217">
        <f ca="1"/>
        <v>7.2212137580000002</v>
      </c>
      <c r="X70" s="217">
        <f ca="1"/>
        <v>8.5031764949999999</v>
      </c>
      <c r="Y70" s="217">
        <f ca="1"/>
        <v>119706285.5</v>
      </c>
      <c r="Z70" s="217">
        <f ca="1"/>
        <v>0</v>
      </c>
      <c r="AA70" s="217">
        <f ca="1"/>
        <v>0</v>
      </c>
      <c r="AB70" s="217">
        <f ca="1"/>
        <v>0</v>
      </c>
      <c r="AC70" s="217">
        <f ca="1"/>
        <v>0</v>
      </c>
      <c r="AD70" s="217">
        <f ca="1"/>
        <v>0</v>
      </c>
      <c r="AE70" s="217">
        <f ca="1"/>
        <v>0</v>
      </c>
      <c r="AF70" s="217">
        <f ca="1"/>
        <v>0</v>
      </c>
      <c r="AG70" s="217">
        <f ca="1"/>
        <v>1002.928971</v>
      </c>
      <c r="AH70" s="217">
        <f ca="1"/>
        <v>0</v>
      </c>
      <c r="AI70" s="217">
        <f ca="1"/>
        <v>0</v>
      </c>
      <c r="AJ70" s="217">
        <f ca="1"/>
        <v>0</v>
      </c>
      <c r="AK70" s="217">
        <f ca="1"/>
        <v>0</v>
      </c>
      <c r="AL70" s="217">
        <f ca="1"/>
        <v>0</v>
      </c>
      <c r="AM70" s="217">
        <f ca="1"/>
        <v>0</v>
      </c>
      <c r="AN70" s="217">
        <f ca="1"/>
        <v>0</v>
      </c>
      <c r="AO70" s="217">
        <f ca="1"/>
        <v>0</v>
      </c>
      <c r="AP70" s="217">
        <f ca="1"/>
        <v>0</v>
      </c>
      <c r="AQ70" s="217">
        <f ca="1"/>
        <v>0</v>
      </c>
      <c r="AR70" s="217">
        <f ca="1"/>
        <v>0</v>
      </c>
      <c r="AS70" s="217">
        <f ca="1"/>
        <v>0</v>
      </c>
      <c r="AT70" s="217">
        <f ca="1"/>
        <v>0</v>
      </c>
      <c r="AU70" s="217">
        <f ca="1"/>
        <v>52852.061840000002</v>
      </c>
      <c r="AV70" s="217">
        <f ca="1"/>
        <v>17590.40727</v>
      </c>
      <c r="AW70" s="217">
        <f ca="1"/>
        <v>6827938.6344239898</v>
      </c>
      <c r="AX70" s="217">
        <f ca="1"/>
        <v>4278470.4110000003</v>
      </c>
      <c r="AY70" s="217">
        <f ca="1"/>
        <v>0</v>
      </c>
      <c r="AZ70" s="217">
        <f ca="1"/>
        <v>0</v>
      </c>
      <c r="BA70" s="217">
        <f ca="1"/>
        <v>0</v>
      </c>
      <c r="BB70" s="217">
        <f ca="1"/>
        <v>0</v>
      </c>
      <c r="BC70" s="217">
        <f ca="1"/>
        <v>0</v>
      </c>
      <c r="BD70" s="217">
        <f ca="1"/>
        <v>0</v>
      </c>
      <c r="BE70" s="217">
        <f ca="1"/>
        <v>0</v>
      </c>
      <c r="BF70" s="217">
        <f ca="1"/>
        <v>28.258742652999999</v>
      </c>
      <c r="BG70" s="217">
        <f ca="1"/>
        <v>0</v>
      </c>
      <c r="BH70" s="217">
        <f ca="1"/>
        <v>0</v>
      </c>
      <c r="BI70" s="217">
        <f ca="1"/>
        <v>0</v>
      </c>
      <c r="BJ70" s="217">
        <f ca="1"/>
        <v>0</v>
      </c>
      <c r="BK70" s="217">
        <f ca="1"/>
        <v>0</v>
      </c>
      <c r="BL70" s="217">
        <f ca="1"/>
        <v>0</v>
      </c>
      <c r="BM70" s="217">
        <f ca="1"/>
        <v>0</v>
      </c>
      <c r="BN70" s="217">
        <f ca="1"/>
        <v>0</v>
      </c>
    </row>
    <row r="71" spans="1:66" s="217" customFormat="1" x14ac:dyDescent="0.2">
      <c r="A71"/>
      <c r="B71" s="347" t="str">
        <f ca="1"/>
        <v>All</v>
      </c>
      <c r="C71" s="345">
        <f ca="1"/>
        <v>43934</v>
      </c>
      <c r="D71" s="353">
        <f ca="1"/>
        <v>1222968.2169999999</v>
      </c>
      <c r="E71" s="217">
        <f ca="1"/>
        <v>141.01484400000001</v>
      </c>
      <c r="F71" s="217">
        <f ca="1"/>
        <v>6563.2463319999997</v>
      </c>
      <c r="G71" s="217">
        <f ca="1"/>
        <v>0</v>
      </c>
      <c r="H71" s="217">
        <f ca="1"/>
        <v>-36.095146870000001</v>
      </c>
      <c r="I71" s="217">
        <f ca="1"/>
        <v>2731.2987619999999</v>
      </c>
      <c r="J71" s="217">
        <f ca="1"/>
        <v>46001.377540000001</v>
      </c>
      <c r="K71" s="217">
        <f ca="1"/>
        <v>4591.3387620000003</v>
      </c>
      <c r="L71" s="217">
        <f ca="1"/>
        <v>0</v>
      </c>
      <c r="M71" s="217">
        <f ca="1"/>
        <v>0</v>
      </c>
      <c r="N71" s="217">
        <f ca="1"/>
        <v>0</v>
      </c>
      <c r="O71" s="217">
        <f ca="1"/>
        <v>570.30504629999996</v>
      </c>
      <c r="P71" s="217">
        <f ca="1"/>
        <v>11019.8789</v>
      </c>
      <c r="Q71" s="217">
        <f ca="1"/>
        <v>1208.205553</v>
      </c>
      <c r="R71" s="217">
        <f ca="1"/>
        <v>0</v>
      </c>
      <c r="S71" s="217">
        <f ca="1"/>
        <v>0</v>
      </c>
      <c r="T71" s="217">
        <f ca="1"/>
        <v>0</v>
      </c>
      <c r="U71" s="217">
        <f ca="1"/>
        <v>0</v>
      </c>
      <c r="V71" s="217">
        <f ca="1"/>
        <v>8.0218881599999996</v>
      </c>
      <c r="W71" s="217">
        <f ca="1"/>
        <v>5.7259604599999996</v>
      </c>
      <c r="X71" s="217">
        <f ca="1"/>
        <v>7.1567420650000004</v>
      </c>
      <c r="Y71" s="217">
        <f ca="1"/>
        <v>121134685.8</v>
      </c>
      <c r="Z71" s="217">
        <f ca="1"/>
        <v>0</v>
      </c>
      <c r="AA71" s="217">
        <f ca="1"/>
        <v>0</v>
      </c>
      <c r="AB71" s="217">
        <f ca="1"/>
        <v>0</v>
      </c>
      <c r="AC71" s="217">
        <f ca="1"/>
        <v>0</v>
      </c>
      <c r="AD71" s="217">
        <f ca="1"/>
        <v>0</v>
      </c>
      <c r="AE71" s="217">
        <f ca="1"/>
        <v>0</v>
      </c>
      <c r="AF71" s="217">
        <f ca="1"/>
        <v>0</v>
      </c>
      <c r="AG71" s="217">
        <f ca="1"/>
        <v>1002.928971</v>
      </c>
      <c r="AH71" s="217">
        <f ca="1"/>
        <v>19883.072939999998</v>
      </c>
      <c r="AI71" s="217">
        <f ca="1"/>
        <v>0</v>
      </c>
      <c r="AJ71" s="217">
        <f ca="1"/>
        <v>0</v>
      </c>
      <c r="AK71" s="217">
        <f ca="1"/>
        <v>0</v>
      </c>
      <c r="AL71" s="217">
        <f ca="1"/>
        <v>0</v>
      </c>
      <c r="AM71" s="217">
        <f ca="1"/>
        <v>0</v>
      </c>
      <c r="AN71" s="217">
        <f ca="1"/>
        <v>0</v>
      </c>
      <c r="AO71" s="217">
        <f ca="1"/>
        <v>0</v>
      </c>
      <c r="AP71" s="217">
        <f ca="1"/>
        <v>0</v>
      </c>
      <c r="AQ71" s="217">
        <f ca="1"/>
        <v>0</v>
      </c>
      <c r="AR71" s="217">
        <f ca="1"/>
        <v>0</v>
      </c>
      <c r="AS71" s="217">
        <f ca="1"/>
        <v>0</v>
      </c>
      <c r="AT71" s="217">
        <f ca="1"/>
        <v>0</v>
      </c>
      <c r="AU71" s="217">
        <f ca="1"/>
        <v>59867.689659999996</v>
      </c>
      <c r="AV71" s="217">
        <f ca="1"/>
        <v>37412.175170000002</v>
      </c>
      <c r="AW71" s="217">
        <f ca="1"/>
        <v>11191454.806</v>
      </c>
      <c r="AX71" s="217">
        <f ca="1"/>
        <v>5679895.0149999997</v>
      </c>
      <c r="AY71" s="217">
        <f ca="1"/>
        <v>0</v>
      </c>
      <c r="AZ71" s="217">
        <f ca="1"/>
        <v>0</v>
      </c>
      <c r="BA71" s="217">
        <f ca="1"/>
        <v>0</v>
      </c>
      <c r="BB71" s="217">
        <f ca="1"/>
        <v>0</v>
      </c>
      <c r="BC71" s="217">
        <f ca="1"/>
        <v>0</v>
      </c>
      <c r="BD71" s="217">
        <f ca="1"/>
        <v>0</v>
      </c>
      <c r="BE71" s="217">
        <f ca="1"/>
        <v>0</v>
      </c>
      <c r="BF71" s="217">
        <f ca="1"/>
        <v>20.904590684999999</v>
      </c>
      <c r="BG71" s="217">
        <f ca="1"/>
        <v>0</v>
      </c>
      <c r="BH71" s="217">
        <f ca="1"/>
        <v>0</v>
      </c>
      <c r="BI71" s="217">
        <f ca="1"/>
        <v>0</v>
      </c>
      <c r="BJ71" s="217">
        <f ca="1"/>
        <v>0</v>
      </c>
      <c r="BK71" s="217">
        <f ca="1"/>
        <v>0</v>
      </c>
      <c r="BL71" s="217">
        <f ca="1"/>
        <v>0</v>
      </c>
      <c r="BM71" s="217">
        <f ca="1"/>
        <v>0</v>
      </c>
      <c r="BN71" s="217">
        <f ca="1"/>
        <v>0</v>
      </c>
    </row>
    <row r="72" spans="1:66" s="217" customFormat="1" x14ac:dyDescent="0.2">
      <c r="A72"/>
      <c r="B72" s="347" t="str">
        <f ca="1"/>
        <v>All</v>
      </c>
      <c r="C72" s="345">
        <f ca="1"/>
        <v>43941</v>
      </c>
      <c r="D72" s="353">
        <f ca="1"/>
        <v>2260663.6329999999</v>
      </c>
      <c r="E72" s="217">
        <f ca="1"/>
        <v>22.033569379999999</v>
      </c>
      <c r="F72" s="217">
        <f ca="1"/>
        <v>4484.7819600000003</v>
      </c>
      <c r="G72" s="217">
        <f ca="1"/>
        <v>0</v>
      </c>
      <c r="H72" s="217">
        <f ca="1"/>
        <v>-35.129913809999998</v>
      </c>
      <c r="I72" s="217">
        <f ca="1"/>
        <v>1994.9666870000001</v>
      </c>
      <c r="J72" s="217">
        <f ca="1"/>
        <v>30464.858830000001</v>
      </c>
      <c r="K72" s="217">
        <f ca="1"/>
        <v>3137.3427430000002</v>
      </c>
      <c r="L72" s="217">
        <f ca="1"/>
        <v>903.68027410000002</v>
      </c>
      <c r="M72" s="217">
        <f ca="1"/>
        <v>1191002.1580000001</v>
      </c>
      <c r="N72" s="217">
        <f ca="1"/>
        <v>4716.6356880000003</v>
      </c>
      <c r="O72" s="217">
        <f ca="1"/>
        <v>280.08803820000003</v>
      </c>
      <c r="P72" s="217">
        <f ca="1"/>
        <v>5698.2061729999996</v>
      </c>
      <c r="Q72" s="217">
        <f ca="1"/>
        <v>634.35536739999998</v>
      </c>
      <c r="R72" s="217">
        <f ca="1"/>
        <v>0</v>
      </c>
      <c r="S72" s="217">
        <f ca="1"/>
        <v>0</v>
      </c>
      <c r="T72" s="217">
        <f ca="1"/>
        <v>0</v>
      </c>
      <c r="U72" s="217">
        <f ca="1"/>
        <v>0</v>
      </c>
      <c r="V72" s="217">
        <f ca="1"/>
        <v>7.9538339980000003</v>
      </c>
      <c r="W72" s="217">
        <f ca="1"/>
        <v>7.6122297679999997</v>
      </c>
      <c r="X72" s="217">
        <f ca="1"/>
        <v>6.4745468370000001</v>
      </c>
      <c r="Y72" s="217">
        <f ca="1"/>
        <v>156485328.59999999</v>
      </c>
      <c r="Z72" s="217">
        <f ca="1"/>
        <v>0</v>
      </c>
      <c r="AA72" s="217">
        <f ca="1"/>
        <v>0</v>
      </c>
      <c r="AB72" s="217">
        <f ca="1"/>
        <v>0</v>
      </c>
      <c r="AC72" s="217">
        <f ca="1"/>
        <v>0</v>
      </c>
      <c r="AD72" s="217">
        <f ca="1"/>
        <v>0</v>
      </c>
      <c r="AE72" s="217">
        <f ca="1"/>
        <v>0</v>
      </c>
      <c r="AF72" s="217">
        <f ca="1"/>
        <v>0</v>
      </c>
      <c r="AG72" s="217">
        <f ca="1"/>
        <v>1002.929144</v>
      </c>
      <c r="AH72" s="217">
        <f ca="1"/>
        <v>299678.96659999999</v>
      </c>
      <c r="AI72" s="217">
        <f ca="1"/>
        <v>97150</v>
      </c>
      <c r="AJ72" s="217">
        <f ca="1"/>
        <v>0</v>
      </c>
      <c r="AK72" s="217">
        <f ca="1"/>
        <v>0</v>
      </c>
      <c r="AL72" s="217">
        <f ca="1"/>
        <v>0</v>
      </c>
      <c r="AM72" s="217">
        <f ca="1"/>
        <v>0</v>
      </c>
      <c r="AN72" s="217">
        <f ca="1"/>
        <v>0</v>
      </c>
      <c r="AO72" s="217">
        <f ca="1"/>
        <v>0</v>
      </c>
      <c r="AP72" s="217">
        <f ca="1"/>
        <v>0</v>
      </c>
      <c r="AQ72" s="217">
        <f ca="1"/>
        <v>0</v>
      </c>
      <c r="AR72" s="217">
        <f ca="1"/>
        <v>0</v>
      </c>
      <c r="AS72" s="217">
        <f ca="1"/>
        <v>0</v>
      </c>
      <c r="AT72" s="217">
        <f ca="1"/>
        <v>0</v>
      </c>
      <c r="AU72" s="217">
        <f ca="1"/>
        <v>44996.224170000001</v>
      </c>
      <c r="AV72" s="217">
        <f ca="1"/>
        <v>33268.3243</v>
      </c>
      <c r="AW72" s="217">
        <f ca="1"/>
        <v>12022405.3004239</v>
      </c>
      <c r="AX72" s="217">
        <f ca="1"/>
        <v>4038412.1329999999</v>
      </c>
      <c r="AY72" s="217">
        <f ca="1"/>
        <v>0</v>
      </c>
      <c r="AZ72" s="217">
        <f ca="1"/>
        <v>0</v>
      </c>
      <c r="BA72" s="217">
        <f ca="1"/>
        <v>0</v>
      </c>
      <c r="BB72" s="217">
        <f ca="1"/>
        <v>0</v>
      </c>
      <c r="BC72" s="217">
        <f ca="1"/>
        <v>0</v>
      </c>
      <c r="BD72" s="217">
        <f ca="1"/>
        <v>19883.072939999998</v>
      </c>
      <c r="BE72" s="217">
        <f ca="1"/>
        <v>0</v>
      </c>
      <c r="BF72" s="217">
        <f ca="1"/>
        <v>22.040610602999902</v>
      </c>
      <c r="BG72" s="217">
        <f ca="1"/>
        <v>0</v>
      </c>
      <c r="BH72" s="217">
        <f ca="1"/>
        <v>0</v>
      </c>
      <c r="BI72" s="217">
        <f ca="1"/>
        <v>0</v>
      </c>
      <c r="BJ72" s="217">
        <f ca="1"/>
        <v>0</v>
      </c>
      <c r="BK72" s="217">
        <f ca="1"/>
        <v>0</v>
      </c>
      <c r="BL72" s="217">
        <f ca="1"/>
        <v>0</v>
      </c>
      <c r="BM72" s="217">
        <f ca="1"/>
        <v>0</v>
      </c>
      <c r="BN72" s="217">
        <f ca="1"/>
        <v>0</v>
      </c>
    </row>
    <row r="73" spans="1:66" s="217" customFormat="1" x14ac:dyDescent="0.2">
      <c r="A73"/>
      <c r="B73" s="347" t="str">
        <f ca="1"/>
        <v>All</v>
      </c>
      <c r="C73" s="345">
        <f ca="1"/>
        <v>43948</v>
      </c>
      <c r="D73" s="353">
        <f ca="1"/>
        <v>3381277.1889999998</v>
      </c>
      <c r="E73" s="217">
        <f ca="1"/>
        <v>907.15352800000005</v>
      </c>
      <c r="F73" s="217">
        <f ca="1"/>
        <v>4689.7382230000003</v>
      </c>
      <c r="G73" s="217">
        <f ca="1"/>
        <v>0</v>
      </c>
      <c r="H73" s="217">
        <f ca="1"/>
        <v>-32.920204439999999</v>
      </c>
      <c r="I73" s="217">
        <f ca="1"/>
        <v>2216.042465</v>
      </c>
      <c r="J73" s="217">
        <f ca="1"/>
        <v>31527.960279999999</v>
      </c>
      <c r="K73" s="217">
        <f ca="1"/>
        <v>3280.720515</v>
      </c>
      <c r="L73" s="217">
        <f ca="1"/>
        <v>1688.0148589999999</v>
      </c>
      <c r="M73" s="217">
        <f ca="1"/>
        <v>4170048.9190000002</v>
      </c>
      <c r="N73" s="217">
        <f ca="1"/>
        <v>11648.897440000001</v>
      </c>
      <c r="O73" s="217">
        <f ca="1"/>
        <v>314.4384579</v>
      </c>
      <c r="P73" s="217">
        <f ca="1"/>
        <v>9433.5941280000006</v>
      </c>
      <c r="Q73" s="217">
        <f ca="1"/>
        <v>977.76708329999997</v>
      </c>
      <c r="R73" s="217">
        <f ca="1"/>
        <v>0</v>
      </c>
      <c r="S73" s="217">
        <f ca="1"/>
        <v>0</v>
      </c>
      <c r="T73" s="217">
        <f ca="1"/>
        <v>0</v>
      </c>
      <c r="U73" s="217">
        <f ca="1"/>
        <v>0</v>
      </c>
      <c r="V73" s="217">
        <f ca="1"/>
        <v>6.7444302089999999</v>
      </c>
      <c r="W73" s="217">
        <f ca="1"/>
        <v>6.5301333130000003</v>
      </c>
      <c r="X73" s="217">
        <f ca="1"/>
        <v>3.7071853610000001</v>
      </c>
      <c r="Y73" s="217">
        <f ca="1"/>
        <v>168826952.69999999</v>
      </c>
      <c r="Z73" s="217">
        <f ca="1"/>
        <v>0</v>
      </c>
      <c r="AA73" s="217">
        <f ca="1"/>
        <v>0</v>
      </c>
      <c r="AB73" s="217">
        <f ca="1"/>
        <v>0</v>
      </c>
      <c r="AC73" s="217">
        <f ca="1"/>
        <v>2.9699490000000002</v>
      </c>
      <c r="AD73" s="217">
        <f ca="1"/>
        <v>0</v>
      </c>
      <c r="AE73" s="217">
        <f ca="1"/>
        <v>130978.7108</v>
      </c>
      <c r="AF73" s="217">
        <f ca="1"/>
        <v>751.3296593</v>
      </c>
      <c r="AG73" s="217">
        <f ca="1"/>
        <v>400.67252730000001</v>
      </c>
      <c r="AH73" s="217">
        <f ca="1"/>
        <v>27096.313979999999</v>
      </c>
      <c r="AI73" s="217">
        <f ca="1"/>
        <v>142800</v>
      </c>
      <c r="AJ73" s="217">
        <f ca="1"/>
        <v>0</v>
      </c>
      <c r="AK73" s="217">
        <f ca="1"/>
        <v>0</v>
      </c>
      <c r="AL73" s="217">
        <f ca="1"/>
        <v>0</v>
      </c>
      <c r="AM73" s="217">
        <f ca="1"/>
        <v>0</v>
      </c>
      <c r="AN73" s="217">
        <f ca="1"/>
        <v>0</v>
      </c>
      <c r="AO73" s="217">
        <f ca="1"/>
        <v>0</v>
      </c>
      <c r="AP73" s="217">
        <f ca="1"/>
        <v>0</v>
      </c>
      <c r="AQ73" s="217">
        <f ca="1"/>
        <v>0</v>
      </c>
      <c r="AR73" s="217">
        <f ca="1"/>
        <v>0</v>
      </c>
      <c r="AS73" s="217">
        <f ca="1"/>
        <v>0</v>
      </c>
      <c r="AT73" s="217">
        <f ca="1"/>
        <v>0</v>
      </c>
      <c r="AU73" s="217">
        <f ca="1"/>
        <v>27014.888009999999</v>
      </c>
      <c r="AV73" s="217">
        <f ca="1"/>
        <v>21656.996569999999</v>
      </c>
      <c r="AW73" s="217">
        <f ca="1"/>
        <v>11256248.728536</v>
      </c>
      <c r="AX73" s="217">
        <f ca="1"/>
        <v>1778582.84</v>
      </c>
      <c r="AY73" s="217">
        <f ca="1"/>
        <v>0</v>
      </c>
      <c r="AZ73" s="217">
        <f ca="1"/>
        <v>0</v>
      </c>
      <c r="BA73" s="217">
        <f ca="1"/>
        <v>0</v>
      </c>
      <c r="BB73" s="217">
        <f ca="1"/>
        <v>0</v>
      </c>
      <c r="BC73" s="217">
        <f ca="1"/>
        <v>0</v>
      </c>
      <c r="BD73" s="217">
        <f ca="1"/>
        <v>299678.96659999999</v>
      </c>
      <c r="BE73" s="217">
        <f ca="1"/>
        <v>0</v>
      </c>
      <c r="BF73" s="217">
        <f ca="1"/>
        <v>16.981748883000002</v>
      </c>
      <c r="BG73" s="217">
        <f ca="1"/>
        <v>0</v>
      </c>
      <c r="BH73" s="217">
        <f ca="1"/>
        <v>0</v>
      </c>
      <c r="BI73" s="217">
        <f ca="1"/>
        <v>0</v>
      </c>
      <c r="BJ73" s="217">
        <f ca="1"/>
        <v>0</v>
      </c>
      <c r="BK73" s="217">
        <f ca="1"/>
        <v>0</v>
      </c>
      <c r="BL73" s="217">
        <f ca="1"/>
        <v>0</v>
      </c>
      <c r="BM73" s="217">
        <f ca="1"/>
        <v>0</v>
      </c>
      <c r="BN73" s="217">
        <f ca="1"/>
        <v>0</v>
      </c>
    </row>
    <row r="74" spans="1:66" s="217" customFormat="1" x14ac:dyDescent="0.2">
      <c r="A74"/>
      <c r="B74" s="347" t="str">
        <f ca="1"/>
        <v>All</v>
      </c>
      <c r="C74" s="345">
        <f ca="1"/>
        <v>43955</v>
      </c>
      <c r="D74" s="353">
        <f ca="1"/>
        <v>4270501.9040000001</v>
      </c>
      <c r="E74" s="217">
        <f ca="1"/>
        <v>1666.3673759999999</v>
      </c>
      <c r="F74" s="217">
        <f ca="1"/>
        <v>6439.757619</v>
      </c>
      <c r="G74" s="217">
        <f ca="1"/>
        <v>0</v>
      </c>
      <c r="H74" s="217">
        <f ca="1"/>
        <v>-30.278552000000001</v>
      </c>
      <c r="I74" s="217">
        <f ca="1"/>
        <v>3538.974017</v>
      </c>
      <c r="J74" s="217">
        <f ca="1"/>
        <v>47160.48401</v>
      </c>
      <c r="K74" s="217">
        <f ca="1"/>
        <v>4504.9518600000001</v>
      </c>
      <c r="L74" s="217">
        <f ca="1"/>
        <v>2897.766181</v>
      </c>
      <c r="M74" s="217">
        <f ca="1"/>
        <v>7732604.0590000004</v>
      </c>
      <c r="N74" s="217">
        <f ca="1"/>
        <v>16882.51008</v>
      </c>
      <c r="O74" s="217">
        <f ca="1"/>
        <v>391.94709740000002</v>
      </c>
      <c r="P74" s="217">
        <f ca="1"/>
        <v>13199.368990000001</v>
      </c>
      <c r="Q74" s="217">
        <f ca="1"/>
        <v>973.82999670000004</v>
      </c>
      <c r="R74" s="217">
        <f ca="1"/>
        <v>0</v>
      </c>
      <c r="S74" s="217">
        <f ca="1"/>
        <v>0</v>
      </c>
      <c r="T74" s="217">
        <f ca="1"/>
        <v>0</v>
      </c>
      <c r="U74" s="217">
        <f ca="1"/>
        <v>0</v>
      </c>
      <c r="V74" s="217">
        <f ca="1"/>
        <v>7.572205641</v>
      </c>
      <c r="W74" s="217">
        <f ca="1"/>
        <v>5.3480337020000004</v>
      </c>
      <c r="X74" s="217">
        <f ca="1"/>
        <v>3.7926389820000002</v>
      </c>
      <c r="Y74" s="217">
        <f ca="1"/>
        <v>209546304.69999999</v>
      </c>
      <c r="Z74" s="217">
        <f ca="1"/>
        <v>1</v>
      </c>
      <c r="AA74" s="217">
        <f ca="1"/>
        <v>0</v>
      </c>
      <c r="AB74" s="217">
        <f ca="1"/>
        <v>0</v>
      </c>
      <c r="AC74" s="217">
        <f ca="1"/>
        <v>10.394821500000001</v>
      </c>
      <c r="AD74" s="217">
        <f ca="1"/>
        <v>0</v>
      </c>
      <c r="AE74" s="217">
        <f ca="1"/>
        <v>310261.66220000002</v>
      </c>
      <c r="AF74" s="217">
        <f ca="1"/>
        <v>1395.669897</v>
      </c>
      <c r="AG74" s="217">
        <f ca="1"/>
        <v>159.76994970000001</v>
      </c>
      <c r="AH74" s="217">
        <f ca="1"/>
        <v>0</v>
      </c>
      <c r="AI74" s="217">
        <f ca="1"/>
        <v>214743</v>
      </c>
      <c r="AJ74" s="217">
        <f ca="1"/>
        <v>0</v>
      </c>
      <c r="AK74" s="217">
        <f ca="1"/>
        <v>0</v>
      </c>
      <c r="AL74" s="217">
        <f ca="1"/>
        <v>0</v>
      </c>
      <c r="AM74" s="217">
        <f ca="1"/>
        <v>0</v>
      </c>
      <c r="AN74" s="217">
        <f ca="1"/>
        <v>0</v>
      </c>
      <c r="AO74" s="217">
        <f ca="1"/>
        <v>0</v>
      </c>
      <c r="AP74" s="217">
        <f ca="1"/>
        <v>220344.95050000001</v>
      </c>
      <c r="AQ74" s="217">
        <f ca="1"/>
        <v>0</v>
      </c>
      <c r="AR74" s="217">
        <f ca="1"/>
        <v>0</v>
      </c>
      <c r="AS74" s="217">
        <f ca="1"/>
        <v>0</v>
      </c>
      <c r="AT74" s="217">
        <f ca="1"/>
        <v>0</v>
      </c>
      <c r="AU74" s="217">
        <f ca="1"/>
        <v>15499.499760000001</v>
      </c>
      <c r="AV74" s="217">
        <f ca="1"/>
        <v>20005.025839999998</v>
      </c>
      <c r="AW74" s="217">
        <f ca="1"/>
        <v>9608588.627688</v>
      </c>
      <c r="AX74" s="217">
        <f ca="1"/>
        <v>1438400.227</v>
      </c>
      <c r="AY74" s="217">
        <f ca="1"/>
        <v>0</v>
      </c>
      <c r="AZ74" s="217">
        <f ca="1"/>
        <v>0</v>
      </c>
      <c r="BA74" s="217">
        <f ca="1"/>
        <v>0</v>
      </c>
      <c r="BB74" s="217">
        <f ca="1"/>
        <v>0</v>
      </c>
      <c r="BC74" s="217">
        <f ca="1"/>
        <v>220344.95050000001</v>
      </c>
      <c r="BD74" s="217">
        <f ca="1"/>
        <v>27096.313979999999</v>
      </c>
      <c r="BE74" s="217">
        <f ca="1"/>
        <v>0</v>
      </c>
      <c r="BF74" s="217">
        <f ca="1"/>
        <v>16.712878324999998</v>
      </c>
      <c r="BG74" s="217">
        <f ca="1"/>
        <v>0</v>
      </c>
      <c r="BH74" s="217">
        <f ca="1"/>
        <v>0</v>
      </c>
      <c r="BI74" s="217">
        <f ca="1"/>
        <v>0</v>
      </c>
      <c r="BJ74" s="217">
        <f ca="1"/>
        <v>0</v>
      </c>
      <c r="BK74" s="217">
        <f ca="1"/>
        <v>0</v>
      </c>
      <c r="BL74" s="217">
        <f ca="1"/>
        <v>0</v>
      </c>
      <c r="BM74" s="217">
        <f ca="1"/>
        <v>0</v>
      </c>
      <c r="BN74" s="217">
        <f ca="1"/>
        <v>0</v>
      </c>
    </row>
    <row r="75" spans="1:66" s="217" customFormat="1" x14ac:dyDescent="0.2">
      <c r="A75"/>
      <c r="B75" s="347" t="str">
        <f ca="1"/>
        <v>All</v>
      </c>
      <c r="C75" s="345">
        <f ca="1"/>
        <v>43962</v>
      </c>
      <c r="D75" s="353">
        <f ca="1"/>
        <v>3224891.537</v>
      </c>
      <c r="E75" s="217">
        <f ca="1"/>
        <v>2035.901811</v>
      </c>
      <c r="F75" s="217">
        <f ca="1"/>
        <v>6969.6586669999997</v>
      </c>
      <c r="G75" s="217">
        <f ca="1"/>
        <v>0</v>
      </c>
      <c r="H75" s="217">
        <f ca="1"/>
        <v>-28.457834630000001</v>
      </c>
      <c r="I75" s="217">
        <f ca="1"/>
        <v>3982.8871340000001</v>
      </c>
      <c r="J75" s="217">
        <f ca="1"/>
        <v>50059.571360000002</v>
      </c>
      <c r="K75" s="217">
        <f ca="1"/>
        <v>4875.6457360000004</v>
      </c>
      <c r="L75" s="217">
        <f ca="1"/>
        <v>1954.8911969999999</v>
      </c>
      <c r="M75" s="217">
        <f ca="1"/>
        <v>6898398.3890000004</v>
      </c>
      <c r="N75" s="217">
        <f ca="1"/>
        <v>16385.54249</v>
      </c>
      <c r="O75" s="217">
        <f ca="1"/>
        <v>336.01756779999999</v>
      </c>
      <c r="P75" s="217">
        <f ca="1"/>
        <v>10685.622890000001</v>
      </c>
      <c r="Q75" s="217">
        <f ca="1"/>
        <v>762.84355300000004</v>
      </c>
      <c r="R75" s="217">
        <f ca="1"/>
        <v>0</v>
      </c>
      <c r="S75" s="217">
        <f ca="1"/>
        <v>0</v>
      </c>
      <c r="T75" s="217">
        <f ca="1"/>
        <v>0</v>
      </c>
      <c r="U75" s="217">
        <f ca="1"/>
        <v>0</v>
      </c>
      <c r="V75" s="217">
        <f ca="1"/>
        <v>9.2518345590000006</v>
      </c>
      <c r="W75" s="217">
        <f ca="1"/>
        <v>5.9462715399999997</v>
      </c>
      <c r="X75" s="217">
        <f ca="1"/>
        <v>4.3887947619999998</v>
      </c>
      <c r="Y75" s="217">
        <f ca="1"/>
        <v>174549819.40000001</v>
      </c>
      <c r="Z75" s="217">
        <f ca="1"/>
        <v>0</v>
      </c>
      <c r="AA75" s="217">
        <f ca="1"/>
        <v>0</v>
      </c>
      <c r="AB75" s="217">
        <f ca="1"/>
        <v>0</v>
      </c>
      <c r="AC75" s="217">
        <f ca="1"/>
        <v>2.4749574999999999</v>
      </c>
      <c r="AD75" s="217">
        <f ca="1"/>
        <v>0</v>
      </c>
      <c r="AE75" s="217">
        <f ca="1"/>
        <v>359378.67869999999</v>
      </c>
      <c r="AF75" s="217">
        <f ca="1"/>
        <v>1337.0862420000001</v>
      </c>
      <c r="AG75" s="217">
        <f ca="1"/>
        <v>159.76994970000001</v>
      </c>
      <c r="AH75" s="217">
        <f ca="1"/>
        <v>0</v>
      </c>
      <c r="AI75" s="217">
        <f ca="1"/>
        <v>0</v>
      </c>
      <c r="AJ75" s="217">
        <f ca="1"/>
        <v>0</v>
      </c>
      <c r="AK75" s="217">
        <f ca="1"/>
        <v>0</v>
      </c>
      <c r="AL75" s="217">
        <f ca="1"/>
        <v>0</v>
      </c>
      <c r="AM75" s="217">
        <f ca="1"/>
        <v>0</v>
      </c>
      <c r="AN75" s="217">
        <f ca="1"/>
        <v>0</v>
      </c>
      <c r="AO75" s="217">
        <f ca="1"/>
        <v>0</v>
      </c>
      <c r="AP75" s="217">
        <f ca="1"/>
        <v>220344.95050000001</v>
      </c>
      <c r="AQ75" s="217">
        <f ca="1"/>
        <v>0</v>
      </c>
      <c r="AR75" s="217">
        <f ca="1"/>
        <v>0</v>
      </c>
      <c r="AS75" s="217">
        <f ca="1"/>
        <v>0</v>
      </c>
      <c r="AT75" s="217">
        <f ca="1"/>
        <v>0</v>
      </c>
      <c r="AU75" s="217">
        <f ca="1"/>
        <v>10919.510700000001</v>
      </c>
      <c r="AV75" s="217">
        <f ca="1"/>
        <v>18207.295109999999</v>
      </c>
      <c r="AW75" s="217">
        <f ca="1"/>
        <v>8928695.6769600008</v>
      </c>
      <c r="AX75" s="217">
        <f ca="1"/>
        <v>1028999.447</v>
      </c>
      <c r="AY75" s="217">
        <f ca="1"/>
        <v>0</v>
      </c>
      <c r="AZ75" s="217">
        <f ca="1"/>
        <v>0</v>
      </c>
      <c r="BA75" s="217">
        <f ca="1"/>
        <v>0</v>
      </c>
      <c r="BB75" s="217">
        <f ca="1"/>
        <v>0</v>
      </c>
      <c r="BC75" s="217">
        <f ca="1"/>
        <v>220344.95050000001</v>
      </c>
      <c r="BD75" s="217">
        <f ca="1"/>
        <v>0</v>
      </c>
      <c r="BE75" s="217">
        <f ca="1"/>
        <v>0</v>
      </c>
      <c r="BF75" s="217">
        <f ca="1"/>
        <v>19.586900861</v>
      </c>
      <c r="BG75" s="217">
        <f ca="1"/>
        <v>0</v>
      </c>
      <c r="BH75" s="217">
        <f ca="1"/>
        <v>0</v>
      </c>
      <c r="BI75" s="217">
        <f ca="1"/>
        <v>0</v>
      </c>
      <c r="BJ75" s="217">
        <f ca="1"/>
        <v>0</v>
      </c>
      <c r="BK75" s="217">
        <f ca="1"/>
        <v>0</v>
      </c>
      <c r="BL75" s="217">
        <f ca="1"/>
        <v>0</v>
      </c>
      <c r="BM75" s="217">
        <f ca="1"/>
        <v>0</v>
      </c>
      <c r="BN75" s="217">
        <f ca="1"/>
        <v>0</v>
      </c>
    </row>
    <row r="76" spans="1:66" s="217" customFormat="1" x14ac:dyDescent="0.2">
      <c r="A76"/>
      <c r="B76" s="347" t="str">
        <f ca="1"/>
        <v>All</v>
      </c>
      <c r="C76" s="345">
        <f ca="1"/>
        <v>43969</v>
      </c>
      <c r="D76" s="353">
        <f ca="1"/>
        <v>4463840.9529999997</v>
      </c>
      <c r="E76" s="217">
        <f ca="1"/>
        <v>1823.120484</v>
      </c>
      <c r="F76" s="217">
        <f ca="1"/>
        <v>7018.088452</v>
      </c>
      <c r="G76" s="217">
        <f ca="1"/>
        <v>0</v>
      </c>
      <c r="H76" s="217">
        <f ca="1"/>
        <v>-27.156186479999999</v>
      </c>
      <c r="I76" s="217">
        <f ca="1"/>
        <v>4096.5077529999999</v>
      </c>
      <c r="J76" s="217">
        <f ca="1"/>
        <v>52007.85671</v>
      </c>
      <c r="K76" s="217">
        <f ca="1"/>
        <v>4909.5249379999996</v>
      </c>
      <c r="L76" s="217">
        <f ca="1"/>
        <v>1553.2555199999999</v>
      </c>
      <c r="M76" s="217">
        <f ca="1"/>
        <v>5673613.4740000004</v>
      </c>
      <c r="N76" s="217">
        <f ca="1"/>
        <v>14476.82734</v>
      </c>
      <c r="O76" s="217">
        <f ca="1"/>
        <v>346.14653770000001</v>
      </c>
      <c r="P76" s="217">
        <f ca="1"/>
        <v>10131.61227</v>
      </c>
      <c r="Q76" s="217">
        <f ca="1"/>
        <v>752.45034910000004</v>
      </c>
      <c r="R76" s="217">
        <f ca="1"/>
        <v>0</v>
      </c>
      <c r="S76" s="217">
        <f ca="1"/>
        <v>0</v>
      </c>
      <c r="T76" s="217">
        <f ca="1"/>
        <v>0</v>
      </c>
      <c r="U76" s="217">
        <f ca="1"/>
        <v>0</v>
      </c>
      <c r="V76" s="217">
        <f ca="1"/>
        <v>10.436498179999999</v>
      </c>
      <c r="W76" s="217">
        <f ca="1"/>
        <v>5.4513639290000002</v>
      </c>
      <c r="X76" s="217">
        <f ca="1"/>
        <v>6.7087282019999996</v>
      </c>
      <c r="Y76" s="217">
        <f ca="1"/>
        <v>197129201.5</v>
      </c>
      <c r="Z76" s="217">
        <f ca="1"/>
        <v>0</v>
      </c>
      <c r="AA76" s="217">
        <f ca="1"/>
        <v>0</v>
      </c>
      <c r="AB76" s="217">
        <f ca="1"/>
        <v>0</v>
      </c>
      <c r="AC76" s="217">
        <f ca="1"/>
        <v>8.4148554989999997</v>
      </c>
      <c r="AD76" s="217">
        <f ca="1"/>
        <v>0</v>
      </c>
      <c r="AE76" s="217">
        <f ca="1"/>
        <v>2106797.6719999998</v>
      </c>
      <c r="AF76" s="217">
        <f ca="1"/>
        <v>6956.752504</v>
      </c>
      <c r="AG76" s="217">
        <f ca="1"/>
        <v>159.76942869999999</v>
      </c>
      <c r="AH76" s="217">
        <f ca="1"/>
        <v>107493.7243</v>
      </c>
      <c r="AI76" s="217">
        <f ca="1"/>
        <v>2200</v>
      </c>
      <c r="AJ76" s="217">
        <f ca="1"/>
        <v>0</v>
      </c>
      <c r="AK76" s="217">
        <f ca="1"/>
        <v>0</v>
      </c>
      <c r="AL76" s="217">
        <f ca="1"/>
        <v>0</v>
      </c>
      <c r="AM76" s="217">
        <f ca="1"/>
        <v>0</v>
      </c>
      <c r="AN76" s="217">
        <f ca="1"/>
        <v>0</v>
      </c>
      <c r="AO76" s="217">
        <f ca="1"/>
        <v>0</v>
      </c>
      <c r="AP76" s="217">
        <f ca="1"/>
        <v>0</v>
      </c>
      <c r="AQ76" s="217">
        <f ca="1"/>
        <v>0</v>
      </c>
      <c r="AR76" s="217">
        <f ca="1"/>
        <v>0</v>
      </c>
      <c r="AS76" s="217">
        <f ca="1"/>
        <v>0</v>
      </c>
      <c r="AT76" s="217">
        <f ca="1"/>
        <v>0</v>
      </c>
      <c r="AU76" s="217">
        <f ca="1"/>
        <v>9381.3353879999995</v>
      </c>
      <c r="AV76" s="217">
        <f ca="1"/>
        <v>9075.5327739999993</v>
      </c>
      <c r="AW76" s="217">
        <f ca="1"/>
        <v>6369318.5266639898</v>
      </c>
      <c r="AX76" s="217">
        <f ca="1"/>
        <v>857720.25020000001</v>
      </c>
      <c r="AY76" s="217">
        <f ca="1"/>
        <v>0</v>
      </c>
      <c r="AZ76" s="217">
        <f ca="1"/>
        <v>0</v>
      </c>
      <c r="BA76" s="217">
        <f ca="1"/>
        <v>0</v>
      </c>
      <c r="BB76" s="217">
        <f ca="1"/>
        <v>0</v>
      </c>
      <c r="BC76" s="217">
        <f ca="1"/>
        <v>0</v>
      </c>
      <c r="BD76" s="217">
        <f ca="1"/>
        <v>0</v>
      </c>
      <c r="BE76" s="217">
        <f ca="1"/>
        <v>0</v>
      </c>
      <c r="BF76" s="217">
        <f ca="1"/>
        <v>22.596590311</v>
      </c>
      <c r="BG76" s="217">
        <f ca="1"/>
        <v>0</v>
      </c>
      <c r="BH76" s="217">
        <f ca="1"/>
        <v>0</v>
      </c>
      <c r="BI76" s="217">
        <f ca="1"/>
        <v>0</v>
      </c>
      <c r="BJ76" s="217">
        <f ca="1"/>
        <v>0</v>
      </c>
      <c r="BK76" s="217">
        <f ca="1"/>
        <v>0</v>
      </c>
      <c r="BL76" s="217">
        <f ca="1"/>
        <v>0</v>
      </c>
      <c r="BM76" s="217">
        <f ca="1"/>
        <v>0</v>
      </c>
      <c r="BN76" s="217">
        <f ca="1"/>
        <v>0</v>
      </c>
    </row>
    <row r="77" spans="1:66" s="217" customFormat="1" x14ac:dyDescent="0.2">
      <c r="A77"/>
      <c r="B77" s="347" t="str">
        <f ca="1"/>
        <v>All</v>
      </c>
      <c r="C77" s="345">
        <f ca="1"/>
        <v>43976</v>
      </c>
      <c r="D77" s="353">
        <f ca="1"/>
        <v>4432625.5870000003</v>
      </c>
      <c r="E77" s="217">
        <f ca="1"/>
        <v>1434.0706009999999</v>
      </c>
      <c r="F77" s="217">
        <f ca="1"/>
        <v>7864.6622550000002</v>
      </c>
      <c r="G77" s="217">
        <f ca="1"/>
        <v>0</v>
      </c>
      <c r="H77" s="217">
        <f ca="1"/>
        <v>-28.226077719999999</v>
      </c>
      <c r="I77" s="217">
        <f ca="1"/>
        <v>4470.8392510000003</v>
      </c>
      <c r="J77" s="217">
        <f ca="1"/>
        <v>52770.612179999996</v>
      </c>
      <c r="K77" s="217">
        <f ca="1"/>
        <v>5501.7481950000001</v>
      </c>
      <c r="L77" s="217">
        <f ca="1"/>
        <v>1359.924311</v>
      </c>
      <c r="M77" s="217">
        <f ca="1"/>
        <v>3961000.6320000002</v>
      </c>
      <c r="N77" s="217">
        <f ca="1"/>
        <v>11982.890460000001</v>
      </c>
      <c r="O77" s="217">
        <f ca="1"/>
        <v>646.93290579999996</v>
      </c>
      <c r="P77" s="217">
        <f ca="1"/>
        <v>21425.854139999999</v>
      </c>
      <c r="Q77" s="217">
        <f ca="1"/>
        <v>2282.8188009999999</v>
      </c>
      <c r="R77" s="217">
        <f ca="1"/>
        <v>0</v>
      </c>
      <c r="S77" s="217">
        <f ca="1"/>
        <v>0</v>
      </c>
      <c r="T77" s="217">
        <f ca="1"/>
        <v>0</v>
      </c>
      <c r="U77" s="217">
        <f ca="1"/>
        <v>0</v>
      </c>
      <c r="V77" s="217">
        <f ca="1"/>
        <v>12.72336636</v>
      </c>
      <c r="W77" s="217">
        <f ca="1"/>
        <v>6.7431812249999998</v>
      </c>
      <c r="X77" s="217">
        <f ca="1"/>
        <v>4.9621386100000002</v>
      </c>
      <c r="Y77" s="217">
        <f ca="1"/>
        <v>176051668.80000001</v>
      </c>
      <c r="Z77" s="217">
        <f ca="1"/>
        <v>0</v>
      </c>
      <c r="AA77" s="217">
        <f ca="1"/>
        <v>0</v>
      </c>
      <c r="AB77" s="217">
        <f ca="1"/>
        <v>0</v>
      </c>
      <c r="AC77" s="217">
        <f ca="1"/>
        <v>5.4449065000000001</v>
      </c>
      <c r="AD77" s="217">
        <f ca="1"/>
        <v>0</v>
      </c>
      <c r="AE77" s="217">
        <f ca="1"/>
        <v>2017715.0419999999</v>
      </c>
      <c r="AF77" s="217">
        <f ca="1"/>
        <v>8062.8103419999998</v>
      </c>
      <c r="AG77" s="217">
        <f ca="1"/>
        <v>159.76925449999999</v>
      </c>
      <c r="AH77" s="217">
        <f ca="1"/>
        <v>0</v>
      </c>
      <c r="AI77" s="217">
        <f ca="1"/>
        <v>109481</v>
      </c>
      <c r="AJ77" s="217">
        <f ca="1"/>
        <v>0</v>
      </c>
      <c r="AK77" s="217">
        <f ca="1"/>
        <v>0</v>
      </c>
      <c r="AL77" s="217">
        <f ca="1"/>
        <v>0</v>
      </c>
      <c r="AM77" s="217">
        <f ca="1"/>
        <v>0</v>
      </c>
      <c r="AN77" s="217">
        <f ca="1"/>
        <v>0</v>
      </c>
      <c r="AO77" s="217">
        <f ca="1"/>
        <v>0</v>
      </c>
      <c r="AP77" s="217">
        <f ca="1"/>
        <v>0</v>
      </c>
      <c r="AQ77" s="217">
        <f ca="1"/>
        <v>0</v>
      </c>
      <c r="AR77" s="217">
        <f ca="1"/>
        <v>0</v>
      </c>
      <c r="AS77" s="217">
        <f ca="1"/>
        <v>0</v>
      </c>
      <c r="AT77" s="217">
        <f ca="1"/>
        <v>0</v>
      </c>
      <c r="AU77" s="217">
        <f ca="1"/>
        <v>6876.921045</v>
      </c>
      <c r="AV77" s="217">
        <f ca="1"/>
        <v>8405.9921219999997</v>
      </c>
      <c r="AW77" s="217">
        <f ca="1"/>
        <v>4741757.8571359999</v>
      </c>
      <c r="AX77" s="217">
        <f ca="1"/>
        <v>431792.88770000002</v>
      </c>
      <c r="AY77" s="217">
        <f ca="1"/>
        <v>0</v>
      </c>
      <c r="AZ77" s="217">
        <f ca="1"/>
        <v>0</v>
      </c>
      <c r="BA77" s="217">
        <f ca="1"/>
        <v>0</v>
      </c>
      <c r="BB77" s="217">
        <f ca="1"/>
        <v>0</v>
      </c>
      <c r="BC77" s="217">
        <f ca="1"/>
        <v>0</v>
      </c>
      <c r="BD77" s="217">
        <f ca="1"/>
        <v>107493.7243</v>
      </c>
      <c r="BE77" s="217">
        <f ca="1"/>
        <v>0</v>
      </c>
      <c r="BF77" s="217">
        <f ca="1"/>
        <v>24.428686195000001</v>
      </c>
      <c r="BG77" s="217">
        <f ca="1"/>
        <v>0</v>
      </c>
      <c r="BH77" s="217">
        <f ca="1"/>
        <v>0</v>
      </c>
      <c r="BI77" s="217">
        <f ca="1"/>
        <v>0</v>
      </c>
      <c r="BJ77" s="217">
        <f ca="1"/>
        <v>0</v>
      </c>
      <c r="BK77" s="217">
        <f ca="1"/>
        <v>0</v>
      </c>
      <c r="BL77" s="217">
        <f ca="1"/>
        <v>0</v>
      </c>
      <c r="BM77" s="217">
        <f ca="1"/>
        <v>0</v>
      </c>
      <c r="BN77" s="217">
        <f ca="1"/>
        <v>0</v>
      </c>
    </row>
    <row r="78" spans="1:66" s="217" customFormat="1" x14ac:dyDescent="0.2">
      <c r="A78"/>
      <c r="B78" s="347" t="str">
        <f ca="1"/>
        <v>All</v>
      </c>
      <c r="C78" s="345">
        <f ca="1"/>
        <v>43983</v>
      </c>
      <c r="D78" s="353">
        <f ca="1"/>
        <v>4855216.2949999999</v>
      </c>
      <c r="E78" s="217">
        <f ca="1"/>
        <v>2632.0672450000002</v>
      </c>
      <c r="F78" s="217">
        <f ca="1"/>
        <v>7256.6175789999998</v>
      </c>
      <c r="G78" s="217">
        <f ca="1"/>
        <v>0</v>
      </c>
      <c r="H78" s="217">
        <f ca="1"/>
        <v>-22.673719550000001</v>
      </c>
      <c r="I78" s="217">
        <f ca="1"/>
        <v>3931.8018940000002</v>
      </c>
      <c r="J78" s="217">
        <f ca="1"/>
        <v>50590.241309999998</v>
      </c>
      <c r="K78" s="217">
        <f ca="1"/>
        <v>5076.3887080000004</v>
      </c>
      <c r="L78" s="217">
        <f ca="1"/>
        <v>1121.673323</v>
      </c>
      <c r="M78" s="217">
        <f ca="1"/>
        <v>3511984.2749999999</v>
      </c>
      <c r="N78" s="217">
        <f ca="1"/>
        <v>11384.660250000001</v>
      </c>
      <c r="O78" s="217">
        <f ca="1"/>
        <v>986.03320350000001</v>
      </c>
      <c r="P78" s="217">
        <f ca="1"/>
        <v>30479.3917</v>
      </c>
      <c r="Q78" s="217">
        <f ca="1"/>
        <v>3638.1850749999999</v>
      </c>
      <c r="R78" s="217">
        <f ca="1"/>
        <v>0</v>
      </c>
      <c r="S78" s="217">
        <f ca="1"/>
        <v>0</v>
      </c>
      <c r="T78" s="217">
        <f ca="1"/>
        <v>0</v>
      </c>
      <c r="U78" s="217">
        <f ca="1"/>
        <v>0</v>
      </c>
      <c r="V78" s="217">
        <f ca="1"/>
        <v>13.060260359999999</v>
      </c>
      <c r="W78" s="217">
        <f ca="1"/>
        <v>7.6897539290000001</v>
      </c>
      <c r="X78" s="217">
        <f ca="1"/>
        <v>6.3861197729999999</v>
      </c>
      <c r="Y78" s="217">
        <f ca="1"/>
        <v>193168200.69999999</v>
      </c>
      <c r="Z78" s="217">
        <f ca="1"/>
        <v>0</v>
      </c>
      <c r="AA78" s="217">
        <f ca="1"/>
        <v>0</v>
      </c>
      <c r="AB78" s="217">
        <f ca="1"/>
        <v>0</v>
      </c>
      <c r="AC78" s="217">
        <f ca="1"/>
        <v>0</v>
      </c>
      <c r="AD78" s="217">
        <f ca="1"/>
        <v>0</v>
      </c>
      <c r="AE78" s="217">
        <f ca="1"/>
        <v>0</v>
      </c>
      <c r="AF78" s="217">
        <f ca="1"/>
        <v>0</v>
      </c>
      <c r="AG78" s="217">
        <f ca="1"/>
        <v>159.76890539999999</v>
      </c>
      <c r="AH78" s="217">
        <f ca="1"/>
        <v>0</v>
      </c>
      <c r="AI78" s="217">
        <f ca="1"/>
        <v>186000</v>
      </c>
      <c r="AJ78" s="217">
        <f ca="1"/>
        <v>0</v>
      </c>
      <c r="AK78" s="217">
        <f ca="1"/>
        <v>0</v>
      </c>
      <c r="AL78" s="217">
        <f ca="1"/>
        <v>0</v>
      </c>
      <c r="AM78" s="217">
        <f ca="1"/>
        <v>0</v>
      </c>
      <c r="AN78" s="217">
        <f ca="1"/>
        <v>0</v>
      </c>
      <c r="AO78" s="217">
        <f ca="1"/>
        <v>0</v>
      </c>
      <c r="AP78" s="217">
        <f ca="1"/>
        <v>0</v>
      </c>
      <c r="AQ78" s="217">
        <f ca="1"/>
        <v>0</v>
      </c>
      <c r="AR78" s="217">
        <f ca="1"/>
        <v>0</v>
      </c>
      <c r="AS78" s="217">
        <f ca="1"/>
        <v>0</v>
      </c>
      <c r="AT78" s="217">
        <f ca="1"/>
        <v>0</v>
      </c>
      <c r="AU78" s="217">
        <f ca="1"/>
        <v>8075.2811309999997</v>
      </c>
      <c r="AV78" s="217">
        <f ca="1"/>
        <v>10202.03515</v>
      </c>
      <c r="AW78" s="217">
        <f ca="1"/>
        <v>4629460.7265360001</v>
      </c>
      <c r="AX78" s="217">
        <f ca="1"/>
        <v>838916.6666</v>
      </c>
      <c r="AY78" s="217">
        <f ca="1"/>
        <v>0</v>
      </c>
      <c r="AZ78" s="217">
        <f ca="1"/>
        <v>0</v>
      </c>
      <c r="BA78" s="217">
        <f ca="1"/>
        <v>0</v>
      </c>
      <c r="BB78" s="217">
        <f ca="1"/>
        <v>0</v>
      </c>
      <c r="BC78" s="217">
        <f ca="1"/>
        <v>0</v>
      </c>
      <c r="BD78" s="217">
        <f ca="1"/>
        <v>0</v>
      </c>
      <c r="BE78" s="217">
        <f ca="1"/>
        <v>0</v>
      </c>
      <c r="BF78" s="217">
        <f ca="1"/>
        <v>27.136134062</v>
      </c>
      <c r="BG78" s="217">
        <f ca="1"/>
        <v>0</v>
      </c>
      <c r="BH78" s="217">
        <f ca="1"/>
        <v>0</v>
      </c>
      <c r="BI78" s="217">
        <f ca="1"/>
        <v>0</v>
      </c>
      <c r="BJ78" s="217">
        <f ca="1"/>
        <v>0</v>
      </c>
      <c r="BK78" s="217">
        <f ca="1"/>
        <v>0</v>
      </c>
      <c r="BL78" s="217">
        <f ca="1"/>
        <v>0</v>
      </c>
      <c r="BM78" s="217">
        <f ca="1"/>
        <v>0</v>
      </c>
      <c r="BN78" s="217">
        <f ca="1"/>
        <v>0</v>
      </c>
    </row>
    <row r="79" spans="1:66" s="217" customFormat="1" x14ac:dyDescent="0.2">
      <c r="A79"/>
      <c r="B79" s="347" t="str">
        <f ca="1"/>
        <v>All</v>
      </c>
      <c r="C79" s="345">
        <f ca="1"/>
        <v>43990</v>
      </c>
      <c r="D79" s="353">
        <f ca="1"/>
        <v>6452035.4610000001</v>
      </c>
      <c r="E79" s="217">
        <f ca="1"/>
        <v>3648.129559</v>
      </c>
      <c r="F79" s="217">
        <f ca="1"/>
        <v>8397.9124059999995</v>
      </c>
      <c r="G79" s="217">
        <f ca="1"/>
        <v>0</v>
      </c>
      <c r="H79" s="217">
        <f ca="1"/>
        <v>-21.765492680000001</v>
      </c>
      <c r="I79" s="217">
        <f ca="1"/>
        <v>5071.531207</v>
      </c>
      <c r="J79" s="217">
        <f ca="1"/>
        <v>165182.80129999999</v>
      </c>
      <c r="K79" s="217">
        <f ca="1"/>
        <v>5874.7849459999998</v>
      </c>
      <c r="L79" s="217">
        <f ca="1"/>
        <v>880.77999420000003</v>
      </c>
      <c r="M79" s="217">
        <f ca="1"/>
        <v>2904304.2110000001</v>
      </c>
      <c r="N79" s="217">
        <f ca="1"/>
        <v>8555.8186330000008</v>
      </c>
      <c r="O79" s="217">
        <f ca="1"/>
        <v>1303.5543909999999</v>
      </c>
      <c r="P79" s="217">
        <f ca="1"/>
        <v>41742.806270000001</v>
      </c>
      <c r="Q79" s="217">
        <f ca="1"/>
        <v>5265.5230000000001</v>
      </c>
      <c r="R79" s="217">
        <f ca="1"/>
        <v>0</v>
      </c>
      <c r="S79" s="217">
        <f ca="1"/>
        <v>0</v>
      </c>
      <c r="T79" s="217">
        <f ca="1"/>
        <v>0</v>
      </c>
      <c r="U79" s="217">
        <f ca="1"/>
        <v>0</v>
      </c>
      <c r="V79" s="217">
        <f ca="1"/>
        <v>11.769430789999999</v>
      </c>
      <c r="W79" s="217">
        <f ca="1"/>
        <v>5.5846444829999999</v>
      </c>
      <c r="X79" s="217">
        <f ca="1"/>
        <v>4.4751475010000004</v>
      </c>
      <c r="Y79" s="217">
        <f ca="1"/>
        <v>215701134.59999999</v>
      </c>
      <c r="Z79" s="217">
        <f ca="1"/>
        <v>0</v>
      </c>
      <c r="AA79" s="217">
        <f ca="1"/>
        <v>5296.7650549999998</v>
      </c>
      <c r="AB79" s="217">
        <f ca="1"/>
        <v>23762.544040000001</v>
      </c>
      <c r="AC79" s="217">
        <f ca="1"/>
        <v>0</v>
      </c>
      <c r="AD79" s="217">
        <f ca="1"/>
        <v>0</v>
      </c>
      <c r="AE79" s="217">
        <f ca="1"/>
        <v>0</v>
      </c>
      <c r="AF79" s="217">
        <f ca="1"/>
        <v>0</v>
      </c>
      <c r="AG79" s="217">
        <f ca="1"/>
        <v>45.64820872</v>
      </c>
      <c r="AH79" s="217">
        <f ca="1"/>
        <v>0</v>
      </c>
      <c r="AI79" s="217">
        <f ca="1"/>
        <v>51744</v>
      </c>
      <c r="AJ79" s="217">
        <f ca="1"/>
        <v>0</v>
      </c>
      <c r="AK79" s="217">
        <f ca="1"/>
        <v>0</v>
      </c>
      <c r="AL79" s="217">
        <f ca="1"/>
        <v>0</v>
      </c>
      <c r="AM79" s="217">
        <f ca="1"/>
        <v>0</v>
      </c>
      <c r="AN79" s="217">
        <f ca="1"/>
        <v>0</v>
      </c>
      <c r="AO79" s="217">
        <f ca="1"/>
        <v>0</v>
      </c>
      <c r="AP79" s="217">
        <f ca="1"/>
        <v>0</v>
      </c>
      <c r="AQ79" s="217">
        <f ca="1"/>
        <v>0</v>
      </c>
      <c r="AR79" s="217">
        <f ca="1"/>
        <v>0</v>
      </c>
      <c r="AS79" s="217">
        <f ca="1"/>
        <v>0</v>
      </c>
      <c r="AT79" s="217">
        <f ca="1"/>
        <v>0</v>
      </c>
      <c r="AU79" s="217">
        <f ca="1"/>
        <v>9350.7109670000009</v>
      </c>
      <c r="AV79" s="217">
        <f ca="1"/>
        <v>14917.125410000001</v>
      </c>
      <c r="AW79" s="217">
        <f ca="1"/>
        <v>4419558.3250479996</v>
      </c>
      <c r="AX79" s="217">
        <f ca="1"/>
        <v>897652.85230000003</v>
      </c>
      <c r="AY79" s="217">
        <f ca="1"/>
        <v>0</v>
      </c>
      <c r="AZ79" s="217">
        <f ca="1"/>
        <v>0</v>
      </c>
      <c r="BA79" s="217">
        <f ca="1"/>
        <v>0</v>
      </c>
      <c r="BB79" s="217">
        <f ca="1"/>
        <v>0</v>
      </c>
      <c r="BC79" s="217">
        <f ca="1"/>
        <v>0</v>
      </c>
      <c r="BD79" s="217">
        <f ca="1"/>
        <v>0</v>
      </c>
      <c r="BE79" s="217">
        <f ca="1"/>
        <v>0</v>
      </c>
      <c r="BF79" s="217">
        <f ca="1"/>
        <v>21.829222774000002</v>
      </c>
      <c r="BG79" s="217">
        <f ca="1"/>
        <v>0</v>
      </c>
      <c r="BH79" s="217">
        <f ca="1"/>
        <v>0</v>
      </c>
      <c r="BI79" s="217">
        <f ca="1"/>
        <v>0</v>
      </c>
      <c r="BJ79" s="217">
        <f ca="1"/>
        <v>0</v>
      </c>
      <c r="BK79" s="217">
        <f ca="1"/>
        <v>0</v>
      </c>
      <c r="BL79" s="217">
        <f ca="1"/>
        <v>0</v>
      </c>
      <c r="BM79" s="217">
        <f ca="1"/>
        <v>1</v>
      </c>
      <c r="BN79" s="217">
        <f ca="1"/>
        <v>0</v>
      </c>
    </row>
    <row r="80" spans="1:66" s="217" customFormat="1" x14ac:dyDescent="0.2">
      <c r="A80"/>
      <c r="B80" s="347" t="str">
        <f ca="1"/>
        <v>All</v>
      </c>
      <c r="C80" s="345">
        <f ca="1"/>
        <v>43997</v>
      </c>
      <c r="D80" s="353">
        <f ca="1"/>
        <v>6185776.523</v>
      </c>
      <c r="E80" s="217">
        <f ca="1"/>
        <v>5379.9681129999999</v>
      </c>
      <c r="F80" s="217">
        <f ca="1"/>
        <v>14037.022269999999</v>
      </c>
      <c r="G80" s="217">
        <f ca="1"/>
        <v>0</v>
      </c>
      <c r="H80" s="217">
        <f ca="1"/>
        <v>-21.81427858</v>
      </c>
      <c r="I80" s="217">
        <f ca="1"/>
        <v>11751.366679999999</v>
      </c>
      <c r="J80" s="217">
        <f ca="1"/>
        <v>764905.45900000003</v>
      </c>
      <c r="K80" s="217">
        <f ca="1"/>
        <v>9819.6412550000005</v>
      </c>
      <c r="L80" s="217">
        <f ca="1"/>
        <v>613.022876</v>
      </c>
      <c r="M80" s="217">
        <f ca="1"/>
        <v>1849406.3430000001</v>
      </c>
      <c r="N80" s="217">
        <f ca="1"/>
        <v>7242.0044010000001</v>
      </c>
      <c r="O80" s="217">
        <f ca="1"/>
        <v>1743.503999</v>
      </c>
      <c r="P80" s="217">
        <f ca="1"/>
        <v>56143.118779999997</v>
      </c>
      <c r="Q80" s="217">
        <f ca="1"/>
        <v>8295.7981280000004</v>
      </c>
      <c r="R80" s="217">
        <f ca="1"/>
        <v>0</v>
      </c>
      <c r="S80" s="217">
        <f ca="1"/>
        <v>0</v>
      </c>
      <c r="T80" s="217">
        <f ca="1"/>
        <v>0</v>
      </c>
      <c r="U80" s="217">
        <f ca="1"/>
        <v>0</v>
      </c>
      <c r="V80" s="217">
        <f ca="1"/>
        <v>11.963706950000001</v>
      </c>
      <c r="W80" s="217">
        <f ca="1"/>
        <v>5.1829533799999998</v>
      </c>
      <c r="X80" s="217">
        <f ca="1"/>
        <v>5.1112881159999999</v>
      </c>
      <c r="Y80" s="217">
        <f ca="1"/>
        <v>267854037.59999999</v>
      </c>
      <c r="Z80" s="217">
        <f ca="1"/>
        <v>0</v>
      </c>
      <c r="AA80" s="217">
        <f ca="1"/>
        <v>5296.7650549999998</v>
      </c>
      <c r="AB80" s="217">
        <f ca="1"/>
        <v>23762.544040000001</v>
      </c>
      <c r="AC80" s="217">
        <f ca="1"/>
        <v>0</v>
      </c>
      <c r="AD80" s="217">
        <f ca="1"/>
        <v>0</v>
      </c>
      <c r="AE80" s="217">
        <f ca="1"/>
        <v>0</v>
      </c>
      <c r="AF80" s="217">
        <f ca="1"/>
        <v>0</v>
      </c>
      <c r="AG80" s="217">
        <f ca="1"/>
        <v>0</v>
      </c>
      <c r="AH80" s="217">
        <f ca="1"/>
        <v>0</v>
      </c>
      <c r="AI80" s="217">
        <f ca="1"/>
        <v>69292</v>
      </c>
      <c r="AJ80" s="217">
        <f ca="1"/>
        <v>0</v>
      </c>
      <c r="AK80" s="217">
        <f ca="1"/>
        <v>0</v>
      </c>
      <c r="AL80" s="217">
        <f ca="1"/>
        <v>0</v>
      </c>
      <c r="AM80" s="217">
        <f ca="1"/>
        <v>0</v>
      </c>
      <c r="AN80" s="217">
        <f ca="1"/>
        <v>0</v>
      </c>
      <c r="AO80" s="217">
        <f ca="1"/>
        <v>0</v>
      </c>
      <c r="AP80" s="217">
        <f ca="1"/>
        <v>0</v>
      </c>
      <c r="AQ80" s="217">
        <f ca="1"/>
        <v>0</v>
      </c>
      <c r="AR80" s="217">
        <f ca="1"/>
        <v>0</v>
      </c>
      <c r="AS80" s="217">
        <f ca="1"/>
        <v>0</v>
      </c>
      <c r="AT80" s="217">
        <f ca="1"/>
        <v>0</v>
      </c>
      <c r="AU80" s="217">
        <f ca="1"/>
        <v>55578.896639999999</v>
      </c>
      <c r="AV80" s="217">
        <f ca="1"/>
        <v>20349.833490000001</v>
      </c>
      <c r="AW80" s="217">
        <f ca="1"/>
        <v>4560436.8859599996</v>
      </c>
      <c r="AX80" s="217">
        <f ca="1"/>
        <v>2714970.2080000001</v>
      </c>
      <c r="AY80" s="217">
        <f ca="1"/>
        <v>0</v>
      </c>
      <c r="AZ80" s="217">
        <f ca="1"/>
        <v>0</v>
      </c>
      <c r="BA80" s="217">
        <f ca="1"/>
        <v>0</v>
      </c>
      <c r="BB80" s="217">
        <f ca="1"/>
        <v>0</v>
      </c>
      <c r="BC80" s="217">
        <f ca="1"/>
        <v>0</v>
      </c>
      <c r="BD80" s="217">
        <f ca="1"/>
        <v>0</v>
      </c>
      <c r="BE80" s="217">
        <f ca="1"/>
        <v>0</v>
      </c>
      <c r="BF80" s="217">
        <f ca="1"/>
        <v>22.257948446</v>
      </c>
      <c r="BG80" s="217">
        <f ca="1"/>
        <v>0</v>
      </c>
      <c r="BH80" s="217">
        <f ca="1"/>
        <v>0</v>
      </c>
      <c r="BI80" s="217">
        <f ca="1"/>
        <v>0</v>
      </c>
      <c r="BJ80" s="217">
        <f ca="1"/>
        <v>0</v>
      </c>
      <c r="BK80" s="217">
        <f ca="1"/>
        <v>0</v>
      </c>
      <c r="BL80" s="217">
        <f ca="1"/>
        <v>0</v>
      </c>
      <c r="BM80" s="217">
        <f ca="1"/>
        <v>0</v>
      </c>
      <c r="BN80" s="217">
        <f ca="1"/>
        <v>0</v>
      </c>
    </row>
    <row r="81" spans="1:66" s="217" customFormat="1" x14ac:dyDescent="0.2">
      <c r="A81"/>
      <c r="B81" s="347" t="str">
        <f ca="1"/>
        <v>All</v>
      </c>
      <c r="C81" s="345">
        <f ca="1"/>
        <v>44004</v>
      </c>
      <c r="D81" s="353">
        <f ca="1"/>
        <v>4558502.4340000004</v>
      </c>
      <c r="E81" s="217">
        <f ca="1"/>
        <v>6045.3819080000003</v>
      </c>
      <c r="F81" s="217">
        <f ca="1"/>
        <v>19674.579010000001</v>
      </c>
      <c r="G81" s="217">
        <f ca="1"/>
        <v>0</v>
      </c>
      <c r="H81" s="217">
        <f ca="1"/>
        <v>-22.636216940000001</v>
      </c>
      <c r="I81" s="217">
        <f ca="1"/>
        <v>27946.26844</v>
      </c>
      <c r="J81" s="217">
        <f ca="1"/>
        <v>1295686.824</v>
      </c>
      <c r="K81" s="217">
        <f ca="1"/>
        <v>13763.41107</v>
      </c>
      <c r="L81" s="217">
        <f ca="1"/>
        <v>1533.43797</v>
      </c>
      <c r="M81" s="217">
        <f ca="1"/>
        <v>4185471.3769999999</v>
      </c>
      <c r="N81" s="217">
        <f ca="1"/>
        <v>14390.416859999999</v>
      </c>
      <c r="O81" s="217">
        <f ca="1"/>
        <v>493.23679679999998</v>
      </c>
      <c r="P81" s="217">
        <f ca="1"/>
        <v>15006.72954</v>
      </c>
      <c r="Q81" s="217">
        <f ca="1"/>
        <v>1539.6078339999999</v>
      </c>
      <c r="R81" s="217">
        <f ca="1"/>
        <v>0</v>
      </c>
      <c r="S81" s="217">
        <f ca="1"/>
        <v>0</v>
      </c>
      <c r="T81" s="217">
        <f ca="1"/>
        <v>0</v>
      </c>
      <c r="U81" s="217">
        <f ca="1"/>
        <v>0</v>
      </c>
      <c r="V81" s="217">
        <f ca="1"/>
        <v>12.11667259</v>
      </c>
      <c r="W81" s="217">
        <f ca="1"/>
        <v>5.189285871</v>
      </c>
      <c r="X81" s="217">
        <f ca="1"/>
        <v>5.7932404860000002</v>
      </c>
      <c r="Y81" s="217">
        <f ca="1"/>
        <v>223622577.69999999</v>
      </c>
      <c r="Z81" s="217">
        <f ca="1"/>
        <v>0</v>
      </c>
      <c r="AA81" s="217">
        <f ca="1"/>
        <v>0</v>
      </c>
      <c r="AB81" s="217">
        <f ca="1"/>
        <v>0</v>
      </c>
      <c r="AC81" s="217">
        <f ca="1"/>
        <v>0</v>
      </c>
      <c r="AD81" s="217">
        <f ca="1"/>
        <v>0</v>
      </c>
      <c r="AE81" s="217">
        <f ca="1"/>
        <v>0</v>
      </c>
      <c r="AF81" s="217">
        <f ca="1"/>
        <v>0</v>
      </c>
      <c r="AG81" s="217">
        <f ca="1"/>
        <v>0</v>
      </c>
      <c r="AH81" s="217">
        <f ca="1"/>
        <v>0</v>
      </c>
      <c r="AI81" s="217">
        <f ca="1"/>
        <v>15654</v>
      </c>
      <c r="AJ81" s="217">
        <f ca="1"/>
        <v>0</v>
      </c>
      <c r="AK81" s="217">
        <f ca="1"/>
        <v>0</v>
      </c>
      <c r="AL81" s="217">
        <f ca="1"/>
        <v>0</v>
      </c>
      <c r="AM81" s="217">
        <f ca="1"/>
        <v>0</v>
      </c>
      <c r="AN81" s="217">
        <f ca="1"/>
        <v>0</v>
      </c>
      <c r="AO81" s="217">
        <f ca="1"/>
        <v>0</v>
      </c>
      <c r="AP81" s="217">
        <f ca="1"/>
        <v>0</v>
      </c>
      <c r="AQ81" s="217">
        <f ca="1"/>
        <v>0</v>
      </c>
      <c r="AR81" s="217">
        <f ca="1"/>
        <v>0</v>
      </c>
      <c r="AS81" s="217">
        <f ca="1"/>
        <v>0</v>
      </c>
      <c r="AT81" s="217">
        <f ca="1"/>
        <v>0</v>
      </c>
      <c r="AU81" s="217">
        <f ca="1"/>
        <v>58938.778839999999</v>
      </c>
      <c r="AV81" s="217">
        <f ca="1"/>
        <v>29359.01917</v>
      </c>
      <c r="AW81" s="217">
        <f ca="1"/>
        <v>5796417.76983999</v>
      </c>
      <c r="AX81" s="217">
        <f ca="1"/>
        <v>2490921.0410000002</v>
      </c>
      <c r="AY81" s="217">
        <f ca="1"/>
        <v>0</v>
      </c>
      <c r="AZ81" s="217">
        <f ca="1"/>
        <v>0</v>
      </c>
      <c r="BA81" s="217">
        <f ca="1"/>
        <v>0</v>
      </c>
      <c r="BB81" s="217">
        <f ca="1"/>
        <v>0</v>
      </c>
      <c r="BC81" s="217">
        <f ca="1"/>
        <v>0</v>
      </c>
      <c r="BD81" s="217">
        <f ca="1"/>
        <v>0</v>
      </c>
      <c r="BE81" s="217">
        <f ca="1"/>
        <v>0</v>
      </c>
      <c r="BF81" s="217">
        <f ca="1"/>
        <v>23.099198946999898</v>
      </c>
      <c r="BG81" s="217">
        <f ca="1"/>
        <v>0</v>
      </c>
      <c r="BH81" s="217">
        <f ca="1"/>
        <v>0</v>
      </c>
      <c r="BI81" s="217">
        <f ca="1"/>
        <v>0</v>
      </c>
      <c r="BJ81" s="217">
        <f ca="1"/>
        <v>0</v>
      </c>
      <c r="BK81" s="217">
        <f ca="1"/>
        <v>0</v>
      </c>
      <c r="BL81" s="217">
        <f ca="1"/>
        <v>0</v>
      </c>
      <c r="BM81" s="217">
        <f ca="1"/>
        <v>0</v>
      </c>
      <c r="BN81" s="217">
        <f ca="1"/>
        <v>0</v>
      </c>
    </row>
    <row r="82" spans="1:66" s="217" customFormat="1" x14ac:dyDescent="0.2">
      <c r="A82"/>
      <c r="B82" s="347" t="str">
        <f ca="1"/>
        <v>All</v>
      </c>
      <c r="C82" s="345">
        <f ca="1"/>
        <v>44011</v>
      </c>
      <c r="D82" s="353">
        <f ca="1"/>
        <v>4176359.0189999999</v>
      </c>
      <c r="E82" s="217">
        <f ca="1"/>
        <v>1284.24233</v>
      </c>
      <c r="F82" s="217">
        <f ca="1"/>
        <v>13157.097900000001</v>
      </c>
      <c r="G82" s="217">
        <f ca="1"/>
        <v>0</v>
      </c>
      <c r="H82" s="217">
        <f ca="1"/>
        <v>-29.123658330000001</v>
      </c>
      <c r="I82" s="217">
        <f ca="1"/>
        <v>11366.025439999999</v>
      </c>
      <c r="J82" s="217">
        <f ca="1"/>
        <v>851610.32239999995</v>
      </c>
      <c r="K82" s="217">
        <f ca="1"/>
        <v>9204.0875059999998</v>
      </c>
      <c r="L82" s="217">
        <f ca="1"/>
        <v>824.85046460000001</v>
      </c>
      <c r="M82" s="217">
        <f ca="1"/>
        <v>2114752.7659999998</v>
      </c>
      <c r="N82" s="217">
        <f ca="1"/>
        <v>7471.1978840000002</v>
      </c>
      <c r="O82" s="217">
        <f ca="1"/>
        <v>1237.4958919999999</v>
      </c>
      <c r="P82" s="217">
        <f ca="1"/>
        <v>31203.39286</v>
      </c>
      <c r="Q82" s="217">
        <f ca="1"/>
        <v>4176.5838659999999</v>
      </c>
      <c r="R82" s="217">
        <f ca="1"/>
        <v>0</v>
      </c>
      <c r="S82" s="217">
        <f ca="1"/>
        <v>0</v>
      </c>
      <c r="T82" s="217">
        <f ca="1"/>
        <v>0</v>
      </c>
      <c r="U82" s="217">
        <f ca="1"/>
        <v>0</v>
      </c>
      <c r="V82" s="217">
        <f ca="1"/>
        <v>12.887170530000001</v>
      </c>
      <c r="W82" s="217">
        <f ca="1"/>
        <v>5.9852506669999999</v>
      </c>
      <c r="X82" s="217">
        <f ca="1"/>
        <v>6.0425237730000001</v>
      </c>
      <c r="Y82" s="217">
        <f ca="1"/>
        <v>219743576.80000001</v>
      </c>
      <c r="Z82" s="217">
        <f ca="1"/>
        <v>0</v>
      </c>
      <c r="AA82" s="217">
        <f ca="1"/>
        <v>0</v>
      </c>
      <c r="AB82" s="217">
        <f ca="1"/>
        <v>0</v>
      </c>
      <c r="AC82" s="217">
        <f ca="1"/>
        <v>0</v>
      </c>
      <c r="AD82" s="217">
        <f ca="1"/>
        <v>0</v>
      </c>
      <c r="AE82" s="217">
        <f ca="1"/>
        <v>0</v>
      </c>
      <c r="AF82" s="217">
        <f ca="1"/>
        <v>0</v>
      </c>
      <c r="AG82" s="217">
        <f ca="1"/>
        <v>0</v>
      </c>
      <c r="AH82" s="217">
        <f ca="1"/>
        <v>0</v>
      </c>
      <c r="AI82" s="217">
        <f ca="1"/>
        <v>153482</v>
      </c>
      <c r="AJ82" s="217">
        <f ca="1"/>
        <v>0</v>
      </c>
      <c r="AK82" s="217">
        <f ca="1"/>
        <v>0</v>
      </c>
      <c r="AL82" s="217">
        <f ca="1"/>
        <v>0</v>
      </c>
      <c r="AM82" s="217">
        <f ca="1"/>
        <v>0</v>
      </c>
      <c r="AN82" s="217">
        <f ca="1"/>
        <v>0</v>
      </c>
      <c r="AO82" s="217">
        <f ca="1"/>
        <v>0</v>
      </c>
      <c r="AP82" s="217">
        <f ca="1"/>
        <v>0</v>
      </c>
      <c r="AQ82" s="217">
        <f ca="1"/>
        <v>0</v>
      </c>
      <c r="AR82" s="217">
        <f ca="1"/>
        <v>0</v>
      </c>
      <c r="AS82" s="217">
        <f ca="1"/>
        <v>0</v>
      </c>
      <c r="AT82" s="217">
        <f ca="1"/>
        <v>0</v>
      </c>
      <c r="AU82" s="217">
        <f ca="1"/>
        <v>28296.635920000001</v>
      </c>
      <c r="AV82" s="217">
        <f ca="1"/>
        <v>17111.53499</v>
      </c>
      <c r="AW82" s="217">
        <f ca="1"/>
        <v>6457556.4363599997</v>
      </c>
      <c r="AX82" s="217">
        <f ca="1"/>
        <v>1631861.2279999999</v>
      </c>
      <c r="AY82" s="217">
        <f ca="1"/>
        <v>0</v>
      </c>
      <c r="AZ82" s="217">
        <f ca="1"/>
        <v>0</v>
      </c>
      <c r="BA82" s="217">
        <f ca="1"/>
        <v>0</v>
      </c>
      <c r="BB82" s="217">
        <f ca="1"/>
        <v>0</v>
      </c>
      <c r="BC82" s="217">
        <f ca="1"/>
        <v>0</v>
      </c>
      <c r="BD82" s="217">
        <f ca="1"/>
        <v>0</v>
      </c>
      <c r="BE82" s="217">
        <f ca="1"/>
        <v>0</v>
      </c>
      <c r="BF82" s="217">
        <f ca="1"/>
        <v>24.914944970000001</v>
      </c>
      <c r="BG82" s="217">
        <f ca="1"/>
        <v>0</v>
      </c>
      <c r="BH82" s="217">
        <f ca="1"/>
        <v>0</v>
      </c>
      <c r="BI82" s="217">
        <f ca="1"/>
        <v>0</v>
      </c>
      <c r="BJ82" s="217">
        <f ca="1"/>
        <v>0</v>
      </c>
      <c r="BK82" s="217">
        <f ca="1"/>
        <v>0</v>
      </c>
      <c r="BL82" s="217">
        <f ca="1"/>
        <v>0</v>
      </c>
      <c r="BM82" s="217">
        <f ca="1"/>
        <v>0</v>
      </c>
      <c r="BN82" s="217">
        <f ca="1"/>
        <v>0</v>
      </c>
    </row>
    <row r="83" spans="1:66" s="217" customFormat="1" x14ac:dyDescent="0.2">
      <c r="A83"/>
      <c r="B83" s="347" t="str">
        <f ca="1"/>
        <v>All</v>
      </c>
      <c r="C83" s="345">
        <f ca="1"/>
        <v>44018</v>
      </c>
      <c r="D83" s="353">
        <f ca="1"/>
        <v>6637140.6370000001</v>
      </c>
      <c r="E83" s="217">
        <f ca="1"/>
        <v>0</v>
      </c>
      <c r="F83" s="217">
        <f ca="1"/>
        <v>5728.4581269999999</v>
      </c>
      <c r="G83" s="217">
        <f ca="1"/>
        <v>0</v>
      </c>
      <c r="H83" s="217">
        <f ca="1"/>
        <v>-24.404308</v>
      </c>
      <c r="I83" s="217">
        <f ca="1"/>
        <v>4580.0559700000003</v>
      </c>
      <c r="J83" s="217">
        <f ca="1"/>
        <v>179207.90150000001</v>
      </c>
      <c r="K83" s="217">
        <f ca="1"/>
        <v>4007.3601560000002</v>
      </c>
      <c r="L83" s="217">
        <f ca="1"/>
        <v>1110.663573</v>
      </c>
      <c r="M83" s="217">
        <f ca="1"/>
        <v>2585260.5950000002</v>
      </c>
      <c r="N83" s="217">
        <f ca="1"/>
        <v>6300.6967249999998</v>
      </c>
      <c r="O83" s="217">
        <f ca="1"/>
        <v>4602.9562500000002</v>
      </c>
      <c r="P83" s="217">
        <f ca="1"/>
        <v>100965.13189999999</v>
      </c>
      <c r="Q83" s="217">
        <f ca="1"/>
        <v>12500.15739</v>
      </c>
      <c r="R83" s="217">
        <f ca="1"/>
        <v>0</v>
      </c>
      <c r="S83" s="217">
        <f ca="1"/>
        <v>0</v>
      </c>
      <c r="T83" s="217">
        <f ca="1"/>
        <v>0</v>
      </c>
      <c r="U83" s="217">
        <f ca="1"/>
        <v>0</v>
      </c>
      <c r="V83" s="217">
        <f ca="1"/>
        <v>19.662408169999999</v>
      </c>
      <c r="W83" s="217">
        <f ca="1"/>
        <v>5.810050983</v>
      </c>
      <c r="X83" s="217">
        <f ca="1"/>
        <v>11.37935382</v>
      </c>
      <c r="Y83" s="217">
        <f ca="1"/>
        <v>221865401.30000001</v>
      </c>
      <c r="Z83" s="217">
        <f ca="1"/>
        <v>0</v>
      </c>
      <c r="AA83" s="217">
        <f ca="1"/>
        <v>0</v>
      </c>
      <c r="AB83" s="217">
        <f ca="1"/>
        <v>0</v>
      </c>
      <c r="AC83" s="217">
        <f ca="1"/>
        <v>0</v>
      </c>
      <c r="AD83" s="217">
        <f ca="1"/>
        <v>0</v>
      </c>
      <c r="AE83" s="217">
        <f ca="1"/>
        <v>0</v>
      </c>
      <c r="AF83" s="217">
        <f ca="1"/>
        <v>0</v>
      </c>
      <c r="AG83" s="217">
        <f ca="1"/>
        <v>0</v>
      </c>
      <c r="AH83" s="217">
        <f ca="1"/>
        <v>0</v>
      </c>
      <c r="AI83" s="217">
        <f ca="1"/>
        <v>301116</v>
      </c>
      <c r="AJ83" s="217">
        <f ca="1"/>
        <v>0</v>
      </c>
      <c r="AK83" s="217">
        <f ca="1"/>
        <v>0</v>
      </c>
      <c r="AL83" s="217">
        <f ca="1"/>
        <v>0</v>
      </c>
      <c r="AM83" s="217">
        <f ca="1"/>
        <v>0</v>
      </c>
      <c r="AN83" s="217">
        <f ca="1"/>
        <v>0</v>
      </c>
      <c r="AO83" s="217">
        <f ca="1"/>
        <v>0</v>
      </c>
      <c r="AP83" s="217">
        <f ca="1"/>
        <v>0</v>
      </c>
      <c r="AQ83" s="217">
        <f ca="1"/>
        <v>0</v>
      </c>
      <c r="AR83" s="217">
        <f ca="1"/>
        <v>0</v>
      </c>
      <c r="AS83" s="217">
        <f ca="1"/>
        <v>0</v>
      </c>
      <c r="AT83" s="217">
        <f ca="1"/>
        <v>0</v>
      </c>
      <c r="AU83" s="217">
        <f ca="1"/>
        <v>15535.43785</v>
      </c>
      <c r="AV83" s="217">
        <f ca="1"/>
        <v>6121.4689289999997</v>
      </c>
      <c r="AW83" s="217">
        <f ca="1"/>
        <v>5494184.6566239996</v>
      </c>
      <c r="AX83" s="217">
        <f ca="1"/>
        <v>1294396.615</v>
      </c>
      <c r="AY83" s="217">
        <f ca="1"/>
        <v>0</v>
      </c>
      <c r="AZ83" s="217">
        <f ca="1"/>
        <v>0</v>
      </c>
      <c r="BA83" s="217">
        <f ca="1"/>
        <v>0</v>
      </c>
      <c r="BB83" s="217">
        <f ca="1"/>
        <v>0</v>
      </c>
      <c r="BC83" s="217">
        <f ca="1"/>
        <v>0</v>
      </c>
      <c r="BD83" s="217">
        <f ca="1"/>
        <v>0</v>
      </c>
      <c r="BE83" s="217">
        <f ca="1"/>
        <v>0</v>
      </c>
      <c r="BF83" s="217">
        <f ca="1"/>
        <v>36.851812973000001</v>
      </c>
      <c r="BG83" s="217">
        <f ca="1"/>
        <v>0</v>
      </c>
      <c r="BH83" s="217">
        <f ca="1"/>
        <v>0</v>
      </c>
      <c r="BI83" s="217">
        <f ca="1"/>
        <v>1</v>
      </c>
      <c r="BJ83" s="217">
        <f ca="1"/>
        <v>0</v>
      </c>
      <c r="BK83" s="217">
        <f ca="1"/>
        <v>0</v>
      </c>
      <c r="BL83" s="217">
        <f ca="1"/>
        <v>0</v>
      </c>
      <c r="BM83" s="217">
        <f ca="1"/>
        <v>0</v>
      </c>
      <c r="BN83" s="217">
        <f ca="1"/>
        <v>0</v>
      </c>
    </row>
    <row r="84" spans="1:66" s="217" customFormat="1" x14ac:dyDescent="0.2">
      <c r="A84"/>
      <c r="B84" s="347" t="str">
        <f ca="1"/>
        <v>All</v>
      </c>
      <c r="C84" s="345">
        <f ca="1"/>
        <v>44025</v>
      </c>
      <c r="D84" s="353">
        <f ca="1"/>
        <v>5108492.5549999997</v>
      </c>
      <c r="E84" s="217">
        <f ca="1"/>
        <v>2360.1100459999998</v>
      </c>
      <c r="F84" s="217">
        <f ca="1"/>
        <v>2406.7943829999999</v>
      </c>
      <c r="G84" s="217">
        <f ca="1"/>
        <v>0</v>
      </c>
      <c r="H84" s="217">
        <f ca="1"/>
        <v>-23.928291819999998</v>
      </c>
      <c r="I84" s="217">
        <f ca="1"/>
        <v>2142.9377260000001</v>
      </c>
      <c r="J84" s="217">
        <f ca="1"/>
        <v>96985.767890000003</v>
      </c>
      <c r="K84" s="217">
        <f ca="1"/>
        <v>1683.6802680000001</v>
      </c>
      <c r="L84" s="217">
        <f ca="1"/>
        <v>1233.0919919999999</v>
      </c>
      <c r="M84" s="217">
        <f ca="1"/>
        <v>2311667.8689999999</v>
      </c>
      <c r="N84" s="217">
        <f ca="1"/>
        <v>7787.8385470000003</v>
      </c>
      <c r="O84" s="217">
        <f ca="1"/>
        <v>4917.3947079999998</v>
      </c>
      <c r="P84" s="217">
        <f ca="1"/>
        <v>107404.5144</v>
      </c>
      <c r="Q84" s="217">
        <f ca="1"/>
        <v>13274.68449</v>
      </c>
      <c r="R84" s="217">
        <f ca="1"/>
        <v>0</v>
      </c>
      <c r="S84" s="217">
        <f ca="1"/>
        <v>0</v>
      </c>
      <c r="T84" s="217">
        <f ca="1"/>
        <v>0</v>
      </c>
      <c r="U84" s="217">
        <f ca="1"/>
        <v>0</v>
      </c>
      <c r="V84" s="217">
        <f ca="1"/>
        <v>13.096300729999999</v>
      </c>
      <c r="W84" s="217">
        <f ca="1"/>
        <v>5.4579029119999998</v>
      </c>
      <c r="X84" s="217">
        <f ca="1"/>
        <v>5.2275725810000004</v>
      </c>
      <c r="Y84" s="217">
        <f ca="1"/>
        <v>221376977.90000001</v>
      </c>
      <c r="Z84" s="217">
        <f ca="1"/>
        <v>0</v>
      </c>
      <c r="AA84" s="217">
        <f ca="1"/>
        <v>0</v>
      </c>
      <c r="AB84" s="217">
        <f ca="1"/>
        <v>0</v>
      </c>
      <c r="AC84" s="217">
        <f ca="1"/>
        <v>0</v>
      </c>
      <c r="AD84" s="217">
        <f ca="1"/>
        <v>0</v>
      </c>
      <c r="AE84" s="217">
        <f ca="1"/>
        <v>0</v>
      </c>
      <c r="AF84" s="217">
        <f ca="1"/>
        <v>0</v>
      </c>
      <c r="AG84" s="217">
        <f ca="1"/>
        <v>0</v>
      </c>
      <c r="AH84" s="217">
        <f ca="1"/>
        <v>0</v>
      </c>
      <c r="AI84" s="217">
        <f ca="1"/>
        <v>134007</v>
      </c>
      <c r="AJ84" s="217">
        <f ca="1"/>
        <v>0</v>
      </c>
      <c r="AK84" s="217">
        <f ca="1"/>
        <v>0</v>
      </c>
      <c r="AL84" s="217">
        <f ca="1"/>
        <v>0</v>
      </c>
      <c r="AM84" s="217">
        <f ca="1"/>
        <v>0</v>
      </c>
      <c r="AN84" s="217">
        <f ca="1"/>
        <v>0</v>
      </c>
      <c r="AO84" s="217">
        <f ca="1"/>
        <v>0</v>
      </c>
      <c r="AP84" s="217">
        <f ca="1"/>
        <v>0</v>
      </c>
      <c r="AQ84" s="217">
        <f ca="1"/>
        <v>0</v>
      </c>
      <c r="AR84" s="217">
        <f ca="1"/>
        <v>0</v>
      </c>
      <c r="AS84" s="217">
        <f ca="1"/>
        <v>0</v>
      </c>
      <c r="AT84" s="217">
        <f ca="1"/>
        <v>0</v>
      </c>
      <c r="AU84" s="217">
        <f ca="1"/>
        <v>15462.93943</v>
      </c>
      <c r="AV84" s="217">
        <f ca="1"/>
        <v>1170.9194500000001</v>
      </c>
      <c r="AW84" s="217">
        <f ca="1"/>
        <v>3447652.0365279899</v>
      </c>
      <c r="AX84" s="217">
        <f ca="1"/>
        <v>1197434.463</v>
      </c>
      <c r="AY84" s="217">
        <f ca="1"/>
        <v>0</v>
      </c>
      <c r="AZ84" s="217">
        <f ca="1"/>
        <v>0</v>
      </c>
      <c r="BA84" s="217">
        <f ca="1"/>
        <v>0</v>
      </c>
      <c r="BB84" s="217">
        <f ca="1"/>
        <v>0</v>
      </c>
      <c r="BC84" s="217">
        <f ca="1"/>
        <v>0</v>
      </c>
      <c r="BD84" s="217">
        <f ca="1"/>
        <v>0</v>
      </c>
      <c r="BE84" s="217">
        <f ca="1"/>
        <v>0</v>
      </c>
      <c r="BF84" s="217">
        <f ca="1"/>
        <v>23.781776222999898</v>
      </c>
      <c r="BG84" s="217">
        <f ca="1"/>
        <v>0</v>
      </c>
      <c r="BH84" s="217">
        <f ca="1"/>
        <v>0</v>
      </c>
      <c r="BI84" s="217">
        <f ca="1"/>
        <v>0</v>
      </c>
      <c r="BJ84" s="217">
        <f ca="1"/>
        <v>0</v>
      </c>
      <c r="BK84" s="217">
        <f ca="1"/>
        <v>0</v>
      </c>
      <c r="BL84" s="217">
        <f ca="1"/>
        <v>0</v>
      </c>
      <c r="BM84" s="217">
        <f ca="1"/>
        <v>0</v>
      </c>
      <c r="BN84" s="217">
        <f ca="1"/>
        <v>0</v>
      </c>
    </row>
    <row r="85" spans="1:66" s="217" customFormat="1" x14ac:dyDescent="0.2">
      <c r="A85"/>
      <c r="B85" s="347" t="str">
        <f ca="1"/>
        <v>All</v>
      </c>
      <c r="C85" s="345">
        <f ca="1"/>
        <v>44032</v>
      </c>
      <c r="D85" s="353">
        <f ca="1"/>
        <v>4614863.0949999997</v>
      </c>
      <c r="E85" s="217">
        <f ca="1"/>
        <v>2834.146553</v>
      </c>
      <c r="F85" s="217">
        <f ca="1"/>
        <v>2017.104437</v>
      </c>
      <c r="G85" s="217">
        <f ca="1"/>
        <v>0</v>
      </c>
      <c r="H85" s="217">
        <f ca="1"/>
        <v>-23.993266370000001</v>
      </c>
      <c r="I85" s="217">
        <f ca="1"/>
        <v>1961.0566570000001</v>
      </c>
      <c r="J85" s="217">
        <f ca="1"/>
        <v>92673.469039999996</v>
      </c>
      <c r="K85" s="217">
        <f ca="1"/>
        <v>1411.0714909999999</v>
      </c>
      <c r="L85" s="217">
        <f ca="1"/>
        <v>1692.4187589999999</v>
      </c>
      <c r="M85" s="217">
        <f ca="1"/>
        <v>3908670.41</v>
      </c>
      <c r="N85" s="217">
        <f ca="1"/>
        <v>14408.92676</v>
      </c>
      <c r="O85" s="217">
        <f ca="1"/>
        <v>4033.5319840000002</v>
      </c>
      <c r="P85" s="217">
        <f ca="1"/>
        <v>93479.382740000001</v>
      </c>
      <c r="Q85" s="217">
        <f ca="1"/>
        <v>11526.67971</v>
      </c>
      <c r="R85" s="217">
        <f ca="1"/>
        <v>0</v>
      </c>
      <c r="S85" s="217">
        <f ca="1"/>
        <v>0</v>
      </c>
      <c r="T85" s="217">
        <f ca="1"/>
        <v>0</v>
      </c>
      <c r="U85" s="217">
        <f ca="1"/>
        <v>0</v>
      </c>
      <c r="V85" s="217">
        <f ca="1"/>
        <v>13.71500322</v>
      </c>
      <c r="W85" s="217">
        <f ca="1"/>
        <v>5.7343194149999999</v>
      </c>
      <c r="X85" s="217">
        <f ca="1"/>
        <v>3.915790769</v>
      </c>
      <c r="Y85" s="217">
        <f ca="1"/>
        <v>217640963.80000001</v>
      </c>
      <c r="Z85" s="217">
        <f ca="1"/>
        <v>0</v>
      </c>
      <c r="AA85" s="217">
        <f ca="1"/>
        <v>0</v>
      </c>
      <c r="AB85" s="217">
        <f ca="1"/>
        <v>0</v>
      </c>
      <c r="AC85" s="217">
        <f ca="1"/>
        <v>0</v>
      </c>
      <c r="AD85" s="217">
        <f ca="1"/>
        <v>0</v>
      </c>
      <c r="AE85" s="217">
        <f ca="1"/>
        <v>0</v>
      </c>
      <c r="AF85" s="217">
        <f ca="1"/>
        <v>0</v>
      </c>
      <c r="AG85" s="217">
        <f ca="1"/>
        <v>0</v>
      </c>
      <c r="AH85" s="217">
        <f ca="1"/>
        <v>49267.284449999999</v>
      </c>
      <c r="AI85" s="217">
        <f ca="1"/>
        <v>646934</v>
      </c>
      <c r="AJ85" s="217">
        <f ca="1"/>
        <v>0</v>
      </c>
      <c r="AK85" s="217">
        <f ca="1"/>
        <v>0</v>
      </c>
      <c r="AL85" s="217">
        <f ca="1"/>
        <v>0</v>
      </c>
      <c r="AM85" s="217">
        <f ca="1"/>
        <v>1554.5977829999999</v>
      </c>
      <c r="AN85" s="217">
        <f ca="1"/>
        <v>0</v>
      </c>
      <c r="AO85" s="217">
        <f ca="1"/>
        <v>0</v>
      </c>
      <c r="AP85" s="217">
        <f ca="1"/>
        <v>0</v>
      </c>
      <c r="AQ85" s="217">
        <f ca="1"/>
        <v>0</v>
      </c>
      <c r="AR85" s="217">
        <f ca="1"/>
        <v>0</v>
      </c>
      <c r="AS85" s="217">
        <f ca="1"/>
        <v>0</v>
      </c>
      <c r="AT85" s="217">
        <f ca="1"/>
        <v>0</v>
      </c>
      <c r="AU85" s="217">
        <f ca="1"/>
        <v>43452.118990000003</v>
      </c>
      <c r="AV85" s="217">
        <f ca="1"/>
        <v>5976.9146840000003</v>
      </c>
      <c r="AW85" s="217">
        <f ca="1"/>
        <v>2871062.3074719999</v>
      </c>
      <c r="AX85" s="217">
        <f ca="1"/>
        <v>3373968.0729999999</v>
      </c>
      <c r="AY85" s="217">
        <f ca="1"/>
        <v>0</v>
      </c>
      <c r="AZ85" s="217">
        <f ca="1"/>
        <v>0</v>
      </c>
      <c r="BA85" s="217">
        <f ca="1"/>
        <v>0</v>
      </c>
      <c r="BB85" s="217">
        <f ca="1"/>
        <v>0</v>
      </c>
      <c r="BC85" s="217">
        <f ca="1"/>
        <v>0</v>
      </c>
      <c r="BD85" s="217">
        <f ca="1"/>
        <v>0</v>
      </c>
      <c r="BE85" s="217">
        <f ca="1"/>
        <v>0</v>
      </c>
      <c r="BF85" s="217">
        <f ca="1"/>
        <v>23.365113403999999</v>
      </c>
      <c r="BG85" s="217">
        <f ca="1"/>
        <v>0</v>
      </c>
      <c r="BH85" s="217">
        <f ca="1"/>
        <v>0</v>
      </c>
      <c r="BI85" s="217">
        <f ca="1"/>
        <v>0</v>
      </c>
      <c r="BJ85" s="217">
        <f ca="1"/>
        <v>0</v>
      </c>
      <c r="BK85" s="217">
        <f ca="1"/>
        <v>0</v>
      </c>
      <c r="BL85" s="217">
        <f ca="1"/>
        <v>0</v>
      </c>
      <c r="BM85" s="217">
        <f ca="1"/>
        <v>0</v>
      </c>
      <c r="BN85" s="217">
        <f ca="1"/>
        <v>0</v>
      </c>
    </row>
    <row r="86" spans="1:66" s="217" customFormat="1" x14ac:dyDescent="0.2">
      <c r="A86"/>
      <c r="B86" s="347" t="str">
        <f ca="1"/>
        <v>All</v>
      </c>
      <c r="C86" s="345">
        <f ca="1"/>
        <v>44039</v>
      </c>
      <c r="D86" s="353">
        <f ca="1"/>
        <v>4186855.895</v>
      </c>
      <c r="E86" s="217">
        <f ca="1"/>
        <v>2584.2229229999998</v>
      </c>
      <c r="F86" s="217">
        <f ca="1"/>
        <v>3090.8171910000001</v>
      </c>
      <c r="G86" s="217">
        <f ca="1"/>
        <v>0</v>
      </c>
      <c r="H86" s="217">
        <f ca="1"/>
        <v>-24.186930400000001</v>
      </c>
      <c r="I86" s="217">
        <f ca="1"/>
        <v>2863.4157610000002</v>
      </c>
      <c r="J86" s="217">
        <f ca="1"/>
        <v>150938.38680000001</v>
      </c>
      <c r="K86" s="217">
        <f ca="1"/>
        <v>2162.190486</v>
      </c>
      <c r="L86" s="217">
        <f ca="1"/>
        <v>1986.599277</v>
      </c>
      <c r="M86" s="217">
        <f ca="1"/>
        <v>4708865.6399999997</v>
      </c>
      <c r="N86" s="217">
        <f ca="1"/>
        <v>13939.36141</v>
      </c>
      <c r="O86" s="217">
        <f ca="1"/>
        <v>2422.144984</v>
      </c>
      <c r="P86" s="217">
        <f ca="1"/>
        <v>55280.835169999998</v>
      </c>
      <c r="Q86" s="217">
        <f ca="1"/>
        <v>5155.544406</v>
      </c>
      <c r="R86" s="217">
        <f ca="1"/>
        <v>242.6548884</v>
      </c>
      <c r="S86" s="217">
        <f ca="1"/>
        <v>95028.234360000002</v>
      </c>
      <c r="T86" s="217">
        <f ca="1"/>
        <v>1710.5082179999999</v>
      </c>
      <c r="U86" s="217">
        <f ca="1"/>
        <v>0</v>
      </c>
      <c r="V86" s="217">
        <f ca="1"/>
        <v>14.040533679999999</v>
      </c>
      <c r="W86" s="217">
        <f ca="1"/>
        <v>11.30090525</v>
      </c>
      <c r="X86" s="217">
        <f ca="1"/>
        <v>5.7326164830000002</v>
      </c>
      <c r="Y86" s="217">
        <f ca="1"/>
        <v>221901289.90000001</v>
      </c>
      <c r="Z86" s="217">
        <f ca="1"/>
        <v>0</v>
      </c>
      <c r="AA86" s="217">
        <f ca="1"/>
        <v>0</v>
      </c>
      <c r="AB86" s="217">
        <f ca="1"/>
        <v>0</v>
      </c>
      <c r="AC86" s="217">
        <f ca="1"/>
        <v>0</v>
      </c>
      <c r="AD86" s="217">
        <f ca="1"/>
        <v>0</v>
      </c>
      <c r="AE86" s="217">
        <f ca="1"/>
        <v>0</v>
      </c>
      <c r="AF86" s="217">
        <f ca="1"/>
        <v>0</v>
      </c>
      <c r="AG86" s="217">
        <f ca="1"/>
        <v>0</v>
      </c>
      <c r="AH86" s="217">
        <f ca="1"/>
        <v>0</v>
      </c>
      <c r="AI86" s="217">
        <f ca="1"/>
        <v>1236082</v>
      </c>
      <c r="AJ86" s="217">
        <f ca="1"/>
        <v>0</v>
      </c>
      <c r="AK86" s="217">
        <f ca="1"/>
        <v>0</v>
      </c>
      <c r="AL86" s="217">
        <f ca="1"/>
        <v>0</v>
      </c>
      <c r="AM86" s="217">
        <f ca="1"/>
        <v>4402.2256960000004</v>
      </c>
      <c r="AN86" s="217">
        <f ca="1"/>
        <v>0</v>
      </c>
      <c r="AO86" s="217">
        <f ca="1"/>
        <v>0</v>
      </c>
      <c r="AP86" s="217">
        <f ca="1"/>
        <v>0</v>
      </c>
      <c r="AQ86" s="217">
        <f ca="1"/>
        <v>0</v>
      </c>
      <c r="AR86" s="217">
        <f ca="1"/>
        <v>0</v>
      </c>
      <c r="AS86" s="217">
        <f ca="1"/>
        <v>0</v>
      </c>
      <c r="AT86" s="217">
        <f ca="1"/>
        <v>0</v>
      </c>
      <c r="AU86" s="217">
        <f ca="1"/>
        <v>62524.420619999997</v>
      </c>
      <c r="AV86" s="217">
        <f ca="1"/>
        <v>15273.50382</v>
      </c>
      <c r="AW86" s="217">
        <f ca="1"/>
        <v>4860569.3404639997</v>
      </c>
      <c r="AX86" s="217">
        <f ca="1"/>
        <v>5092875.3770000003</v>
      </c>
      <c r="AY86" s="217">
        <f ca="1"/>
        <v>0</v>
      </c>
      <c r="AZ86" s="217">
        <f ca="1"/>
        <v>0</v>
      </c>
      <c r="BA86" s="217">
        <f ca="1"/>
        <v>0</v>
      </c>
      <c r="BB86" s="217">
        <f ca="1"/>
        <v>0</v>
      </c>
      <c r="BC86" s="217">
        <f ca="1"/>
        <v>0</v>
      </c>
      <c r="BD86" s="217">
        <f ca="1"/>
        <v>49267.284449999999</v>
      </c>
      <c r="BE86" s="217">
        <f ca="1"/>
        <v>0</v>
      </c>
      <c r="BF86" s="217">
        <f ca="1"/>
        <v>31.074055413</v>
      </c>
      <c r="BG86" s="217">
        <f ca="1"/>
        <v>0</v>
      </c>
      <c r="BH86" s="217">
        <f ca="1"/>
        <v>0</v>
      </c>
      <c r="BI86" s="217">
        <f ca="1"/>
        <v>0</v>
      </c>
      <c r="BJ86" s="217">
        <f ca="1"/>
        <v>0</v>
      </c>
      <c r="BK86" s="217">
        <f ca="1"/>
        <v>0</v>
      </c>
      <c r="BL86" s="217">
        <f ca="1"/>
        <v>0</v>
      </c>
      <c r="BM86" s="217">
        <f ca="1"/>
        <v>0</v>
      </c>
      <c r="BN86" s="217">
        <f ca="1"/>
        <v>0</v>
      </c>
    </row>
    <row r="87" spans="1:66" s="217" customFormat="1" x14ac:dyDescent="0.2">
      <c r="A87"/>
      <c r="B87" s="347" t="str">
        <f ca="1"/>
        <v>All</v>
      </c>
      <c r="C87" s="345">
        <f ca="1"/>
        <v>44046</v>
      </c>
      <c r="D87" s="353">
        <f ca="1"/>
        <v>11887165.029999999</v>
      </c>
      <c r="E87" s="217">
        <f ca="1"/>
        <v>2565.9665369999998</v>
      </c>
      <c r="F87" s="217">
        <f ca="1"/>
        <v>8016.4235760000001</v>
      </c>
      <c r="G87" s="217">
        <f ca="1"/>
        <v>0</v>
      </c>
      <c r="H87" s="217">
        <f ca="1"/>
        <v>-23.863274480000001</v>
      </c>
      <c r="I87" s="217">
        <f ca="1"/>
        <v>6091.0340500000002</v>
      </c>
      <c r="J87" s="217">
        <f ca="1"/>
        <v>270049.78860000003</v>
      </c>
      <c r="K87" s="217">
        <f ca="1"/>
        <v>5607.9132849999996</v>
      </c>
      <c r="L87" s="217">
        <f ca="1"/>
        <v>3964.390754</v>
      </c>
      <c r="M87" s="217">
        <f ca="1"/>
        <v>6115171.3849999998</v>
      </c>
      <c r="N87" s="217">
        <f ca="1"/>
        <v>19421.96933</v>
      </c>
      <c r="O87" s="217">
        <f ca="1"/>
        <v>3927.8383840000001</v>
      </c>
      <c r="P87" s="217">
        <f ca="1"/>
        <v>95750.47395</v>
      </c>
      <c r="Q87" s="217">
        <f ca="1"/>
        <v>11166.387839999999</v>
      </c>
      <c r="R87" s="217">
        <f ca="1"/>
        <v>326.76937789999999</v>
      </c>
      <c r="S87" s="217">
        <f ca="1"/>
        <v>118403.69500000001</v>
      </c>
      <c r="T87" s="217">
        <f ca="1"/>
        <v>2131.2665099999999</v>
      </c>
      <c r="U87" s="217">
        <f ca="1"/>
        <v>0</v>
      </c>
      <c r="V87" s="217">
        <f ca="1"/>
        <v>23.920140910000001</v>
      </c>
      <c r="W87" s="217">
        <f ca="1"/>
        <v>6.3828829899999997</v>
      </c>
      <c r="X87" s="217">
        <f ca="1"/>
        <v>5.0687024850000002</v>
      </c>
      <c r="Y87" s="217">
        <f ca="1"/>
        <v>253187719.90000001</v>
      </c>
      <c r="Z87" s="217">
        <f ca="1"/>
        <v>0</v>
      </c>
      <c r="AA87" s="217">
        <f ca="1"/>
        <v>0</v>
      </c>
      <c r="AB87" s="217">
        <f ca="1"/>
        <v>147090.57269999999</v>
      </c>
      <c r="AC87" s="217">
        <f ca="1"/>
        <v>0</v>
      </c>
      <c r="AD87" s="217">
        <f ca="1"/>
        <v>0</v>
      </c>
      <c r="AE87" s="217">
        <f ca="1"/>
        <v>0</v>
      </c>
      <c r="AF87" s="217">
        <f ca="1"/>
        <v>0</v>
      </c>
      <c r="AG87" s="217">
        <f ca="1"/>
        <v>0</v>
      </c>
      <c r="AH87" s="217">
        <f ca="1"/>
        <v>0</v>
      </c>
      <c r="AI87" s="217">
        <f ca="1"/>
        <v>169611</v>
      </c>
      <c r="AJ87" s="217">
        <f ca="1"/>
        <v>0</v>
      </c>
      <c r="AK87" s="217">
        <f ca="1"/>
        <v>0</v>
      </c>
      <c r="AL87" s="217">
        <f ca="1"/>
        <v>0</v>
      </c>
      <c r="AM87" s="217">
        <f ca="1"/>
        <v>7159.1583659999997</v>
      </c>
      <c r="AN87" s="217">
        <f ca="1"/>
        <v>0</v>
      </c>
      <c r="AO87" s="217">
        <f ca="1"/>
        <v>0</v>
      </c>
      <c r="AP87" s="217">
        <f ca="1"/>
        <v>0</v>
      </c>
      <c r="AQ87" s="217">
        <f ca="1"/>
        <v>0</v>
      </c>
      <c r="AR87" s="217">
        <f ca="1"/>
        <v>0</v>
      </c>
      <c r="AS87" s="217">
        <f ca="1"/>
        <v>0</v>
      </c>
      <c r="AT87" s="217">
        <f ca="1"/>
        <v>0</v>
      </c>
      <c r="AU87" s="217">
        <f ca="1"/>
        <v>224059.495</v>
      </c>
      <c r="AV87" s="217">
        <f ca="1"/>
        <v>24709.953300000001</v>
      </c>
      <c r="AW87" s="217">
        <f ca="1"/>
        <v>7447267.5308751902</v>
      </c>
      <c r="AX87" s="217">
        <f ca="1"/>
        <v>20486123.960000001</v>
      </c>
      <c r="AY87" s="217">
        <f ca="1"/>
        <v>6800000</v>
      </c>
      <c r="AZ87" s="217">
        <f ca="1"/>
        <v>26250</v>
      </c>
      <c r="BA87" s="217">
        <f ca="1"/>
        <v>0</v>
      </c>
      <c r="BB87" s="217">
        <f ca="1"/>
        <v>0</v>
      </c>
      <c r="BC87" s="217">
        <f ca="1"/>
        <v>0</v>
      </c>
      <c r="BD87" s="217">
        <f ca="1"/>
        <v>0</v>
      </c>
      <c r="BE87" s="217">
        <f ca="1"/>
        <v>0</v>
      </c>
      <c r="BF87" s="217">
        <f ca="1"/>
        <v>35.371726385000002</v>
      </c>
      <c r="BG87" s="217">
        <f ca="1"/>
        <v>0</v>
      </c>
      <c r="BH87" s="217">
        <f ca="1"/>
        <v>0</v>
      </c>
      <c r="BI87" s="217">
        <f ca="1"/>
        <v>0</v>
      </c>
      <c r="BJ87" s="217">
        <f ca="1"/>
        <v>0</v>
      </c>
      <c r="BK87" s="217">
        <f ca="1"/>
        <v>0</v>
      </c>
      <c r="BL87" s="217">
        <f ca="1"/>
        <v>1</v>
      </c>
      <c r="BM87" s="217">
        <f ca="1"/>
        <v>0</v>
      </c>
      <c r="BN87" s="217">
        <f ca="1"/>
        <v>0</v>
      </c>
    </row>
    <row r="88" spans="1:66" s="217" customFormat="1" x14ac:dyDescent="0.2">
      <c r="A88"/>
      <c r="B88" s="347" t="str">
        <f ca="1"/>
        <v>All</v>
      </c>
      <c r="C88" s="345">
        <f ca="1"/>
        <v>44053</v>
      </c>
      <c r="D88" s="353">
        <f ca="1"/>
        <v>6924504.2340000002</v>
      </c>
      <c r="E88" s="217">
        <f ca="1"/>
        <v>2887.0271200000002</v>
      </c>
      <c r="F88" s="217">
        <f ca="1"/>
        <v>9597.1979819999997</v>
      </c>
      <c r="G88" s="217">
        <f ca="1"/>
        <v>0</v>
      </c>
      <c r="H88" s="217">
        <f ca="1"/>
        <v>-23.97775777</v>
      </c>
      <c r="I88" s="217">
        <f ca="1"/>
        <v>7435.1043209999998</v>
      </c>
      <c r="J88" s="217">
        <f ca="1"/>
        <v>435152.87929999997</v>
      </c>
      <c r="K88" s="217">
        <f ca="1"/>
        <v>6713.7487870000004</v>
      </c>
      <c r="L88" s="217">
        <f ca="1"/>
        <v>3576.8475570000001</v>
      </c>
      <c r="M88" s="217">
        <f ca="1"/>
        <v>6598652.6629999997</v>
      </c>
      <c r="N88" s="217">
        <f ca="1"/>
        <v>28691.57518</v>
      </c>
      <c r="O88" s="217">
        <f ca="1"/>
        <v>4497.7030400000003</v>
      </c>
      <c r="P88" s="217">
        <f ca="1"/>
        <v>115070.38310000001</v>
      </c>
      <c r="Q88" s="217">
        <f ca="1"/>
        <v>13657.299720000001</v>
      </c>
      <c r="R88" s="217">
        <f ca="1"/>
        <v>241.33371840000001</v>
      </c>
      <c r="S88" s="217">
        <f ca="1"/>
        <v>271437.45740000001</v>
      </c>
      <c r="T88" s="217">
        <f ca="1"/>
        <v>4885.8742339999999</v>
      </c>
      <c r="U88" s="217">
        <f ca="1"/>
        <v>0</v>
      </c>
      <c r="V88" s="217">
        <f ca="1"/>
        <v>17.833518349999999</v>
      </c>
      <c r="W88" s="217">
        <f ca="1"/>
        <v>6.2559587529999998</v>
      </c>
      <c r="X88" s="217">
        <f ca="1"/>
        <v>5.2030894849999996</v>
      </c>
      <c r="Y88" s="217">
        <f ca="1"/>
        <v>247021855.30000001</v>
      </c>
      <c r="Z88" s="217">
        <f ca="1"/>
        <v>0</v>
      </c>
      <c r="AA88" s="217">
        <f ca="1"/>
        <v>0</v>
      </c>
      <c r="AB88" s="217">
        <f ca="1"/>
        <v>147090.57269999999</v>
      </c>
      <c r="AC88" s="217">
        <f ca="1"/>
        <v>0</v>
      </c>
      <c r="AD88" s="217">
        <f ca="1"/>
        <v>0</v>
      </c>
      <c r="AE88" s="217">
        <f ca="1"/>
        <v>0</v>
      </c>
      <c r="AF88" s="217">
        <f ca="1"/>
        <v>0</v>
      </c>
      <c r="AG88" s="217">
        <f ca="1"/>
        <v>0</v>
      </c>
      <c r="AH88" s="217">
        <f ca="1"/>
        <v>0</v>
      </c>
      <c r="AI88" s="217">
        <f ca="1"/>
        <v>125555</v>
      </c>
      <c r="AJ88" s="217">
        <f ca="1"/>
        <v>0</v>
      </c>
      <c r="AK88" s="217">
        <f ca="1"/>
        <v>0</v>
      </c>
      <c r="AL88" s="217">
        <f ca="1"/>
        <v>0</v>
      </c>
      <c r="AM88" s="217">
        <f ca="1"/>
        <v>0</v>
      </c>
      <c r="AN88" s="217">
        <f ca="1"/>
        <v>0</v>
      </c>
      <c r="AO88" s="217">
        <f ca="1"/>
        <v>0</v>
      </c>
      <c r="AP88" s="217">
        <f ca="1"/>
        <v>0</v>
      </c>
      <c r="AQ88" s="217">
        <f ca="1"/>
        <v>0</v>
      </c>
      <c r="AR88" s="217">
        <f ca="1"/>
        <v>0</v>
      </c>
      <c r="AS88" s="217">
        <f ca="1"/>
        <v>0</v>
      </c>
      <c r="AT88" s="217">
        <f ca="1"/>
        <v>0</v>
      </c>
      <c r="AU88" s="217">
        <f ca="1"/>
        <v>293285.13569999998</v>
      </c>
      <c r="AV88" s="217">
        <f ca="1"/>
        <v>34967.095659999999</v>
      </c>
      <c r="AW88" s="217">
        <f ca="1"/>
        <v>10663909.15724</v>
      </c>
      <c r="AX88" s="217">
        <f ca="1"/>
        <v>7851355.6859999998</v>
      </c>
      <c r="AY88" s="217">
        <f ca="1"/>
        <v>8160000</v>
      </c>
      <c r="AZ88" s="217">
        <f ca="1"/>
        <v>26250</v>
      </c>
      <c r="BA88" s="217">
        <f ca="1"/>
        <v>0</v>
      </c>
      <c r="BB88" s="217">
        <f ca="1"/>
        <v>0</v>
      </c>
      <c r="BC88" s="217">
        <f ca="1"/>
        <v>0</v>
      </c>
      <c r="BD88" s="217">
        <f ca="1"/>
        <v>0</v>
      </c>
      <c r="BE88" s="217">
        <f ca="1"/>
        <v>0</v>
      </c>
      <c r="BF88" s="217">
        <f ca="1"/>
        <v>29.292566588</v>
      </c>
      <c r="BG88" s="217">
        <f ca="1"/>
        <v>0</v>
      </c>
      <c r="BH88" s="217">
        <f ca="1"/>
        <v>0</v>
      </c>
      <c r="BI88" s="217">
        <f ca="1"/>
        <v>0</v>
      </c>
      <c r="BJ88" s="217">
        <f ca="1"/>
        <v>0</v>
      </c>
      <c r="BK88" s="217">
        <f ca="1"/>
        <v>0</v>
      </c>
      <c r="BL88" s="217">
        <f ca="1"/>
        <v>0</v>
      </c>
      <c r="BM88" s="217">
        <f ca="1"/>
        <v>0</v>
      </c>
      <c r="BN88" s="217">
        <f ca="1"/>
        <v>0</v>
      </c>
    </row>
    <row r="89" spans="1:66" s="217" customFormat="1" x14ac:dyDescent="0.2">
      <c r="A89"/>
      <c r="B89" s="347" t="str">
        <f ca="1"/>
        <v>All</v>
      </c>
      <c r="C89" s="345">
        <f ca="1"/>
        <v>44060</v>
      </c>
      <c r="D89" s="353">
        <f ca="1"/>
        <v>6052938.5219999999</v>
      </c>
      <c r="E89" s="217">
        <f ca="1"/>
        <v>3718.0074509999999</v>
      </c>
      <c r="F89" s="217">
        <f ca="1"/>
        <v>12859.980949999999</v>
      </c>
      <c r="G89" s="217">
        <f ca="1"/>
        <v>0</v>
      </c>
      <c r="H89" s="217">
        <f ca="1"/>
        <v>-18.03729495</v>
      </c>
      <c r="I89" s="217">
        <f ca="1"/>
        <v>11240.954680000001</v>
      </c>
      <c r="J89" s="217">
        <f ca="1"/>
        <v>609513.4081</v>
      </c>
      <c r="K89" s="217">
        <f ca="1"/>
        <v>8996.2384529999999</v>
      </c>
      <c r="L89" s="217">
        <f ca="1"/>
        <v>5145.0763360000001</v>
      </c>
      <c r="M89" s="217">
        <f ca="1"/>
        <v>9995817.1370000001</v>
      </c>
      <c r="N89" s="217">
        <f ca="1"/>
        <v>33088.296629999997</v>
      </c>
      <c r="O89" s="217">
        <f ca="1"/>
        <v>4003.145074</v>
      </c>
      <c r="P89" s="217">
        <f ca="1"/>
        <v>106799.859</v>
      </c>
      <c r="Q89" s="217">
        <f ca="1"/>
        <v>12773.613160000001</v>
      </c>
      <c r="R89" s="217">
        <f ca="1"/>
        <v>1117.269423</v>
      </c>
      <c r="S89" s="217">
        <f ca="1"/>
        <v>261276.33900000001</v>
      </c>
      <c r="T89" s="217">
        <f ca="1"/>
        <v>4702.9741029999996</v>
      </c>
      <c r="U89" s="217">
        <f ca="1"/>
        <v>0</v>
      </c>
      <c r="V89" s="217">
        <f ca="1"/>
        <v>14.5776223</v>
      </c>
      <c r="W89" s="217">
        <f ca="1"/>
        <v>6.4333968270000002</v>
      </c>
      <c r="X89" s="217">
        <f ca="1"/>
        <v>5.3215247689999998</v>
      </c>
      <c r="Y89" s="217">
        <f ca="1"/>
        <v>261127529.09999999</v>
      </c>
      <c r="Z89" s="217">
        <f ca="1"/>
        <v>0</v>
      </c>
      <c r="AA89" s="217">
        <f ca="1"/>
        <v>0</v>
      </c>
      <c r="AB89" s="217">
        <f ca="1"/>
        <v>0</v>
      </c>
      <c r="AC89" s="217">
        <f ca="1"/>
        <v>0</v>
      </c>
      <c r="AD89" s="217">
        <f ca="1"/>
        <v>0</v>
      </c>
      <c r="AE89" s="217">
        <f ca="1"/>
        <v>0</v>
      </c>
      <c r="AF89" s="217">
        <f ca="1"/>
        <v>0</v>
      </c>
      <c r="AG89" s="217">
        <f ca="1"/>
        <v>0</v>
      </c>
      <c r="AH89" s="217">
        <f ca="1"/>
        <v>276406.63829999999</v>
      </c>
      <c r="AI89" s="217">
        <f ca="1"/>
        <v>418846</v>
      </c>
      <c r="AJ89" s="217">
        <f ca="1"/>
        <v>0</v>
      </c>
      <c r="AK89" s="217">
        <f ca="1"/>
        <v>0</v>
      </c>
      <c r="AL89" s="217">
        <f ca="1"/>
        <v>0</v>
      </c>
      <c r="AM89" s="217">
        <f ca="1"/>
        <v>0</v>
      </c>
      <c r="AN89" s="217">
        <f ca="1"/>
        <v>0</v>
      </c>
      <c r="AO89" s="217">
        <f ca="1"/>
        <v>0</v>
      </c>
      <c r="AP89" s="217">
        <f ca="1"/>
        <v>0</v>
      </c>
      <c r="AQ89" s="217">
        <f ca="1"/>
        <v>0</v>
      </c>
      <c r="AR89" s="217">
        <f ca="1"/>
        <v>0</v>
      </c>
      <c r="AS89" s="217">
        <f ca="1"/>
        <v>0</v>
      </c>
      <c r="AT89" s="217">
        <f ca="1"/>
        <v>0</v>
      </c>
      <c r="AU89" s="217">
        <f ca="1"/>
        <v>129347.6369</v>
      </c>
      <c r="AV89" s="217">
        <f ca="1"/>
        <v>40540.632819999999</v>
      </c>
      <c r="AW89" s="217">
        <f ca="1"/>
        <v>12741071.9034879</v>
      </c>
      <c r="AX89" s="217">
        <f ca="1"/>
        <v>9106172.943</v>
      </c>
      <c r="AY89" s="217">
        <f ca="1"/>
        <v>8432000</v>
      </c>
      <c r="AZ89" s="217">
        <f ca="1"/>
        <v>26250</v>
      </c>
      <c r="BA89" s="217">
        <f ca="1"/>
        <v>0</v>
      </c>
      <c r="BB89" s="217">
        <f ca="1"/>
        <v>0</v>
      </c>
      <c r="BC89" s="217">
        <f ca="1"/>
        <v>0</v>
      </c>
      <c r="BD89" s="217">
        <f ca="1"/>
        <v>0</v>
      </c>
      <c r="BE89" s="217">
        <f ca="1"/>
        <v>0</v>
      </c>
      <c r="BF89" s="217">
        <f ca="1"/>
        <v>26.332543896000001</v>
      </c>
      <c r="BG89" s="217">
        <f ca="1"/>
        <v>0</v>
      </c>
      <c r="BH89" s="217">
        <f ca="1"/>
        <v>0</v>
      </c>
      <c r="BI89" s="217">
        <f ca="1"/>
        <v>0</v>
      </c>
      <c r="BJ89" s="217">
        <f ca="1"/>
        <v>0</v>
      </c>
      <c r="BK89" s="217">
        <f ca="1"/>
        <v>0</v>
      </c>
      <c r="BL89" s="217">
        <f ca="1"/>
        <v>0</v>
      </c>
      <c r="BM89" s="217">
        <f ca="1"/>
        <v>0</v>
      </c>
      <c r="BN89" s="217">
        <f ca="1"/>
        <v>0</v>
      </c>
    </row>
    <row r="90" spans="1:66" s="217" customFormat="1" x14ac:dyDescent="0.2">
      <c r="A90"/>
      <c r="B90" s="347" t="str">
        <f ca="1"/>
        <v>All</v>
      </c>
      <c r="C90" s="345">
        <f ca="1"/>
        <v>44067</v>
      </c>
      <c r="D90" s="353">
        <f ca="1"/>
        <v>8866605.5690000001</v>
      </c>
      <c r="E90" s="217">
        <f ca="1"/>
        <v>2213.429427</v>
      </c>
      <c r="F90" s="217">
        <f ca="1"/>
        <v>26639.805850000001</v>
      </c>
      <c r="G90" s="217">
        <f ca="1"/>
        <v>0</v>
      </c>
      <c r="H90" s="217">
        <f ca="1"/>
        <v>-17.580489579999998</v>
      </c>
      <c r="I90" s="217">
        <f ca="1"/>
        <v>26631.263910000001</v>
      </c>
      <c r="J90" s="217">
        <f ca="1"/>
        <v>1746466.942</v>
      </c>
      <c r="K90" s="217">
        <f ca="1"/>
        <v>18635.95651</v>
      </c>
      <c r="L90" s="217">
        <f ca="1"/>
        <v>4760.6158690000002</v>
      </c>
      <c r="M90" s="217">
        <f ca="1"/>
        <v>10587865.119999999</v>
      </c>
      <c r="N90" s="217">
        <f ca="1"/>
        <v>31950.00506</v>
      </c>
      <c r="O90" s="217">
        <f ca="1"/>
        <v>2283.4221349999998</v>
      </c>
      <c r="P90" s="217">
        <f ca="1"/>
        <v>68335.315849999999</v>
      </c>
      <c r="Q90" s="217">
        <f ca="1"/>
        <v>8467.5634379999992</v>
      </c>
      <c r="R90" s="217">
        <f ca="1"/>
        <v>451.84013700000003</v>
      </c>
      <c r="S90" s="217">
        <f ca="1"/>
        <v>311774.53879999998</v>
      </c>
      <c r="T90" s="217">
        <f ca="1"/>
        <v>5611.941699</v>
      </c>
      <c r="U90" s="217">
        <f ca="1"/>
        <v>1240</v>
      </c>
      <c r="V90" s="217">
        <f ca="1"/>
        <v>20.362304649999999</v>
      </c>
      <c r="W90" s="217">
        <f ca="1"/>
        <v>7.1636384380000004</v>
      </c>
      <c r="X90" s="217">
        <f ca="1"/>
        <v>3.295872943</v>
      </c>
      <c r="Y90" s="217">
        <f ca="1"/>
        <v>255883390</v>
      </c>
      <c r="Z90" s="217">
        <f ca="1"/>
        <v>0</v>
      </c>
      <c r="AA90" s="217">
        <f ca="1"/>
        <v>0</v>
      </c>
      <c r="AB90" s="217">
        <f ca="1"/>
        <v>0</v>
      </c>
      <c r="AC90" s="217">
        <f ca="1"/>
        <v>0</v>
      </c>
      <c r="AD90" s="217">
        <f ca="1"/>
        <v>0</v>
      </c>
      <c r="AE90" s="217">
        <f ca="1"/>
        <v>0</v>
      </c>
      <c r="AF90" s="217">
        <f ca="1"/>
        <v>0</v>
      </c>
      <c r="AG90" s="217">
        <f ca="1"/>
        <v>0</v>
      </c>
      <c r="AH90" s="217">
        <f ca="1"/>
        <v>0</v>
      </c>
      <c r="AI90" s="217">
        <f ca="1"/>
        <v>122957</v>
      </c>
      <c r="AJ90" s="217">
        <f ca="1"/>
        <v>0</v>
      </c>
      <c r="AK90" s="217">
        <f ca="1"/>
        <v>0</v>
      </c>
      <c r="AL90" s="217">
        <f ca="1"/>
        <v>0</v>
      </c>
      <c r="AM90" s="217">
        <f ca="1"/>
        <v>0</v>
      </c>
      <c r="AN90" s="217">
        <f ca="1"/>
        <v>0</v>
      </c>
      <c r="AO90" s="217">
        <f ca="1"/>
        <v>0</v>
      </c>
      <c r="AP90" s="217">
        <f ca="1"/>
        <v>0</v>
      </c>
      <c r="AQ90" s="217">
        <f ca="1"/>
        <v>0</v>
      </c>
      <c r="AR90" s="217">
        <f ca="1"/>
        <v>0</v>
      </c>
      <c r="AS90" s="217">
        <f ca="1"/>
        <v>0</v>
      </c>
      <c r="AT90" s="217">
        <f ca="1"/>
        <v>0</v>
      </c>
      <c r="AU90" s="217">
        <f ca="1"/>
        <v>135847.83119999999</v>
      </c>
      <c r="AV90" s="217">
        <f ca="1"/>
        <v>40451.007550000002</v>
      </c>
      <c r="AW90" s="217">
        <f ca="1"/>
        <v>14651195.062799999</v>
      </c>
      <c r="AX90" s="217">
        <f ca="1"/>
        <v>11550366.699999999</v>
      </c>
      <c r="AY90" s="217">
        <f ca="1"/>
        <v>8486400</v>
      </c>
      <c r="AZ90" s="217">
        <f ca="1"/>
        <v>26250</v>
      </c>
      <c r="BA90" s="217">
        <f ca="1"/>
        <v>0</v>
      </c>
      <c r="BB90" s="217">
        <f ca="1"/>
        <v>0</v>
      </c>
      <c r="BC90" s="217">
        <f ca="1"/>
        <v>0</v>
      </c>
      <c r="BD90" s="217">
        <f ca="1"/>
        <v>276406.63829999999</v>
      </c>
      <c r="BE90" s="217">
        <f ca="1"/>
        <v>0</v>
      </c>
      <c r="BF90" s="217">
        <f ca="1"/>
        <v>30.821816030999901</v>
      </c>
      <c r="BG90" s="217">
        <f ca="1"/>
        <v>1</v>
      </c>
      <c r="BH90" s="217">
        <f ca="1"/>
        <v>0</v>
      </c>
      <c r="BI90" s="217">
        <f ca="1"/>
        <v>0</v>
      </c>
      <c r="BJ90" s="217">
        <f ca="1"/>
        <v>0</v>
      </c>
      <c r="BK90" s="217">
        <f ca="1"/>
        <v>0</v>
      </c>
      <c r="BL90" s="217">
        <f ca="1"/>
        <v>0</v>
      </c>
      <c r="BM90" s="217">
        <f ca="1"/>
        <v>0</v>
      </c>
      <c r="BN90" s="217">
        <f ca="1"/>
        <v>0</v>
      </c>
    </row>
    <row r="91" spans="1:66" s="217" customFormat="1" x14ac:dyDescent="0.2">
      <c r="A91"/>
      <c r="B91" s="347" t="str">
        <f ca="1"/>
        <v>All</v>
      </c>
      <c r="C91" s="345">
        <f ca="1"/>
        <v>44074</v>
      </c>
      <c r="D91" s="353">
        <f ca="1"/>
        <v>7204538.9910000004</v>
      </c>
      <c r="E91" s="217">
        <f ca="1"/>
        <v>2164.3260439999999</v>
      </c>
      <c r="F91" s="217">
        <f ca="1"/>
        <v>12188.917170000001</v>
      </c>
      <c r="G91" s="217">
        <f ca="1"/>
        <v>0</v>
      </c>
      <c r="H91" s="217">
        <f ca="1"/>
        <v>-17.93709196</v>
      </c>
      <c r="I91" s="217">
        <f ca="1"/>
        <v>9787.6676860000007</v>
      </c>
      <c r="J91" s="217">
        <f ca="1"/>
        <v>786266.57579999999</v>
      </c>
      <c r="K91" s="217">
        <f ca="1"/>
        <v>8526.7937610000008</v>
      </c>
      <c r="L91" s="217">
        <f ca="1"/>
        <v>4246.6807419999996</v>
      </c>
      <c r="M91" s="217">
        <f ca="1"/>
        <v>9157538.7410000004</v>
      </c>
      <c r="N91" s="217">
        <f ca="1"/>
        <v>28279.404839999999</v>
      </c>
      <c r="O91" s="217">
        <f ca="1"/>
        <v>3304.6865379999999</v>
      </c>
      <c r="P91" s="217">
        <f ca="1"/>
        <v>82691.148979999998</v>
      </c>
      <c r="Q91" s="217">
        <f ca="1"/>
        <v>10665.091909999999</v>
      </c>
      <c r="R91" s="217">
        <f ca="1"/>
        <v>493.23679679999998</v>
      </c>
      <c r="S91" s="217">
        <f ca="1"/>
        <v>340258.52350000001</v>
      </c>
      <c r="T91" s="217">
        <f ca="1"/>
        <v>6124.6534220000003</v>
      </c>
      <c r="U91" s="217">
        <f ca="1"/>
        <v>1573</v>
      </c>
      <c r="V91" s="217">
        <f ca="1"/>
        <v>18.359370290000001</v>
      </c>
      <c r="W91" s="217">
        <f ca="1"/>
        <v>6.2499441510000002</v>
      </c>
      <c r="X91" s="217">
        <f ca="1"/>
        <v>2.880600184</v>
      </c>
      <c r="Y91" s="217">
        <f ca="1"/>
        <v>250963651.5</v>
      </c>
      <c r="Z91" s="217">
        <f ca="1"/>
        <v>0</v>
      </c>
      <c r="AA91" s="217">
        <f ca="1"/>
        <v>0</v>
      </c>
      <c r="AB91" s="217">
        <f ca="1"/>
        <v>0</v>
      </c>
      <c r="AC91" s="217">
        <f ca="1"/>
        <v>0</v>
      </c>
      <c r="AD91" s="217">
        <f ca="1"/>
        <v>0</v>
      </c>
      <c r="AE91" s="217">
        <f ca="1"/>
        <v>0</v>
      </c>
      <c r="AF91" s="217">
        <f ca="1"/>
        <v>0</v>
      </c>
      <c r="AG91" s="217">
        <f ca="1"/>
        <v>0</v>
      </c>
      <c r="AH91" s="217">
        <f ca="1"/>
        <v>49267.284449999999</v>
      </c>
      <c r="AI91" s="217">
        <f ca="1"/>
        <v>230805</v>
      </c>
      <c r="AJ91" s="217">
        <f ca="1"/>
        <v>0</v>
      </c>
      <c r="AK91" s="217">
        <f ca="1"/>
        <v>0</v>
      </c>
      <c r="AL91" s="217">
        <f ca="1"/>
        <v>0</v>
      </c>
      <c r="AM91" s="217">
        <f ca="1"/>
        <v>0</v>
      </c>
      <c r="AN91" s="217">
        <f ca="1"/>
        <v>0</v>
      </c>
      <c r="AO91" s="217">
        <f ca="1"/>
        <v>0</v>
      </c>
      <c r="AP91" s="217">
        <f ca="1"/>
        <v>0</v>
      </c>
      <c r="AQ91" s="217">
        <f ca="1"/>
        <v>0</v>
      </c>
      <c r="AR91" s="217">
        <f ca="1"/>
        <v>0</v>
      </c>
      <c r="AS91" s="217">
        <f ca="1"/>
        <v>0</v>
      </c>
      <c r="AT91" s="217">
        <f ca="1"/>
        <v>0</v>
      </c>
      <c r="AU91" s="217">
        <f ca="1"/>
        <v>58180.777009999998</v>
      </c>
      <c r="AV91" s="217">
        <f ca="1"/>
        <v>40243.332690000003</v>
      </c>
      <c r="AW91" s="217">
        <f ca="1"/>
        <v>16381950.295383999</v>
      </c>
      <c r="AX91" s="217">
        <f ca="1"/>
        <v>3541117.6949999998</v>
      </c>
      <c r="AY91" s="217">
        <f ca="1"/>
        <v>1686400</v>
      </c>
      <c r="AZ91" s="217">
        <f ca="1"/>
        <v>0</v>
      </c>
      <c r="BA91" s="217">
        <f ca="1"/>
        <v>0</v>
      </c>
      <c r="BB91" s="217">
        <f ca="1"/>
        <v>0</v>
      </c>
      <c r="BC91" s="217">
        <f ca="1"/>
        <v>0</v>
      </c>
      <c r="BD91" s="217">
        <f ca="1"/>
        <v>0</v>
      </c>
      <c r="BE91" s="217">
        <f ca="1"/>
        <v>0</v>
      </c>
      <c r="BF91" s="217">
        <f ca="1"/>
        <v>27.489914625000001</v>
      </c>
      <c r="BG91" s="217">
        <f ca="1"/>
        <v>0</v>
      </c>
      <c r="BH91" s="217">
        <f ca="1"/>
        <v>0</v>
      </c>
      <c r="BI91" s="217">
        <f ca="1"/>
        <v>0</v>
      </c>
      <c r="BJ91" s="217">
        <f ca="1"/>
        <v>0</v>
      </c>
      <c r="BK91" s="217">
        <f ca="1"/>
        <v>0</v>
      </c>
      <c r="BL91" s="217">
        <f ca="1"/>
        <v>0</v>
      </c>
      <c r="BM91" s="217">
        <f ca="1"/>
        <v>0</v>
      </c>
      <c r="BN91" s="217">
        <f ca="1"/>
        <v>0</v>
      </c>
    </row>
    <row r="92" spans="1:66" s="217" customFormat="1" x14ac:dyDescent="0.2">
      <c r="A92"/>
      <c r="B92" s="347" t="str">
        <f ca="1"/>
        <v>All</v>
      </c>
      <c r="C92" s="345">
        <f ca="1"/>
        <v>44081</v>
      </c>
      <c r="D92" s="353">
        <f ca="1"/>
        <v>4865201.1169999996</v>
      </c>
      <c r="E92" s="217">
        <f ca="1"/>
        <v>2180.6938380000001</v>
      </c>
      <c r="F92" s="217">
        <f ca="1"/>
        <v>6295.2311719999998</v>
      </c>
      <c r="G92" s="217">
        <f ca="1"/>
        <v>0</v>
      </c>
      <c r="H92" s="217">
        <f ca="1"/>
        <v>-23.288090749999999</v>
      </c>
      <c r="I92" s="217">
        <f ca="1"/>
        <v>6665.3026060000002</v>
      </c>
      <c r="J92" s="217">
        <f ca="1"/>
        <v>352921.93780000001</v>
      </c>
      <c r="K92" s="217">
        <f ca="1"/>
        <v>4403.8479479999996</v>
      </c>
      <c r="L92" s="217">
        <f ca="1"/>
        <v>6224.0318289999996</v>
      </c>
      <c r="M92" s="217">
        <f ca="1"/>
        <v>11432058.83</v>
      </c>
      <c r="N92" s="217">
        <f ca="1"/>
        <v>34102.463080000001</v>
      </c>
      <c r="O92" s="217">
        <f ca="1"/>
        <v>3508.5871069999998</v>
      </c>
      <c r="P92" s="217">
        <f ca="1"/>
        <v>86361.799599999998</v>
      </c>
      <c r="Q92" s="217">
        <f ca="1"/>
        <v>10899.98712</v>
      </c>
      <c r="R92" s="217">
        <f ca="1"/>
        <v>214.91031860000001</v>
      </c>
      <c r="S92" s="217">
        <f ca="1"/>
        <v>511789.5466</v>
      </c>
      <c r="T92" s="217">
        <f ca="1"/>
        <v>9212.2118379999993</v>
      </c>
      <c r="U92" s="217">
        <f ca="1"/>
        <v>7788</v>
      </c>
      <c r="V92" s="217">
        <f ca="1"/>
        <v>15.59128651</v>
      </c>
      <c r="W92" s="217">
        <f ca="1"/>
        <v>5.4756771080000002</v>
      </c>
      <c r="X92" s="217">
        <f ca="1"/>
        <v>2.4634271970000001</v>
      </c>
      <c r="Y92" s="217">
        <f ca="1"/>
        <v>255562058.90000001</v>
      </c>
      <c r="Z92" s="217">
        <f ca="1"/>
        <v>0</v>
      </c>
      <c r="AA92" s="217">
        <f ca="1"/>
        <v>0</v>
      </c>
      <c r="AB92" s="217">
        <f ca="1"/>
        <v>50206.24884</v>
      </c>
      <c r="AC92" s="217">
        <f ca="1"/>
        <v>0</v>
      </c>
      <c r="AD92" s="217">
        <f ca="1"/>
        <v>0</v>
      </c>
      <c r="AE92" s="217">
        <f ca="1"/>
        <v>0</v>
      </c>
      <c r="AF92" s="217">
        <f ca="1"/>
        <v>0</v>
      </c>
      <c r="AG92" s="217">
        <f ca="1"/>
        <v>0</v>
      </c>
      <c r="AH92" s="217">
        <f ca="1"/>
        <v>0</v>
      </c>
      <c r="AI92" s="217">
        <f ca="1"/>
        <v>167945</v>
      </c>
      <c r="AJ92" s="217">
        <f ca="1"/>
        <v>0</v>
      </c>
      <c r="AK92" s="217">
        <f ca="1"/>
        <v>0</v>
      </c>
      <c r="AL92" s="217">
        <f ca="1"/>
        <v>0</v>
      </c>
      <c r="AM92" s="217">
        <f ca="1"/>
        <v>0</v>
      </c>
      <c r="AN92" s="217">
        <f ca="1"/>
        <v>0</v>
      </c>
      <c r="AO92" s="217">
        <f ca="1"/>
        <v>0</v>
      </c>
      <c r="AP92" s="217">
        <f ca="1"/>
        <v>0</v>
      </c>
      <c r="AQ92" s="217">
        <f ca="1"/>
        <v>0</v>
      </c>
      <c r="AR92" s="217">
        <f ca="1"/>
        <v>0</v>
      </c>
      <c r="AS92" s="217">
        <f ca="1"/>
        <v>0</v>
      </c>
      <c r="AT92" s="217">
        <f ca="1"/>
        <v>0</v>
      </c>
      <c r="AU92" s="217">
        <f ca="1"/>
        <v>126576.3256</v>
      </c>
      <c r="AV92" s="217">
        <f ca="1"/>
        <v>35125.495970000004</v>
      </c>
      <c r="AW92" s="217">
        <f ca="1"/>
        <v>17201400.499943901</v>
      </c>
      <c r="AX92" s="217">
        <f ca="1"/>
        <v>8996187.3369999994</v>
      </c>
      <c r="AY92" s="217">
        <f ca="1"/>
        <v>326400</v>
      </c>
      <c r="AZ92" s="217">
        <f ca="1"/>
        <v>0</v>
      </c>
      <c r="BA92" s="217">
        <f ca="1"/>
        <v>0</v>
      </c>
      <c r="BB92" s="217">
        <f ca="1"/>
        <v>0</v>
      </c>
      <c r="BC92" s="217">
        <f ca="1"/>
        <v>0</v>
      </c>
      <c r="BD92" s="217">
        <f ca="1"/>
        <v>49267.284449999999</v>
      </c>
      <c r="BE92" s="217">
        <f ca="1"/>
        <v>0</v>
      </c>
      <c r="BF92" s="217">
        <f ca="1"/>
        <v>23.530390815000001</v>
      </c>
      <c r="BG92" s="217">
        <f ca="1"/>
        <v>0</v>
      </c>
      <c r="BH92" s="217">
        <f ca="1"/>
        <v>0</v>
      </c>
      <c r="BI92" s="217">
        <f ca="1"/>
        <v>0</v>
      </c>
      <c r="BJ92" s="217">
        <f ca="1"/>
        <v>0</v>
      </c>
      <c r="BK92" s="217">
        <f ca="1"/>
        <v>0</v>
      </c>
      <c r="BL92" s="217">
        <f ca="1"/>
        <v>0</v>
      </c>
      <c r="BM92" s="217">
        <f ca="1"/>
        <v>0</v>
      </c>
      <c r="BN92" s="217">
        <f ca="1"/>
        <v>0</v>
      </c>
    </row>
    <row r="93" spans="1:66" s="217" customFormat="1" x14ac:dyDescent="0.2">
      <c r="A93"/>
      <c r="B93" s="347" t="str">
        <f ca="1"/>
        <v>All</v>
      </c>
      <c r="C93" s="345">
        <f ca="1"/>
        <v>44088</v>
      </c>
      <c r="D93" s="353">
        <f ca="1"/>
        <v>5956462.568</v>
      </c>
      <c r="E93" s="217">
        <f ca="1"/>
        <v>2185.1005519999999</v>
      </c>
      <c r="F93" s="217">
        <f ca="1"/>
        <v>7766.6524810000001</v>
      </c>
      <c r="G93" s="217">
        <f ca="1"/>
        <v>0</v>
      </c>
      <c r="H93" s="217">
        <f ca="1"/>
        <v>-19.96826875</v>
      </c>
      <c r="I93" s="217">
        <f ca="1"/>
        <v>7075.7460840000003</v>
      </c>
      <c r="J93" s="217">
        <f ca="1"/>
        <v>377519.04029999999</v>
      </c>
      <c r="K93" s="217">
        <f ca="1"/>
        <v>5433.1851619999998</v>
      </c>
      <c r="L93" s="217">
        <f ca="1"/>
        <v>4210.1283720000001</v>
      </c>
      <c r="M93" s="217">
        <f ca="1"/>
        <v>8729593.7249999996</v>
      </c>
      <c r="N93" s="217">
        <f ca="1"/>
        <v>26867.788629999999</v>
      </c>
      <c r="O93" s="217">
        <f ca="1"/>
        <v>5048.1905370000004</v>
      </c>
      <c r="P93" s="217">
        <f ca="1"/>
        <v>103197.0284</v>
      </c>
      <c r="Q93" s="217">
        <f ca="1"/>
        <v>9390.1276350000007</v>
      </c>
      <c r="R93" s="217">
        <f ca="1"/>
        <v>218.8738286</v>
      </c>
      <c r="S93" s="217">
        <f ca="1"/>
        <v>469895.24609999999</v>
      </c>
      <c r="T93" s="217">
        <f ca="1"/>
        <v>8458.1144299999996</v>
      </c>
      <c r="U93" s="217">
        <f ca="1"/>
        <v>0</v>
      </c>
      <c r="V93" s="217">
        <f ca="1"/>
        <v>14.339717390000001</v>
      </c>
      <c r="W93" s="217">
        <f ca="1"/>
        <v>6.1543931130000002</v>
      </c>
      <c r="X93" s="217">
        <f ca="1"/>
        <v>3.2836874069999999</v>
      </c>
      <c r="Y93" s="217">
        <f ca="1"/>
        <v>259468710.30000001</v>
      </c>
      <c r="Z93" s="217">
        <f ca="1"/>
        <v>0</v>
      </c>
      <c r="AA93" s="217">
        <f ca="1"/>
        <v>0</v>
      </c>
      <c r="AB93" s="217">
        <f ca="1"/>
        <v>50206.24884</v>
      </c>
      <c r="AC93" s="217">
        <f ca="1"/>
        <v>0</v>
      </c>
      <c r="AD93" s="217">
        <f ca="1"/>
        <v>0</v>
      </c>
      <c r="AE93" s="217">
        <f ca="1"/>
        <v>0</v>
      </c>
      <c r="AF93" s="217">
        <f ca="1"/>
        <v>0</v>
      </c>
      <c r="AG93" s="217">
        <f ca="1"/>
        <v>0</v>
      </c>
      <c r="AH93" s="217">
        <f ca="1"/>
        <v>0</v>
      </c>
      <c r="AI93" s="217">
        <f ca="1"/>
        <v>402661</v>
      </c>
      <c r="AJ93" s="217">
        <f ca="1"/>
        <v>0</v>
      </c>
      <c r="AK93" s="217">
        <f ca="1"/>
        <v>0</v>
      </c>
      <c r="AL93" s="217">
        <f ca="1"/>
        <v>0</v>
      </c>
      <c r="AM93" s="217">
        <f ca="1"/>
        <v>0</v>
      </c>
      <c r="AN93" s="217">
        <f ca="1"/>
        <v>0</v>
      </c>
      <c r="AO93" s="217">
        <f ca="1"/>
        <v>0</v>
      </c>
      <c r="AP93" s="217">
        <f ca="1"/>
        <v>0</v>
      </c>
      <c r="AQ93" s="217">
        <f ca="1"/>
        <v>0</v>
      </c>
      <c r="AR93" s="217">
        <f ca="1"/>
        <v>0</v>
      </c>
      <c r="AS93" s="217">
        <f ca="1"/>
        <v>0</v>
      </c>
      <c r="AT93" s="217">
        <f ca="1"/>
        <v>0</v>
      </c>
      <c r="AU93" s="217">
        <f ca="1"/>
        <v>73193.8177</v>
      </c>
      <c r="AV93" s="217">
        <f ca="1"/>
        <v>33363.241179999997</v>
      </c>
      <c r="AW93" s="217">
        <f ca="1"/>
        <v>14616083.98532</v>
      </c>
      <c r="AX93" s="217">
        <f ca="1"/>
        <v>3827204.7960000001</v>
      </c>
      <c r="AY93" s="217">
        <f ca="1"/>
        <v>54400</v>
      </c>
      <c r="AZ93" s="217">
        <f ca="1"/>
        <v>0</v>
      </c>
      <c r="BA93" s="217">
        <f ca="1"/>
        <v>0</v>
      </c>
      <c r="BB93" s="217">
        <f ca="1"/>
        <v>0</v>
      </c>
      <c r="BC93" s="217">
        <f ca="1"/>
        <v>0</v>
      </c>
      <c r="BD93" s="217">
        <f ca="1"/>
        <v>0</v>
      </c>
      <c r="BE93" s="217">
        <f ca="1"/>
        <v>0</v>
      </c>
      <c r="BF93" s="217">
        <f ca="1"/>
        <v>23.77779791</v>
      </c>
      <c r="BG93" s="217">
        <f ca="1"/>
        <v>0</v>
      </c>
      <c r="BH93" s="217">
        <f ca="1"/>
        <v>0</v>
      </c>
      <c r="BI93" s="217">
        <f ca="1"/>
        <v>0</v>
      </c>
      <c r="BJ93" s="217">
        <f ca="1"/>
        <v>0</v>
      </c>
      <c r="BK93" s="217">
        <f ca="1"/>
        <v>0</v>
      </c>
      <c r="BL93" s="217">
        <f ca="1"/>
        <v>0</v>
      </c>
      <c r="BM93" s="217">
        <f ca="1"/>
        <v>0</v>
      </c>
      <c r="BN93" s="217">
        <f ca="1"/>
        <v>0</v>
      </c>
    </row>
    <row r="94" spans="1:66" s="217" customFormat="1" x14ac:dyDescent="0.2">
      <c r="A94"/>
      <c r="B94" s="347" t="str">
        <f ca="1"/>
        <v>All</v>
      </c>
      <c r="C94" s="345">
        <f ca="1"/>
        <v>44095</v>
      </c>
      <c r="D94" s="353">
        <f ca="1"/>
        <v>6710774.4939999999</v>
      </c>
      <c r="E94" s="217">
        <f ca="1"/>
        <v>1993.0937329999999</v>
      </c>
      <c r="F94" s="217">
        <f ca="1"/>
        <v>9289.42893</v>
      </c>
      <c r="G94" s="217">
        <f ca="1"/>
        <v>0</v>
      </c>
      <c r="H94" s="217">
        <f ca="1"/>
        <v>-19.118053979999999</v>
      </c>
      <c r="I94" s="217">
        <f ca="1"/>
        <v>8255.1104959999993</v>
      </c>
      <c r="J94" s="217">
        <f ca="1"/>
        <v>623034.70220000006</v>
      </c>
      <c r="K94" s="217">
        <f ca="1"/>
        <v>6498.448018</v>
      </c>
      <c r="L94" s="217">
        <f ca="1"/>
        <v>4986.9763270000003</v>
      </c>
      <c r="M94" s="217">
        <f ca="1"/>
        <v>12160226.960000001</v>
      </c>
      <c r="N94" s="217">
        <f ca="1"/>
        <v>52566.582670000003</v>
      </c>
      <c r="O94" s="217">
        <f ca="1"/>
        <v>6602.7672270000003</v>
      </c>
      <c r="P94" s="217">
        <f ca="1"/>
        <v>133296.36350000001</v>
      </c>
      <c r="Q94" s="217">
        <f ca="1"/>
        <v>13260.64926</v>
      </c>
      <c r="R94" s="217">
        <f ca="1"/>
        <v>429.82063720000002</v>
      </c>
      <c r="S94" s="217">
        <f ca="1"/>
        <v>999179.28529999999</v>
      </c>
      <c r="T94" s="217">
        <f ca="1"/>
        <v>17985.227139999999</v>
      </c>
      <c r="U94" s="217">
        <f ca="1"/>
        <v>1992</v>
      </c>
      <c r="V94" s="217">
        <f ca="1"/>
        <v>15.47296764</v>
      </c>
      <c r="W94" s="217">
        <f ca="1"/>
        <v>7.5702224400000002</v>
      </c>
      <c r="X94" s="217">
        <f ca="1"/>
        <v>3.1042163899999999</v>
      </c>
      <c r="Y94" s="217">
        <f ca="1"/>
        <v>266869915.80000001</v>
      </c>
      <c r="Z94" s="217">
        <f ca="1"/>
        <v>0</v>
      </c>
      <c r="AA94" s="217">
        <f ca="1"/>
        <v>0</v>
      </c>
      <c r="AB94" s="217">
        <f ca="1"/>
        <v>0</v>
      </c>
      <c r="AC94" s="217">
        <f ca="1"/>
        <v>0</v>
      </c>
      <c r="AD94" s="217">
        <f ca="1"/>
        <v>0</v>
      </c>
      <c r="AE94" s="217">
        <f ca="1"/>
        <v>0</v>
      </c>
      <c r="AF94" s="217">
        <f ca="1"/>
        <v>0</v>
      </c>
      <c r="AG94" s="217">
        <f ca="1"/>
        <v>0</v>
      </c>
      <c r="AH94" s="217">
        <f ca="1"/>
        <v>0</v>
      </c>
      <c r="AI94" s="217">
        <f ca="1"/>
        <v>418922</v>
      </c>
      <c r="AJ94" s="217">
        <f ca="1"/>
        <v>0</v>
      </c>
      <c r="AK94" s="217">
        <f ca="1"/>
        <v>0</v>
      </c>
      <c r="AL94" s="217">
        <f ca="1"/>
        <v>0</v>
      </c>
      <c r="AM94" s="217">
        <f ca="1"/>
        <v>0</v>
      </c>
      <c r="AN94" s="217">
        <f ca="1"/>
        <v>0</v>
      </c>
      <c r="AO94" s="217">
        <f ca="1"/>
        <v>0</v>
      </c>
      <c r="AP94" s="217">
        <f ca="1"/>
        <v>0</v>
      </c>
      <c r="AQ94" s="217">
        <f ca="1"/>
        <v>0</v>
      </c>
      <c r="AR94" s="217">
        <f ca="1"/>
        <v>0</v>
      </c>
      <c r="AS94" s="217">
        <f ca="1"/>
        <v>0</v>
      </c>
      <c r="AT94" s="217">
        <f ca="1"/>
        <v>0</v>
      </c>
      <c r="AU94" s="217">
        <f ca="1"/>
        <v>32995.739930000003</v>
      </c>
      <c r="AV94" s="217">
        <f ca="1"/>
        <v>51769.62442</v>
      </c>
      <c r="AW94" s="217">
        <f ca="1"/>
        <v>15272877.59904</v>
      </c>
      <c r="AX94" s="217">
        <f ca="1"/>
        <v>1630085.129</v>
      </c>
      <c r="AY94" s="217">
        <f ca="1"/>
        <v>0</v>
      </c>
      <c r="AZ94" s="217">
        <f ca="1"/>
        <v>0</v>
      </c>
      <c r="BA94" s="217">
        <f ca="1"/>
        <v>0</v>
      </c>
      <c r="BB94" s="217">
        <f ca="1"/>
        <v>0</v>
      </c>
      <c r="BC94" s="217">
        <f ca="1"/>
        <v>0</v>
      </c>
      <c r="BD94" s="217">
        <f ca="1"/>
        <v>0</v>
      </c>
      <c r="BE94" s="217">
        <f ca="1"/>
        <v>0</v>
      </c>
      <c r="BF94" s="217">
        <f ca="1"/>
        <v>26.14740647</v>
      </c>
      <c r="BG94" s="217">
        <f ca="1"/>
        <v>0</v>
      </c>
      <c r="BH94" s="217">
        <f ca="1"/>
        <v>0</v>
      </c>
      <c r="BI94" s="217">
        <f ca="1"/>
        <v>0</v>
      </c>
      <c r="BJ94" s="217">
        <f ca="1"/>
        <v>0</v>
      </c>
      <c r="BK94" s="217">
        <f ca="1"/>
        <v>0</v>
      </c>
      <c r="BL94" s="217">
        <f ca="1"/>
        <v>0</v>
      </c>
      <c r="BM94" s="217">
        <f ca="1"/>
        <v>0</v>
      </c>
      <c r="BN94" s="217">
        <f ca="1"/>
        <v>0</v>
      </c>
    </row>
    <row r="95" spans="1:66" s="217" customFormat="1" x14ac:dyDescent="0.2">
      <c r="A95"/>
      <c r="B95" s="347" t="str">
        <f ca="1"/>
        <v>All</v>
      </c>
      <c r="C95" s="345">
        <f ca="1"/>
        <v>44102</v>
      </c>
      <c r="D95" s="353">
        <f ca="1"/>
        <v>7833490.9129999997</v>
      </c>
      <c r="E95" s="217">
        <f ca="1"/>
        <v>2197.0616329999998</v>
      </c>
      <c r="F95" s="217">
        <f ca="1"/>
        <v>7605.0004049999998</v>
      </c>
      <c r="G95" s="217">
        <f ca="1"/>
        <v>0</v>
      </c>
      <c r="H95" s="217">
        <f ca="1"/>
        <v>-18.814761239999999</v>
      </c>
      <c r="I95" s="217">
        <f ca="1"/>
        <v>7668.9514099999997</v>
      </c>
      <c r="J95" s="217">
        <f ca="1"/>
        <v>475299.71220000001</v>
      </c>
      <c r="K95" s="217">
        <f ca="1"/>
        <v>5320.1009640000002</v>
      </c>
      <c r="L95" s="217">
        <f ca="1"/>
        <v>6597.4825469999996</v>
      </c>
      <c r="M95" s="217">
        <f ca="1"/>
        <v>10720461.26</v>
      </c>
      <c r="N95" s="217">
        <f ca="1"/>
        <v>63893.020920000003</v>
      </c>
      <c r="O95" s="217">
        <f ca="1"/>
        <v>5603.5223230000001</v>
      </c>
      <c r="P95" s="217">
        <f ca="1"/>
        <v>116289.823</v>
      </c>
      <c r="Q95" s="217">
        <f ca="1"/>
        <v>10203.41346</v>
      </c>
      <c r="R95" s="217">
        <f ca="1"/>
        <v>160.30195889999999</v>
      </c>
      <c r="S95" s="217">
        <f ca="1"/>
        <v>328798.69500000001</v>
      </c>
      <c r="T95" s="217">
        <f ca="1"/>
        <v>5918.3765089999997</v>
      </c>
      <c r="U95" s="217">
        <f ca="1"/>
        <v>0</v>
      </c>
      <c r="V95" s="217">
        <f ca="1"/>
        <v>12.14368668</v>
      </c>
      <c r="W95" s="217">
        <f ca="1"/>
        <v>6.5861737370000002</v>
      </c>
      <c r="X95" s="217">
        <f ca="1"/>
        <v>3.055951184</v>
      </c>
      <c r="Y95" s="217">
        <f ca="1"/>
        <v>265571974.5</v>
      </c>
      <c r="Z95" s="217">
        <f ca="1"/>
        <v>0</v>
      </c>
      <c r="AA95" s="217">
        <f ca="1"/>
        <v>0</v>
      </c>
      <c r="AB95" s="217">
        <f ca="1"/>
        <v>0</v>
      </c>
      <c r="AC95" s="217">
        <f ca="1"/>
        <v>0</v>
      </c>
      <c r="AD95" s="217">
        <f ca="1"/>
        <v>0</v>
      </c>
      <c r="AE95" s="217">
        <f ca="1"/>
        <v>0</v>
      </c>
      <c r="AF95" s="217">
        <f ca="1"/>
        <v>0</v>
      </c>
      <c r="AG95" s="217">
        <f ca="1"/>
        <v>0</v>
      </c>
      <c r="AH95" s="217">
        <f ca="1"/>
        <v>0</v>
      </c>
      <c r="AI95" s="217">
        <f ca="1"/>
        <v>216841</v>
      </c>
      <c r="AJ95" s="217">
        <f ca="1"/>
        <v>0</v>
      </c>
      <c r="AK95" s="217">
        <f ca="1"/>
        <v>0</v>
      </c>
      <c r="AL95" s="217">
        <f ca="1"/>
        <v>0</v>
      </c>
      <c r="AM95" s="217">
        <f ca="1"/>
        <v>0</v>
      </c>
      <c r="AN95" s="217">
        <f ca="1"/>
        <v>0</v>
      </c>
      <c r="AO95" s="217">
        <f ca="1"/>
        <v>0</v>
      </c>
      <c r="AP95" s="217">
        <f ca="1"/>
        <v>0</v>
      </c>
      <c r="AQ95" s="217">
        <f ca="1"/>
        <v>0</v>
      </c>
      <c r="AR95" s="217">
        <f ca="1"/>
        <v>0</v>
      </c>
      <c r="AS95" s="217">
        <f ca="1"/>
        <v>0</v>
      </c>
      <c r="AT95" s="217">
        <f ca="1"/>
        <v>0</v>
      </c>
      <c r="AU95" s="217">
        <f ca="1"/>
        <v>36727.691500000001</v>
      </c>
      <c r="AV95" s="217">
        <f ca="1"/>
        <v>30047.12081</v>
      </c>
      <c r="AW95" s="217">
        <f ca="1"/>
        <v>11943546.533887999</v>
      </c>
      <c r="AX95" s="217">
        <f ca="1"/>
        <v>2621811.98</v>
      </c>
      <c r="AY95" s="217">
        <f ca="1"/>
        <v>0</v>
      </c>
      <c r="AZ95" s="217">
        <f ca="1"/>
        <v>0</v>
      </c>
      <c r="BA95" s="217">
        <f ca="1"/>
        <v>0</v>
      </c>
      <c r="BB95" s="217">
        <f ca="1"/>
        <v>0</v>
      </c>
      <c r="BC95" s="217">
        <f ca="1"/>
        <v>0</v>
      </c>
      <c r="BD95" s="217">
        <f ca="1"/>
        <v>0</v>
      </c>
      <c r="BE95" s="217">
        <f ca="1"/>
        <v>0</v>
      </c>
      <c r="BF95" s="217">
        <f ca="1"/>
        <v>21.785811600999999</v>
      </c>
      <c r="BG95" s="217">
        <f ca="1"/>
        <v>0</v>
      </c>
      <c r="BH95" s="217">
        <f ca="1"/>
        <v>0</v>
      </c>
      <c r="BI95" s="217">
        <f ca="1"/>
        <v>0</v>
      </c>
      <c r="BJ95" s="217">
        <f ca="1"/>
        <v>0</v>
      </c>
      <c r="BK95" s="217">
        <f ca="1"/>
        <v>0</v>
      </c>
      <c r="BL95" s="217">
        <f ca="1"/>
        <v>0</v>
      </c>
      <c r="BM95" s="217">
        <f ca="1"/>
        <v>0</v>
      </c>
      <c r="BN95" s="217">
        <f ca="1"/>
        <v>0</v>
      </c>
    </row>
    <row r="96" spans="1:66" s="217" customFormat="1" x14ac:dyDescent="0.2">
      <c r="A96"/>
      <c r="B96" s="347" t="str">
        <f ca="1"/>
        <v>All</v>
      </c>
      <c r="C96" s="345">
        <f ca="1"/>
        <v>44109</v>
      </c>
      <c r="D96" s="353">
        <f ca="1"/>
        <v>6215606.9249999998</v>
      </c>
      <c r="E96" s="217">
        <f ca="1"/>
        <v>3023.0057190000002</v>
      </c>
      <c r="F96" s="217">
        <f ca="1"/>
        <v>9861.3656979999996</v>
      </c>
      <c r="G96" s="217">
        <f ca="1"/>
        <v>0</v>
      </c>
      <c r="H96" s="217">
        <f ca="1"/>
        <v>-19.103420589999999</v>
      </c>
      <c r="I96" s="217">
        <f ca="1"/>
        <v>9283.421139</v>
      </c>
      <c r="J96" s="217">
        <f ca="1"/>
        <v>510299.7072</v>
      </c>
      <c r="K96" s="217">
        <f ca="1"/>
        <v>6898.5481090000003</v>
      </c>
      <c r="L96" s="217">
        <f ca="1"/>
        <v>13478.13586</v>
      </c>
      <c r="M96" s="217">
        <f ca="1"/>
        <v>12600225.01</v>
      </c>
      <c r="N96" s="217">
        <f ca="1"/>
        <v>52769.270320000003</v>
      </c>
      <c r="O96" s="217">
        <f ca="1"/>
        <v>6392.260808</v>
      </c>
      <c r="P96" s="217">
        <f ca="1"/>
        <v>127206.21030000001</v>
      </c>
      <c r="Q96" s="217">
        <f ca="1"/>
        <v>12389.41252</v>
      </c>
      <c r="R96" s="217">
        <f ca="1"/>
        <v>92.041509399999995</v>
      </c>
      <c r="S96" s="217">
        <f ca="1"/>
        <v>233434.88339999999</v>
      </c>
      <c r="T96" s="217">
        <f ca="1"/>
        <v>4201.827902</v>
      </c>
      <c r="U96" s="217">
        <f ca="1"/>
        <v>0</v>
      </c>
      <c r="V96" s="217">
        <f ca="1"/>
        <v>10.9829059</v>
      </c>
      <c r="W96" s="217">
        <f ca="1"/>
        <v>6.6440876370000002</v>
      </c>
      <c r="X96" s="217">
        <f ca="1"/>
        <v>3.6024673740000002</v>
      </c>
      <c r="Y96" s="217">
        <f ca="1"/>
        <v>272241863.89999998</v>
      </c>
      <c r="Z96" s="217">
        <f ca="1"/>
        <v>0</v>
      </c>
      <c r="AA96" s="217">
        <f ca="1"/>
        <v>0</v>
      </c>
      <c r="AB96" s="217">
        <f ca="1"/>
        <v>95915.803910000002</v>
      </c>
      <c r="AC96" s="217">
        <f ca="1"/>
        <v>0</v>
      </c>
      <c r="AD96" s="217">
        <f ca="1"/>
        <v>0</v>
      </c>
      <c r="AE96" s="217">
        <f ca="1"/>
        <v>0</v>
      </c>
      <c r="AF96" s="217">
        <f ca="1"/>
        <v>0</v>
      </c>
      <c r="AG96" s="217">
        <f ca="1"/>
        <v>0</v>
      </c>
      <c r="AH96" s="217">
        <f ca="1"/>
        <v>104609.6249</v>
      </c>
      <c r="AI96" s="217">
        <f ca="1"/>
        <v>436983</v>
      </c>
      <c r="AJ96" s="217">
        <f ca="1"/>
        <v>0</v>
      </c>
      <c r="AK96" s="217">
        <f ca="1"/>
        <v>0</v>
      </c>
      <c r="AL96" s="217">
        <f ca="1"/>
        <v>0</v>
      </c>
      <c r="AM96" s="217">
        <f ca="1"/>
        <v>0</v>
      </c>
      <c r="AN96" s="217">
        <f ca="1"/>
        <v>0</v>
      </c>
      <c r="AO96" s="217">
        <f ca="1"/>
        <v>0</v>
      </c>
      <c r="AP96" s="217">
        <f ca="1"/>
        <v>0</v>
      </c>
      <c r="AQ96" s="217">
        <f ca="1"/>
        <v>0</v>
      </c>
      <c r="AR96" s="217">
        <f ca="1"/>
        <v>0</v>
      </c>
      <c r="AS96" s="217">
        <f ca="1"/>
        <v>0</v>
      </c>
      <c r="AT96" s="217">
        <f ca="1"/>
        <v>0</v>
      </c>
      <c r="AU96" s="217">
        <f ca="1"/>
        <v>44887.249040000002</v>
      </c>
      <c r="AV96" s="217">
        <f ca="1"/>
        <v>23067.863539999998</v>
      </c>
      <c r="AW96" s="217">
        <f ca="1"/>
        <v>8866170.4522799999</v>
      </c>
      <c r="AX96" s="217">
        <f ca="1"/>
        <v>3749939.057</v>
      </c>
      <c r="AY96" s="217">
        <f ca="1"/>
        <v>0</v>
      </c>
      <c r="AZ96" s="217">
        <f ca="1"/>
        <v>0</v>
      </c>
      <c r="BA96" s="217">
        <f ca="1"/>
        <v>0</v>
      </c>
      <c r="BB96" s="217">
        <f ca="1"/>
        <v>0</v>
      </c>
      <c r="BC96" s="217">
        <f ca="1"/>
        <v>0</v>
      </c>
      <c r="BD96" s="217">
        <f ca="1"/>
        <v>0</v>
      </c>
      <c r="BE96" s="217">
        <f ca="1"/>
        <v>0</v>
      </c>
      <c r="BF96" s="217">
        <f ca="1"/>
        <v>21.229460911</v>
      </c>
      <c r="BG96" s="217">
        <f ca="1"/>
        <v>0</v>
      </c>
      <c r="BH96" s="217">
        <f ca="1"/>
        <v>0</v>
      </c>
      <c r="BI96" s="217">
        <f ca="1"/>
        <v>0</v>
      </c>
      <c r="BJ96" s="217">
        <f ca="1"/>
        <v>0</v>
      </c>
      <c r="BK96" s="217">
        <f ca="1"/>
        <v>0</v>
      </c>
      <c r="BL96" s="217">
        <f ca="1"/>
        <v>0</v>
      </c>
      <c r="BM96" s="217">
        <f ca="1"/>
        <v>0</v>
      </c>
      <c r="BN96" s="217">
        <f ca="1"/>
        <v>0</v>
      </c>
    </row>
    <row r="97" spans="1:66" s="217" customFormat="1" x14ac:dyDescent="0.2">
      <c r="A97"/>
      <c r="B97" s="347" t="str">
        <f ca="1"/>
        <v>All</v>
      </c>
      <c r="C97" s="345">
        <f ca="1"/>
        <v>44116</v>
      </c>
      <c r="D97" s="353">
        <f ca="1"/>
        <v>6647592.642</v>
      </c>
      <c r="E97" s="217">
        <f ca="1"/>
        <v>2528.8242340000002</v>
      </c>
      <c r="F97" s="217">
        <f ca="1"/>
        <v>14136.511039999999</v>
      </c>
      <c r="G97" s="217">
        <f ca="1"/>
        <v>0</v>
      </c>
      <c r="H97" s="217">
        <f ca="1"/>
        <v>-19.768911379999999</v>
      </c>
      <c r="I97" s="217">
        <f ca="1"/>
        <v>11543.94299</v>
      </c>
      <c r="J97" s="217">
        <f ca="1"/>
        <v>700235.06869999995</v>
      </c>
      <c r="K97" s="217">
        <f ca="1"/>
        <v>9889.2389220000005</v>
      </c>
      <c r="L97" s="217">
        <f ca="1"/>
        <v>17378.22968</v>
      </c>
      <c r="M97" s="217">
        <f ca="1"/>
        <v>12816757.279999999</v>
      </c>
      <c r="N97" s="217">
        <f ca="1"/>
        <v>54164.726920000001</v>
      </c>
      <c r="O97" s="217">
        <f ca="1"/>
        <v>6726.957206</v>
      </c>
      <c r="P97" s="217">
        <f ca="1"/>
        <v>140654.84</v>
      </c>
      <c r="Q97" s="217">
        <f ca="1"/>
        <v>14482.86362</v>
      </c>
      <c r="R97" s="217">
        <f ca="1"/>
        <v>54.608359640000003</v>
      </c>
      <c r="S97" s="217">
        <f ca="1"/>
        <v>176601.23310000001</v>
      </c>
      <c r="T97" s="217">
        <f ca="1"/>
        <v>3178.8221960000001</v>
      </c>
      <c r="U97" s="217">
        <f ca="1"/>
        <v>0</v>
      </c>
      <c r="V97" s="217">
        <f ca="1"/>
        <v>10.6922078</v>
      </c>
      <c r="W97" s="217">
        <f ca="1"/>
        <v>7.3563577560000004</v>
      </c>
      <c r="X97" s="217">
        <f ca="1"/>
        <v>4.6517025500000004</v>
      </c>
      <c r="Y97" s="217">
        <f ca="1"/>
        <v>260710856.19999999</v>
      </c>
      <c r="Z97" s="217">
        <f ca="1"/>
        <v>0</v>
      </c>
      <c r="AA97" s="217">
        <f ca="1"/>
        <v>0</v>
      </c>
      <c r="AB97" s="217">
        <f ca="1"/>
        <v>95915.803910000002</v>
      </c>
      <c r="AC97" s="217">
        <f ca="1"/>
        <v>0</v>
      </c>
      <c r="AD97" s="217">
        <f ca="1"/>
        <v>0</v>
      </c>
      <c r="AE97" s="217">
        <f ca="1"/>
        <v>0</v>
      </c>
      <c r="AF97" s="217">
        <f ca="1"/>
        <v>0</v>
      </c>
      <c r="AG97" s="217">
        <f ca="1"/>
        <v>0</v>
      </c>
      <c r="AH97" s="217">
        <f ca="1"/>
        <v>0</v>
      </c>
      <c r="AI97" s="217">
        <f ca="1"/>
        <v>288940</v>
      </c>
      <c r="AJ97" s="217">
        <f ca="1"/>
        <v>0</v>
      </c>
      <c r="AK97" s="217">
        <f ca="1"/>
        <v>0</v>
      </c>
      <c r="AL97" s="217">
        <f ca="1"/>
        <v>0</v>
      </c>
      <c r="AM97" s="217">
        <f ca="1"/>
        <v>0</v>
      </c>
      <c r="AN97" s="217">
        <f ca="1"/>
        <v>0</v>
      </c>
      <c r="AO97" s="217">
        <f ca="1"/>
        <v>0</v>
      </c>
      <c r="AP97" s="217">
        <f ca="1"/>
        <v>0</v>
      </c>
      <c r="AQ97" s="217">
        <f ca="1"/>
        <v>0</v>
      </c>
      <c r="AR97" s="217">
        <f ca="1"/>
        <v>0</v>
      </c>
      <c r="AS97" s="217">
        <f ca="1"/>
        <v>0</v>
      </c>
      <c r="AT97" s="217">
        <f ca="1"/>
        <v>0</v>
      </c>
      <c r="AU97" s="217">
        <f ca="1"/>
        <v>44265.514450000002</v>
      </c>
      <c r="AV97" s="217">
        <f ca="1"/>
        <v>15923.85938</v>
      </c>
      <c r="AW97" s="217">
        <f ca="1"/>
        <v>6658135.9368960001</v>
      </c>
      <c r="AX97" s="217">
        <f ca="1"/>
        <v>3407058.8369999998</v>
      </c>
      <c r="AY97" s="217">
        <f ca="1"/>
        <v>0</v>
      </c>
      <c r="AZ97" s="217">
        <f ca="1"/>
        <v>0</v>
      </c>
      <c r="BA97" s="217">
        <f ca="1"/>
        <v>0</v>
      </c>
      <c r="BB97" s="217">
        <f ca="1"/>
        <v>0</v>
      </c>
      <c r="BC97" s="217">
        <f ca="1"/>
        <v>0</v>
      </c>
      <c r="BD97" s="217">
        <f ca="1"/>
        <v>104609.6249</v>
      </c>
      <c r="BE97" s="217">
        <f ca="1"/>
        <v>0</v>
      </c>
      <c r="BF97" s="217">
        <f ca="1"/>
        <v>22.700268105999999</v>
      </c>
      <c r="BG97" s="217">
        <f ca="1"/>
        <v>0</v>
      </c>
      <c r="BH97" s="217">
        <f ca="1"/>
        <v>0</v>
      </c>
      <c r="BI97" s="217">
        <f ca="1"/>
        <v>0</v>
      </c>
      <c r="BJ97" s="217">
        <f ca="1"/>
        <v>0</v>
      </c>
      <c r="BK97" s="217">
        <f ca="1"/>
        <v>0</v>
      </c>
      <c r="BL97" s="217">
        <f ca="1"/>
        <v>0</v>
      </c>
      <c r="BM97" s="217">
        <f ca="1"/>
        <v>0</v>
      </c>
      <c r="BN97" s="217">
        <f ca="1"/>
        <v>0</v>
      </c>
    </row>
    <row r="98" spans="1:66" s="217" customFormat="1" x14ac:dyDescent="0.2">
      <c r="A98"/>
      <c r="B98" s="347" t="str">
        <f ca="1"/>
        <v>All</v>
      </c>
      <c r="C98" s="345">
        <f ca="1"/>
        <v>44123</v>
      </c>
      <c r="D98" s="353">
        <f ca="1"/>
        <v>6008982.1279999996</v>
      </c>
      <c r="E98" s="217">
        <f ca="1"/>
        <v>2564.707476</v>
      </c>
      <c r="F98" s="217">
        <f ca="1"/>
        <v>12750.319670000001</v>
      </c>
      <c r="G98" s="217">
        <f ca="1"/>
        <v>0</v>
      </c>
      <c r="H98" s="217">
        <f ca="1"/>
        <v>-18.50089067</v>
      </c>
      <c r="I98" s="217">
        <f ca="1"/>
        <v>9541.9300669999993</v>
      </c>
      <c r="J98" s="217">
        <f ca="1"/>
        <v>641810.28929999995</v>
      </c>
      <c r="K98" s="217">
        <f ca="1"/>
        <v>8919.5245680000007</v>
      </c>
      <c r="L98" s="217">
        <f ca="1"/>
        <v>15518.903109999999</v>
      </c>
      <c r="M98" s="217">
        <f ca="1"/>
        <v>10838053.32</v>
      </c>
      <c r="N98" s="217">
        <f ca="1"/>
        <v>41750.5484</v>
      </c>
      <c r="O98" s="217">
        <f ca="1"/>
        <v>7490.1530709999997</v>
      </c>
      <c r="P98" s="217">
        <f ca="1"/>
        <v>160397.96400000001</v>
      </c>
      <c r="Q98" s="217">
        <f ca="1"/>
        <v>17020.258669999999</v>
      </c>
      <c r="R98" s="217">
        <f ca="1"/>
        <v>77.949029490000001</v>
      </c>
      <c r="S98" s="217">
        <f ca="1"/>
        <v>147900.5766</v>
      </c>
      <c r="T98" s="217">
        <f ca="1"/>
        <v>2662.2103790000001</v>
      </c>
      <c r="U98" s="217">
        <f ca="1"/>
        <v>8</v>
      </c>
      <c r="V98" s="217">
        <f ca="1"/>
        <v>10.44784542</v>
      </c>
      <c r="W98" s="217">
        <f ca="1"/>
        <v>6.4192830570000003</v>
      </c>
      <c r="X98" s="217">
        <f ca="1"/>
        <v>3.5427268139999999</v>
      </c>
      <c r="Y98" s="217">
        <f ca="1"/>
        <v>251774233.40000001</v>
      </c>
      <c r="Z98" s="217">
        <f ca="1"/>
        <v>0</v>
      </c>
      <c r="AA98" s="217">
        <f ca="1"/>
        <v>0</v>
      </c>
      <c r="AB98" s="217">
        <f ca="1"/>
        <v>0</v>
      </c>
      <c r="AC98" s="217">
        <f ca="1"/>
        <v>0</v>
      </c>
      <c r="AD98" s="217">
        <f ca="1"/>
        <v>0</v>
      </c>
      <c r="AE98" s="217">
        <f ca="1"/>
        <v>0</v>
      </c>
      <c r="AF98" s="217">
        <f ca="1"/>
        <v>0</v>
      </c>
      <c r="AG98" s="217">
        <f ca="1"/>
        <v>0</v>
      </c>
      <c r="AH98" s="217">
        <f ca="1"/>
        <v>0</v>
      </c>
      <c r="AI98" s="217">
        <f ca="1"/>
        <v>239376</v>
      </c>
      <c r="AJ98" s="217">
        <f ca="1"/>
        <v>0</v>
      </c>
      <c r="AK98" s="217">
        <f ca="1"/>
        <v>0</v>
      </c>
      <c r="AL98" s="217">
        <f ca="1"/>
        <v>0</v>
      </c>
      <c r="AM98" s="217">
        <f ca="1"/>
        <v>0</v>
      </c>
      <c r="AN98" s="217">
        <f ca="1"/>
        <v>0</v>
      </c>
      <c r="AO98" s="217">
        <f ca="1"/>
        <v>0</v>
      </c>
      <c r="AP98" s="217">
        <f ca="1"/>
        <v>0</v>
      </c>
      <c r="AQ98" s="217">
        <f ca="1"/>
        <v>0</v>
      </c>
      <c r="AR98" s="217">
        <f ca="1"/>
        <v>0</v>
      </c>
      <c r="AS98" s="217">
        <f ca="1"/>
        <v>0</v>
      </c>
      <c r="AT98" s="217">
        <f ca="1"/>
        <v>0</v>
      </c>
      <c r="AU98" s="217">
        <f ca="1"/>
        <v>43479.728410000003</v>
      </c>
      <c r="AV98" s="217">
        <f ca="1"/>
        <v>31535.250970000001</v>
      </c>
      <c r="AW98" s="217">
        <f ca="1"/>
        <v>9245734.9425919894</v>
      </c>
      <c r="AX98" s="217">
        <f ca="1"/>
        <v>3277065.8259999999</v>
      </c>
      <c r="AY98" s="217">
        <f ca="1"/>
        <v>0</v>
      </c>
      <c r="AZ98" s="217">
        <f ca="1"/>
        <v>0</v>
      </c>
      <c r="BA98" s="217">
        <f ca="1"/>
        <v>0</v>
      </c>
      <c r="BB98" s="217">
        <f ca="1"/>
        <v>0</v>
      </c>
      <c r="BC98" s="217">
        <f ca="1"/>
        <v>0</v>
      </c>
      <c r="BD98" s="217">
        <f ca="1"/>
        <v>0</v>
      </c>
      <c r="BE98" s="217">
        <f ca="1"/>
        <v>0</v>
      </c>
      <c r="BF98" s="217">
        <f ca="1"/>
        <v>20.409855291</v>
      </c>
      <c r="BG98" s="217">
        <f ca="1"/>
        <v>0</v>
      </c>
      <c r="BH98" s="217">
        <f ca="1"/>
        <v>0</v>
      </c>
      <c r="BI98" s="217">
        <f ca="1"/>
        <v>0</v>
      </c>
      <c r="BJ98" s="217">
        <f ca="1"/>
        <v>0</v>
      </c>
      <c r="BK98" s="217">
        <f ca="1"/>
        <v>0</v>
      </c>
      <c r="BL98" s="217">
        <f ca="1"/>
        <v>0</v>
      </c>
      <c r="BM98" s="217">
        <f ca="1"/>
        <v>0</v>
      </c>
      <c r="BN98" s="217">
        <f ca="1"/>
        <v>0</v>
      </c>
    </row>
    <row r="99" spans="1:66" s="217" customFormat="1" x14ac:dyDescent="0.2">
      <c r="A99"/>
      <c r="B99" s="347" t="str">
        <f ca="1"/>
        <v>All</v>
      </c>
      <c r="C99" s="345">
        <f ca="1"/>
        <v>44130</v>
      </c>
      <c r="D99" s="353">
        <f ca="1"/>
        <v>8869583.0580000002</v>
      </c>
      <c r="E99" s="217">
        <f ca="1"/>
        <v>2326.1153960000001</v>
      </c>
      <c r="F99" s="217">
        <f ca="1"/>
        <v>18898.156910000002</v>
      </c>
      <c r="G99" s="217">
        <f ca="1"/>
        <v>0</v>
      </c>
      <c r="H99" s="217">
        <f ca="1"/>
        <v>-18.799097249999999</v>
      </c>
      <c r="I99" s="217">
        <f ca="1"/>
        <v>12269.70571</v>
      </c>
      <c r="J99" s="217">
        <f ca="1"/>
        <v>983496.99750000006</v>
      </c>
      <c r="K99" s="217">
        <f ca="1"/>
        <v>13220.262650000001</v>
      </c>
      <c r="L99" s="217">
        <f ca="1"/>
        <v>10497.576359999999</v>
      </c>
      <c r="M99" s="217">
        <f ca="1"/>
        <v>8089536.1880000001</v>
      </c>
      <c r="N99" s="217">
        <f ca="1"/>
        <v>49243.055670000002</v>
      </c>
      <c r="O99" s="217">
        <f ca="1"/>
        <v>5559.9237130000001</v>
      </c>
      <c r="P99" s="217">
        <f ca="1"/>
        <v>124354.685</v>
      </c>
      <c r="Q99" s="217">
        <f ca="1"/>
        <v>12364.10771</v>
      </c>
      <c r="R99" s="217">
        <f ca="1"/>
        <v>66.939279560000003</v>
      </c>
      <c r="S99" s="217">
        <f ca="1"/>
        <v>157453.51639999999</v>
      </c>
      <c r="T99" s="217">
        <f ca="1"/>
        <v>2834.1632960000002</v>
      </c>
      <c r="U99" s="217">
        <f ca="1"/>
        <v>0</v>
      </c>
      <c r="V99" s="217">
        <f ca="1"/>
        <v>9.070032565</v>
      </c>
      <c r="W99" s="217">
        <f ca="1"/>
        <v>6.9854260190000002</v>
      </c>
      <c r="X99" s="217">
        <f ca="1"/>
        <v>1.8850061119999999</v>
      </c>
      <c r="Y99" s="217">
        <f ca="1"/>
        <v>270547319.80000001</v>
      </c>
      <c r="Z99" s="217">
        <f ca="1"/>
        <v>0</v>
      </c>
      <c r="AA99" s="217">
        <f ca="1"/>
        <v>0</v>
      </c>
      <c r="AB99" s="217">
        <f ca="1"/>
        <v>0</v>
      </c>
      <c r="AC99" s="217">
        <f ca="1"/>
        <v>0</v>
      </c>
      <c r="AD99" s="217">
        <f ca="1"/>
        <v>0</v>
      </c>
      <c r="AE99" s="217">
        <f ca="1"/>
        <v>0</v>
      </c>
      <c r="AF99" s="217">
        <f ca="1"/>
        <v>0</v>
      </c>
      <c r="AG99" s="217">
        <f ca="1"/>
        <v>0</v>
      </c>
      <c r="AH99" s="217">
        <f ca="1"/>
        <v>84593.899860000005</v>
      </c>
      <c r="AI99" s="217">
        <f ca="1"/>
        <v>515156</v>
      </c>
      <c r="AJ99" s="217">
        <f ca="1"/>
        <v>1142766.246</v>
      </c>
      <c r="AK99" s="217">
        <f ca="1"/>
        <v>7500.6718979999996</v>
      </c>
      <c r="AL99" s="217">
        <f ca="1"/>
        <v>963884.7169</v>
      </c>
      <c r="AM99" s="217">
        <f ca="1"/>
        <v>5782.0585490000003</v>
      </c>
      <c r="AN99" s="217">
        <f ca="1"/>
        <v>0</v>
      </c>
      <c r="AO99" s="217">
        <f ca="1"/>
        <v>0</v>
      </c>
      <c r="AP99" s="217">
        <f ca="1"/>
        <v>0</v>
      </c>
      <c r="AQ99" s="217">
        <f ca="1"/>
        <v>0</v>
      </c>
      <c r="AR99" s="217">
        <f ca="1"/>
        <v>0</v>
      </c>
      <c r="AS99" s="217">
        <f ca="1"/>
        <v>0</v>
      </c>
      <c r="AT99" s="217">
        <f ca="1"/>
        <v>0</v>
      </c>
      <c r="AU99" s="217">
        <f ca="1"/>
        <v>44183.468540000002</v>
      </c>
      <c r="AV99" s="217">
        <f ca="1"/>
        <v>45187.167370000003</v>
      </c>
      <c r="AW99" s="217">
        <f ca="1"/>
        <v>13852996.4142319</v>
      </c>
      <c r="AX99" s="217">
        <f ca="1"/>
        <v>3236990.4730000002</v>
      </c>
      <c r="AY99" s="217">
        <f ca="1"/>
        <v>0</v>
      </c>
      <c r="AZ99" s="217">
        <f ca="1"/>
        <v>0</v>
      </c>
      <c r="BA99" s="217">
        <f ca="1"/>
        <v>0</v>
      </c>
      <c r="BB99" s="217">
        <f ca="1"/>
        <v>0</v>
      </c>
      <c r="BC99" s="217">
        <f ca="1"/>
        <v>0</v>
      </c>
      <c r="BD99" s="217">
        <f ca="1"/>
        <v>0</v>
      </c>
      <c r="BE99" s="217">
        <f ca="1"/>
        <v>0</v>
      </c>
      <c r="BF99" s="217">
        <f ca="1"/>
        <v>17.940464695999999</v>
      </c>
      <c r="BG99" s="217">
        <f ca="1"/>
        <v>0</v>
      </c>
      <c r="BH99" s="217">
        <f ca="1"/>
        <v>0</v>
      </c>
      <c r="BI99" s="217">
        <f ca="1"/>
        <v>0</v>
      </c>
      <c r="BJ99" s="217">
        <f ca="1"/>
        <v>0</v>
      </c>
      <c r="BK99" s="217">
        <f ca="1"/>
        <v>0</v>
      </c>
      <c r="BL99" s="217">
        <f ca="1"/>
        <v>0</v>
      </c>
      <c r="BM99" s="217">
        <f ca="1"/>
        <v>0</v>
      </c>
      <c r="BN99" s="217">
        <f ca="1"/>
        <v>0</v>
      </c>
    </row>
    <row r="100" spans="1:66" s="217" customFormat="1" x14ac:dyDescent="0.2">
      <c r="A100"/>
      <c r="B100" s="347" t="str">
        <f ca="1"/>
        <v>All</v>
      </c>
      <c r="C100" s="345">
        <f ca="1"/>
        <v>44137</v>
      </c>
      <c r="D100" s="353">
        <f ca="1"/>
        <v>6830886.6129999999</v>
      </c>
      <c r="E100" s="217">
        <f ca="1"/>
        <v>2791.338475</v>
      </c>
      <c r="F100" s="217">
        <f ca="1"/>
        <v>21112.129290000001</v>
      </c>
      <c r="G100" s="217">
        <f ca="1"/>
        <v>0</v>
      </c>
      <c r="H100" s="217">
        <f ca="1"/>
        <v>-18.38469478</v>
      </c>
      <c r="I100" s="217">
        <f ca="1"/>
        <v>15942.117899999999</v>
      </c>
      <c r="J100" s="217">
        <f ca="1"/>
        <v>1366843.2779999999</v>
      </c>
      <c r="K100" s="217">
        <f ca="1"/>
        <v>14769.05371</v>
      </c>
      <c r="L100" s="217">
        <f ca="1"/>
        <v>4344.0069309999999</v>
      </c>
      <c r="M100" s="217">
        <f ca="1"/>
        <v>4945666.4239999996</v>
      </c>
      <c r="N100" s="217">
        <f ca="1"/>
        <v>27439.423040000001</v>
      </c>
      <c r="O100" s="217">
        <f ca="1"/>
        <v>6581.1881169999997</v>
      </c>
      <c r="P100" s="217">
        <f ca="1"/>
        <v>149199.2867</v>
      </c>
      <c r="Q100" s="217">
        <f ca="1"/>
        <v>15727.64356</v>
      </c>
      <c r="R100" s="217">
        <f ca="1"/>
        <v>15.8540399</v>
      </c>
      <c r="S100" s="217">
        <f ca="1"/>
        <v>43120.34618</v>
      </c>
      <c r="T100" s="217">
        <f ca="1"/>
        <v>776.16623119999997</v>
      </c>
      <c r="U100" s="217">
        <f ca="1"/>
        <v>0</v>
      </c>
      <c r="V100" s="217">
        <f ca="1"/>
        <v>7.0931780590000004</v>
      </c>
      <c r="W100" s="217">
        <f ca="1"/>
        <v>6.4923467400000003</v>
      </c>
      <c r="X100" s="217">
        <f ca="1"/>
        <v>3.5477557719999999</v>
      </c>
      <c r="Y100" s="217">
        <f ca="1"/>
        <v>325253860.5</v>
      </c>
      <c r="Z100" s="217">
        <f ca="1"/>
        <v>0</v>
      </c>
      <c r="AA100" s="217">
        <f ca="1"/>
        <v>0</v>
      </c>
      <c r="AB100" s="217">
        <f ca="1"/>
        <v>30859.994719999999</v>
      </c>
      <c r="AC100" s="217">
        <f ca="1"/>
        <v>0</v>
      </c>
      <c r="AD100" s="217">
        <f ca="1"/>
        <v>0</v>
      </c>
      <c r="AE100" s="217">
        <f ca="1"/>
        <v>0</v>
      </c>
      <c r="AF100" s="217">
        <f ca="1"/>
        <v>0</v>
      </c>
      <c r="AG100" s="217">
        <f ca="1"/>
        <v>0</v>
      </c>
      <c r="AH100" s="217">
        <f ca="1"/>
        <v>0</v>
      </c>
      <c r="AI100" s="217">
        <f ca="1"/>
        <v>435151</v>
      </c>
      <c r="AJ100" s="217">
        <f ca="1"/>
        <v>2433826.6910000001</v>
      </c>
      <c r="AK100" s="217">
        <f ca="1"/>
        <v>18561.253799999999</v>
      </c>
      <c r="AL100" s="217">
        <f ca="1"/>
        <v>1752155.1510000001</v>
      </c>
      <c r="AM100" s="217">
        <f ca="1"/>
        <v>6934.0723969999999</v>
      </c>
      <c r="AN100" s="217">
        <f ca="1"/>
        <v>0</v>
      </c>
      <c r="AO100" s="217">
        <f ca="1"/>
        <v>0</v>
      </c>
      <c r="AP100" s="217">
        <f ca="1"/>
        <v>0</v>
      </c>
      <c r="AQ100" s="217">
        <f ca="1"/>
        <v>0</v>
      </c>
      <c r="AR100" s="217">
        <f ca="1"/>
        <v>0</v>
      </c>
      <c r="AS100" s="217">
        <f ca="1"/>
        <v>0</v>
      </c>
      <c r="AT100" s="217">
        <f ca="1"/>
        <v>0</v>
      </c>
      <c r="AU100" s="217">
        <f ca="1"/>
        <v>70324.932199999996</v>
      </c>
      <c r="AV100" s="217">
        <f ca="1"/>
        <v>32041.233970000001</v>
      </c>
      <c r="AW100" s="217">
        <f ca="1"/>
        <v>16901959.863104001</v>
      </c>
      <c r="AX100" s="217">
        <f ca="1"/>
        <v>5301722.2290000003</v>
      </c>
      <c r="AY100" s="217">
        <f ca="1"/>
        <v>0</v>
      </c>
      <c r="AZ100" s="217">
        <f ca="1"/>
        <v>0</v>
      </c>
      <c r="BA100" s="217">
        <f ca="1"/>
        <v>1</v>
      </c>
      <c r="BB100" s="217">
        <f ca="1"/>
        <v>0</v>
      </c>
      <c r="BC100" s="217">
        <f ca="1"/>
        <v>0</v>
      </c>
      <c r="BD100" s="217">
        <f ca="1"/>
        <v>84593.899860000005</v>
      </c>
      <c r="BE100" s="217">
        <f ca="1"/>
        <v>0</v>
      </c>
      <c r="BF100" s="217">
        <f ca="1"/>
        <v>17.133280571</v>
      </c>
      <c r="BG100" s="217">
        <f ca="1"/>
        <v>0</v>
      </c>
      <c r="BH100" s="217">
        <f ca="1"/>
        <v>0</v>
      </c>
      <c r="BI100" s="217">
        <f ca="1"/>
        <v>0</v>
      </c>
      <c r="BJ100" s="217">
        <f ca="1"/>
        <v>0</v>
      </c>
      <c r="BK100" s="217">
        <f ca="1"/>
        <v>0</v>
      </c>
      <c r="BL100" s="217">
        <f ca="1"/>
        <v>0</v>
      </c>
      <c r="BM100" s="217">
        <f ca="1"/>
        <v>0</v>
      </c>
      <c r="BN100" s="217">
        <f ca="1"/>
        <v>0</v>
      </c>
    </row>
    <row r="101" spans="1:66" s="217" customFormat="1" x14ac:dyDescent="0.2">
      <c r="A101"/>
      <c r="B101" s="347" t="str">
        <f ca="1"/>
        <v>All</v>
      </c>
      <c r="C101" s="345">
        <f ca="1"/>
        <v>44144</v>
      </c>
      <c r="D101" s="353">
        <f ca="1"/>
        <v>9528321.3900000006</v>
      </c>
      <c r="E101" s="217">
        <f ca="1"/>
        <v>3350.3616069999998</v>
      </c>
      <c r="F101" s="217">
        <f ca="1"/>
        <v>22577.660189999999</v>
      </c>
      <c r="G101" s="217">
        <f ca="1"/>
        <v>0</v>
      </c>
      <c r="H101" s="217">
        <f ca="1"/>
        <v>-20.203703310000002</v>
      </c>
      <c r="I101" s="217">
        <f ca="1"/>
        <v>18765.898560000001</v>
      </c>
      <c r="J101" s="217">
        <f ca="1"/>
        <v>1519990.2209999999</v>
      </c>
      <c r="K101" s="217">
        <f ca="1"/>
        <v>15794.270270000001</v>
      </c>
      <c r="L101" s="217">
        <f ca="1"/>
        <v>12770.86953</v>
      </c>
      <c r="M101" s="217">
        <f ca="1"/>
        <v>7757351.3339999998</v>
      </c>
      <c r="N101" s="217">
        <f ca="1"/>
        <v>32451.405129999999</v>
      </c>
      <c r="O101" s="217">
        <f ca="1"/>
        <v>6171.625419</v>
      </c>
      <c r="P101" s="217">
        <f ca="1"/>
        <v>144055.97200000001</v>
      </c>
      <c r="Q101" s="217">
        <f ca="1"/>
        <v>15835.0723</v>
      </c>
      <c r="R101" s="217">
        <f ca="1"/>
        <v>0.44038999699999998</v>
      </c>
      <c r="S101" s="217">
        <f ca="1"/>
        <v>904.1206641</v>
      </c>
      <c r="T101" s="217">
        <f ca="1"/>
        <v>16.274171949999999</v>
      </c>
      <c r="U101" s="217">
        <f ca="1"/>
        <v>0</v>
      </c>
      <c r="V101" s="217">
        <f ca="1"/>
        <v>7.5181404760000001</v>
      </c>
      <c r="W101" s="217">
        <f ca="1"/>
        <v>5.999552328</v>
      </c>
      <c r="X101" s="217">
        <f ca="1"/>
        <v>2.6176890519999998</v>
      </c>
      <c r="Y101" s="217">
        <f ca="1"/>
        <v>357417346.10000002</v>
      </c>
      <c r="Z101" s="217">
        <f ca="1"/>
        <v>0</v>
      </c>
      <c r="AA101" s="217">
        <f ca="1"/>
        <v>0</v>
      </c>
      <c r="AB101" s="217">
        <f ca="1"/>
        <v>30859.994719999999</v>
      </c>
      <c r="AC101" s="217">
        <f ca="1"/>
        <v>0</v>
      </c>
      <c r="AD101" s="217">
        <f ca="1"/>
        <v>0</v>
      </c>
      <c r="AE101" s="217">
        <f ca="1"/>
        <v>0</v>
      </c>
      <c r="AF101" s="217">
        <f ca="1"/>
        <v>0</v>
      </c>
      <c r="AG101" s="217">
        <f ca="1"/>
        <v>0</v>
      </c>
      <c r="AH101" s="217">
        <f ca="1"/>
        <v>0</v>
      </c>
      <c r="AI101" s="217">
        <f ca="1"/>
        <v>402544</v>
      </c>
      <c r="AJ101" s="217">
        <f ca="1"/>
        <v>1619984.3970000001</v>
      </c>
      <c r="AK101" s="217">
        <f ca="1"/>
        <v>12794.776089999999</v>
      </c>
      <c r="AL101" s="217">
        <f ca="1"/>
        <v>1250650.365</v>
      </c>
      <c r="AM101" s="217">
        <f ca="1"/>
        <v>8889.1185690000002</v>
      </c>
      <c r="AN101" s="217">
        <f ca="1"/>
        <v>0</v>
      </c>
      <c r="AO101" s="217">
        <f ca="1"/>
        <v>0</v>
      </c>
      <c r="AP101" s="217">
        <f ca="1"/>
        <v>584233.63080000004</v>
      </c>
      <c r="AQ101" s="217">
        <f ca="1"/>
        <v>0</v>
      </c>
      <c r="AR101" s="217">
        <f ca="1"/>
        <v>0</v>
      </c>
      <c r="AS101" s="217">
        <f ca="1"/>
        <v>0</v>
      </c>
      <c r="AT101" s="217">
        <f ca="1"/>
        <v>0</v>
      </c>
      <c r="AU101" s="217">
        <f ca="1"/>
        <v>90198.239180000004</v>
      </c>
      <c r="AV101" s="217">
        <f ca="1"/>
        <v>57237.28847</v>
      </c>
      <c r="AW101" s="217">
        <f ca="1"/>
        <v>23372176.555151999</v>
      </c>
      <c r="AX101" s="217">
        <f ca="1"/>
        <v>6852161.3789999997</v>
      </c>
      <c r="AY101" s="217">
        <f ca="1"/>
        <v>0</v>
      </c>
      <c r="AZ101" s="217">
        <f ca="1"/>
        <v>0</v>
      </c>
      <c r="BA101" s="217">
        <f ca="1"/>
        <v>1</v>
      </c>
      <c r="BB101" s="217">
        <f ca="1"/>
        <v>0</v>
      </c>
      <c r="BC101" s="217">
        <f ca="1"/>
        <v>584233.63080000004</v>
      </c>
      <c r="BD101" s="217">
        <f ca="1"/>
        <v>0</v>
      </c>
      <c r="BE101" s="217">
        <f ca="1"/>
        <v>0</v>
      </c>
      <c r="BF101" s="217">
        <f ca="1"/>
        <v>16.135381855999999</v>
      </c>
      <c r="BG101" s="217">
        <f ca="1"/>
        <v>0</v>
      </c>
      <c r="BH101" s="217">
        <f ca="1"/>
        <v>0</v>
      </c>
      <c r="BI101" s="217">
        <f ca="1"/>
        <v>0</v>
      </c>
      <c r="BJ101" s="217">
        <f ca="1"/>
        <v>0</v>
      </c>
      <c r="BK101" s="217">
        <f ca="1"/>
        <v>0</v>
      </c>
      <c r="BL101" s="217">
        <f ca="1"/>
        <v>0</v>
      </c>
      <c r="BM101" s="217">
        <f ca="1"/>
        <v>0</v>
      </c>
      <c r="BN101" s="217">
        <f ca="1"/>
        <v>0</v>
      </c>
    </row>
    <row r="102" spans="1:66" s="217" customFormat="1" x14ac:dyDescent="0.2">
      <c r="A102"/>
      <c r="B102" s="347" t="str">
        <f ca="1"/>
        <v>All</v>
      </c>
      <c r="C102" s="345">
        <f ca="1"/>
        <v>44151</v>
      </c>
      <c r="D102" s="353">
        <f ca="1"/>
        <v>9021896.3000000007</v>
      </c>
      <c r="E102" s="217">
        <f ca="1"/>
        <v>10098.92914</v>
      </c>
      <c r="F102" s="217">
        <f ca="1"/>
        <v>50575.99136</v>
      </c>
      <c r="G102" s="217">
        <f ca="1"/>
        <v>0</v>
      </c>
      <c r="H102" s="217">
        <f ca="1"/>
        <v>-19.329303230000001</v>
      </c>
      <c r="I102" s="217">
        <f ca="1"/>
        <v>44553.375229999998</v>
      </c>
      <c r="J102" s="217">
        <f ca="1"/>
        <v>3577338.591</v>
      </c>
      <c r="K102" s="217">
        <f ca="1"/>
        <v>35380.58726</v>
      </c>
      <c r="L102" s="217">
        <f ca="1"/>
        <v>10994.33628</v>
      </c>
      <c r="M102" s="217">
        <f ca="1"/>
        <v>9100076.6539999992</v>
      </c>
      <c r="N102" s="217">
        <f ca="1"/>
        <v>49872.1394</v>
      </c>
      <c r="O102" s="217">
        <f ca="1"/>
        <v>5634.7900129999998</v>
      </c>
      <c r="P102" s="217">
        <f ca="1"/>
        <v>140569.40429999999</v>
      </c>
      <c r="Q102" s="217">
        <f ca="1"/>
        <v>14284.19929</v>
      </c>
      <c r="R102" s="217">
        <f ca="1"/>
        <v>59.893039610000002</v>
      </c>
      <c r="S102" s="217">
        <f ca="1"/>
        <v>194707.42749999999</v>
      </c>
      <c r="T102" s="217">
        <f ca="1"/>
        <v>3504.733694</v>
      </c>
      <c r="U102" s="217">
        <f ca="1"/>
        <v>0</v>
      </c>
      <c r="V102" s="217">
        <f ca="1"/>
        <v>4.4470549750000004</v>
      </c>
      <c r="W102" s="217">
        <f ca="1"/>
        <v>6.6875932860000002</v>
      </c>
      <c r="X102" s="217">
        <f ca="1"/>
        <v>2.3101516129999999</v>
      </c>
      <c r="Y102" s="217">
        <f ca="1"/>
        <v>328854695.30000001</v>
      </c>
      <c r="Z102" s="217">
        <f ca="1"/>
        <v>0</v>
      </c>
      <c r="AA102" s="217">
        <f ca="1"/>
        <v>0</v>
      </c>
      <c r="AB102" s="217">
        <f ca="1"/>
        <v>0</v>
      </c>
      <c r="AC102" s="217">
        <f ca="1"/>
        <v>0</v>
      </c>
      <c r="AD102" s="217">
        <f ca="1"/>
        <v>0</v>
      </c>
      <c r="AE102" s="217">
        <f ca="1"/>
        <v>0</v>
      </c>
      <c r="AF102" s="217">
        <f ca="1"/>
        <v>0</v>
      </c>
      <c r="AG102" s="217">
        <f ca="1"/>
        <v>0</v>
      </c>
      <c r="AH102" s="217">
        <f ca="1"/>
        <v>0</v>
      </c>
      <c r="AI102" s="217">
        <f ca="1"/>
        <v>152659</v>
      </c>
      <c r="AJ102" s="217">
        <f ca="1"/>
        <v>1128224.8689999999</v>
      </c>
      <c r="AK102" s="217">
        <f ca="1"/>
        <v>9019.9320069999994</v>
      </c>
      <c r="AL102" s="217">
        <f ca="1"/>
        <v>1154181.575</v>
      </c>
      <c r="AM102" s="217">
        <f ca="1"/>
        <v>11362.59828</v>
      </c>
      <c r="AN102" s="217">
        <f ca="1"/>
        <v>0</v>
      </c>
      <c r="AO102" s="217">
        <f ca="1"/>
        <v>0</v>
      </c>
      <c r="AP102" s="217">
        <f ca="1"/>
        <v>584233.63080000004</v>
      </c>
      <c r="AQ102" s="217">
        <f ca="1"/>
        <v>0</v>
      </c>
      <c r="AR102" s="217">
        <f ca="1"/>
        <v>0</v>
      </c>
      <c r="AS102" s="217">
        <f ca="1"/>
        <v>0</v>
      </c>
      <c r="AT102" s="217">
        <f ca="1"/>
        <v>0</v>
      </c>
      <c r="AU102" s="217">
        <f ca="1"/>
        <v>114109.1174</v>
      </c>
      <c r="AV102" s="217">
        <f ca="1"/>
        <v>64952.870289999999</v>
      </c>
      <c r="AW102" s="217">
        <f ca="1"/>
        <v>27121710.646823999</v>
      </c>
      <c r="AX102" s="217">
        <f ca="1"/>
        <v>7774496.7230000002</v>
      </c>
      <c r="AY102" s="217">
        <f ca="1"/>
        <v>0</v>
      </c>
      <c r="AZ102" s="217">
        <f ca="1"/>
        <v>0</v>
      </c>
      <c r="BA102" s="217">
        <f ca="1"/>
        <v>1</v>
      </c>
      <c r="BB102" s="217">
        <f ca="1"/>
        <v>0</v>
      </c>
      <c r="BC102" s="217">
        <f ca="1"/>
        <v>584233.63080000004</v>
      </c>
      <c r="BD102" s="217">
        <f ca="1"/>
        <v>0</v>
      </c>
      <c r="BE102" s="217">
        <f ca="1"/>
        <v>0</v>
      </c>
      <c r="BF102" s="217">
        <f ca="1"/>
        <v>13.444799873999999</v>
      </c>
      <c r="BG102" s="217">
        <f ca="1"/>
        <v>0</v>
      </c>
      <c r="BH102" s="217">
        <f ca="1"/>
        <v>0</v>
      </c>
      <c r="BI102" s="217">
        <f ca="1"/>
        <v>0</v>
      </c>
      <c r="BJ102" s="217">
        <f ca="1"/>
        <v>0</v>
      </c>
      <c r="BK102" s="217">
        <f ca="1"/>
        <v>0</v>
      </c>
      <c r="BL102" s="217">
        <f ca="1"/>
        <v>0</v>
      </c>
      <c r="BM102" s="217">
        <f ca="1"/>
        <v>0</v>
      </c>
      <c r="BN102" s="217">
        <f ca="1"/>
        <v>0</v>
      </c>
    </row>
    <row r="103" spans="1:66" s="217" customFormat="1" x14ac:dyDescent="0.2">
      <c r="A103"/>
      <c r="B103" s="347" t="str">
        <f ca="1"/>
        <v>All</v>
      </c>
      <c r="C103" s="345">
        <f ca="1"/>
        <v>44158</v>
      </c>
      <c r="D103" s="353">
        <f ca="1"/>
        <v>11920200.32</v>
      </c>
      <c r="E103" s="217">
        <f ca="1"/>
        <v>6108.9644939999998</v>
      </c>
      <c r="F103" s="217">
        <f ca="1"/>
        <v>218001.07569999999</v>
      </c>
      <c r="G103" s="217">
        <f ca="1"/>
        <v>1</v>
      </c>
      <c r="H103" s="217">
        <f ca="1"/>
        <v>-34.628428030000002</v>
      </c>
      <c r="I103" s="217">
        <f ca="1"/>
        <v>118896.05100000001</v>
      </c>
      <c r="J103" s="217">
        <f ca="1"/>
        <v>10407809.91</v>
      </c>
      <c r="K103" s="217">
        <f ca="1"/>
        <v>152503.30989999999</v>
      </c>
      <c r="L103" s="217">
        <f ca="1"/>
        <v>11100.02988</v>
      </c>
      <c r="M103" s="217">
        <f ca="1"/>
        <v>7450850.0250000004</v>
      </c>
      <c r="N103" s="217">
        <f ca="1"/>
        <v>51353.461389999997</v>
      </c>
      <c r="O103" s="217">
        <f ca="1"/>
        <v>5430.008664</v>
      </c>
      <c r="P103" s="217">
        <f ca="1"/>
        <v>161706.36259999999</v>
      </c>
      <c r="Q103" s="217">
        <f ca="1"/>
        <v>22846.261610000001</v>
      </c>
      <c r="R103" s="217">
        <f ca="1"/>
        <v>144.0075291</v>
      </c>
      <c r="S103" s="217">
        <f ca="1"/>
        <v>377382.95980000001</v>
      </c>
      <c r="T103" s="217">
        <f ca="1"/>
        <v>6792.8932770000001</v>
      </c>
      <c r="U103" s="217">
        <f ca="1"/>
        <v>0</v>
      </c>
      <c r="V103" s="217">
        <f ca="1"/>
        <v>5.7664517020000003</v>
      </c>
      <c r="W103" s="217">
        <f ca="1"/>
        <v>5.595031992</v>
      </c>
      <c r="X103" s="217">
        <f ca="1"/>
        <v>3.1854559440000001</v>
      </c>
      <c r="Y103" s="217">
        <f ca="1"/>
        <v>426779597.5</v>
      </c>
      <c r="Z103" s="217">
        <f ca="1"/>
        <v>0</v>
      </c>
      <c r="AA103" s="217">
        <f ca="1"/>
        <v>0</v>
      </c>
      <c r="AB103" s="217">
        <f ca="1"/>
        <v>0</v>
      </c>
      <c r="AC103" s="217">
        <f ca="1"/>
        <v>0</v>
      </c>
      <c r="AD103" s="217">
        <f ca="1"/>
        <v>0</v>
      </c>
      <c r="AE103" s="217">
        <f ca="1"/>
        <v>0</v>
      </c>
      <c r="AF103" s="217">
        <f ca="1"/>
        <v>0</v>
      </c>
      <c r="AG103" s="217">
        <f ca="1"/>
        <v>0</v>
      </c>
      <c r="AH103" s="217">
        <f ca="1"/>
        <v>0</v>
      </c>
      <c r="AI103" s="217">
        <f ca="1"/>
        <v>209733</v>
      </c>
      <c r="AJ103" s="217">
        <f ca="1"/>
        <v>1259994.3589999999</v>
      </c>
      <c r="AK103" s="217">
        <f ca="1"/>
        <v>14278.29607</v>
      </c>
      <c r="AL103" s="217">
        <f ca="1"/>
        <v>2597686.1150000002</v>
      </c>
      <c r="AM103" s="217">
        <f ca="1"/>
        <v>26631.32589</v>
      </c>
      <c r="AN103" s="217">
        <f ca="1"/>
        <v>1225803.5870000001</v>
      </c>
      <c r="AO103" s="217">
        <f ca="1"/>
        <v>6705.9871030000004</v>
      </c>
      <c r="AP103" s="217">
        <f ca="1"/>
        <v>0</v>
      </c>
      <c r="AQ103" s="217">
        <f ca="1"/>
        <v>0</v>
      </c>
      <c r="AR103" s="217">
        <f ca="1"/>
        <v>0</v>
      </c>
      <c r="AS103" s="217">
        <f ca="1"/>
        <v>0</v>
      </c>
      <c r="AT103" s="217">
        <f ca="1"/>
        <v>0</v>
      </c>
      <c r="AU103" s="217">
        <f ca="1"/>
        <v>88700.81465</v>
      </c>
      <c r="AV103" s="217">
        <f ca="1"/>
        <v>79074.807969999994</v>
      </c>
      <c r="AW103" s="217">
        <f ca="1"/>
        <v>29197461.036231998</v>
      </c>
      <c r="AX103" s="217">
        <f ca="1"/>
        <v>5872779.9160000002</v>
      </c>
      <c r="AY103" s="217">
        <f ca="1"/>
        <v>0</v>
      </c>
      <c r="AZ103" s="217">
        <f ca="1"/>
        <v>0</v>
      </c>
      <c r="BA103" s="217">
        <f ca="1"/>
        <v>1</v>
      </c>
      <c r="BB103" s="217">
        <f ca="1"/>
        <v>0</v>
      </c>
      <c r="BC103" s="217">
        <f ca="1"/>
        <v>0</v>
      </c>
      <c r="BD103" s="217">
        <f ca="1"/>
        <v>0</v>
      </c>
      <c r="BE103" s="217">
        <f ca="1"/>
        <v>0</v>
      </c>
      <c r="BF103" s="217">
        <f ca="1"/>
        <v>14.546939638</v>
      </c>
      <c r="BG103" s="217">
        <f ca="1"/>
        <v>0</v>
      </c>
      <c r="BH103" s="217">
        <f ca="1"/>
        <v>0</v>
      </c>
      <c r="BI103" s="217">
        <f ca="1"/>
        <v>0</v>
      </c>
      <c r="BJ103" s="217">
        <f ca="1"/>
        <v>0</v>
      </c>
      <c r="BK103" s="217">
        <f ca="1"/>
        <v>0</v>
      </c>
      <c r="BL103" s="217">
        <f ca="1"/>
        <v>0</v>
      </c>
      <c r="BM103" s="217">
        <f ca="1"/>
        <v>0</v>
      </c>
      <c r="BN103" s="217">
        <f ca="1"/>
        <v>0</v>
      </c>
    </row>
    <row r="104" spans="1:66" s="217" customFormat="1" x14ac:dyDescent="0.2">
      <c r="A104"/>
      <c r="B104" s="347" t="str">
        <f ca="1"/>
        <v>All</v>
      </c>
      <c r="C104" s="345">
        <f ca="1"/>
        <v>44165</v>
      </c>
      <c r="D104" s="353">
        <f ca="1"/>
        <v>14622121.83</v>
      </c>
      <c r="E104" s="217">
        <f ca="1"/>
        <v>2824.703595</v>
      </c>
      <c r="F104" s="217">
        <f ca="1"/>
        <v>105341.19500000001</v>
      </c>
      <c r="G104" s="217">
        <f ca="1"/>
        <v>0</v>
      </c>
      <c r="H104" s="217">
        <f ca="1"/>
        <v>-19.45859827</v>
      </c>
      <c r="I104" s="217">
        <f ca="1"/>
        <v>56896.185680000002</v>
      </c>
      <c r="J104" s="217">
        <f ca="1"/>
        <v>4094003.2549999999</v>
      </c>
      <c r="K104" s="217">
        <f ca="1"/>
        <v>73691.750629999995</v>
      </c>
      <c r="L104" s="217">
        <f ca="1"/>
        <v>16974.832439999998</v>
      </c>
      <c r="M104" s="217">
        <f ca="1"/>
        <v>6419486.1579999998</v>
      </c>
      <c r="N104" s="217">
        <f ca="1"/>
        <v>36643.572800000002</v>
      </c>
      <c r="O104" s="217">
        <f ca="1"/>
        <v>3889.9648440000001</v>
      </c>
      <c r="P104" s="217">
        <f ca="1"/>
        <v>108114.86350000001</v>
      </c>
      <c r="Q104" s="217">
        <f ca="1"/>
        <v>13650.29312</v>
      </c>
      <c r="R104" s="217">
        <f ca="1"/>
        <v>144.88830899999999</v>
      </c>
      <c r="S104" s="217">
        <f ca="1"/>
        <v>255809.3376</v>
      </c>
      <c r="T104" s="217">
        <f ca="1"/>
        <v>4604.5680769999999</v>
      </c>
      <c r="U104" s="217">
        <f ca="1"/>
        <v>0</v>
      </c>
      <c r="V104" s="217">
        <f ca="1"/>
        <v>7.3060119549999998</v>
      </c>
      <c r="W104" s="217">
        <f ca="1"/>
        <v>5.8959825869999998</v>
      </c>
      <c r="X104" s="217">
        <f ca="1"/>
        <v>4.6834421260000001</v>
      </c>
      <c r="Y104" s="217">
        <f ca="1"/>
        <v>478731178.10000002</v>
      </c>
      <c r="Z104" s="217">
        <f ca="1"/>
        <v>0</v>
      </c>
      <c r="AA104" s="217">
        <f ca="1"/>
        <v>0</v>
      </c>
      <c r="AB104" s="217">
        <f ca="1"/>
        <v>47414.773880000001</v>
      </c>
      <c r="AC104" s="217">
        <f ca="1"/>
        <v>755.85202040000001</v>
      </c>
      <c r="AD104" s="217">
        <f ca="1"/>
        <v>0</v>
      </c>
      <c r="AE104" s="217">
        <f ca="1"/>
        <v>892000</v>
      </c>
      <c r="AF104" s="217">
        <f ca="1"/>
        <v>5714.0912520000002</v>
      </c>
      <c r="AG104" s="217">
        <f ca="1"/>
        <v>5606.7207040000003</v>
      </c>
      <c r="AH104" s="217">
        <f ca="1"/>
        <v>0</v>
      </c>
      <c r="AI104" s="217">
        <f ca="1"/>
        <v>120205</v>
      </c>
      <c r="AJ104" s="217">
        <f ca="1"/>
        <v>465799.53860000003</v>
      </c>
      <c r="AK104" s="217">
        <f ca="1"/>
        <v>6626.0906880000002</v>
      </c>
      <c r="AL104" s="217">
        <f ca="1"/>
        <v>465211.76280000003</v>
      </c>
      <c r="AM104" s="217">
        <f ca="1"/>
        <v>7591.5126980000005</v>
      </c>
      <c r="AN104" s="217">
        <f ca="1"/>
        <v>1113465.7139999999</v>
      </c>
      <c r="AO104" s="217">
        <f ca="1"/>
        <v>6711.1164470000003</v>
      </c>
      <c r="AP104" s="217">
        <f ca="1"/>
        <v>0</v>
      </c>
      <c r="AQ104" s="217">
        <f ca="1"/>
        <v>0</v>
      </c>
      <c r="AR104" s="217">
        <f ca="1"/>
        <v>0</v>
      </c>
      <c r="AS104" s="217">
        <f ca="1"/>
        <v>0</v>
      </c>
      <c r="AT104" s="217">
        <f ca="1"/>
        <v>0</v>
      </c>
      <c r="AU104" s="217">
        <f ca="1"/>
        <v>71039.253559999997</v>
      </c>
      <c r="AV104" s="217">
        <f ca="1"/>
        <v>90946.384049999993</v>
      </c>
      <c r="AW104" s="217">
        <f ca="1"/>
        <v>30285922.048639901</v>
      </c>
      <c r="AX104" s="217">
        <f ca="1"/>
        <v>5322599.5219999999</v>
      </c>
      <c r="AY104" s="217">
        <f ca="1"/>
        <v>0</v>
      </c>
      <c r="AZ104" s="217">
        <f ca="1"/>
        <v>0</v>
      </c>
      <c r="BA104" s="217">
        <f ca="1"/>
        <v>1</v>
      </c>
      <c r="BB104" s="217">
        <f ca="1"/>
        <v>0</v>
      </c>
      <c r="BC104" s="217">
        <f ca="1"/>
        <v>0</v>
      </c>
      <c r="BD104" s="217">
        <f ca="1"/>
        <v>0</v>
      </c>
      <c r="BE104" s="217">
        <f ca="1"/>
        <v>0</v>
      </c>
      <c r="BF104" s="217">
        <f ca="1"/>
        <v>17.885436668000001</v>
      </c>
      <c r="BG104" s="217">
        <f ca="1"/>
        <v>0</v>
      </c>
      <c r="BH104" s="217">
        <f ca="1"/>
        <v>0</v>
      </c>
      <c r="BI104" s="217">
        <f ca="1"/>
        <v>0</v>
      </c>
      <c r="BJ104" s="217">
        <f ca="1"/>
        <v>0</v>
      </c>
      <c r="BK104" s="217">
        <f ca="1"/>
        <v>0</v>
      </c>
      <c r="BL104" s="217">
        <f ca="1"/>
        <v>0</v>
      </c>
      <c r="BM104" s="217">
        <f ca="1"/>
        <v>0</v>
      </c>
      <c r="BN104" s="217">
        <f ca="1"/>
        <v>0</v>
      </c>
    </row>
    <row r="105" spans="1:66" s="217" customFormat="1" x14ac:dyDescent="0.2">
      <c r="A105"/>
      <c r="B105" s="347" t="str">
        <f ca="1"/>
        <v>All</v>
      </c>
      <c r="C105" s="345">
        <f ca="1"/>
        <v>44172</v>
      </c>
      <c r="D105" s="353">
        <f ca="1"/>
        <v>12472911.68</v>
      </c>
      <c r="E105" s="217">
        <f ca="1"/>
        <v>2513.7155010000001</v>
      </c>
      <c r="F105" s="217">
        <f ca="1"/>
        <v>18308.944599999999</v>
      </c>
      <c r="G105" s="217">
        <f ca="1"/>
        <v>0</v>
      </c>
      <c r="H105" s="217">
        <f ca="1"/>
        <v>-19.254883020000001</v>
      </c>
      <c r="I105" s="217">
        <f ca="1"/>
        <v>14948.157670000001</v>
      </c>
      <c r="J105" s="217">
        <f ca="1"/>
        <v>1069767.196</v>
      </c>
      <c r="K105" s="217">
        <f ca="1"/>
        <v>12808.0774</v>
      </c>
      <c r="L105" s="217">
        <f ca="1"/>
        <v>16779.739669999999</v>
      </c>
      <c r="M105" s="217">
        <f ca="1"/>
        <v>7354512.9519999996</v>
      </c>
      <c r="N105" s="217">
        <f ca="1"/>
        <v>47689.035949999998</v>
      </c>
      <c r="O105" s="217">
        <f ca="1"/>
        <v>7657.5012699999997</v>
      </c>
      <c r="P105" s="217">
        <f ca="1"/>
        <v>173536.99950000001</v>
      </c>
      <c r="Q105" s="217">
        <f ca="1"/>
        <v>17944.61966</v>
      </c>
      <c r="R105" s="217">
        <f ca="1"/>
        <v>87.197219430000004</v>
      </c>
      <c r="S105" s="217">
        <f ca="1"/>
        <v>95654.028539999999</v>
      </c>
      <c r="T105" s="217">
        <f ca="1"/>
        <v>1721.772514</v>
      </c>
      <c r="U105" s="217">
        <f ca="1"/>
        <v>2676</v>
      </c>
      <c r="V105" s="217">
        <f ca="1"/>
        <v>8.8311388770000008</v>
      </c>
      <c r="W105" s="217">
        <f ca="1"/>
        <v>7.5423251200000001</v>
      </c>
      <c r="X105" s="217">
        <f ca="1"/>
        <v>2.7109116210000002</v>
      </c>
      <c r="Y105" s="217">
        <f ca="1"/>
        <v>557692307.70000005</v>
      </c>
      <c r="Z105" s="217">
        <f ca="1"/>
        <v>0</v>
      </c>
      <c r="AA105" s="217">
        <f ca="1"/>
        <v>0</v>
      </c>
      <c r="AB105" s="217">
        <f ca="1"/>
        <v>47414.773880000001</v>
      </c>
      <c r="AC105" s="217">
        <f ca="1"/>
        <v>635.07409440000004</v>
      </c>
      <c r="AD105" s="217">
        <f ca="1"/>
        <v>0</v>
      </c>
      <c r="AE105" s="217">
        <f ca="1"/>
        <v>916000</v>
      </c>
      <c r="AF105" s="217">
        <f ca="1"/>
        <v>6665.3053399999999</v>
      </c>
      <c r="AG105" s="217">
        <f ca="1"/>
        <v>33640.324229999998</v>
      </c>
      <c r="AH105" s="217">
        <f ca="1"/>
        <v>0</v>
      </c>
      <c r="AI105" s="217">
        <f ca="1"/>
        <v>69632</v>
      </c>
      <c r="AJ105" s="217">
        <f ca="1"/>
        <v>1286479.7350000001</v>
      </c>
      <c r="AK105" s="217">
        <f ca="1"/>
        <v>11108.22682</v>
      </c>
      <c r="AL105" s="217">
        <f ca="1"/>
        <v>1286196.683</v>
      </c>
      <c r="AM105" s="217">
        <f ca="1"/>
        <v>7679.8473270000004</v>
      </c>
      <c r="AN105" s="217">
        <f ca="1"/>
        <v>659472.23259999999</v>
      </c>
      <c r="AO105" s="217">
        <f ca="1"/>
        <v>2981.0538259999998</v>
      </c>
      <c r="AP105" s="217">
        <f ca="1"/>
        <v>0</v>
      </c>
      <c r="AQ105" s="217">
        <f ca="1"/>
        <v>90929.304600000003</v>
      </c>
      <c r="AR105" s="217">
        <f ca="1"/>
        <v>0</v>
      </c>
      <c r="AS105" s="217">
        <f ca="1"/>
        <v>0</v>
      </c>
      <c r="AT105" s="217">
        <f ca="1"/>
        <v>0</v>
      </c>
      <c r="AU105" s="217">
        <f ca="1"/>
        <v>90475.658190000002</v>
      </c>
      <c r="AV105" s="217">
        <f ca="1"/>
        <v>93958.403179999994</v>
      </c>
      <c r="AW105" s="217">
        <f ca="1"/>
        <v>31993368.330879901</v>
      </c>
      <c r="AX105" s="217">
        <f ca="1"/>
        <v>5529198.6880000001</v>
      </c>
      <c r="AY105" s="217">
        <f ca="1"/>
        <v>0</v>
      </c>
      <c r="AZ105" s="217">
        <f ca="1"/>
        <v>0</v>
      </c>
      <c r="BA105" s="217">
        <f ca="1"/>
        <v>1</v>
      </c>
      <c r="BB105" s="217">
        <f ca="1"/>
        <v>0</v>
      </c>
      <c r="BC105" s="217">
        <f ca="1"/>
        <v>0</v>
      </c>
      <c r="BD105" s="217">
        <f ca="1"/>
        <v>0</v>
      </c>
      <c r="BE105" s="217">
        <f ca="1"/>
        <v>0</v>
      </c>
      <c r="BF105" s="217">
        <f ca="1"/>
        <v>19.084375617999999</v>
      </c>
      <c r="BG105" s="217">
        <f ca="1"/>
        <v>0</v>
      </c>
      <c r="BH105" s="217">
        <f ca="1"/>
        <v>0</v>
      </c>
      <c r="BI105" s="217">
        <f ca="1"/>
        <v>0</v>
      </c>
      <c r="BJ105" s="217">
        <f ca="1"/>
        <v>0</v>
      </c>
      <c r="BK105" s="217">
        <f ca="1"/>
        <v>0</v>
      </c>
      <c r="BL105" s="217">
        <f ca="1"/>
        <v>0</v>
      </c>
      <c r="BM105" s="217">
        <f ca="1"/>
        <v>0</v>
      </c>
      <c r="BN105" s="217">
        <f ca="1"/>
        <v>0</v>
      </c>
    </row>
    <row r="106" spans="1:66" s="217" customFormat="1" x14ac:dyDescent="0.2">
      <c r="A106"/>
      <c r="B106" s="347" t="str">
        <f ca="1"/>
        <v>All</v>
      </c>
      <c r="C106" s="345">
        <f ca="1"/>
        <v>44179</v>
      </c>
      <c r="D106" s="353">
        <f ca="1"/>
        <v>12530145.32</v>
      </c>
      <c r="E106" s="217">
        <f ca="1"/>
        <v>1940.2131670000001</v>
      </c>
      <c r="F106" s="217">
        <f ca="1"/>
        <v>25012.460579999999</v>
      </c>
      <c r="G106" s="217">
        <f ca="1"/>
        <v>0</v>
      </c>
      <c r="H106" s="217">
        <f ca="1"/>
        <v>-19.926176999999999</v>
      </c>
      <c r="I106" s="217">
        <f ca="1"/>
        <v>17575.964779999998</v>
      </c>
      <c r="J106" s="217">
        <f ca="1"/>
        <v>1383143.433</v>
      </c>
      <c r="K106" s="217">
        <f ca="1"/>
        <v>17497.542219999999</v>
      </c>
      <c r="L106" s="217">
        <f ca="1"/>
        <v>24742.431209999999</v>
      </c>
      <c r="M106" s="217">
        <f ca="1"/>
        <v>14709025.9</v>
      </c>
      <c r="N106" s="217">
        <f ca="1"/>
        <v>104153.9733</v>
      </c>
      <c r="O106" s="217">
        <f ca="1"/>
        <v>10047.938169999999</v>
      </c>
      <c r="P106" s="217">
        <f ca="1"/>
        <v>187552.85159999999</v>
      </c>
      <c r="Q106" s="217">
        <f ca="1"/>
        <v>18045.623100000001</v>
      </c>
      <c r="R106" s="217">
        <f ca="1"/>
        <v>48.883289679999997</v>
      </c>
      <c r="S106" s="217">
        <f ca="1"/>
        <v>52824.339760000003</v>
      </c>
      <c r="T106" s="217">
        <f ca="1"/>
        <v>950.8381157</v>
      </c>
      <c r="U106" s="217">
        <f ca="1"/>
        <v>1410</v>
      </c>
      <c r="V106" s="217">
        <f ca="1"/>
        <v>9.8853273529999992</v>
      </c>
      <c r="W106" s="217">
        <f ca="1"/>
        <v>7.222037845</v>
      </c>
      <c r="X106" s="217">
        <f ca="1"/>
        <v>2.6575957209999999</v>
      </c>
      <c r="Y106" s="217">
        <f ca="1"/>
        <v>625000000</v>
      </c>
      <c r="Z106" s="217">
        <f ca="1"/>
        <v>0</v>
      </c>
      <c r="AA106" s="217">
        <f ca="1"/>
        <v>0</v>
      </c>
      <c r="AB106" s="217">
        <f ca="1"/>
        <v>47414.773880000001</v>
      </c>
      <c r="AC106" s="217">
        <f ca="1"/>
        <v>532.61085400000002</v>
      </c>
      <c r="AD106" s="217">
        <f ca="1"/>
        <v>0</v>
      </c>
      <c r="AE106" s="217">
        <f ca="1"/>
        <v>1010000</v>
      </c>
      <c r="AF106" s="217">
        <f ca="1"/>
        <v>6663.2649060000003</v>
      </c>
      <c r="AG106" s="217">
        <f ca="1"/>
        <v>0</v>
      </c>
      <c r="AH106" s="217">
        <f ca="1"/>
        <v>0</v>
      </c>
      <c r="AI106" s="217">
        <f ca="1"/>
        <v>82212</v>
      </c>
      <c r="AJ106" s="217">
        <f ca="1"/>
        <v>1977513.0009999999</v>
      </c>
      <c r="AK106" s="217">
        <f ca="1"/>
        <v>18980.035779999998</v>
      </c>
      <c r="AL106" s="217">
        <f ca="1"/>
        <v>1977367.206</v>
      </c>
      <c r="AM106" s="217">
        <f ca="1"/>
        <v>7663.2198850000004</v>
      </c>
      <c r="AN106" s="217">
        <f ca="1"/>
        <v>3615238.1320000002</v>
      </c>
      <c r="AO106" s="217">
        <f ca="1"/>
        <v>33821.199589999997</v>
      </c>
      <c r="AP106" s="217">
        <f ca="1"/>
        <v>0</v>
      </c>
      <c r="AQ106" s="217">
        <f ca="1"/>
        <v>78156.023050000003</v>
      </c>
      <c r="AR106" s="217">
        <f ca="1"/>
        <v>716820.73060000001</v>
      </c>
      <c r="AS106" s="217">
        <f ca="1"/>
        <v>0</v>
      </c>
      <c r="AT106" s="217">
        <f ca="1"/>
        <v>0</v>
      </c>
      <c r="AU106" s="217">
        <f ca="1"/>
        <v>93652.967130000005</v>
      </c>
      <c r="AV106" s="217">
        <f ca="1"/>
        <v>95475.531749999995</v>
      </c>
      <c r="AW106" s="217">
        <f ca="1"/>
        <v>31928343.408</v>
      </c>
      <c r="AX106" s="217">
        <f ca="1"/>
        <v>4305102.3420000002</v>
      </c>
      <c r="AY106" s="217">
        <f ca="1"/>
        <v>0</v>
      </c>
      <c r="AZ106" s="217">
        <f ca="1"/>
        <v>0</v>
      </c>
      <c r="BA106" s="217">
        <f ca="1"/>
        <v>1</v>
      </c>
      <c r="BB106" s="217">
        <f ca="1"/>
        <v>1</v>
      </c>
      <c r="BC106" s="217">
        <f ca="1"/>
        <v>0</v>
      </c>
      <c r="BD106" s="217">
        <f ca="1"/>
        <v>0</v>
      </c>
      <c r="BE106" s="217">
        <f ca="1"/>
        <v>0</v>
      </c>
      <c r="BF106" s="217">
        <f ca="1"/>
        <v>19.764960919</v>
      </c>
      <c r="BG106" s="217">
        <f ca="1"/>
        <v>0</v>
      </c>
      <c r="BH106" s="217">
        <f ca="1"/>
        <v>0</v>
      </c>
      <c r="BI106" s="217">
        <f ca="1"/>
        <v>0</v>
      </c>
      <c r="BJ106" s="217">
        <f ca="1"/>
        <v>0</v>
      </c>
      <c r="BK106" s="217">
        <f ca="1"/>
        <v>0</v>
      </c>
      <c r="BL106" s="217">
        <f ca="1"/>
        <v>0</v>
      </c>
      <c r="BM106" s="217">
        <f ca="1"/>
        <v>0</v>
      </c>
      <c r="BN106" s="217">
        <f ca="1"/>
        <v>0</v>
      </c>
    </row>
    <row r="107" spans="1:66" s="217" customFormat="1" x14ac:dyDescent="0.2">
      <c r="A107"/>
      <c r="B107" s="347" t="str">
        <f ca="1"/>
        <v>All</v>
      </c>
      <c r="C107" s="345">
        <f ca="1"/>
        <v>44186</v>
      </c>
      <c r="D107" s="353">
        <f ca="1"/>
        <v>13188094.560000001</v>
      </c>
      <c r="E107" s="217">
        <f ca="1"/>
        <v>2012.6091799999999</v>
      </c>
      <c r="F107" s="217">
        <f ca="1"/>
        <v>30650.488560000002</v>
      </c>
      <c r="G107" s="217">
        <f ca="1"/>
        <v>0</v>
      </c>
      <c r="H107" s="217">
        <f ca="1"/>
        <v>-36.497078649999999</v>
      </c>
      <c r="I107" s="217">
        <f ca="1"/>
        <v>23008.1754</v>
      </c>
      <c r="J107" s="217">
        <f ca="1"/>
        <v>2164692.111</v>
      </c>
      <c r="K107" s="217">
        <f ca="1"/>
        <v>21441.64169</v>
      </c>
      <c r="L107" s="217">
        <f ca="1"/>
        <v>30633.087810000001</v>
      </c>
      <c r="M107" s="217">
        <f ca="1"/>
        <v>17879833.879999999</v>
      </c>
      <c r="N107" s="217">
        <f ca="1"/>
        <v>121469.0816</v>
      </c>
      <c r="O107" s="217">
        <f ca="1"/>
        <v>11431.203149999999</v>
      </c>
      <c r="P107" s="217">
        <f ca="1"/>
        <v>181749.3922</v>
      </c>
      <c r="Q107" s="217">
        <f ca="1"/>
        <v>18298.45981</v>
      </c>
      <c r="R107" s="217">
        <f ca="1"/>
        <v>298.14402799999999</v>
      </c>
      <c r="S107" s="217">
        <f ca="1"/>
        <v>345566.10369999998</v>
      </c>
      <c r="T107" s="217">
        <f ca="1"/>
        <v>6220.189867</v>
      </c>
      <c r="U107" s="217">
        <f ca="1"/>
        <v>282</v>
      </c>
      <c r="V107" s="217">
        <f ca="1"/>
        <v>13.24900993</v>
      </c>
      <c r="W107" s="217">
        <f ca="1"/>
        <v>7.9985167349999999</v>
      </c>
      <c r="X107" s="217">
        <f ca="1"/>
        <v>2.6690570720000002</v>
      </c>
      <c r="Y107" s="217">
        <f ca="1"/>
        <v>673076923.10000002</v>
      </c>
      <c r="Z107" s="217">
        <f ca="1"/>
        <v>0</v>
      </c>
      <c r="AA107" s="217">
        <f ca="1"/>
        <v>0</v>
      </c>
      <c r="AB107" s="217">
        <f ca="1"/>
        <v>0</v>
      </c>
      <c r="AC107" s="217">
        <f ca="1"/>
        <v>510.33623649999998</v>
      </c>
      <c r="AD107" s="217">
        <f ca="1"/>
        <v>0</v>
      </c>
      <c r="AE107" s="217">
        <f ca="1"/>
        <v>1040000</v>
      </c>
      <c r="AF107" s="217">
        <f ca="1"/>
        <v>6657.5194499999998</v>
      </c>
      <c r="AG107" s="217">
        <f ca="1"/>
        <v>0</v>
      </c>
      <c r="AH107" s="217">
        <f ca="1"/>
        <v>35426.905729999999</v>
      </c>
      <c r="AI107" s="217">
        <f ca="1"/>
        <v>377405</v>
      </c>
      <c r="AJ107" s="217">
        <f ca="1"/>
        <v>971934.94720000005</v>
      </c>
      <c r="AK107" s="217">
        <f ca="1"/>
        <v>8474.6431630000006</v>
      </c>
      <c r="AL107" s="217">
        <f ca="1"/>
        <v>971741.21109999996</v>
      </c>
      <c r="AM107" s="217">
        <f ca="1"/>
        <v>1496.8586700000001</v>
      </c>
      <c r="AN107" s="217">
        <f ca="1"/>
        <v>5070275.4970000004</v>
      </c>
      <c r="AO107" s="217">
        <f ca="1"/>
        <v>47349.67942</v>
      </c>
      <c r="AP107" s="217">
        <f ca="1"/>
        <v>0</v>
      </c>
      <c r="AQ107" s="217">
        <f ca="1"/>
        <v>11743.199269999999</v>
      </c>
      <c r="AR107" s="217">
        <f ca="1"/>
        <v>643577.21909999999</v>
      </c>
      <c r="AS107" s="217">
        <f ca="1"/>
        <v>0</v>
      </c>
      <c r="AT107" s="217">
        <f ca="1"/>
        <v>1</v>
      </c>
      <c r="AU107" s="217">
        <f ca="1"/>
        <v>92203.811149999994</v>
      </c>
      <c r="AV107" s="217">
        <f ca="1"/>
        <v>72103.446630000006</v>
      </c>
      <c r="AW107" s="217">
        <f ca="1"/>
        <v>30404614.487679999</v>
      </c>
      <c r="AX107" s="217">
        <f ca="1"/>
        <v>3900102.6179999998</v>
      </c>
      <c r="AY107" s="217">
        <f ca="1"/>
        <v>0</v>
      </c>
      <c r="AZ107" s="217">
        <f ca="1"/>
        <v>0</v>
      </c>
      <c r="BA107" s="217">
        <f ca="1"/>
        <v>1</v>
      </c>
      <c r="BB107" s="217">
        <f ca="1"/>
        <v>1</v>
      </c>
      <c r="BC107" s="217">
        <f ca="1"/>
        <v>0</v>
      </c>
      <c r="BD107" s="217">
        <f ca="1"/>
        <v>0</v>
      </c>
      <c r="BE107" s="217">
        <f ca="1"/>
        <v>0</v>
      </c>
      <c r="BF107" s="217">
        <f ca="1"/>
        <v>23.916583737</v>
      </c>
      <c r="BG107" s="217">
        <f ca="1"/>
        <v>0</v>
      </c>
      <c r="BH107" s="217">
        <f ca="1"/>
        <v>0</v>
      </c>
      <c r="BI107" s="217">
        <f ca="1"/>
        <v>0</v>
      </c>
      <c r="BJ107" s="217">
        <f ca="1"/>
        <v>0</v>
      </c>
      <c r="BK107" s="217">
        <f ca="1"/>
        <v>0</v>
      </c>
      <c r="BL107" s="217">
        <f ca="1"/>
        <v>0</v>
      </c>
      <c r="BM107" s="217">
        <f ca="1"/>
        <v>0</v>
      </c>
      <c r="BN107" s="217">
        <f ca="1"/>
        <v>0</v>
      </c>
    </row>
    <row r="108" spans="1:66" s="217" customFormat="1" x14ac:dyDescent="0.2">
      <c r="A108"/>
      <c r="B108" s="347" t="str">
        <f ca="1"/>
        <v>All</v>
      </c>
      <c r="C108" s="345">
        <f ca="1"/>
        <v>44193</v>
      </c>
      <c r="D108" s="353">
        <f ca="1"/>
        <v>5481824.1730000004</v>
      </c>
      <c r="E108" s="217">
        <f ca="1"/>
        <v>1677.698926</v>
      </c>
      <c r="F108" s="217">
        <f ca="1"/>
        <v>16219.52</v>
      </c>
      <c r="G108" s="217">
        <f ca="1"/>
        <v>0</v>
      </c>
      <c r="H108" s="217">
        <f ca="1"/>
        <v>-35.317457640000001</v>
      </c>
      <c r="I108" s="217">
        <f ca="1"/>
        <v>16333.624599999999</v>
      </c>
      <c r="J108" s="217">
        <f ca="1"/>
        <v>1173712.8870000001</v>
      </c>
      <c r="K108" s="217">
        <f ca="1"/>
        <v>11346.414119999999</v>
      </c>
      <c r="L108" s="217">
        <f ca="1"/>
        <v>15386.345719999999</v>
      </c>
      <c r="M108" s="217">
        <f ca="1"/>
        <v>8660576.6850000005</v>
      </c>
      <c r="N108" s="217">
        <f ca="1"/>
        <v>56061.991020000001</v>
      </c>
      <c r="O108" s="217">
        <f ca="1"/>
        <v>8088.202687</v>
      </c>
      <c r="P108" s="217">
        <f ca="1"/>
        <v>127000.98850000001</v>
      </c>
      <c r="Q108" s="217">
        <f ca="1"/>
        <v>12319.751630000001</v>
      </c>
      <c r="R108" s="217">
        <f ca="1"/>
        <v>40.075489740000002</v>
      </c>
      <c r="S108" s="217">
        <f ca="1"/>
        <v>59596.657140000003</v>
      </c>
      <c r="T108" s="217">
        <f ca="1"/>
        <v>1072.739828</v>
      </c>
      <c r="U108" s="217">
        <f ca="1"/>
        <v>1812</v>
      </c>
      <c r="V108" s="217">
        <f ca="1"/>
        <v>17.74837175</v>
      </c>
      <c r="W108" s="217">
        <f ca="1"/>
        <v>8.2164650699999999</v>
      </c>
      <c r="X108" s="217">
        <f ca="1"/>
        <v>3.5181854069999998</v>
      </c>
      <c r="Y108" s="217">
        <f ca="1"/>
        <v>287335953.5</v>
      </c>
      <c r="Z108" s="217">
        <f ca="1"/>
        <v>0</v>
      </c>
      <c r="AA108" s="217">
        <f ca="1"/>
        <v>0</v>
      </c>
      <c r="AB108" s="217">
        <f ca="1"/>
        <v>0</v>
      </c>
      <c r="AC108" s="217">
        <f ca="1"/>
        <v>626.16424740000002</v>
      </c>
      <c r="AD108" s="217">
        <f ca="1"/>
        <v>0</v>
      </c>
      <c r="AE108" s="217">
        <f ca="1"/>
        <v>778984.45819999999</v>
      </c>
      <c r="AF108" s="217">
        <f ca="1"/>
        <v>3778.0325630000002</v>
      </c>
      <c r="AG108" s="217">
        <f ca="1"/>
        <v>0</v>
      </c>
      <c r="AH108" s="217">
        <f ca="1"/>
        <v>0</v>
      </c>
      <c r="AI108" s="217">
        <f ca="1"/>
        <v>499268</v>
      </c>
      <c r="AJ108" s="217">
        <f ca="1"/>
        <v>172.7207186</v>
      </c>
      <c r="AK108" s="217">
        <f ca="1"/>
        <v>0</v>
      </c>
      <c r="AL108" s="217">
        <f ca="1"/>
        <v>58.449216569999997</v>
      </c>
      <c r="AM108" s="217">
        <f ca="1"/>
        <v>0</v>
      </c>
      <c r="AN108" s="217">
        <f ca="1"/>
        <v>2914031.2769999998</v>
      </c>
      <c r="AO108" s="217">
        <f ca="1"/>
        <v>27056.95967</v>
      </c>
      <c r="AP108" s="217">
        <f ca="1"/>
        <v>0</v>
      </c>
      <c r="AQ108" s="217">
        <f ca="1"/>
        <v>0</v>
      </c>
      <c r="AR108" s="217">
        <f ca="1"/>
        <v>0</v>
      </c>
      <c r="AS108" s="217">
        <f ca="1"/>
        <v>0</v>
      </c>
      <c r="AT108" s="217">
        <f ca="1"/>
        <v>0</v>
      </c>
      <c r="AU108" s="217">
        <f ca="1"/>
        <v>39218.948389999998</v>
      </c>
      <c r="AV108" s="217">
        <f ca="1"/>
        <v>18749.434109999998</v>
      </c>
      <c r="AW108" s="217">
        <f ca="1"/>
        <v>20854668.996040002</v>
      </c>
      <c r="AX108" s="217">
        <f ca="1"/>
        <v>1939259.6089999999</v>
      </c>
      <c r="AY108" s="217">
        <f ca="1"/>
        <v>0</v>
      </c>
      <c r="AZ108" s="217">
        <f ca="1"/>
        <v>0</v>
      </c>
      <c r="BA108" s="217">
        <f ca="1"/>
        <v>0</v>
      </c>
      <c r="BB108" s="217">
        <f ca="1"/>
        <v>0</v>
      </c>
      <c r="BC108" s="217">
        <f ca="1"/>
        <v>0</v>
      </c>
      <c r="BD108" s="217">
        <f ca="1"/>
        <v>35426.905729999999</v>
      </c>
      <c r="BE108" s="217">
        <f ca="1"/>
        <v>0</v>
      </c>
      <c r="BF108" s="217">
        <f ca="1"/>
        <v>29.483022226999999</v>
      </c>
      <c r="BG108" s="217">
        <f ca="1"/>
        <v>0</v>
      </c>
      <c r="BH108" s="217">
        <f ca="1"/>
        <v>0</v>
      </c>
      <c r="BI108" s="217">
        <f ca="1"/>
        <v>0</v>
      </c>
      <c r="BJ108" s="217">
        <f ca="1"/>
        <v>0</v>
      </c>
      <c r="BK108" s="217">
        <f ca="1"/>
        <v>0</v>
      </c>
      <c r="BL108" s="217">
        <f ca="1"/>
        <v>0</v>
      </c>
      <c r="BM108" s="217">
        <f ca="1"/>
        <v>0</v>
      </c>
      <c r="BN108" s="217">
        <f ca="1"/>
        <v>0</v>
      </c>
    </row>
    <row r="109" spans="1:66" s="217" customFormat="1" x14ac:dyDescent="0.2">
      <c r="A109"/>
      <c r="B109" s="347"/>
      <c r="C109" s="345"/>
      <c r="D109" s="353"/>
    </row>
  </sheetData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2917-C16C-4339-8E98-2950E9E6B7FF}">
  <sheetPr>
    <tabColor theme="7" tint="-0.249977111117893"/>
  </sheetPr>
  <dimension ref="B1:P207"/>
  <sheetViews>
    <sheetView showGridLines="0" zoomScale="118" zoomScaleNormal="82" workbookViewId="0">
      <selection activeCell="G5" sqref="G5:L40"/>
    </sheetView>
  </sheetViews>
  <sheetFormatPr baseColWidth="10" defaultColWidth="9.33203125" defaultRowHeight="15" x14ac:dyDescent="0.2"/>
  <cols>
    <col min="2" max="2" width="22.83203125" style="43" customWidth="1"/>
    <col min="3" max="3" width="6.6640625" style="4" customWidth="1"/>
    <col min="4" max="4" width="2.5" style="4" customWidth="1"/>
    <col min="5" max="5" width="35.6640625" style="47" hidden="1" customWidth="1"/>
    <col min="6" max="6" width="24.6640625" style="182" customWidth="1"/>
    <col min="7" max="7" width="38.6640625" customWidth="1"/>
    <col min="8" max="9" width="8.6640625"/>
    <col min="11" max="11" width="15.33203125" customWidth="1"/>
    <col min="13" max="13" width="11.6640625" customWidth="1"/>
    <col min="14" max="14" width="26" style="155" customWidth="1"/>
    <col min="15" max="15" width="11.6640625" style="150" customWidth="1"/>
    <col min="16" max="16" width="11.6640625" customWidth="1"/>
  </cols>
  <sheetData>
    <row r="1" spans="2:16" x14ac:dyDescent="0.2">
      <c r="B1" s="90">
        <f>'Summary Data'!L3</f>
        <v>3</v>
      </c>
      <c r="C1" s="90">
        <f>COUNTA(G:G)-1</f>
        <v>35</v>
      </c>
      <c r="E1" s="48" t="str">
        <f t="shared" ref="E1" si="0">"'"&amp;G1&amp;"':{"&amp;IF(H1="",""," 'lag':"&amp;H1&amp;",")&amp;IF(I1="",""," 'adstock':"&amp;I1&amp;",")&amp;IF(J1="",""," 'saturation':"&amp;J1&amp;",")&amp;" 'coeff':"&amp;K1&amp;"},"</f>
        <v>'':{ 'coeff':},</v>
      </c>
      <c r="F1" s="163"/>
    </row>
    <row r="2" spans="2:16" x14ac:dyDescent="0.2">
      <c r="C2"/>
      <c r="F2" s="47"/>
      <c r="G2" s="41"/>
      <c r="H2" s="41"/>
      <c r="I2" s="41"/>
      <c r="J2" s="41"/>
    </row>
    <row r="3" spans="2:16" x14ac:dyDescent="0.2">
      <c r="C3" s="42" t="s">
        <v>137</v>
      </c>
      <c r="D3"/>
      <c r="E3"/>
      <c r="F3" s="4"/>
    </row>
    <row r="4" spans="2:16" ht="16" x14ac:dyDescent="0.2">
      <c r="B4" s="43" t="s">
        <v>14</v>
      </c>
      <c r="C4" s="11" t="s">
        <v>22</v>
      </c>
      <c r="E4" s="61" t="s">
        <v>23</v>
      </c>
      <c r="F4" s="183" t="s">
        <v>234</v>
      </c>
      <c r="G4" s="510" t="s">
        <v>24</v>
      </c>
      <c r="H4" s="10" t="s">
        <v>25</v>
      </c>
      <c r="I4" s="10" t="s">
        <v>26</v>
      </c>
      <c r="J4" s="10"/>
      <c r="K4" s="10" t="s">
        <v>27</v>
      </c>
      <c r="L4" s="10" t="s">
        <v>232</v>
      </c>
      <c r="N4" s="156" t="s">
        <v>28</v>
      </c>
      <c r="O4" s="154" t="s">
        <v>29</v>
      </c>
    </row>
    <row r="5" spans="2:16" x14ac:dyDescent="0.2">
      <c r="B5" s="111" t="str" cm="1">
        <f t="array" aca="1" ref="B5:B39" ca="1">VLOOKUP(OFFSET($G$4,1,0,$C$1,1),feat[[Feature]:[Group 1]],2,0)</f>
        <v>Seasonality</v>
      </c>
      <c r="C5" s="110" cm="1">
        <f t="array" aca="1" ref="C5:C39" ca="1">MATCH(_xlfn.ANCHORARRAY(N5),_xlfn.ANCHORARRAY(IS!D4),0)</f>
        <v>60</v>
      </c>
      <c r="E5" s="128" t="str">
        <f>"'"&amp;G5&amp;"':{"&amp;IF(H5="",""," 'lag': "&amp;H5&amp;",")&amp;IF(I5="",""," 'adstock': "&amp;I5&amp;",")&amp;IF(J5="",""," 'saturation': {'saturation_type': 'hill', 'S': "&amp;INT(J5)&amp;", 'K': "&amp;MOD(J5,1)&amp;"},")&amp;" 'coeff': "&amp;K5&amp;"},"</f>
        <v>'blackfriday_2019':{ 'lag': 0, 'adstock': 0, 'coeff': 3763559.37277432},</v>
      </c>
      <c r="F5" s="508"/>
      <c r="G5" s="518" t="s">
        <v>202</v>
      </c>
      <c r="H5" s="519">
        <v>0</v>
      </c>
      <c r="I5" s="519">
        <v>0</v>
      </c>
      <c r="J5" s="519"/>
      <c r="K5" s="520">
        <v>3763559.3727743202</v>
      </c>
      <c r="L5" s="521">
        <v>3.5441694485105102</v>
      </c>
      <c r="N5" s="112" t="str" cm="1">
        <f t="array" aca="1" ref="N5:N39" ca="1">OFFSET(G$4,1,0,$C$1,1)&amp;TEXT(OFFSET(H$4,1,0,$C$1,1)," +L0;;;")&amp;TEXT(OFFSET(I$4,1,0,$C$1,1)*100," +A0;;;")&amp;TEXT(OFFSET(J$4,1,0,$C$1,1)," +""S""0.0;;;")</f>
        <v>blackfriday_2019</v>
      </c>
      <c r="O5" s="151" cm="1">
        <f t="array" aca="1" ref="O5:O39" ca="1">(1-OFFSET(I4,1,0,$C$1,1)^100)/(1-OFFSET(I4,1,0,C1,1))-1</f>
        <v>0</v>
      </c>
    </row>
    <row r="6" spans="2:16" x14ac:dyDescent="0.2">
      <c r="B6" s="119" t="str">
        <f ca="1"/>
        <v>Seasonality</v>
      </c>
      <c r="C6" s="118">
        <f ca="1"/>
        <v>58</v>
      </c>
      <c r="E6" s="49" t="str">
        <f t="shared" ref="E6:E73" si="1">"'"&amp;G6&amp;"':{"&amp;IF(H6="",""," 'lag': "&amp;H6&amp;",")&amp;IF(I6="",""," 'adstock': "&amp;I6&amp;",")&amp;IF(J6="",""," 'saturation': {'saturation_type': 'hill', 'S': "&amp;INT(J6)&amp;", 'K': "&amp;MOD(J6,1)&amp;"},")&amp;" 'coeff': "&amp;K6&amp;"},"</f>
        <v>'july_promo':{ 'lag': 0, 'adstock': 0, 'coeff': 2258006.45629113},</v>
      </c>
      <c r="F6" s="509"/>
      <c r="G6" s="522" t="s">
        <v>228</v>
      </c>
      <c r="H6" s="512">
        <v>0</v>
      </c>
      <c r="I6" s="512">
        <v>0</v>
      </c>
      <c r="J6" s="512"/>
      <c r="K6" s="513">
        <v>2258006.4562911298</v>
      </c>
      <c r="L6" s="523">
        <v>3.03127115371537</v>
      </c>
      <c r="N6" s="122" t="str">
        <f ca="1"/>
        <v>july_promo</v>
      </c>
      <c r="O6" s="152">
        <f ca="1"/>
        <v>0</v>
      </c>
      <c r="P6" s="505"/>
    </row>
    <row r="7" spans="2:16" x14ac:dyDescent="0.2">
      <c r="B7" s="119" t="str">
        <f ca="1"/>
        <v>Seasonality</v>
      </c>
      <c r="C7" s="118">
        <f ca="1"/>
        <v>43</v>
      </c>
      <c r="E7" s="49" t="str">
        <f t="shared" si="1"/>
        <v>'xmas_dummy':{ 'lag': 0, 'adstock': 0, 'coeff': -1294895.22821243},</v>
      </c>
      <c r="F7" s="509"/>
      <c r="G7" s="522" t="s">
        <v>174</v>
      </c>
      <c r="H7" s="512">
        <v>0</v>
      </c>
      <c r="I7" s="512">
        <v>0</v>
      </c>
      <c r="J7" s="512"/>
      <c r="K7" s="513">
        <v>-1294895.2282124299</v>
      </c>
      <c r="L7" s="523">
        <v>-1.70510167848217</v>
      </c>
      <c r="N7" s="122" t="str">
        <f ca="1"/>
        <v>xmas_dummy</v>
      </c>
      <c r="O7" s="152">
        <f ca="1"/>
        <v>0</v>
      </c>
    </row>
    <row r="8" spans="2:16" x14ac:dyDescent="0.2">
      <c r="B8" s="119" t="str">
        <f ca="1"/>
        <v>GWP</v>
      </c>
      <c r="C8" s="118">
        <f ca="1"/>
        <v>62</v>
      </c>
      <c r="E8" s="49" t="str">
        <f t="shared" si="1"/>
        <v>'flash_sale_promo':{ 'lag': 0, 'adstock': 0, 'coeff': 2561008.43653139},</v>
      </c>
      <c r="F8" s="509"/>
      <c r="G8" s="522" t="s">
        <v>233</v>
      </c>
      <c r="H8" s="512">
        <v>0</v>
      </c>
      <c r="I8" s="512">
        <v>0</v>
      </c>
      <c r="J8" s="512"/>
      <c r="K8" s="513">
        <v>2561008.4365313901</v>
      </c>
      <c r="L8" s="523">
        <v>4.2353760277663399</v>
      </c>
      <c r="N8" s="122" t="str">
        <f ca="1"/>
        <v>flash_sale_promo</v>
      </c>
      <c r="O8" s="152">
        <f ca="1"/>
        <v>0</v>
      </c>
    </row>
    <row r="9" spans="2:16" x14ac:dyDescent="0.2">
      <c r="B9" s="119" t="str">
        <f ca="1"/>
        <v>Covid</v>
      </c>
      <c r="C9" s="118">
        <f ca="1"/>
        <v>5</v>
      </c>
      <c r="E9" s="49" t="str">
        <f t="shared" si="1"/>
        <v>'covid_trend':{ 'lag': 0, 'adstock': 0, 'coeff': 60357.349850606},</v>
      </c>
      <c r="F9" s="509"/>
      <c r="G9" s="522" t="s">
        <v>141</v>
      </c>
      <c r="H9" s="512">
        <v>0</v>
      </c>
      <c r="I9" s="512">
        <v>0</v>
      </c>
      <c r="J9" s="512"/>
      <c r="K9" s="513">
        <v>60357.349850605999</v>
      </c>
      <c r="L9" s="523">
        <v>7.6350078787832896</v>
      </c>
      <c r="N9" s="122" t="str">
        <f ca="1"/>
        <v>covid_trend</v>
      </c>
      <c r="O9" s="152">
        <f ca="1"/>
        <v>0</v>
      </c>
    </row>
    <row r="10" spans="2:16" x14ac:dyDescent="0.2">
      <c r="B10" s="119" t="str">
        <f ca="1"/>
        <v>Samples</v>
      </c>
      <c r="C10" s="118">
        <f ca="1"/>
        <v>32</v>
      </c>
      <c r="E10" s="49" t="str">
        <f t="shared" si="1"/>
        <v>'samples_quantity_distributed':{ 'lag': 0, 'adstock': 0, 'coeff': 1.43861046988365},</v>
      </c>
      <c r="F10" s="509"/>
      <c r="G10" s="522" t="s">
        <v>166</v>
      </c>
      <c r="H10" s="512">
        <v>0</v>
      </c>
      <c r="I10" s="512">
        <v>0</v>
      </c>
      <c r="J10" s="512"/>
      <c r="K10" s="513">
        <v>1.4386104698836499</v>
      </c>
      <c r="L10" s="523">
        <v>4.5334786513345202</v>
      </c>
      <c r="N10" s="122" t="str">
        <f ca="1"/>
        <v>samples_quantity_distributed</v>
      </c>
      <c r="O10" s="152">
        <f ca="1"/>
        <v>0</v>
      </c>
    </row>
    <row r="11" spans="2:16" x14ac:dyDescent="0.2">
      <c r="B11" s="119" t="str">
        <f ca="1"/>
        <v>Facebook Instagram</v>
      </c>
      <c r="C11" s="118">
        <f ca="1"/>
        <v>46</v>
      </c>
      <c r="E11" s="49" t="str">
        <f t="shared" si="1"/>
        <v>'fbig_imp':{ 'lag': 0, 'adstock': 0.6, 'coeff': 0.0519931096026133},</v>
      </c>
      <c r="F11" s="509"/>
      <c r="G11" s="522" t="s">
        <v>119</v>
      </c>
      <c r="H11" s="512">
        <v>0</v>
      </c>
      <c r="I11" s="512">
        <v>0.6</v>
      </c>
      <c r="J11" s="512"/>
      <c r="K11" s="513">
        <v>5.1993109602613302E-2</v>
      </c>
      <c r="L11" s="523">
        <v>4.7137717017474001</v>
      </c>
      <c r="N11" s="122" t="str">
        <f ca="1"/>
        <v>fbig_imp +A60</v>
      </c>
      <c r="O11" s="152">
        <f ca="1"/>
        <v>1.5</v>
      </c>
    </row>
    <row r="12" spans="2:16" x14ac:dyDescent="0.2">
      <c r="B12" s="119" t="str">
        <f ca="1"/>
        <v>Outdoor</v>
      </c>
      <c r="C12" s="118">
        <f ca="1"/>
        <v>48</v>
      </c>
      <c r="E12" s="49" t="str">
        <f t="shared" si="1"/>
        <v>'outdoor_impressions':{ 'lag': 0, 'adstock': 0.2, 'coeff': 0.101981686277872},</v>
      </c>
      <c r="F12" s="509"/>
      <c r="G12" s="522" t="s">
        <v>176</v>
      </c>
      <c r="H12" s="512">
        <v>0</v>
      </c>
      <c r="I12" s="512">
        <v>0.2</v>
      </c>
      <c r="J12" s="512"/>
      <c r="K12" s="513">
        <v>0.10198168627787201</v>
      </c>
      <c r="L12" s="523">
        <v>1.5242679888128301</v>
      </c>
      <c r="N12" s="122" t="str">
        <f ca="1"/>
        <v>outdoor_impressions +A20</v>
      </c>
      <c r="O12" s="152">
        <f ca="1"/>
        <v>0.25</v>
      </c>
    </row>
    <row r="13" spans="2:16" x14ac:dyDescent="0.2">
      <c r="B13" s="119" t="e">
        <f ca="1"/>
        <v>#N/A</v>
      </c>
      <c r="C13" s="118">
        <f ca="1"/>
        <v>63</v>
      </c>
      <c r="E13" s="49" t="str">
        <f t="shared" si="1"/>
        <v>'new_year':{ 'lag': 0, 'adstock': 0, 'coeff': -488630.623596446},</v>
      </c>
      <c r="F13" s="509"/>
      <c r="G13" s="522" t="s">
        <v>237</v>
      </c>
      <c r="H13" s="512">
        <v>0</v>
      </c>
      <c r="I13" s="512">
        <v>0</v>
      </c>
      <c r="J13" s="512"/>
      <c r="K13" s="513">
        <v>-488630.62359644601</v>
      </c>
      <c r="L13" s="523">
        <v>-0.46699037471418697</v>
      </c>
      <c r="N13" s="122" t="str">
        <f ca="1"/>
        <v>new_year</v>
      </c>
      <c r="O13" s="152">
        <f ca="1"/>
        <v>0</v>
      </c>
    </row>
    <row r="14" spans="2:16" x14ac:dyDescent="0.2">
      <c r="B14" s="119" t="str">
        <f ca="1"/>
        <v>Seasonality</v>
      </c>
      <c r="C14" s="118">
        <f ca="1"/>
        <v>59</v>
      </c>
      <c r="E14" s="49" t="str">
        <f t="shared" si="1"/>
        <v>'mothersday_2019':{ 'lag': 0, 'adstock': 0, 'coeff': 12000000},</v>
      </c>
      <c r="F14" s="509"/>
      <c r="G14" s="522" t="s">
        <v>201</v>
      </c>
      <c r="H14" s="512">
        <v>0</v>
      </c>
      <c r="I14" s="512">
        <v>0</v>
      </c>
      <c r="J14" s="512"/>
      <c r="K14" s="513">
        <v>12000000</v>
      </c>
      <c r="L14" s="523">
        <v>0</v>
      </c>
      <c r="N14" s="122" t="str">
        <f ca="1"/>
        <v>mothersday_2019</v>
      </c>
      <c r="O14" s="152">
        <f ca="1"/>
        <v>0</v>
      </c>
    </row>
    <row r="15" spans="2:16" x14ac:dyDescent="0.2">
      <c r="B15" s="119" t="str">
        <f ca="1"/>
        <v>Seasonality</v>
      </c>
      <c r="C15" s="118">
        <f ca="1"/>
        <v>57</v>
      </c>
      <c r="E15" s="49" t="str">
        <f t="shared" si="1"/>
        <v>'week_before_vday':{ 'lag': 0, 'adstock': 0.3, 'coeff': 9000000},</v>
      </c>
      <c r="F15" s="509"/>
      <c r="G15" s="522" t="s">
        <v>126</v>
      </c>
      <c r="H15" s="512">
        <v>0</v>
      </c>
      <c r="I15" s="512">
        <v>0.3</v>
      </c>
      <c r="J15" s="512"/>
      <c r="K15" s="513">
        <v>9000000</v>
      </c>
      <c r="L15" s="523">
        <v>0</v>
      </c>
      <c r="N15" s="122" t="str">
        <f ca="1"/>
        <v>week_before_vday +A30</v>
      </c>
      <c r="O15" s="152">
        <f ca="1"/>
        <v>0.4285714285714286</v>
      </c>
      <c r="P15" s="506"/>
    </row>
    <row r="16" spans="2:16" x14ac:dyDescent="0.2">
      <c r="B16" s="119" t="str">
        <f ca="1"/>
        <v>Market</v>
      </c>
      <c r="C16" s="118">
        <f ca="1"/>
        <v>22</v>
      </c>
      <c r="E16" s="49" t="str">
        <f t="shared" si="1"/>
        <v>'market_sales':{ 'lag': 0, 'adstock': 0, 'coeff': 0.022},</v>
      </c>
      <c r="F16" s="509"/>
      <c r="G16" s="522" t="s">
        <v>158</v>
      </c>
      <c r="H16" s="512">
        <v>0</v>
      </c>
      <c r="I16" s="512">
        <v>0</v>
      </c>
      <c r="J16" s="512"/>
      <c r="K16" s="513">
        <v>2.1999999999999999E-2</v>
      </c>
      <c r="L16" s="523">
        <v>0</v>
      </c>
      <c r="N16" s="122" t="str">
        <f ca="1"/>
        <v>market_sales</v>
      </c>
      <c r="O16" s="152">
        <f ca="1"/>
        <v>0</v>
      </c>
    </row>
    <row r="17" spans="2:16" x14ac:dyDescent="0.2">
      <c r="B17" s="119" t="str">
        <f ca="1"/>
        <v>Seasonality</v>
      </c>
      <c r="C17" s="118">
        <f ca="1"/>
        <v>50</v>
      </c>
      <c r="E17" s="49" t="str">
        <f t="shared" si="1"/>
        <v>'covid_holiday_period':{ 'lag': 0, 'adstock': 0, 'coeff': -1149319},</v>
      </c>
      <c r="F17" s="509"/>
      <c r="G17" s="522" t="s">
        <v>124</v>
      </c>
      <c r="H17" s="512">
        <v>0</v>
      </c>
      <c r="I17" s="512">
        <v>0</v>
      </c>
      <c r="J17" s="512"/>
      <c r="K17" s="513">
        <v>-1149319</v>
      </c>
      <c r="L17" s="523">
        <v>0</v>
      </c>
      <c r="N17" s="122" t="str">
        <f ca="1"/>
        <v>covid_holiday_period</v>
      </c>
      <c r="O17" s="152">
        <f ca="1"/>
        <v>0</v>
      </c>
    </row>
    <row r="18" spans="2:16" x14ac:dyDescent="0.2">
      <c r="B18" s="119" t="str">
        <f ca="1"/>
        <v>Seasonality</v>
      </c>
      <c r="C18" s="118">
        <f ca="1"/>
        <v>51</v>
      </c>
      <c r="E18" s="49" t="str">
        <f t="shared" si="1"/>
        <v>'covid_xmas':{ 'lag': 0, 'adstock': 0, 'coeff': -1732296},</v>
      </c>
      <c r="F18" s="509"/>
      <c r="G18" s="522" t="s">
        <v>229</v>
      </c>
      <c r="H18" s="512">
        <v>0</v>
      </c>
      <c r="I18" s="512">
        <v>0</v>
      </c>
      <c r="J18" s="512"/>
      <c r="K18" s="513">
        <v>-1732296</v>
      </c>
      <c r="L18" s="523">
        <v>0</v>
      </c>
      <c r="N18" s="122" t="str">
        <f ca="1"/>
        <v>covid_xmas</v>
      </c>
      <c r="O18" s="152">
        <f ca="1"/>
        <v>0</v>
      </c>
      <c r="P18" s="507"/>
    </row>
    <row r="19" spans="2:16" x14ac:dyDescent="0.2">
      <c r="B19" s="119" t="str">
        <f ca="1"/>
        <v>Product Launch</v>
      </c>
      <c r="C19" s="118">
        <f ca="1"/>
        <v>55</v>
      </c>
      <c r="E19" s="49" t="str">
        <f t="shared" si="1"/>
        <v>'total_product_launch':{ 'lag': 0, 'adstock': 0, 'coeff': 2840.642889},</v>
      </c>
      <c r="F19" s="509"/>
      <c r="G19" s="522" t="s">
        <v>197</v>
      </c>
      <c r="H19" s="512">
        <v>0</v>
      </c>
      <c r="I19" s="512">
        <v>0</v>
      </c>
      <c r="J19" s="512"/>
      <c r="K19" s="513">
        <v>2840.6428890000002</v>
      </c>
      <c r="L19" s="523">
        <v>0</v>
      </c>
      <c r="N19" s="122" t="str">
        <f ca="1"/>
        <v>total_product_launch</v>
      </c>
      <c r="O19" s="152">
        <f ca="1"/>
        <v>0</v>
      </c>
    </row>
    <row r="20" spans="2:16" x14ac:dyDescent="0.2">
      <c r="B20" s="119" t="str">
        <f ca="1"/>
        <v>GWP</v>
      </c>
      <c r="C20" s="118">
        <f ca="1"/>
        <v>18</v>
      </c>
      <c r="E20" s="49" t="str">
        <f t="shared" si="1"/>
        <v>'gwp_units_distributed':{ 'lag': 0, 'adstock': 0, 'coeff': 9.734768},</v>
      </c>
      <c r="F20" s="509"/>
      <c r="G20" s="522" t="s">
        <v>154</v>
      </c>
      <c r="H20" s="512">
        <v>0</v>
      </c>
      <c r="I20" s="512">
        <v>0</v>
      </c>
      <c r="J20" s="512"/>
      <c r="K20" s="513">
        <v>9.7347680000000008</v>
      </c>
      <c r="L20" s="523">
        <v>0</v>
      </c>
      <c r="N20" s="122" t="str">
        <f ca="1"/>
        <v>gwp_units_distributed</v>
      </c>
      <c r="O20" s="152">
        <f ca="1"/>
        <v>0</v>
      </c>
    </row>
    <row r="21" spans="2:16" x14ac:dyDescent="0.2">
      <c r="B21" s="119" t="str">
        <f ca="1"/>
        <v>GWP</v>
      </c>
      <c r="C21" s="118">
        <f ca="1"/>
        <v>61</v>
      </c>
      <c r="E21" s="49" t="str">
        <f t="shared" si="1"/>
        <v>'friends_and_family_august_promo':{ 'lag': 0, 'adstock': 0, 'coeff': 4000000},</v>
      </c>
      <c r="F21" s="509"/>
      <c r="G21" s="522" t="s">
        <v>127</v>
      </c>
      <c r="H21" s="512">
        <v>0</v>
      </c>
      <c r="I21" s="512">
        <v>0</v>
      </c>
      <c r="J21" s="512"/>
      <c r="K21" s="513">
        <v>4000000</v>
      </c>
      <c r="L21" s="523">
        <v>0</v>
      </c>
      <c r="N21" s="122" t="str">
        <f ca="1"/>
        <v>friends_and_family_august_promo</v>
      </c>
      <c r="O21" s="152">
        <f ca="1"/>
        <v>0</v>
      </c>
    </row>
    <row r="22" spans="2:16" x14ac:dyDescent="0.2">
      <c r="B22" s="119" t="str">
        <f ca="1"/>
        <v>TV - Pure</v>
      </c>
      <c r="C22" s="118">
        <f ca="1"/>
        <v>41</v>
      </c>
      <c r="E22" s="49" t="str">
        <f t="shared" si="1"/>
        <v>'tv_pure_spend':{ 'lag': 1, 'adstock': 0, 'coeff': 1.1},</v>
      </c>
      <c r="F22" s="509"/>
      <c r="G22" s="522" t="s">
        <v>135</v>
      </c>
      <c r="H22" s="512">
        <v>1</v>
      </c>
      <c r="I22" s="512">
        <v>0</v>
      </c>
      <c r="J22" s="512"/>
      <c r="K22" s="513">
        <v>1.1000000000000001</v>
      </c>
      <c r="L22" s="523">
        <v>0</v>
      </c>
      <c r="N22" s="122" t="str">
        <f ca="1"/>
        <v>tv_pure_spend +L1</v>
      </c>
      <c r="O22" s="152">
        <f ca="1"/>
        <v>0</v>
      </c>
    </row>
    <row r="23" spans="2:16" x14ac:dyDescent="0.2">
      <c r="B23" s="119" t="str">
        <f ca="1"/>
        <v>TV - Coop</v>
      </c>
      <c r="C23" s="118">
        <f ca="1"/>
        <v>39</v>
      </c>
      <c r="E23" s="49" t="str">
        <f t="shared" si="1"/>
        <v>'tv_coop_spend':{ 'lag': 0, 'adstock': 0, 'coeff': 4.5},</v>
      </c>
      <c r="F23" s="509"/>
      <c r="G23" s="522" t="s">
        <v>122</v>
      </c>
      <c r="H23" s="512">
        <v>0</v>
      </c>
      <c r="I23" s="512">
        <v>0</v>
      </c>
      <c r="J23" s="512"/>
      <c r="K23" s="513">
        <v>4.5</v>
      </c>
      <c r="L23" s="523">
        <v>0</v>
      </c>
      <c r="N23" s="122" t="str">
        <f ca="1"/>
        <v>tv_coop_spend</v>
      </c>
      <c r="O23" s="152">
        <f ca="1"/>
        <v>0</v>
      </c>
    </row>
    <row r="24" spans="2:16" x14ac:dyDescent="0.2">
      <c r="B24" s="119" t="str">
        <f ca="1"/>
        <v>TV - Coop</v>
      </c>
      <c r="C24" s="118">
        <f ca="1"/>
        <v>52</v>
      </c>
      <c r="E24" s="49" t="str">
        <f t="shared" si="1"/>
        <v>'tv_coop_spend_after_2020-04-13':{ 'lag': 0, 'adstock': 0, 'coeff': -2.5},</v>
      </c>
      <c r="F24" s="509"/>
      <c r="G24" s="522" t="s">
        <v>203</v>
      </c>
      <c r="H24" s="512">
        <v>0</v>
      </c>
      <c r="I24" s="512">
        <v>0</v>
      </c>
      <c r="J24" s="512"/>
      <c r="K24" s="513">
        <v>-2.5</v>
      </c>
      <c r="L24" s="523">
        <v>0</v>
      </c>
      <c r="N24" s="122" t="str">
        <f ca="1"/>
        <v>tv_coop_spend_after_2020-04-13</v>
      </c>
      <c r="O24" s="152">
        <f ca="1"/>
        <v>0</v>
      </c>
    </row>
    <row r="25" spans="2:16" x14ac:dyDescent="0.2">
      <c r="B25" s="119" t="str">
        <f ca="1"/>
        <v>Print - Pure</v>
      </c>
      <c r="C25" s="118">
        <f ca="1"/>
        <v>54</v>
      </c>
      <c r="E25" s="49" t="str">
        <f t="shared" si="1"/>
        <v>'print_pure_spend_before_2020-04-13':{ 'lag': 0, 'adstock': 0, 'coeff': 1.3},</v>
      </c>
      <c r="F25" s="509"/>
      <c r="G25" s="522" t="s">
        <v>230</v>
      </c>
      <c r="H25" s="512">
        <v>0</v>
      </c>
      <c r="I25" s="512">
        <v>0</v>
      </c>
      <c r="J25" s="512"/>
      <c r="K25" s="513">
        <v>1.3</v>
      </c>
      <c r="L25" s="523">
        <v>0</v>
      </c>
      <c r="N25" s="122" t="str">
        <f ca="1"/>
        <v>print_pure_spend_before_2020-04-13</v>
      </c>
      <c r="O25" s="152">
        <f ca="1"/>
        <v>0</v>
      </c>
    </row>
    <row r="26" spans="2:16" x14ac:dyDescent="0.2">
      <c r="B26" s="119" t="str">
        <f ca="1"/>
        <v>Print - Pure</v>
      </c>
      <c r="C26" s="118">
        <f ca="1"/>
        <v>53</v>
      </c>
      <c r="E26" s="49" t="str">
        <f t="shared" si="1"/>
        <v>'print_pure_spend_after_2020-04-13':{ 'lag': 1, 'adstock': 0, 'coeff': 2},</v>
      </c>
      <c r="F26" s="509"/>
      <c r="G26" s="522" t="s">
        <v>231</v>
      </c>
      <c r="H26" s="512">
        <v>1</v>
      </c>
      <c r="I26" s="512">
        <v>0</v>
      </c>
      <c r="J26" s="512"/>
      <c r="K26" s="513">
        <v>2</v>
      </c>
      <c r="L26" s="523">
        <v>0</v>
      </c>
      <c r="N26" s="122" t="str">
        <f ca="1"/>
        <v>print_pure_spend_after_2020-04-13 +L1</v>
      </c>
      <c r="O26" s="152">
        <f ca="1"/>
        <v>0</v>
      </c>
    </row>
    <row r="27" spans="2:16" x14ac:dyDescent="0.2">
      <c r="B27" s="119" t="str">
        <f ca="1"/>
        <v>Print - Coop</v>
      </c>
      <c r="C27" s="118">
        <f ca="1"/>
        <v>30</v>
      </c>
      <c r="E27" s="49" t="str">
        <f t="shared" si="1"/>
        <v>'print_coop_spend':{ 'lag': 0, 'adstock': 0, 'coeff': 8.655333},</v>
      </c>
      <c r="F27" s="509"/>
      <c r="G27" s="522" t="s">
        <v>123</v>
      </c>
      <c r="H27" s="512">
        <v>0</v>
      </c>
      <c r="I27" s="512">
        <v>0</v>
      </c>
      <c r="J27" s="512"/>
      <c r="K27" s="513">
        <v>8.6553330000000006</v>
      </c>
      <c r="L27" s="523">
        <v>0</v>
      </c>
      <c r="N27" s="122" t="str">
        <f ca="1"/>
        <v>print_coop_spend</v>
      </c>
      <c r="O27" s="152">
        <f ca="1"/>
        <v>0</v>
      </c>
    </row>
    <row r="28" spans="2:16" x14ac:dyDescent="0.2">
      <c r="B28" s="119" t="str">
        <f ca="1"/>
        <v>Search - Brand</v>
      </c>
      <c r="C28" s="118">
        <f ca="1"/>
        <v>7</v>
      </c>
      <c r="E28" s="49" t="str">
        <f t="shared" si="1"/>
        <v>'google_brand_search_imp':{ 'lag': 0, 'adstock': 0, 'coeff': 0.3332862},</v>
      </c>
      <c r="F28" s="509"/>
      <c r="G28" s="522" t="s">
        <v>143</v>
      </c>
      <c r="H28" s="512">
        <v>0</v>
      </c>
      <c r="I28" s="512">
        <v>0</v>
      </c>
      <c r="J28" s="512"/>
      <c r="K28" s="513">
        <v>0.33328619999999998</v>
      </c>
      <c r="L28" s="523">
        <v>0</v>
      </c>
      <c r="N28" s="122" t="str">
        <f ca="1"/>
        <v>google_brand_search_imp</v>
      </c>
      <c r="O28" s="152">
        <f ca="1"/>
        <v>0</v>
      </c>
      <c r="P28" s="507"/>
    </row>
    <row r="29" spans="2:16" x14ac:dyDescent="0.2">
      <c r="B29" s="119" t="str">
        <f ca="1"/>
        <v>Search - Non-Brand</v>
      </c>
      <c r="C29" s="118">
        <f ca="1"/>
        <v>13</v>
      </c>
      <c r="E29" s="49" t="str">
        <f t="shared" si="1"/>
        <v>'google_nonbrand_search_imp':{ 'lag': 0, 'adstock': 0, 'coeff': 0.665232},</v>
      </c>
      <c r="F29" s="509"/>
      <c r="G29" s="522" t="s">
        <v>149</v>
      </c>
      <c r="H29" s="512">
        <v>0</v>
      </c>
      <c r="I29" s="512">
        <v>0</v>
      </c>
      <c r="J29" s="512"/>
      <c r="K29" s="513">
        <v>0.66523200000000005</v>
      </c>
      <c r="L29" s="523">
        <v>0</v>
      </c>
      <c r="N29" s="122" t="str">
        <f ca="1"/>
        <v>google_nonbrand_search_imp</v>
      </c>
      <c r="O29" s="152">
        <f ca="1"/>
        <v>0</v>
      </c>
    </row>
    <row r="30" spans="2:16" x14ac:dyDescent="0.2">
      <c r="B30" s="119" t="str">
        <f ca="1"/>
        <v>Search - Brand</v>
      </c>
      <c r="C30" s="118">
        <f ca="1"/>
        <v>2</v>
      </c>
      <c r="E30" s="49" t="str">
        <f t="shared" si="1"/>
        <v>'bing_brand_search_clicks':{ 'lag': 0, 'adstock': 0, 'coeff': 22},</v>
      </c>
      <c r="F30" s="509"/>
      <c r="G30" s="522" t="s">
        <v>138</v>
      </c>
      <c r="H30" s="512">
        <v>0</v>
      </c>
      <c r="I30" s="512">
        <v>0</v>
      </c>
      <c r="J30" s="512"/>
      <c r="K30" s="513">
        <v>22</v>
      </c>
      <c r="L30" s="523">
        <v>0</v>
      </c>
      <c r="N30" s="122" t="str">
        <f ca="1"/>
        <v>bing_brand_search_clicks</v>
      </c>
      <c r="O30" s="152">
        <f ca="1"/>
        <v>0</v>
      </c>
    </row>
    <row r="31" spans="2:16" x14ac:dyDescent="0.2">
      <c r="B31" s="119" t="str">
        <f ca="1"/>
        <v>Pinterest</v>
      </c>
      <c r="C31" s="118">
        <f ca="1"/>
        <v>26</v>
      </c>
      <c r="E31" s="49" t="str">
        <f t="shared" si="1"/>
        <v>'pinterest_awareness_imp':{ 'lag': 0, 'adstock': 0, 'coeff': 0.1692867},</v>
      </c>
      <c r="F31" s="509"/>
      <c r="G31" s="522" t="s">
        <v>162</v>
      </c>
      <c r="H31" s="512">
        <v>0</v>
      </c>
      <c r="I31" s="512">
        <v>0</v>
      </c>
      <c r="J31" s="512"/>
      <c r="K31" s="513">
        <v>0.16928670000000001</v>
      </c>
      <c r="L31" s="523">
        <v>0</v>
      </c>
      <c r="N31" s="122" t="str">
        <f ca="1"/>
        <v>pinterest_awareness_imp</v>
      </c>
      <c r="O31" s="152">
        <f ca="1"/>
        <v>0</v>
      </c>
    </row>
    <row r="32" spans="2:16" x14ac:dyDescent="0.2">
      <c r="B32" s="119" t="str">
        <f ca="1"/>
        <v>Pinterest</v>
      </c>
      <c r="C32" s="118">
        <f ca="1"/>
        <v>28</v>
      </c>
      <c r="E32" s="49" t="str">
        <f t="shared" si="1"/>
        <v>'pinterest_conversion_imp':{ 'lag': 0, 'adstock': 0, 'coeff': 0.03321005},</v>
      </c>
      <c r="F32" s="509"/>
      <c r="G32" s="522" t="s">
        <v>164</v>
      </c>
      <c r="H32" s="512">
        <v>0</v>
      </c>
      <c r="I32" s="512">
        <v>0</v>
      </c>
      <c r="J32" s="512"/>
      <c r="K32" s="513">
        <v>3.3210049999999998E-2</v>
      </c>
      <c r="L32" s="523">
        <v>0</v>
      </c>
      <c r="N32" s="122" t="str">
        <f ca="1"/>
        <v>pinterest_conversion_imp</v>
      </c>
      <c r="O32" s="152">
        <f ca="1"/>
        <v>0</v>
      </c>
    </row>
    <row r="33" spans="2:15" x14ac:dyDescent="0.2">
      <c r="B33" s="119" t="str">
        <f ca="1"/>
        <v>Snapchat</v>
      </c>
      <c r="C33" s="118">
        <f ca="1"/>
        <v>33</v>
      </c>
      <c r="E33" s="49" t="str">
        <f t="shared" si="1"/>
        <v>'snap_awareness_imp':{ 'lag': 0, 'adstock': 0, 'coeff': 0.04},</v>
      </c>
      <c r="F33" s="509"/>
      <c r="G33" s="522" t="s">
        <v>167</v>
      </c>
      <c r="H33" s="512">
        <v>0</v>
      </c>
      <c r="I33" s="512">
        <v>0</v>
      </c>
      <c r="J33" s="512"/>
      <c r="K33" s="513">
        <v>0.04</v>
      </c>
      <c r="L33" s="523">
        <v>0</v>
      </c>
      <c r="N33" s="122" t="str">
        <f ca="1"/>
        <v>snap_awareness_imp</v>
      </c>
      <c r="O33" s="152">
        <f ca="1"/>
        <v>0</v>
      </c>
    </row>
    <row r="34" spans="2:15" x14ac:dyDescent="0.2">
      <c r="B34" s="119" t="str">
        <f ca="1"/>
        <v>Snapchat</v>
      </c>
      <c r="C34" s="118">
        <f ca="1"/>
        <v>35</v>
      </c>
      <c r="E34" s="49" t="str">
        <f t="shared" si="1"/>
        <v>'snap_conversion_imp':{ 'lag': 0, 'adstock': 0, 'coeff': 0.06},</v>
      </c>
      <c r="F34" s="517"/>
      <c r="G34" s="522" t="s">
        <v>169</v>
      </c>
      <c r="H34" s="512">
        <v>0</v>
      </c>
      <c r="I34" s="512">
        <v>0</v>
      </c>
      <c r="J34" s="512"/>
      <c r="K34" s="513">
        <v>0.06</v>
      </c>
      <c r="L34" s="523">
        <v>0</v>
      </c>
      <c r="N34" s="122" t="str">
        <f ca="1"/>
        <v>snap_conversion_imp</v>
      </c>
      <c r="O34" s="152">
        <f ca="1"/>
        <v>0</v>
      </c>
    </row>
    <row r="35" spans="2:15" x14ac:dyDescent="0.2">
      <c r="B35" s="119" t="str">
        <f ca="1"/>
        <v>Online Video</v>
      </c>
      <c r="C35" s="118">
        <f ca="1"/>
        <v>16</v>
      </c>
      <c r="E35" s="49" t="str">
        <f t="shared" si="1"/>
        <v>'google_video_imp':{ 'lag': 0, 'adstock': 0, 'coeff': 0.0308512},</v>
      </c>
      <c r="F35" s="517"/>
      <c r="G35" s="522" t="s">
        <v>152</v>
      </c>
      <c r="H35" s="512">
        <v>0</v>
      </c>
      <c r="I35" s="512">
        <v>0</v>
      </c>
      <c r="J35" s="512"/>
      <c r="K35" s="513">
        <v>3.0851199999999999E-2</v>
      </c>
      <c r="L35" s="523">
        <v>0</v>
      </c>
      <c r="N35" s="122" t="str">
        <f ca="1"/>
        <v>google_video_imp</v>
      </c>
      <c r="O35" s="152">
        <f ca="1"/>
        <v>0</v>
      </c>
    </row>
    <row r="36" spans="2:15" x14ac:dyDescent="0.2">
      <c r="B36" s="119" t="str">
        <f ca="1"/>
        <v>Online Video</v>
      </c>
      <c r="C36" s="118">
        <f ca="1"/>
        <v>47</v>
      </c>
      <c r="E36" s="49" t="str">
        <f t="shared" si="1"/>
        <v>'youtube_video_imp':{ 'lag': 0, 'adstock': 0, 'coeff': 0.04582},</v>
      </c>
      <c r="F36" s="517"/>
      <c r="G36" s="522" t="s">
        <v>178</v>
      </c>
      <c r="H36" s="512">
        <v>0</v>
      </c>
      <c r="I36" s="512">
        <v>0</v>
      </c>
      <c r="J36" s="512"/>
      <c r="K36" s="513">
        <v>4.582E-2</v>
      </c>
      <c r="L36" s="523">
        <v>0</v>
      </c>
      <c r="N36" s="122" t="str">
        <f ca="1"/>
        <v>youtube_video_imp</v>
      </c>
      <c r="O36" s="152">
        <f ca="1"/>
        <v>0</v>
      </c>
    </row>
    <row r="37" spans="2:15" x14ac:dyDescent="0.2">
      <c r="B37" s="119" t="str">
        <f ca="1"/>
        <v>Online Video</v>
      </c>
      <c r="C37" s="118">
        <f ca="1"/>
        <v>25</v>
      </c>
      <c r="E37" s="49" t="str">
        <f t="shared" si="1"/>
        <v>'nongoogle_video_spend':{ 'lag': 0, 'adstock': 0, 'coeff': 0.01132},</v>
      </c>
      <c r="F37" s="511"/>
      <c r="G37" s="512" t="s">
        <v>161</v>
      </c>
      <c r="H37" s="512">
        <v>0</v>
      </c>
      <c r="I37" s="512">
        <v>0</v>
      </c>
      <c r="J37" s="512"/>
      <c r="K37" s="513">
        <v>1.132E-2</v>
      </c>
      <c r="L37" s="523">
        <v>0</v>
      </c>
      <c r="N37" s="122" t="str">
        <f ca="1"/>
        <v>nongoogle_video_spend</v>
      </c>
      <c r="O37" s="152">
        <f ca="1"/>
        <v>0</v>
      </c>
    </row>
    <row r="38" spans="2:15" x14ac:dyDescent="0.2">
      <c r="B38" s="119" t="str">
        <f ca="1"/>
        <v>Display</v>
      </c>
      <c r="C38" s="118">
        <f ca="1"/>
        <v>10</v>
      </c>
      <c r="E38" s="49" t="str">
        <f t="shared" si="1"/>
        <v>'google_display_imp':{ 'lag': 0, 'adstock': 0, 'coeff': 0.020604},</v>
      </c>
      <c r="F38" s="184"/>
      <c r="G38" s="512" t="s">
        <v>146</v>
      </c>
      <c r="H38" s="512">
        <v>0</v>
      </c>
      <c r="I38" s="512">
        <v>0</v>
      </c>
      <c r="J38" s="512"/>
      <c r="K38" s="513">
        <v>2.0604000000000001E-2</v>
      </c>
      <c r="L38" s="523">
        <v>0</v>
      </c>
      <c r="N38" s="122" t="str">
        <f ca="1"/>
        <v>google_display_imp</v>
      </c>
      <c r="O38" s="152">
        <f ca="1"/>
        <v>0</v>
      </c>
    </row>
    <row r="39" spans="2:15" x14ac:dyDescent="0.2">
      <c r="B39" s="119" t="str">
        <f ca="1"/>
        <v>Display</v>
      </c>
      <c r="C39" s="118">
        <f ca="1"/>
        <v>24</v>
      </c>
      <c r="E39" s="49" t="str">
        <f t="shared" si="1"/>
        <v>'nongoogle_display_spend':{ 'lag': 0, 'adstock': 0, 'coeff': 0.014703},</v>
      </c>
      <c r="F39" s="184"/>
      <c r="G39" s="512" t="s">
        <v>160</v>
      </c>
      <c r="H39">
        <v>0</v>
      </c>
      <c r="I39">
        <v>0</v>
      </c>
      <c r="K39" s="507">
        <v>1.4703000000000001E-2</v>
      </c>
      <c r="L39" s="514">
        <v>0</v>
      </c>
      <c r="N39" s="122" t="str">
        <f ca="1"/>
        <v>nongoogle_display_spend</v>
      </c>
      <c r="O39" s="152">
        <f ca="1"/>
        <v>0</v>
      </c>
    </row>
    <row r="40" spans="2:15" x14ac:dyDescent="0.2">
      <c r="B40" s="119"/>
      <c r="C40" s="118"/>
      <c r="E40" s="49" t="str">
        <f t="shared" si="1"/>
        <v>'':{ 'coeff': },</v>
      </c>
      <c r="F40" s="184"/>
      <c r="K40" s="507"/>
      <c r="L40" s="514"/>
      <c r="N40" s="122"/>
      <c r="O40" s="152"/>
    </row>
    <row r="41" spans="2:15" x14ac:dyDescent="0.2">
      <c r="B41" s="119"/>
      <c r="C41" s="118"/>
      <c r="E41" s="49" t="str">
        <f t="shared" si="1"/>
        <v>'':{ 'coeff': },</v>
      </c>
      <c r="F41" s="184"/>
      <c r="K41" s="507"/>
      <c r="L41" s="514"/>
      <c r="N41" s="122"/>
      <c r="O41" s="152"/>
    </row>
    <row r="42" spans="2:15" x14ac:dyDescent="0.2">
      <c r="B42" s="119"/>
      <c r="C42" s="118"/>
      <c r="E42" s="49" t="str">
        <f t="shared" si="1"/>
        <v>'':{ 'coeff': },</v>
      </c>
      <c r="F42" s="184"/>
      <c r="K42" s="507"/>
      <c r="L42" s="514"/>
      <c r="N42" s="122"/>
      <c r="O42" s="152"/>
    </row>
    <row r="43" spans="2:15" x14ac:dyDescent="0.2">
      <c r="B43" s="119"/>
      <c r="C43" s="118"/>
      <c r="E43" s="49" t="str">
        <f t="shared" si="1"/>
        <v>'':{ 'coeff': },</v>
      </c>
      <c r="F43" s="184"/>
      <c r="K43" s="507"/>
      <c r="L43" s="514"/>
      <c r="N43" s="122"/>
      <c r="O43" s="152"/>
    </row>
    <row r="44" spans="2:15" x14ac:dyDescent="0.2">
      <c r="B44" s="119"/>
      <c r="C44" s="118"/>
      <c r="E44" s="49" t="str">
        <f t="shared" si="1"/>
        <v>'':{ 'coeff': },</v>
      </c>
      <c r="F44" s="184"/>
      <c r="K44" s="507"/>
      <c r="L44" s="514"/>
      <c r="N44" s="122"/>
      <c r="O44" s="152"/>
    </row>
    <row r="45" spans="2:15" x14ac:dyDescent="0.2">
      <c r="B45" s="119"/>
      <c r="C45" s="118"/>
      <c r="E45" s="49" t="str">
        <f t="shared" si="1"/>
        <v>'':{ 'coeff': },</v>
      </c>
      <c r="F45" s="184"/>
      <c r="K45" s="507"/>
      <c r="L45" s="514"/>
      <c r="N45" s="122"/>
      <c r="O45" s="152"/>
    </row>
    <row r="46" spans="2:15" x14ac:dyDescent="0.2">
      <c r="B46" s="119"/>
      <c r="C46" s="118"/>
      <c r="E46" s="49" t="str">
        <f t="shared" si="1"/>
        <v>'':{ 'coeff': },</v>
      </c>
      <c r="F46" s="184"/>
      <c r="K46" s="507"/>
      <c r="L46" s="514"/>
      <c r="N46" s="122"/>
      <c r="O46" s="152"/>
    </row>
    <row r="47" spans="2:15" x14ac:dyDescent="0.2">
      <c r="B47" s="119"/>
      <c r="C47" s="118"/>
      <c r="E47" s="49" t="str">
        <f t="shared" si="1"/>
        <v>'':{ 'coeff': },</v>
      </c>
      <c r="F47" s="184"/>
      <c r="K47" s="507"/>
      <c r="L47" s="514"/>
      <c r="N47" s="122"/>
      <c r="O47" s="152"/>
    </row>
    <row r="48" spans="2:15" x14ac:dyDescent="0.2">
      <c r="B48" s="119"/>
      <c r="C48" s="118"/>
      <c r="E48" s="49" t="str">
        <f t="shared" si="1"/>
        <v>'':{ 'coeff': },</v>
      </c>
      <c r="F48" s="184"/>
      <c r="K48" s="507"/>
      <c r="L48" s="514"/>
      <c r="N48" s="122"/>
      <c r="O48" s="152"/>
    </row>
    <row r="49" spans="2:15" x14ac:dyDescent="0.2">
      <c r="B49" s="119"/>
      <c r="C49" s="118"/>
      <c r="E49" s="49" t="str">
        <f t="shared" si="1"/>
        <v>'':{ 'coeff': },</v>
      </c>
      <c r="F49" s="184"/>
      <c r="K49" s="507"/>
      <c r="L49" s="514"/>
      <c r="N49" s="122"/>
      <c r="O49" s="152"/>
    </row>
    <row r="50" spans="2:15" x14ac:dyDescent="0.2">
      <c r="B50" s="119"/>
      <c r="C50" s="118"/>
      <c r="E50" s="49" t="str">
        <f t="shared" si="1"/>
        <v>'':{ 'coeff': },</v>
      </c>
      <c r="F50" s="184"/>
      <c r="K50" s="507"/>
      <c r="L50" s="514"/>
      <c r="N50" s="122"/>
      <c r="O50" s="152"/>
    </row>
    <row r="51" spans="2:15" x14ac:dyDescent="0.2">
      <c r="B51" s="119"/>
      <c r="C51" s="118"/>
      <c r="E51" s="49" t="str">
        <f t="shared" si="1"/>
        <v>'':{ 'coeff': },</v>
      </c>
      <c r="F51" s="184"/>
      <c r="K51" s="507"/>
      <c r="L51" s="514"/>
      <c r="N51" s="122"/>
      <c r="O51" s="152"/>
    </row>
    <row r="52" spans="2:15" x14ac:dyDescent="0.2">
      <c r="B52" s="119"/>
      <c r="C52" s="118"/>
      <c r="E52" s="49" t="str">
        <f t="shared" si="1"/>
        <v>'':{ 'coeff': },</v>
      </c>
      <c r="F52" s="184"/>
      <c r="K52" s="507"/>
      <c r="L52" s="514"/>
      <c r="N52" s="122"/>
      <c r="O52" s="152"/>
    </row>
    <row r="53" spans="2:15" x14ac:dyDescent="0.2">
      <c r="B53" s="119"/>
      <c r="C53" s="118"/>
      <c r="E53" s="49" t="str">
        <f t="shared" si="1"/>
        <v>'':{ 'coeff': },</v>
      </c>
      <c r="F53" s="184"/>
      <c r="K53" s="507"/>
      <c r="L53" s="514"/>
      <c r="N53" s="122"/>
      <c r="O53" s="152"/>
    </row>
    <row r="54" spans="2:15" x14ac:dyDescent="0.2">
      <c r="B54" s="119"/>
      <c r="C54" s="118"/>
      <c r="E54" s="49" t="str">
        <f t="shared" si="1"/>
        <v>'':{ 'coeff': },</v>
      </c>
      <c r="F54" s="184"/>
      <c r="K54" s="507"/>
      <c r="L54" s="514"/>
      <c r="N54" s="122"/>
      <c r="O54" s="152"/>
    </row>
    <row r="55" spans="2:15" x14ac:dyDescent="0.2">
      <c r="B55" s="119"/>
      <c r="C55" s="118"/>
      <c r="E55" s="49" t="str">
        <f t="shared" si="1"/>
        <v>'':{ 'coeff': },</v>
      </c>
      <c r="F55" s="184"/>
      <c r="K55" s="507"/>
      <c r="L55" s="514"/>
      <c r="N55" s="122"/>
      <c r="O55" s="152"/>
    </row>
    <row r="56" spans="2:15" x14ac:dyDescent="0.2">
      <c r="B56" s="119"/>
      <c r="C56" s="118"/>
      <c r="E56" s="49" t="str">
        <f t="shared" si="1"/>
        <v>'':{ 'coeff': },</v>
      </c>
      <c r="F56" s="184"/>
      <c r="K56" s="507"/>
      <c r="L56" s="514"/>
      <c r="N56" s="122"/>
      <c r="O56" s="152"/>
    </row>
    <row r="57" spans="2:15" x14ac:dyDescent="0.2">
      <c r="B57" s="119"/>
      <c r="C57" s="118"/>
      <c r="E57" s="49" t="str">
        <f t="shared" si="1"/>
        <v>'':{ 'coeff': },</v>
      </c>
      <c r="F57" s="184"/>
      <c r="K57" s="507"/>
      <c r="L57" s="514"/>
      <c r="N57" s="122"/>
      <c r="O57" s="152"/>
    </row>
    <row r="58" spans="2:15" x14ac:dyDescent="0.2">
      <c r="B58" s="119"/>
      <c r="C58" s="118"/>
      <c r="E58" s="49" t="str">
        <f t="shared" si="1"/>
        <v>'':{ 'coeff': },</v>
      </c>
      <c r="F58" s="184"/>
      <c r="K58" s="507"/>
      <c r="L58" s="514"/>
      <c r="N58" s="122"/>
      <c r="O58" s="152"/>
    </row>
    <row r="59" spans="2:15" x14ac:dyDescent="0.2">
      <c r="B59" s="119"/>
      <c r="C59" s="118"/>
      <c r="E59" s="49" t="str">
        <f t="shared" si="1"/>
        <v>'':{ 'coeff': },</v>
      </c>
      <c r="F59" s="184"/>
      <c r="K59" s="507"/>
      <c r="L59" s="514"/>
      <c r="N59" s="122"/>
      <c r="O59" s="152"/>
    </row>
    <row r="60" spans="2:15" x14ac:dyDescent="0.2">
      <c r="B60" s="119"/>
      <c r="C60" s="118"/>
      <c r="E60" s="49" t="str">
        <f t="shared" si="1"/>
        <v>'':{ 'coeff': },</v>
      </c>
      <c r="F60" s="184"/>
      <c r="K60" s="507"/>
      <c r="L60" s="514"/>
      <c r="N60" s="122"/>
      <c r="O60" s="152"/>
    </row>
    <row r="61" spans="2:15" x14ac:dyDescent="0.2">
      <c r="B61" s="119"/>
      <c r="C61" s="118"/>
      <c r="E61" s="49" t="str">
        <f t="shared" si="1"/>
        <v>'':{ 'coeff': },</v>
      </c>
      <c r="F61" s="184"/>
      <c r="K61" s="507"/>
      <c r="L61" s="514"/>
      <c r="N61" s="122"/>
      <c r="O61" s="152"/>
    </row>
    <row r="62" spans="2:15" x14ac:dyDescent="0.2">
      <c r="B62" s="119"/>
      <c r="C62" s="118"/>
      <c r="E62" s="49" t="str">
        <f t="shared" si="1"/>
        <v>'':{ 'coeff': },</v>
      </c>
      <c r="F62" s="184"/>
      <c r="K62" s="507"/>
      <c r="L62" s="514"/>
      <c r="N62" s="122"/>
      <c r="O62" s="152"/>
    </row>
    <row r="63" spans="2:15" x14ac:dyDescent="0.2">
      <c r="B63" s="119"/>
      <c r="C63" s="118"/>
      <c r="E63" s="49" t="str">
        <f t="shared" si="1"/>
        <v>'':{ 'coeff': },</v>
      </c>
      <c r="F63" s="184"/>
      <c r="K63" s="507"/>
      <c r="L63" s="514"/>
      <c r="N63" s="122"/>
      <c r="O63" s="152"/>
    </row>
    <row r="64" spans="2:15" x14ac:dyDescent="0.2">
      <c r="B64" s="119"/>
      <c r="C64" s="118"/>
      <c r="E64" s="49" t="str">
        <f t="shared" si="1"/>
        <v>'':{ 'coeff': },</v>
      </c>
      <c r="F64" s="184"/>
      <c r="K64" s="507"/>
      <c r="L64" s="514"/>
      <c r="N64" s="122"/>
      <c r="O64" s="152"/>
    </row>
    <row r="65" spans="2:15" x14ac:dyDescent="0.2">
      <c r="B65" s="119"/>
      <c r="C65" s="118"/>
      <c r="E65" s="49" t="str">
        <f t="shared" si="1"/>
        <v>'':{ 'coeff': },</v>
      </c>
      <c r="F65" s="184"/>
      <c r="K65" s="507"/>
      <c r="L65" s="514"/>
      <c r="N65" s="122"/>
      <c r="O65" s="152"/>
    </row>
    <row r="66" spans="2:15" x14ac:dyDescent="0.2">
      <c r="B66" s="119"/>
      <c r="C66" s="118"/>
      <c r="E66" s="49" t="str">
        <f t="shared" si="1"/>
        <v>'':{ 'coeff': },</v>
      </c>
      <c r="F66" s="184"/>
      <c r="K66" s="507"/>
      <c r="L66" s="514"/>
      <c r="N66" s="122"/>
      <c r="O66" s="152"/>
    </row>
    <row r="67" spans="2:15" x14ac:dyDescent="0.2">
      <c r="B67" s="119"/>
      <c r="C67" s="118"/>
      <c r="E67" s="49" t="str">
        <f t="shared" si="1"/>
        <v>'':{ 'coeff': },</v>
      </c>
      <c r="F67" s="184"/>
      <c r="K67" s="507"/>
      <c r="L67" s="514"/>
      <c r="N67" s="122"/>
      <c r="O67" s="152"/>
    </row>
    <row r="68" spans="2:15" x14ac:dyDescent="0.2">
      <c r="B68" s="119"/>
      <c r="C68" s="118"/>
      <c r="E68" s="49" t="str">
        <f t="shared" si="1"/>
        <v>'':{ 'coeff': },</v>
      </c>
      <c r="F68" s="184"/>
      <c r="K68" s="507"/>
      <c r="L68" s="514"/>
      <c r="N68" s="122"/>
      <c r="O68" s="152"/>
    </row>
    <row r="69" spans="2:15" x14ac:dyDescent="0.2">
      <c r="B69" s="119"/>
      <c r="C69" s="118"/>
      <c r="E69" s="49" t="str">
        <f t="shared" si="1"/>
        <v>'':{ 'coeff': },</v>
      </c>
      <c r="F69" s="184"/>
      <c r="K69" s="507"/>
      <c r="L69" s="514"/>
      <c r="N69" s="122"/>
      <c r="O69" s="152"/>
    </row>
    <row r="70" spans="2:15" x14ac:dyDescent="0.2">
      <c r="B70" s="119"/>
      <c r="C70" s="118"/>
      <c r="E70" s="49" t="str">
        <f t="shared" si="1"/>
        <v>'':{ 'coeff': },</v>
      </c>
      <c r="F70" s="184"/>
      <c r="K70" s="507"/>
      <c r="L70" s="514"/>
      <c r="N70" s="122"/>
      <c r="O70" s="152"/>
    </row>
    <row r="71" spans="2:15" x14ac:dyDescent="0.2">
      <c r="B71" s="119"/>
      <c r="C71" s="118"/>
      <c r="E71" s="49" t="str">
        <f t="shared" si="1"/>
        <v>'':{ 'coeff': },</v>
      </c>
      <c r="F71" s="184"/>
      <c r="K71" s="507"/>
      <c r="L71" s="514"/>
      <c r="N71" s="122"/>
      <c r="O71" s="152"/>
    </row>
    <row r="72" spans="2:15" x14ac:dyDescent="0.2">
      <c r="B72" s="119"/>
      <c r="C72" s="118"/>
      <c r="E72" s="49" t="str">
        <f t="shared" si="1"/>
        <v>'':{ 'coeff': },</v>
      </c>
      <c r="F72" s="184"/>
      <c r="K72" s="507"/>
      <c r="L72" s="514"/>
      <c r="N72" s="122"/>
      <c r="O72" s="152"/>
    </row>
    <row r="73" spans="2:15" x14ac:dyDescent="0.2">
      <c r="B73" s="119"/>
      <c r="C73" s="118"/>
      <c r="E73" s="49" t="str">
        <f t="shared" si="1"/>
        <v>'':{ 'coeff': },</v>
      </c>
      <c r="F73" s="184"/>
      <c r="K73" s="507"/>
      <c r="L73" s="514"/>
      <c r="N73" s="122"/>
      <c r="O73" s="152"/>
    </row>
    <row r="74" spans="2:15" x14ac:dyDescent="0.2">
      <c r="B74" s="119"/>
      <c r="C74" s="118"/>
      <c r="E74" s="49" t="str">
        <f t="shared" ref="E74:E136" si="2">"'"&amp;G74&amp;"':{"&amp;IF(H74="",""," 'lag': "&amp;H74&amp;",")&amp;IF(I74="",""," 'adstock': "&amp;I74&amp;",")&amp;IF(J74="",""," 'saturation': {'saturation_type': 'hill', 'S': "&amp;INT(J74)&amp;", 'K': "&amp;MOD(J74,1)&amp;"},")&amp;" 'coeff': "&amp;K74&amp;"},"</f>
        <v>'':{ 'coeff': },</v>
      </c>
      <c r="F74" s="184"/>
      <c r="K74" s="507"/>
      <c r="L74" s="514"/>
      <c r="N74" s="122"/>
      <c r="O74" s="152"/>
    </row>
    <row r="75" spans="2:15" x14ac:dyDescent="0.2">
      <c r="B75" s="119"/>
      <c r="C75" s="118"/>
      <c r="E75" s="49" t="str">
        <f t="shared" si="2"/>
        <v>'':{ 'coeff': },</v>
      </c>
      <c r="F75" s="184"/>
      <c r="K75" s="507"/>
      <c r="L75" s="514"/>
      <c r="N75" s="122"/>
      <c r="O75" s="152"/>
    </row>
    <row r="76" spans="2:15" x14ac:dyDescent="0.2">
      <c r="B76" s="119"/>
      <c r="C76" s="118"/>
      <c r="E76" s="49" t="str">
        <f t="shared" si="2"/>
        <v>'':{ 'coeff': },</v>
      </c>
      <c r="F76" s="184"/>
      <c r="K76" s="507"/>
      <c r="L76" s="514"/>
      <c r="N76" s="122"/>
      <c r="O76" s="152"/>
    </row>
    <row r="77" spans="2:15" x14ac:dyDescent="0.2">
      <c r="B77" s="119"/>
      <c r="C77" s="118"/>
      <c r="E77" s="49" t="str">
        <f t="shared" si="2"/>
        <v>'':{ 'coeff': },</v>
      </c>
      <c r="F77" s="184"/>
      <c r="K77" s="507"/>
      <c r="L77" s="514"/>
      <c r="N77" s="122"/>
      <c r="O77" s="152"/>
    </row>
    <row r="78" spans="2:15" x14ac:dyDescent="0.2">
      <c r="B78" s="119"/>
      <c r="C78" s="118"/>
      <c r="E78" s="49" t="str">
        <f t="shared" si="2"/>
        <v>'':{ 'coeff': },</v>
      </c>
      <c r="F78" s="184"/>
      <c r="K78" s="507"/>
      <c r="L78" s="514"/>
      <c r="N78" s="122"/>
      <c r="O78" s="152"/>
    </row>
    <row r="79" spans="2:15" x14ac:dyDescent="0.2">
      <c r="B79" s="119"/>
      <c r="C79" s="118"/>
      <c r="E79" s="49" t="str">
        <f t="shared" si="2"/>
        <v>'':{ 'coeff': },</v>
      </c>
      <c r="F79" s="184"/>
      <c r="K79" s="507"/>
      <c r="L79" s="514"/>
      <c r="N79" s="122"/>
      <c r="O79" s="152"/>
    </row>
    <row r="80" spans="2:15" x14ac:dyDescent="0.2">
      <c r="B80" s="119"/>
      <c r="C80" s="118"/>
      <c r="E80" s="49" t="str">
        <f t="shared" si="2"/>
        <v>'':{ 'coeff': },</v>
      </c>
      <c r="F80" s="184"/>
      <c r="K80" s="507"/>
      <c r="L80" s="514"/>
      <c r="N80" s="122"/>
      <c r="O80" s="152"/>
    </row>
    <row r="81" spans="2:15" x14ac:dyDescent="0.2">
      <c r="B81" s="119"/>
      <c r="C81" s="118"/>
      <c r="E81" s="49" t="str">
        <f t="shared" si="2"/>
        <v>'':{ 'coeff': },</v>
      </c>
      <c r="F81" s="184"/>
      <c r="K81" s="507"/>
      <c r="L81" s="514"/>
      <c r="N81" s="122"/>
      <c r="O81" s="152"/>
    </row>
    <row r="82" spans="2:15" x14ac:dyDescent="0.2">
      <c r="B82" s="119"/>
      <c r="C82" s="118"/>
      <c r="E82" s="49" t="str">
        <f t="shared" si="2"/>
        <v>'':{ 'coeff': },</v>
      </c>
      <c r="F82" s="184"/>
      <c r="K82" s="507"/>
      <c r="L82" s="514"/>
      <c r="N82" s="122"/>
      <c r="O82" s="152"/>
    </row>
    <row r="83" spans="2:15" x14ac:dyDescent="0.2">
      <c r="B83" s="119"/>
      <c r="C83" s="118"/>
      <c r="E83" s="49" t="str">
        <f t="shared" si="2"/>
        <v>'':{ 'coeff': },</v>
      </c>
      <c r="F83" s="184"/>
      <c r="K83" s="507"/>
      <c r="L83" s="514"/>
      <c r="N83" s="122"/>
      <c r="O83" s="152"/>
    </row>
    <row r="84" spans="2:15" x14ac:dyDescent="0.2">
      <c r="B84" s="119"/>
      <c r="C84" s="118"/>
      <c r="E84" s="49" t="str">
        <f t="shared" si="2"/>
        <v>'':{ 'coeff': },</v>
      </c>
      <c r="F84" s="184"/>
      <c r="K84" s="507"/>
      <c r="L84" s="514"/>
      <c r="N84" s="122"/>
      <c r="O84" s="152"/>
    </row>
    <row r="85" spans="2:15" x14ac:dyDescent="0.2">
      <c r="B85" s="119"/>
      <c r="C85" s="118"/>
      <c r="E85" s="49" t="str">
        <f t="shared" si="2"/>
        <v>'':{ 'coeff': },</v>
      </c>
      <c r="F85" s="184"/>
      <c r="K85" s="507"/>
      <c r="L85" s="514"/>
      <c r="N85" s="122"/>
      <c r="O85" s="152"/>
    </row>
    <row r="86" spans="2:15" x14ac:dyDescent="0.2">
      <c r="B86" s="119"/>
      <c r="C86" s="118"/>
      <c r="E86" s="49" t="str">
        <f t="shared" si="2"/>
        <v>'':{ 'coeff': },</v>
      </c>
      <c r="F86" s="184"/>
      <c r="K86" s="507"/>
      <c r="L86" s="514"/>
      <c r="N86" s="122"/>
      <c r="O86" s="152"/>
    </row>
    <row r="87" spans="2:15" x14ac:dyDescent="0.2">
      <c r="B87" s="119"/>
      <c r="C87" s="118"/>
      <c r="E87" s="49" t="str">
        <f t="shared" si="2"/>
        <v>'':{ 'coeff': },</v>
      </c>
      <c r="F87" s="184"/>
      <c r="K87" s="507"/>
      <c r="L87" s="514"/>
      <c r="N87" s="122"/>
      <c r="O87" s="152"/>
    </row>
    <row r="88" spans="2:15" x14ac:dyDescent="0.2">
      <c r="B88" s="119"/>
      <c r="C88" s="118"/>
      <c r="E88" s="49" t="str">
        <f t="shared" si="2"/>
        <v>'':{ 'coeff': },</v>
      </c>
      <c r="F88" s="184"/>
      <c r="K88" s="507"/>
      <c r="L88" s="514"/>
      <c r="N88" s="122"/>
      <c r="O88" s="152"/>
    </row>
    <row r="89" spans="2:15" x14ac:dyDescent="0.2">
      <c r="B89" s="119"/>
      <c r="C89" s="118"/>
      <c r="E89" s="49" t="str">
        <f t="shared" si="2"/>
        <v>'':{ 'coeff': },</v>
      </c>
      <c r="F89" s="184"/>
      <c r="K89" s="507"/>
      <c r="L89" s="514"/>
      <c r="N89" s="122"/>
      <c r="O89" s="152"/>
    </row>
    <row r="90" spans="2:15" x14ac:dyDescent="0.2">
      <c r="B90" s="119"/>
      <c r="C90" s="118"/>
      <c r="E90" s="49" t="str">
        <f t="shared" si="2"/>
        <v>'':{ 'coeff': },</v>
      </c>
      <c r="F90" s="184"/>
      <c r="K90" s="507"/>
      <c r="L90" s="514"/>
      <c r="N90" s="122"/>
      <c r="O90" s="152"/>
    </row>
    <row r="91" spans="2:15" x14ac:dyDescent="0.2">
      <c r="B91" s="119"/>
      <c r="C91" s="118"/>
      <c r="E91" s="49" t="str">
        <f t="shared" si="2"/>
        <v>'':{ 'coeff': },</v>
      </c>
      <c r="F91" s="184"/>
      <c r="K91" s="507"/>
      <c r="L91" s="514"/>
      <c r="N91" s="122"/>
      <c r="O91" s="152"/>
    </row>
    <row r="92" spans="2:15" x14ac:dyDescent="0.2">
      <c r="B92" s="119"/>
      <c r="C92" s="118"/>
      <c r="E92" s="49" t="str">
        <f t="shared" si="2"/>
        <v>'':{ 'coeff': },</v>
      </c>
      <c r="F92" s="184"/>
      <c r="K92" s="507"/>
      <c r="L92" s="514"/>
      <c r="N92" s="122"/>
      <c r="O92" s="152"/>
    </row>
    <row r="93" spans="2:15" x14ac:dyDescent="0.2">
      <c r="B93" s="119"/>
      <c r="C93" s="118"/>
      <c r="E93" s="49" t="str">
        <f t="shared" si="2"/>
        <v>'':{ 'coeff': },</v>
      </c>
      <c r="F93" s="184"/>
      <c r="K93" s="507"/>
      <c r="L93" s="514"/>
      <c r="N93" s="122"/>
      <c r="O93" s="152"/>
    </row>
    <row r="94" spans="2:15" x14ac:dyDescent="0.2">
      <c r="B94" s="119"/>
      <c r="C94" s="118"/>
      <c r="E94" s="49" t="str">
        <f t="shared" si="2"/>
        <v>'':{ 'coeff': },</v>
      </c>
      <c r="F94" s="184"/>
      <c r="K94" s="507"/>
      <c r="L94" s="514"/>
      <c r="N94" s="122"/>
      <c r="O94" s="152"/>
    </row>
    <row r="95" spans="2:15" x14ac:dyDescent="0.2">
      <c r="B95" s="119"/>
      <c r="C95" s="118"/>
      <c r="E95" s="49" t="str">
        <f t="shared" si="2"/>
        <v>'':{ 'coeff': },</v>
      </c>
      <c r="F95" s="184"/>
      <c r="K95" s="507"/>
      <c r="L95" s="514"/>
      <c r="N95" s="122"/>
      <c r="O95" s="152"/>
    </row>
    <row r="96" spans="2:15" x14ac:dyDescent="0.2">
      <c r="B96" s="119"/>
      <c r="C96" s="118"/>
      <c r="E96" s="49" t="str">
        <f t="shared" si="2"/>
        <v>'':{ 'coeff': },</v>
      </c>
      <c r="F96" s="184"/>
      <c r="K96" s="507"/>
      <c r="L96" s="514"/>
      <c r="N96" s="122"/>
      <c r="O96" s="152"/>
    </row>
    <row r="97" spans="2:15" x14ac:dyDescent="0.2">
      <c r="B97" s="119"/>
      <c r="C97" s="118"/>
      <c r="E97" s="49" t="str">
        <f t="shared" si="2"/>
        <v>'':{ 'coeff': },</v>
      </c>
      <c r="F97" s="184"/>
      <c r="K97" s="507"/>
      <c r="L97" s="514"/>
      <c r="N97" s="122"/>
      <c r="O97" s="152"/>
    </row>
    <row r="98" spans="2:15" x14ac:dyDescent="0.2">
      <c r="B98" s="119"/>
      <c r="C98" s="118"/>
      <c r="E98" s="49" t="str">
        <f t="shared" si="2"/>
        <v>'':{ 'coeff': },</v>
      </c>
      <c r="F98" s="184"/>
      <c r="K98" s="507"/>
      <c r="L98" s="514"/>
      <c r="N98" s="122"/>
      <c r="O98" s="152"/>
    </row>
    <row r="99" spans="2:15" x14ac:dyDescent="0.2">
      <c r="B99" s="119"/>
      <c r="C99" s="118"/>
      <c r="E99" s="49" t="str">
        <f t="shared" si="2"/>
        <v>'':{ 'coeff': },</v>
      </c>
      <c r="F99" s="184"/>
      <c r="K99" s="507"/>
      <c r="L99" s="514"/>
      <c r="N99" s="122"/>
      <c r="O99" s="152"/>
    </row>
    <row r="100" spans="2:15" x14ac:dyDescent="0.2">
      <c r="B100" s="119"/>
      <c r="C100" s="118"/>
      <c r="E100" s="49" t="str">
        <f t="shared" si="2"/>
        <v>'':{ 'coeff': },</v>
      </c>
      <c r="F100" s="184"/>
      <c r="K100" s="507"/>
      <c r="L100" s="514"/>
      <c r="N100" s="122"/>
      <c r="O100" s="152"/>
    </row>
    <row r="101" spans="2:15" x14ac:dyDescent="0.2">
      <c r="B101" s="119"/>
      <c r="C101" s="118"/>
      <c r="E101" s="49" t="str">
        <f t="shared" si="2"/>
        <v>'':{ 'coeff': },</v>
      </c>
      <c r="F101" s="184"/>
      <c r="K101" s="507"/>
      <c r="L101" s="514"/>
      <c r="N101" s="122"/>
      <c r="O101" s="152"/>
    </row>
    <row r="102" spans="2:15" x14ac:dyDescent="0.2">
      <c r="B102" s="119"/>
      <c r="C102" s="118"/>
      <c r="E102" s="49" t="str">
        <f t="shared" si="2"/>
        <v>'':{ 'coeff': },</v>
      </c>
      <c r="F102" s="184"/>
      <c r="K102" s="507"/>
      <c r="L102" s="514"/>
      <c r="N102" s="122"/>
      <c r="O102" s="152"/>
    </row>
    <row r="103" spans="2:15" x14ac:dyDescent="0.2">
      <c r="B103" s="119"/>
      <c r="C103" s="118"/>
      <c r="E103" s="49" t="str">
        <f t="shared" si="2"/>
        <v>'':{ 'coeff': },</v>
      </c>
      <c r="F103" s="184"/>
      <c r="K103" s="507"/>
      <c r="L103" s="514"/>
      <c r="N103" s="122"/>
      <c r="O103" s="152"/>
    </row>
    <row r="104" spans="2:15" x14ac:dyDescent="0.2">
      <c r="B104" s="119"/>
      <c r="C104" s="118"/>
      <c r="E104" s="49" t="str">
        <f t="shared" si="2"/>
        <v>'':{ 'coeff': },</v>
      </c>
      <c r="F104" s="184"/>
      <c r="K104" s="507"/>
      <c r="L104" s="514"/>
      <c r="N104" s="122"/>
      <c r="O104" s="152"/>
    </row>
    <row r="105" spans="2:15" x14ac:dyDescent="0.2">
      <c r="B105" s="119"/>
      <c r="C105" s="118"/>
      <c r="E105" s="49" t="str">
        <f t="shared" si="2"/>
        <v>'':{ 'coeff': },</v>
      </c>
      <c r="F105" s="184"/>
      <c r="K105" s="507"/>
      <c r="L105" s="514"/>
      <c r="N105" s="122"/>
      <c r="O105" s="152"/>
    </row>
    <row r="106" spans="2:15" x14ac:dyDescent="0.2">
      <c r="B106" s="119"/>
      <c r="C106" s="118"/>
      <c r="E106" s="49" t="str">
        <f t="shared" si="2"/>
        <v>'':{ 'coeff': },</v>
      </c>
      <c r="F106" s="184"/>
      <c r="K106" s="507"/>
      <c r="L106" s="514"/>
      <c r="N106" s="122"/>
      <c r="O106" s="152"/>
    </row>
    <row r="107" spans="2:15" x14ac:dyDescent="0.2">
      <c r="B107" s="119"/>
      <c r="C107" s="118"/>
      <c r="E107" s="49" t="str">
        <f t="shared" si="2"/>
        <v>'':{ 'coeff': },</v>
      </c>
      <c r="F107" s="184"/>
      <c r="K107" s="507"/>
      <c r="L107" s="514"/>
      <c r="N107" s="122"/>
      <c r="O107" s="152"/>
    </row>
    <row r="108" spans="2:15" x14ac:dyDescent="0.2">
      <c r="B108" s="119"/>
      <c r="C108" s="118"/>
      <c r="E108" s="49" t="str">
        <f t="shared" si="2"/>
        <v>'':{ 'coeff': },</v>
      </c>
      <c r="F108" s="184"/>
      <c r="K108" s="507"/>
      <c r="L108" s="514"/>
      <c r="N108" s="122"/>
      <c r="O108" s="152"/>
    </row>
    <row r="109" spans="2:15" x14ac:dyDescent="0.2">
      <c r="B109" s="119"/>
      <c r="C109" s="118"/>
      <c r="E109" s="49" t="str">
        <f t="shared" si="2"/>
        <v>'':{ 'coeff': },</v>
      </c>
      <c r="F109" s="184"/>
      <c r="K109" s="507"/>
      <c r="L109" s="514"/>
      <c r="N109" s="122"/>
      <c r="O109" s="152"/>
    </row>
    <row r="110" spans="2:15" x14ac:dyDescent="0.2">
      <c r="B110" s="119"/>
      <c r="C110" s="118"/>
      <c r="E110" s="49" t="str">
        <f t="shared" si="2"/>
        <v>'':{ 'coeff': },</v>
      </c>
      <c r="F110" s="184"/>
      <c r="K110" s="507"/>
      <c r="L110" s="514"/>
      <c r="N110" s="122"/>
      <c r="O110" s="152"/>
    </row>
    <row r="111" spans="2:15" x14ac:dyDescent="0.2">
      <c r="B111" s="119"/>
      <c r="C111" s="118"/>
      <c r="E111" s="49" t="str">
        <f t="shared" si="2"/>
        <v>'':{ 'coeff': },</v>
      </c>
      <c r="F111" s="184"/>
      <c r="K111" s="507"/>
      <c r="L111" s="514"/>
      <c r="N111" s="122"/>
      <c r="O111" s="152"/>
    </row>
    <row r="112" spans="2:15" x14ac:dyDescent="0.2">
      <c r="B112" s="119"/>
      <c r="C112" s="118"/>
      <c r="E112" s="49" t="str">
        <f t="shared" si="2"/>
        <v>'':{ 'coeff': },</v>
      </c>
      <c r="F112" s="184"/>
      <c r="K112" s="507"/>
      <c r="L112" s="514"/>
      <c r="N112" s="122"/>
      <c r="O112" s="152"/>
    </row>
    <row r="113" spans="2:15" x14ac:dyDescent="0.2">
      <c r="B113" s="119"/>
      <c r="C113" s="118"/>
      <c r="E113" s="49" t="str">
        <f t="shared" si="2"/>
        <v>'':{ 'coeff': },</v>
      </c>
      <c r="F113" s="184"/>
      <c r="K113" s="507"/>
      <c r="L113" s="514"/>
      <c r="N113" s="122"/>
      <c r="O113" s="152"/>
    </row>
    <row r="114" spans="2:15" x14ac:dyDescent="0.2">
      <c r="B114" s="119"/>
      <c r="C114" s="118"/>
      <c r="E114" s="49" t="str">
        <f t="shared" si="2"/>
        <v>'':{ 'coeff': },</v>
      </c>
      <c r="F114" s="184"/>
      <c r="K114" s="507"/>
      <c r="L114" s="514"/>
      <c r="N114" s="122"/>
      <c r="O114" s="152"/>
    </row>
    <row r="115" spans="2:15" x14ac:dyDescent="0.2">
      <c r="B115" s="119"/>
      <c r="C115" s="118"/>
      <c r="E115" s="49" t="str">
        <f t="shared" si="2"/>
        <v>'':{ 'coeff': },</v>
      </c>
      <c r="F115" s="184"/>
      <c r="K115" s="507"/>
      <c r="L115" s="514"/>
      <c r="N115" s="122"/>
      <c r="O115" s="152"/>
    </row>
    <row r="116" spans="2:15" x14ac:dyDescent="0.2">
      <c r="B116" s="119"/>
      <c r="C116" s="118"/>
      <c r="E116" s="49" t="str">
        <f t="shared" si="2"/>
        <v>'':{ 'coeff': },</v>
      </c>
      <c r="F116" s="184"/>
      <c r="K116" s="507"/>
      <c r="L116" s="514"/>
      <c r="N116" s="122"/>
      <c r="O116" s="152"/>
    </row>
    <row r="117" spans="2:15" x14ac:dyDescent="0.2">
      <c r="B117" s="119"/>
      <c r="C117" s="118"/>
      <c r="E117" s="49" t="str">
        <f t="shared" si="2"/>
        <v>'':{ 'coeff': },</v>
      </c>
      <c r="F117" s="184"/>
      <c r="K117" s="507"/>
      <c r="L117" s="514"/>
      <c r="N117" s="122"/>
      <c r="O117" s="152"/>
    </row>
    <row r="118" spans="2:15" x14ac:dyDescent="0.2">
      <c r="B118" s="119"/>
      <c r="C118" s="118"/>
      <c r="E118" s="49" t="str">
        <f t="shared" si="2"/>
        <v>'':{ 'coeff': },</v>
      </c>
      <c r="F118" s="184"/>
      <c r="K118" s="507"/>
      <c r="L118" s="514"/>
      <c r="N118" s="122"/>
      <c r="O118" s="152"/>
    </row>
    <row r="119" spans="2:15" x14ac:dyDescent="0.2">
      <c r="B119" s="119"/>
      <c r="C119" s="118"/>
      <c r="E119" s="49" t="str">
        <f t="shared" si="2"/>
        <v>'':{ 'coeff': },</v>
      </c>
      <c r="F119" s="184"/>
      <c r="K119" s="507"/>
      <c r="L119" s="514"/>
      <c r="N119" s="122"/>
      <c r="O119" s="152"/>
    </row>
    <row r="120" spans="2:15" x14ac:dyDescent="0.2">
      <c r="B120" s="119"/>
      <c r="C120" s="118"/>
      <c r="E120" s="49" t="str">
        <f t="shared" si="2"/>
        <v>'':{ 'coeff': },</v>
      </c>
      <c r="F120" s="184"/>
      <c r="K120" s="507"/>
      <c r="L120" s="514"/>
      <c r="N120" s="122"/>
      <c r="O120" s="152"/>
    </row>
    <row r="121" spans="2:15" x14ac:dyDescent="0.2">
      <c r="B121" s="119"/>
      <c r="C121" s="118"/>
      <c r="E121" s="49" t="str">
        <f t="shared" si="2"/>
        <v>'':{ 'coeff': },</v>
      </c>
      <c r="F121" s="184"/>
      <c r="K121" s="507"/>
      <c r="L121" s="514"/>
      <c r="N121" s="122"/>
      <c r="O121" s="152"/>
    </row>
    <row r="122" spans="2:15" x14ac:dyDescent="0.2">
      <c r="B122" s="119"/>
      <c r="C122" s="118"/>
      <c r="E122" s="49" t="str">
        <f t="shared" si="2"/>
        <v>'':{ 'coeff': },</v>
      </c>
      <c r="F122" s="184"/>
      <c r="K122" s="507"/>
      <c r="L122" s="514"/>
      <c r="N122" s="122"/>
      <c r="O122" s="152"/>
    </row>
    <row r="123" spans="2:15" x14ac:dyDescent="0.2">
      <c r="B123" s="119"/>
      <c r="C123" s="118"/>
      <c r="E123" s="49" t="str">
        <f t="shared" si="2"/>
        <v>'':{ 'coeff': },</v>
      </c>
      <c r="F123" s="184"/>
      <c r="K123" s="507"/>
      <c r="L123" s="514"/>
      <c r="N123" s="122"/>
      <c r="O123" s="152"/>
    </row>
    <row r="124" spans="2:15" x14ac:dyDescent="0.2">
      <c r="B124" s="119"/>
      <c r="C124" s="118"/>
      <c r="E124" s="49" t="str">
        <f t="shared" si="2"/>
        <v>'':{ 'coeff': },</v>
      </c>
      <c r="F124" s="184"/>
      <c r="K124" s="507"/>
      <c r="L124" s="514"/>
      <c r="N124" s="122"/>
      <c r="O124" s="152"/>
    </row>
    <row r="125" spans="2:15" x14ac:dyDescent="0.2">
      <c r="B125" s="119"/>
      <c r="C125" s="118"/>
      <c r="E125" s="49" t="str">
        <f t="shared" si="2"/>
        <v>'':{ 'coeff': },</v>
      </c>
      <c r="F125" s="184"/>
      <c r="K125" s="507"/>
      <c r="L125" s="514"/>
      <c r="N125" s="122"/>
      <c r="O125" s="152"/>
    </row>
    <row r="126" spans="2:15" x14ac:dyDescent="0.2">
      <c r="B126" s="119"/>
      <c r="C126" s="118"/>
      <c r="E126" s="49" t="str">
        <f t="shared" si="2"/>
        <v>'':{ 'coeff': },</v>
      </c>
      <c r="F126" s="184"/>
      <c r="K126" s="507"/>
      <c r="L126" s="514"/>
      <c r="N126" s="122"/>
      <c r="O126" s="152"/>
    </row>
    <row r="127" spans="2:15" x14ac:dyDescent="0.2">
      <c r="B127" s="119"/>
      <c r="C127" s="118"/>
      <c r="E127" s="49" t="str">
        <f t="shared" si="2"/>
        <v>'':{ 'coeff': },</v>
      </c>
      <c r="F127" s="184"/>
      <c r="K127" s="507"/>
      <c r="L127" s="514"/>
      <c r="N127" s="122"/>
      <c r="O127" s="152"/>
    </row>
    <row r="128" spans="2:15" x14ac:dyDescent="0.2">
      <c r="B128" s="119"/>
      <c r="C128" s="118"/>
      <c r="E128" s="49" t="str">
        <f t="shared" si="2"/>
        <v>'':{ 'coeff': },</v>
      </c>
      <c r="F128" s="184"/>
      <c r="K128" s="507"/>
      <c r="L128" s="514"/>
      <c r="N128" s="122"/>
      <c r="O128" s="152"/>
    </row>
    <row r="129" spans="2:15" x14ac:dyDescent="0.2">
      <c r="B129" s="119"/>
      <c r="C129" s="118"/>
      <c r="E129" s="49" t="str">
        <f t="shared" si="2"/>
        <v>'':{ 'coeff': },</v>
      </c>
      <c r="F129" s="184"/>
      <c r="K129" s="507"/>
      <c r="L129" s="514"/>
      <c r="N129" s="122"/>
      <c r="O129" s="152"/>
    </row>
    <row r="130" spans="2:15" x14ac:dyDescent="0.2">
      <c r="B130" s="119"/>
      <c r="C130" s="118"/>
      <c r="E130" s="49" t="str">
        <f t="shared" si="2"/>
        <v>'':{ 'coeff': },</v>
      </c>
      <c r="F130" s="184"/>
      <c r="K130" s="507"/>
      <c r="L130" s="514"/>
      <c r="N130" s="122"/>
      <c r="O130" s="152"/>
    </row>
    <row r="131" spans="2:15" x14ac:dyDescent="0.2">
      <c r="B131" s="119"/>
      <c r="C131" s="118"/>
      <c r="E131" s="49" t="str">
        <f t="shared" si="2"/>
        <v>'':{ 'coeff': },</v>
      </c>
      <c r="F131" s="184"/>
      <c r="K131" s="507"/>
      <c r="L131" s="514"/>
      <c r="N131" s="122"/>
      <c r="O131" s="152"/>
    </row>
    <row r="132" spans="2:15" x14ac:dyDescent="0.2">
      <c r="B132" s="119"/>
      <c r="C132" s="118"/>
      <c r="E132" s="49" t="str">
        <f t="shared" si="2"/>
        <v>'':{ 'coeff': },</v>
      </c>
      <c r="F132" s="184"/>
      <c r="K132" s="507"/>
      <c r="L132" s="514"/>
      <c r="N132" s="122"/>
      <c r="O132" s="152"/>
    </row>
    <row r="133" spans="2:15" x14ac:dyDescent="0.2">
      <c r="B133" s="119"/>
      <c r="C133" s="118"/>
      <c r="E133" s="49" t="str">
        <f t="shared" si="2"/>
        <v>'':{ 'coeff': },</v>
      </c>
      <c r="F133" s="184"/>
      <c r="K133" s="507"/>
      <c r="L133" s="514"/>
      <c r="N133" s="122"/>
      <c r="O133" s="152"/>
    </row>
    <row r="134" spans="2:15" x14ac:dyDescent="0.2">
      <c r="B134" s="119"/>
      <c r="C134" s="118"/>
      <c r="E134" s="49" t="str">
        <f t="shared" si="2"/>
        <v>'':{ 'coeff': },</v>
      </c>
      <c r="F134" s="184"/>
      <c r="K134" s="507"/>
      <c r="L134" s="514"/>
      <c r="N134" s="122"/>
      <c r="O134" s="152"/>
    </row>
    <row r="135" spans="2:15" x14ac:dyDescent="0.2">
      <c r="B135" s="119"/>
      <c r="C135" s="118"/>
      <c r="E135" s="49" t="str">
        <f t="shared" si="2"/>
        <v>'':{ 'coeff': },</v>
      </c>
      <c r="F135" s="184"/>
      <c r="K135" s="507"/>
      <c r="L135" s="514"/>
      <c r="N135" s="122"/>
      <c r="O135" s="152"/>
    </row>
    <row r="136" spans="2:15" x14ac:dyDescent="0.2">
      <c r="B136" s="119"/>
      <c r="C136" s="118"/>
      <c r="E136" s="49" t="str">
        <f t="shared" si="2"/>
        <v>'':{ 'coeff': },</v>
      </c>
      <c r="F136" s="184"/>
      <c r="K136" s="507"/>
      <c r="L136" s="514"/>
      <c r="N136" s="122"/>
      <c r="O136" s="152"/>
    </row>
    <row r="137" spans="2:15" x14ac:dyDescent="0.2">
      <c r="B137" s="119"/>
      <c r="C137" s="118"/>
      <c r="E137" s="49" t="str">
        <f t="shared" ref="E137:E200" si="3">"'"&amp;G137&amp;"':{"&amp;IF(H137="",""," 'lag': "&amp;H137&amp;",")&amp;IF(I137="",""," 'adstock': "&amp;I137&amp;",")&amp;IF(J137="",""," 'saturation': {'saturation_type': 'hill', 'S': "&amp;INT(J137)&amp;", 'K': "&amp;MOD(J137,1)&amp;"},")&amp;" 'coeff': "&amp;K137&amp;"},"</f>
        <v>'':{ 'coeff': },</v>
      </c>
      <c r="F137" s="184"/>
      <c r="K137" s="507"/>
      <c r="L137" s="514"/>
      <c r="N137" s="122"/>
      <c r="O137" s="152"/>
    </row>
    <row r="138" spans="2:15" x14ac:dyDescent="0.2">
      <c r="B138" s="119"/>
      <c r="C138" s="118"/>
      <c r="E138" s="49" t="str">
        <f t="shared" si="3"/>
        <v>'':{ 'coeff': },</v>
      </c>
      <c r="F138" s="184"/>
      <c r="K138" s="507"/>
      <c r="L138" s="514"/>
      <c r="N138" s="122"/>
      <c r="O138" s="152"/>
    </row>
    <row r="139" spans="2:15" x14ac:dyDescent="0.2">
      <c r="B139" s="119"/>
      <c r="C139" s="118"/>
      <c r="E139" s="49" t="str">
        <f t="shared" si="3"/>
        <v>'':{ 'coeff': },</v>
      </c>
      <c r="F139" s="184"/>
      <c r="K139" s="507"/>
      <c r="L139" s="514"/>
      <c r="N139" s="122"/>
      <c r="O139" s="152"/>
    </row>
    <row r="140" spans="2:15" x14ac:dyDescent="0.2">
      <c r="B140" s="119"/>
      <c r="C140" s="118"/>
      <c r="E140" s="49" t="str">
        <f t="shared" si="3"/>
        <v>'':{ 'coeff': },</v>
      </c>
      <c r="F140" s="184"/>
      <c r="K140" s="507"/>
      <c r="L140" s="514"/>
      <c r="N140" s="122"/>
      <c r="O140" s="152"/>
    </row>
    <row r="141" spans="2:15" x14ac:dyDescent="0.2">
      <c r="B141" s="119"/>
      <c r="C141" s="118"/>
      <c r="E141" s="49" t="str">
        <f t="shared" si="3"/>
        <v>'':{ 'coeff': },</v>
      </c>
      <c r="F141" s="184"/>
      <c r="K141" s="507"/>
      <c r="L141" s="514"/>
      <c r="N141" s="122"/>
      <c r="O141" s="152"/>
    </row>
    <row r="142" spans="2:15" x14ac:dyDescent="0.2">
      <c r="B142" s="119"/>
      <c r="C142" s="118"/>
      <c r="E142" s="49" t="str">
        <f t="shared" si="3"/>
        <v>'':{ 'coeff': },</v>
      </c>
      <c r="F142" s="184"/>
      <c r="K142" s="507"/>
      <c r="L142" s="514"/>
      <c r="N142" s="122"/>
      <c r="O142" s="152"/>
    </row>
    <row r="143" spans="2:15" x14ac:dyDescent="0.2">
      <c r="B143" s="119"/>
      <c r="C143" s="118"/>
      <c r="E143" s="49" t="str">
        <f t="shared" si="3"/>
        <v>'':{ 'coeff': },</v>
      </c>
      <c r="F143" s="184"/>
      <c r="K143" s="507"/>
      <c r="L143" s="514"/>
      <c r="N143" s="122"/>
      <c r="O143" s="152"/>
    </row>
    <row r="144" spans="2:15" x14ac:dyDescent="0.2">
      <c r="B144" s="119"/>
      <c r="C144" s="118"/>
      <c r="E144" s="49" t="str">
        <f t="shared" si="3"/>
        <v>'':{ 'coeff': },</v>
      </c>
      <c r="F144" s="184"/>
      <c r="K144" s="507"/>
      <c r="L144" s="514"/>
      <c r="N144" s="122"/>
      <c r="O144" s="152"/>
    </row>
    <row r="145" spans="2:15" x14ac:dyDescent="0.2">
      <c r="B145" s="119"/>
      <c r="C145" s="118"/>
      <c r="E145" s="49" t="str">
        <f t="shared" si="3"/>
        <v>'':{ 'coeff': },</v>
      </c>
      <c r="F145" s="184"/>
      <c r="K145" s="507"/>
      <c r="L145" s="514"/>
      <c r="N145" s="122"/>
      <c r="O145" s="152"/>
    </row>
    <row r="146" spans="2:15" x14ac:dyDescent="0.2">
      <c r="B146" s="119"/>
      <c r="C146" s="118"/>
      <c r="E146" s="49" t="str">
        <f t="shared" si="3"/>
        <v>'':{ 'coeff': },</v>
      </c>
      <c r="F146" s="184"/>
      <c r="K146" s="507"/>
      <c r="L146" s="514"/>
      <c r="N146" s="122"/>
      <c r="O146" s="152"/>
    </row>
    <row r="147" spans="2:15" x14ac:dyDescent="0.2">
      <c r="B147" s="119"/>
      <c r="C147" s="118"/>
      <c r="E147" s="49" t="str">
        <f t="shared" si="3"/>
        <v>'':{ 'coeff': },</v>
      </c>
      <c r="F147" s="184"/>
      <c r="K147" s="507"/>
      <c r="L147" s="514"/>
      <c r="N147" s="122"/>
      <c r="O147" s="152"/>
    </row>
    <row r="148" spans="2:15" x14ac:dyDescent="0.2">
      <c r="B148" s="119"/>
      <c r="C148" s="118"/>
      <c r="E148" s="49" t="str">
        <f t="shared" si="3"/>
        <v>'':{ 'coeff': },</v>
      </c>
      <c r="F148" s="184"/>
      <c r="K148" s="507"/>
      <c r="L148" s="514"/>
      <c r="N148" s="122"/>
      <c r="O148" s="152"/>
    </row>
    <row r="149" spans="2:15" x14ac:dyDescent="0.2">
      <c r="B149" s="119"/>
      <c r="C149" s="118"/>
      <c r="E149" s="49" t="str">
        <f t="shared" si="3"/>
        <v>'':{ 'coeff': },</v>
      </c>
      <c r="F149" s="184"/>
      <c r="K149" s="507"/>
      <c r="L149" s="514"/>
      <c r="N149" s="122"/>
      <c r="O149" s="152"/>
    </row>
    <row r="150" spans="2:15" x14ac:dyDescent="0.2">
      <c r="B150" s="119"/>
      <c r="C150" s="118"/>
      <c r="E150" s="49" t="str">
        <f t="shared" si="3"/>
        <v>'':{ 'coeff': },</v>
      </c>
      <c r="F150" s="184"/>
      <c r="K150" s="507"/>
      <c r="L150" s="514"/>
      <c r="N150" s="122"/>
      <c r="O150" s="152"/>
    </row>
    <row r="151" spans="2:15" x14ac:dyDescent="0.2">
      <c r="B151" s="119"/>
      <c r="C151" s="118"/>
      <c r="E151" s="49" t="str">
        <f t="shared" si="3"/>
        <v>'':{ 'coeff': },</v>
      </c>
      <c r="F151" s="184"/>
      <c r="K151" s="507"/>
      <c r="L151" s="514"/>
      <c r="N151" s="122"/>
      <c r="O151" s="152"/>
    </row>
    <row r="152" spans="2:15" x14ac:dyDescent="0.2">
      <c r="B152" s="119"/>
      <c r="C152" s="118"/>
      <c r="E152" s="49" t="str">
        <f t="shared" si="3"/>
        <v>'':{ 'coeff': },</v>
      </c>
      <c r="F152" s="184"/>
      <c r="K152" s="507"/>
      <c r="L152" s="514"/>
      <c r="N152" s="122"/>
      <c r="O152" s="152"/>
    </row>
    <row r="153" spans="2:15" x14ac:dyDescent="0.2">
      <c r="B153" s="119"/>
      <c r="C153" s="118"/>
      <c r="E153" s="49" t="str">
        <f t="shared" si="3"/>
        <v>'':{ 'coeff': },</v>
      </c>
      <c r="F153" s="184"/>
      <c r="K153" s="507"/>
      <c r="L153" s="514"/>
      <c r="N153" s="122"/>
      <c r="O153" s="152"/>
    </row>
    <row r="154" spans="2:15" x14ac:dyDescent="0.2">
      <c r="B154" s="119"/>
      <c r="C154" s="118"/>
      <c r="E154" s="49" t="str">
        <f t="shared" si="3"/>
        <v>'':{ 'coeff': },</v>
      </c>
      <c r="F154" s="184"/>
      <c r="K154" s="507"/>
      <c r="L154" s="514"/>
      <c r="N154" s="122"/>
      <c r="O154" s="152"/>
    </row>
    <row r="155" spans="2:15" x14ac:dyDescent="0.2">
      <c r="B155" s="119"/>
      <c r="C155" s="118"/>
      <c r="E155" s="49" t="str">
        <f t="shared" si="3"/>
        <v>'':{ 'coeff': },</v>
      </c>
      <c r="F155" s="184"/>
      <c r="K155" s="507"/>
      <c r="L155" s="514"/>
      <c r="N155" s="122"/>
      <c r="O155" s="152"/>
    </row>
    <row r="156" spans="2:15" x14ac:dyDescent="0.2">
      <c r="B156" s="119"/>
      <c r="C156" s="118"/>
      <c r="E156" s="49" t="str">
        <f t="shared" si="3"/>
        <v>'':{ 'coeff': },</v>
      </c>
      <c r="F156" s="184"/>
      <c r="K156" s="507"/>
      <c r="L156" s="514"/>
      <c r="N156" s="122"/>
      <c r="O156" s="152"/>
    </row>
    <row r="157" spans="2:15" x14ac:dyDescent="0.2">
      <c r="B157" s="119"/>
      <c r="C157" s="118"/>
      <c r="E157" s="49" t="str">
        <f t="shared" si="3"/>
        <v>'':{ 'coeff': },</v>
      </c>
      <c r="F157" s="184"/>
      <c r="K157" s="507"/>
      <c r="L157" s="514"/>
      <c r="N157" s="122"/>
      <c r="O157" s="152"/>
    </row>
    <row r="158" spans="2:15" x14ac:dyDescent="0.2">
      <c r="B158" s="119"/>
      <c r="C158" s="118"/>
      <c r="E158" s="49" t="str">
        <f t="shared" si="3"/>
        <v>'':{ 'coeff': },</v>
      </c>
      <c r="F158" s="184"/>
      <c r="K158" s="507"/>
      <c r="L158" s="514"/>
      <c r="N158" s="122"/>
      <c r="O158" s="152"/>
    </row>
    <row r="159" spans="2:15" x14ac:dyDescent="0.2">
      <c r="B159" s="119"/>
      <c r="C159" s="118"/>
      <c r="E159" s="49" t="str">
        <f t="shared" si="3"/>
        <v>'':{ 'coeff': },</v>
      </c>
      <c r="F159" s="184"/>
      <c r="K159" s="507"/>
      <c r="L159" s="514"/>
      <c r="N159" s="122"/>
      <c r="O159" s="152"/>
    </row>
    <row r="160" spans="2:15" x14ac:dyDescent="0.2">
      <c r="B160" s="119"/>
      <c r="C160" s="118"/>
      <c r="E160" s="49" t="str">
        <f t="shared" si="3"/>
        <v>'':{ 'coeff': },</v>
      </c>
      <c r="F160" s="184"/>
      <c r="K160" s="507"/>
      <c r="L160" s="514"/>
      <c r="N160" s="122"/>
      <c r="O160" s="152"/>
    </row>
    <row r="161" spans="2:15" x14ac:dyDescent="0.2">
      <c r="B161" s="119"/>
      <c r="C161" s="118"/>
      <c r="E161" s="49" t="str">
        <f t="shared" si="3"/>
        <v>'':{ 'coeff': },</v>
      </c>
      <c r="F161" s="184"/>
      <c r="K161" s="507"/>
      <c r="L161" s="514"/>
      <c r="N161" s="122"/>
      <c r="O161" s="152"/>
    </row>
    <row r="162" spans="2:15" x14ac:dyDescent="0.2">
      <c r="B162" s="119"/>
      <c r="C162" s="118"/>
      <c r="E162" s="49" t="str">
        <f t="shared" si="3"/>
        <v>'':{ 'coeff': },</v>
      </c>
      <c r="F162" s="184"/>
      <c r="K162" s="507"/>
      <c r="L162" s="514"/>
      <c r="N162" s="122"/>
      <c r="O162" s="152"/>
    </row>
    <row r="163" spans="2:15" x14ac:dyDescent="0.2">
      <c r="B163" s="119"/>
      <c r="C163" s="118"/>
      <c r="E163" s="49" t="str">
        <f t="shared" si="3"/>
        <v>'':{ 'coeff': },</v>
      </c>
      <c r="F163" s="184"/>
      <c r="K163" s="507"/>
      <c r="L163" s="514"/>
      <c r="N163" s="122"/>
      <c r="O163" s="152"/>
    </row>
    <row r="164" spans="2:15" x14ac:dyDescent="0.2">
      <c r="B164" s="119"/>
      <c r="C164" s="118"/>
      <c r="E164" s="49" t="str">
        <f t="shared" si="3"/>
        <v>'':{ 'coeff': },</v>
      </c>
      <c r="F164" s="184"/>
      <c r="K164" s="507"/>
      <c r="L164" s="514"/>
      <c r="N164" s="122"/>
      <c r="O164" s="152"/>
    </row>
    <row r="165" spans="2:15" x14ac:dyDescent="0.2">
      <c r="B165" s="119"/>
      <c r="C165" s="118"/>
      <c r="E165" s="49" t="str">
        <f t="shared" si="3"/>
        <v>'':{ 'coeff': },</v>
      </c>
      <c r="F165" s="184"/>
      <c r="K165" s="507"/>
      <c r="L165" s="514"/>
      <c r="N165" s="122"/>
      <c r="O165" s="152"/>
    </row>
    <row r="166" spans="2:15" x14ac:dyDescent="0.2">
      <c r="B166" s="119"/>
      <c r="C166" s="118"/>
      <c r="E166" s="49" t="str">
        <f t="shared" si="3"/>
        <v>'':{ 'coeff': },</v>
      </c>
      <c r="F166" s="184"/>
      <c r="K166" s="507"/>
      <c r="L166" s="514"/>
      <c r="N166" s="122"/>
      <c r="O166" s="152"/>
    </row>
    <row r="167" spans="2:15" x14ac:dyDescent="0.2">
      <c r="B167" s="119"/>
      <c r="C167" s="118"/>
      <c r="E167" s="49" t="str">
        <f t="shared" si="3"/>
        <v>'':{ 'coeff': },</v>
      </c>
      <c r="F167" s="184"/>
      <c r="K167" s="507"/>
      <c r="L167" s="514"/>
      <c r="N167" s="122"/>
      <c r="O167" s="152"/>
    </row>
    <row r="168" spans="2:15" x14ac:dyDescent="0.2">
      <c r="B168" s="119"/>
      <c r="C168" s="118"/>
      <c r="E168" s="49" t="str">
        <f t="shared" si="3"/>
        <v>'':{ 'coeff': },</v>
      </c>
      <c r="F168" s="184"/>
      <c r="K168" s="507"/>
      <c r="L168" s="514"/>
      <c r="N168" s="122"/>
      <c r="O168" s="152"/>
    </row>
    <row r="169" spans="2:15" x14ac:dyDescent="0.2">
      <c r="B169" s="119"/>
      <c r="C169" s="118"/>
      <c r="E169" s="49" t="str">
        <f t="shared" si="3"/>
        <v>'':{ 'coeff': },</v>
      </c>
      <c r="F169" s="184"/>
      <c r="K169" s="507"/>
      <c r="L169" s="514"/>
      <c r="N169" s="122"/>
      <c r="O169" s="152"/>
    </row>
    <row r="170" spans="2:15" x14ac:dyDescent="0.2">
      <c r="B170" s="119"/>
      <c r="C170" s="118"/>
      <c r="E170" s="49" t="str">
        <f t="shared" si="3"/>
        <v>'':{ 'coeff': },</v>
      </c>
      <c r="F170" s="184"/>
      <c r="K170" s="507"/>
      <c r="L170" s="514"/>
      <c r="N170" s="122"/>
      <c r="O170" s="152"/>
    </row>
    <row r="171" spans="2:15" x14ac:dyDescent="0.2">
      <c r="B171" s="119"/>
      <c r="C171" s="118"/>
      <c r="E171" s="49" t="str">
        <f t="shared" si="3"/>
        <v>'':{ 'coeff': },</v>
      </c>
      <c r="F171" s="184"/>
      <c r="K171" s="507"/>
      <c r="L171" s="514"/>
      <c r="N171" s="122"/>
      <c r="O171" s="152"/>
    </row>
    <row r="172" spans="2:15" x14ac:dyDescent="0.2">
      <c r="B172" s="119"/>
      <c r="C172" s="118"/>
      <c r="E172" s="49" t="str">
        <f t="shared" si="3"/>
        <v>'':{ 'coeff': },</v>
      </c>
      <c r="F172" s="184"/>
      <c r="K172" s="507"/>
      <c r="L172" s="514"/>
      <c r="N172" s="122"/>
      <c r="O172" s="152"/>
    </row>
    <row r="173" spans="2:15" x14ac:dyDescent="0.2">
      <c r="B173" s="119"/>
      <c r="C173" s="118"/>
      <c r="E173" s="49" t="str">
        <f t="shared" si="3"/>
        <v>'':{ 'coeff': },</v>
      </c>
      <c r="F173" s="184"/>
      <c r="K173" s="507"/>
      <c r="L173" s="514"/>
      <c r="N173" s="122"/>
      <c r="O173" s="152"/>
    </row>
    <row r="174" spans="2:15" x14ac:dyDescent="0.2">
      <c r="B174" s="119"/>
      <c r="C174" s="118"/>
      <c r="E174" s="49" t="str">
        <f t="shared" si="3"/>
        <v>'':{ 'coeff': },</v>
      </c>
      <c r="F174" s="184"/>
      <c r="K174" s="507"/>
      <c r="L174" s="514"/>
      <c r="N174" s="122"/>
      <c r="O174" s="152"/>
    </row>
    <row r="175" spans="2:15" x14ac:dyDescent="0.2">
      <c r="B175" s="119"/>
      <c r="C175" s="118"/>
      <c r="E175" s="49" t="str">
        <f t="shared" si="3"/>
        <v>'':{ 'coeff': },</v>
      </c>
      <c r="F175" s="184"/>
      <c r="K175" s="507"/>
      <c r="L175" s="514"/>
      <c r="N175" s="122"/>
      <c r="O175" s="152"/>
    </row>
    <row r="176" spans="2:15" x14ac:dyDescent="0.2">
      <c r="B176" s="119"/>
      <c r="C176" s="118"/>
      <c r="E176" s="49" t="str">
        <f t="shared" si="3"/>
        <v>'':{ 'coeff': },</v>
      </c>
      <c r="F176" s="184"/>
      <c r="K176" s="507"/>
      <c r="L176" s="514"/>
      <c r="N176" s="122"/>
      <c r="O176" s="152"/>
    </row>
    <row r="177" spans="2:15" x14ac:dyDescent="0.2">
      <c r="B177" s="119"/>
      <c r="C177" s="118"/>
      <c r="E177" s="49" t="str">
        <f t="shared" si="3"/>
        <v>'':{ 'coeff': },</v>
      </c>
      <c r="F177" s="184"/>
      <c r="K177" s="507"/>
      <c r="L177" s="514"/>
      <c r="N177" s="122"/>
      <c r="O177" s="152"/>
    </row>
    <row r="178" spans="2:15" x14ac:dyDescent="0.2">
      <c r="B178" s="119"/>
      <c r="C178" s="118"/>
      <c r="E178" s="49" t="str">
        <f t="shared" si="3"/>
        <v>'':{ 'coeff': },</v>
      </c>
      <c r="F178" s="184"/>
      <c r="K178" s="507"/>
      <c r="L178" s="514"/>
      <c r="N178" s="122"/>
      <c r="O178" s="152"/>
    </row>
    <row r="179" spans="2:15" x14ac:dyDescent="0.2">
      <c r="B179" s="119"/>
      <c r="C179" s="118"/>
      <c r="E179" s="49" t="str">
        <f t="shared" si="3"/>
        <v>'':{ 'coeff': },</v>
      </c>
      <c r="F179" s="184"/>
      <c r="K179" s="507"/>
      <c r="L179" s="514"/>
      <c r="N179" s="122"/>
      <c r="O179" s="152"/>
    </row>
    <row r="180" spans="2:15" x14ac:dyDescent="0.2">
      <c r="B180" s="119"/>
      <c r="C180" s="118"/>
      <c r="E180" s="49" t="str">
        <f t="shared" si="3"/>
        <v>'':{ 'coeff': },</v>
      </c>
      <c r="F180" s="184"/>
      <c r="K180" s="507"/>
      <c r="L180" s="514"/>
      <c r="N180" s="122"/>
      <c r="O180" s="152"/>
    </row>
    <row r="181" spans="2:15" x14ac:dyDescent="0.2">
      <c r="B181" s="119"/>
      <c r="C181" s="118"/>
      <c r="E181" s="49" t="str">
        <f t="shared" si="3"/>
        <v>'':{ 'coeff': },</v>
      </c>
      <c r="F181" s="184"/>
      <c r="K181" s="507"/>
      <c r="L181" s="514"/>
      <c r="N181" s="122"/>
      <c r="O181" s="152"/>
    </row>
    <row r="182" spans="2:15" x14ac:dyDescent="0.2">
      <c r="B182" s="119"/>
      <c r="C182" s="118"/>
      <c r="E182" s="49" t="str">
        <f t="shared" si="3"/>
        <v>'':{ 'coeff': },</v>
      </c>
      <c r="F182" s="184"/>
      <c r="K182" s="507"/>
      <c r="L182" s="514"/>
      <c r="N182" s="122"/>
      <c r="O182" s="152"/>
    </row>
    <row r="183" spans="2:15" x14ac:dyDescent="0.2">
      <c r="B183" s="119"/>
      <c r="C183" s="118"/>
      <c r="E183" s="49" t="str">
        <f t="shared" si="3"/>
        <v>'':{ 'coeff': },</v>
      </c>
      <c r="F183" s="184"/>
      <c r="K183" s="507"/>
      <c r="L183" s="514"/>
      <c r="N183" s="122"/>
      <c r="O183" s="152"/>
    </row>
    <row r="184" spans="2:15" x14ac:dyDescent="0.2">
      <c r="B184" s="119"/>
      <c r="C184" s="118"/>
      <c r="E184" s="49" t="str">
        <f t="shared" si="3"/>
        <v>'':{ 'coeff': },</v>
      </c>
      <c r="F184" s="184"/>
      <c r="K184" s="507"/>
      <c r="L184" s="514"/>
      <c r="N184" s="122"/>
      <c r="O184" s="152"/>
    </row>
    <row r="185" spans="2:15" x14ac:dyDescent="0.2">
      <c r="B185" s="119"/>
      <c r="C185" s="118"/>
      <c r="E185" s="49" t="str">
        <f t="shared" si="3"/>
        <v>'':{ 'coeff': },</v>
      </c>
      <c r="F185" s="184"/>
      <c r="K185" s="507"/>
      <c r="L185" s="514"/>
      <c r="N185" s="122"/>
      <c r="O185" s="152"/>
    </row>
    <row r="186" spans="2:15" x14ac:dyDescent="0.2">
      <c r="B186" s="119"/>
      <c r="C186" s="118"/>
      <c r="E186" s="49" t="str">
        <f t="shared" si="3"/>
        <v>'':{ 'coeff': },</v>
      </c>
      <c r="F186" s="184"/>
      <c r="K186" s="507"/>
      <c r="L186" s="514"/>
      <c r="N186" s="122"/>
      <c r="O186" s="152"/>
    </row>
    <row r="187" spans="2:15" x14ac:dyDescent="0.2">
      <c r="B187" s="119"/>
      <c r="C187" s="118"/>
      <c r="E187" s="49" t="str">
        <f t="shared" si="3"/>
        <v>'':{ 'coeff': },</v>
      </c>
      <c r="F187" s="184"/>
      <c r="K187" s="507"/>
      <c r="L187" s="514"/>
      <c r="N187" s="122"/>
      <c r="O187" s="152"/>
    </row>
    <row r="188" spans="2:15" x14ac:dyDescent="0.2">
      <c r="B188" s="119"/>
      <c r="C188" s="118"/>
      <c r="E188" s="49" t="str">
        <f t="shared" si="3"/>
        <v>'':{ 'coeff': },</v>
      </c>
      <c r="F188" s="184"/>
      <c r="K188" s="507"/>
      <c r="L188" s="514"/>
      <c r="N188" s="122"/>
      <c r="O188" s="152"/>
    </row>
    <row r="189" spans="2:15" x14ac:dyDescent="0.2">
      <c r="B189" s="119"/>
      <c r="C189" s="118"/>
      <c r="E189" s="49" t="str">
        <f t="shared" si="3"/>
        <v>'':{ 'coeff': },</v>
      </c>
      <c r="F189" s="184"/>
      <c r="K189" s="507"/>
      <c r="L189" s="514"/>
      <c r="N189" s="122"/>
      <c r="O189" s="152"/>
    </row>
    <row r="190" spans="2:15" x14ac:dyDescent="0.2">
      <c r="B190" s="119"/>
      <c r="C190" s="118"/>
      <c r="E190" s="49" t="str">
        <f t="shared" si="3"/>
        <v>'':{ 'coeff': },</v>
      </c>
      <c r="F190" s="184"/>
      <c r="K190" s="507"/>
      <c r="L190" s="514"/>
      <c r="N190" s="122"/>
      <c r="O190" s="152"/>
    </row>
    <row r="191" spans="2:15" x14ac:dyDescent="0.2">
      <c r="B191" s="119"/>
      <c r="C191" s="118"/>
      <c r="E191" s="49" t="str">
        <f t="shared" si="3"/>
        <v>'':{ 'coeff': },</v>
      </c>
      <c r="F191" s="184"/>
      <c r="K191" s="507"/>
      <c r="L191" s="514"/>
      <c r="N191" s="122"/>
      <c r="O191" s="152"/>
    </row>
    <row r="192" spans="2:15" x14ac:dyDescent="0.2">
      <c r="B192" s="119"/>
      <c r="C192" s="118"/>
      <c r="E192" s="49" t="str">
        <f t="shared" si="3"/>
        <v>'':{ 'coeff': },</v>
      </c>
      <c r="F192" s="184"/>
      <c r="K192" s="507"/>
      <c r="L192" s="514"/>
      <c r="N192" s="122"/>
      <c r="O192" s="152"/>
    </row>
    <row r="193" spans="2:15" x14ac:dyDescent="0.2">
      <c r="B193" s="119"/>
      <c r="C193" s="118"/>
      <c r="E193" s="49" t="str">
        <f t="shared" si="3"/>
        <v>'':{ 'coeff': },</v>
      </c>
      <c r="F193" s="184"/>
      <c r="K193" s="507"/>
      <c r="L193" s="514"/>
      <c r="N193" s="122"/>
      <c r="O193" s="152"/>
    </row>
    <row r="194" spans="2:15" x14ac:dyDescent="0.2">
      <c r="B194" s="119"/>
      <c r="C194" s="118"/>
      <c r="E194" s="49" t="str">
        <f t="shared" si="3"/>
        <v>'':{ 'coeff': },</v>
      </c>
      <c r="F194" s="184"/>
      <c r="K194" s="507"/>
      <c r="L194" s="514"/>
      <c r="N194" s="122"/>
      <c r="O194" s="152"/>
    </row>
    <row r="195" spans="2:15" x14ac:dyDescent="0.2">
      <c r="B195" s="119"/>
      <c r="C195" s="118"/>
      <c r="E195" s="49" t="str">
        <f t="shared" si="3"/>
        <v>'':{ 'coeff': },</v>
      </c>
      <c r="F195" s="184"/>
      <c r="K195" s="507"/>
      <c r="L195" s="514"/>
      <c r="N195" s="122"/>
      <c r="O195" s="152"/>
    </row>
    <row r="196" spans="2:15" x14ac:dyDescent="0.2">
      <c r="B196" s="119"/>
      <c r="C196" s="118"/>
      <c r="E196" s="49" t="str">
        <f t="shared" si="3"/>
        <v>'':{ 'coeff': },</v>
      </c>
      <c r="F196" s="184"/>
      <c r="K196" s="507"/>
      <c r="L196" s="514"/>
      <c r="N196" s="122"/>
      <c r="O196" s="152"/>
    </row>
    <row r="197" spans="2:15" x14ac:dyDescent="0.2">
      <c r="B197" s="119"/>
      <c r="C197" s="118"/>
      <c r="E197" s="49" t="str">
        <f t="shared" si="3"/>
        <v>'':{ 'coeff': },</v>
      </c>
      <c r="F197" s="184"/>
      <c r="K197" s="507"/>
      <c r="L197" s="514"/>
      <c r="N197" s="122"/>
      <c r="O197" s="152"/>
    </row>
    <row r="198" spans="2:15" x14ac:dyDescent="0.2">
      <c r="B198" s="119"/>
      <c r="C198" s="118"/>
      <c r="E198" s="49" t="str">
        <f t="shared" si="3"/>
        <v>'':{ 'coeff': },</v>
      </c>
      <c r="F198" s="184"/>
      <c r="K198" s="507"/>
      <c r="L198" s="514"/>
      <c r="N198" s="122"/>
      <c r="O198" s="152"/>
    </row>
    <row r="199" spans="2:15" x14ac:dyDescent="0.2">
      <c r="B199" s="119"/>
      <c r="C199" s="118"/>
      <c r="E199" s="49" t="str">
        <f t="shared" si="3"/>
        <v>'':{ 'coeff': },</v>
      </c>
      <c r="F199" s="184"/>
      <c r="K199" s="507"/>
      <c r="L199" s="514"/>
      <c r="N199" s="122"/>
      <c r="O199" s="152"/>
    </row>
    <row r="200" spans="2:15" x14ac:dyDescent="0.2">
      <c r="B200" s="119"/>
      <c r="C200" s="118"/>
      <c r="E200" s="49" t="str">
        <f t="shared" si="3"/>
        <v>'':{ 'coeff': },</v>
      </c>
      <c r="F200" s="184"/>
      <c r="K200" s="507"/>
      <c r="L200" s="514"/>
      <c r="N200" s="122"/>
      <c r="O200" s="152"/>
    </row>
    <row r="201" spans="2:15" x14ac:dyDescent="0.2">
      <c r="B201" s="119"/>
      <c r="C201" s="118"/>
      <c r="E201" s="49" t="str">
        <f t="shared" ref="E201:E207" si="4">"'"&amp;G201&amp;"':{"&amp;IF(H201="",""," 'lag': "&amp;H201&amp;",")&amp;IF(I201="",""," 'adstock': "&amp;I201&amp;",")&amp;IF(J201="",""," 'saturation': {'saturation_type': 'hill', 'S': "&amp;INT(J201)&amp;", 'K': "&amp;MOD(J201,1)&amp;"},")&amp;" 'coeff': "&amp;K201&amp;"},"</f>
        <v>'':{ 'coeff': },</v>
      </c>
      <c r="F201" s="184"/>
      <c r="K201" s="507"/>
      <c r="L201" s="514"/>
      <c r="N201" s="122"/>
      <c r="O201" s="152"/>
    </row>
    <row r="202" spans="2:15" x14ac:dyDescent="0.2">
      <c r="B202" s="119"/>
      <c r="C202" s="118"/>
      <c r="E202" s="49" t="str">
        <f t="shared" si="4"/>
        <v>'':{ 'coeff': },</v>
      </c>
      <c r="F202" s="184"/>
      <c r="K202" s="507"/>
      <c r="L202" s="514"/>
      <c r="N202" s="122"/>
      <c r="O202" s="152"/>
    </row>
    <row r="203" spans="2:15" x14ac:dyDescent="0.2">
      <c r="B203" s="119"/>
      <c r="C203" s="118"/>
      <c r="E203" s="49" t="str">
        <f t="shared" si="4"/>
        <v>'':{ 'coeff': },</v>
      </c>
      <c r="F203" s="184"/>
      <c r="K203" s="507"/>
      <c r="L203" s="514"/>
      <c r="N203" s="122"/>
      <c r="O203" s="152"/>
    </row>
    <row r="204" spans="2:15" x14ac:dyDescent="0.2">
      <c r="B204" s="119"/>
      <c r="C204" s="118"/>
      <c r="E204" s="49" t="str">
        <f t="shared" si="4"/>
        <v>'':{ 'coeff': },</v>
      </c>
      <c r="F204" s="184"/>
      <c r="K204" s="507"/>
      <c r="L204" s="514"/>
      <c r="N204" s="122"/>
      <c r="O204" s="152"/>
    </row>
    <row r="205" spans="2:15" x14ac:dyDescent="0.2">
      <c r="B205" s="119"/>
      <c r="C205" s="118"/>
      <c r="E205" s="49" t="str">
        <f t="shared" si="4"/>
        <v>'':{ 'coeff': },</v>
      </c>
      <c r="F205" s="184"/>
      <c r="K205" s="507"/>
      <c r="L205" s="514"/>
      <c r="N205" s="122"/>
      <c r="O205" s="152"/>
    </row>
    <row r="206" spans="2:15" x14ac:dyDescent="0.2">
      <c r="B206" s="119"/>
      <c r="C206" s="118"/>
      <c r="E206" s="49" t="str">
        <f t="shared" si="4"/>
        <v>'':{ 'coeff': },</v>
      </c>
      <c r="F206" s="184"/>
      <c r="K206" s="507"/>
      <c r="L206" s="514"/>
      <c r="N206" s="122"/>
      <c r="O206" s="152"/>
    </row>
    <row r="207" spans="2:15" x14ac:dyDescent="0.2">
      <c r="B207" s="121"/>
      <c r="C207" s="120"/>
      <c r="E207" s="50" t="str">
        <f t="shared" si="4"/>
        <v>'':{ 'coeff': },</v>
      </c>
      <c r="F207" s="185"/>
      <c r="G207" s="157"/>
      <c r="H207" s="157"/>
      <c r="I207" s="157"/>
      <c r="J207" s="157"/>
      <c r="K207" s="515"/>
      <c r="L207" s="516"/>
      <c r="N207" s="123"/>
      <c r="O207" s="15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986F-8EB8-4DD1-9D80-2BA008B3DCA4}">
  <sheetPr>
    <tabColor rgb="FF00B050"/>
  </sheetPr>
  <dimension ref="A2:BE178"/>
  <sheetViews>
    <sheetView showGridLines="0" tabSelected="1" zoomScale="86" zoomScaleNormal="51" workbookViewId="0">
      <selection activeCell="K46" sqref="K46"/>
    </sheetView>
  </sheetViews>
  <sheetFormatPr baseColWidth="10" defaultColWidth="9.33203125" defaultRowHeight="15" outlineLevelCol="1" x14ac:dyDescent="0.2"/>
  <cols>
    <col min="1" max="1" width="1.5" style="34" customWidth="1"/>
    <col min="2" max="2" width="7.5" style="33" customWidth="1" outlineLevel="1"/>
    <col min="3" max="5" width="12.6640625" style="33" customWidth="1" outlineLevel="1"/>
    <col min="6" max="6" width="12.6640625" customWidth="1" outlineLevel="1"/>
    <col min="7" max="7" width="2.5" style="33" customWidth="1" outlineLevel="1"/>
    <col min="8" max="8" width="3.33203125" style="34" customWidth="1"/>
    <col min="9" max="9" width="13.33203125" style="33" customWidth="1"/>
    <col min="10" max="11" width="18.33203125" style="33" customWidth="1"/>
    <col min="12" max="12" width="10.33203125" style="385" customWidth="1"/>
    <col min="13" max="15" width="16.5" style="33" customWidth="1"/>
    <col min="16" max="16" width="21.6640625" style="33" customWidth="1"/>
    <col min="17" max="20" width="6" style="33" customWidth="1"/>
    <col min="21" max="21" width="15.6640625" style="33" customWidth="1"/>
    <col min="22" max="22" width="12.6640625" style="33" customWidth="1"/>
    <col min="23" max="35" width="14.33203125" style="33" customWidth="1"/>
    <col min="36" max="69" width="9.33203125" style="33" customWidth="1"/>
    <col min="70" max="70" width="12.33203125" style="33" customWidth="1"/>
    <col min="71" max="16384" width="9.33203125" style="33"/>
  </cols>
  <sheetData>
    <row r="2" spans="2:34" x14ac:dyDescent="0.2">
      <c r="B2"/>
    </row>
    <row r="3" spans="2:34" x14ac:dyDescent="0.2">
      <c r="B3"/>
    </row>
    <row r="4" spans="2:34" x14ac:dyDescent="0.2">
      <c r="B4"/>
    </row>
    <row r="5" spans="2:34" x14ac:dyDescent="0.2">
      <c r="B5"/>
      <c r="E5" s="33" t="s">
        <v>30</v>
      </c>
    </row>
    <row r="6" spans="2:34" x14ac:dyDescent="0.2">
      <c r="B6"/>
      <c r="E6" s="134" t="b">
        <v>0</v>
      </c>
    </row>
    <row r="7" spans="2:34" x14ac:dyDescent="0.2">
      <c r="B7"/>
    </row>
    <row r="8" spans="2:34" x14ac:dyDescent="0.2">
      <c r="B8"/>
    </row>
    <row r="9" spans="2:34" x14ac:dyDescent="0.2">
      <c r="B9"/>
    </row>
    <row r="10" spans="2:34" x14ac:dyDescent="0.2">
      <c r="B10"/>
    </row>
    <row r="11" spans="2:34" x14ac:dyDescent="0.2">
      <c r="B11"/>
    </row>
    <row r="12" spans="2:34" x14ac:dyDescent="0.2">
      <c r="B12"/>
    </row>
    <row r="13" spans="2:34" x14ac:dyDescent="0.2">
      <c r="B13"/>
    </row>
    <row r="14" spans="2:34" x14ac:dyDescent="0.2">
      <c r="B14"/>
      <c r="AH14"/>
    </row>
    <row r="15" spans="2:34" x14ac:dyDescent="0.2">
      <c r="B15"/>
    </row>
    <row r="16" spans="2:34" x14ac:dyDescent="0.2">
      <c r="B16"/>
    </row>
    <row r="17" spans="1:57" x14ac:dyDescent="0.2">
      <c r="B17"/>
      <c r="D17"/>
      <c r="E17"/>
    </row>
    <row r="18" spans="1:57" x14ac:dyDescent="0.2">
      <c r="B18"/>
      <c r="D18"/>
      <c r="E18"/>
    </row>
    <row r="19" spans="1:57" x14ac:dyDescent="0.2">
      <c r="B19"/>
      <c r="D19"/>
      <c r="E19"/>
    </row>
    <row r="20" spans="1:57" x14ac:dyDescent="0.2">
      <c r="B20"/>
      <c r="D20" s="33" t="s">
        <v>31</v>
      </c>
      <c r="E20" s="35">
        <f>Model!$C$1</f>
        <v>35</v>
      </c>
    </row>
    <row r="21" spans="1:57" x14ac:dyDescent="0.2">
      <c r="B21"/>
      <c r="D21" s="33" t="s">
        <v>32</v>
      </c>
      <c r="E21" s="35">
        <f>Setup!E8</f>
        <v>104</v>
      </c>
    </row>
    <row r="22" spans="1:57" x14ac:dyDescent="0.2">
      <c r="B22"/>
    </row>
    <row r="23" spans="1:57" x14ac:dyDescent="0.2">
      <c r="B23"/>
    </row>
    <row r="24" spans="1:57" x14ac:dyDescent="0.2">
      <c r="B24"/>
    </row>
    <row r="25" spans="1:57" x14ac:dyDescent="0.2">
      <c r="B25"/>
    </row>
    <row r="26" spans="1:57" x14ac:dyDescent="0.2">
      <c r="B26"/>
      <c r="E26" s="33" t="s">
        <v>33</v>
      </c>
    </row>
    <row r="27" spans="1:57" x14ac:dyDescent="0.2">
      <c r="B27"/>
      <c r="E27" s="33" t="s">
        <v>34</v>
      </c>
      <c r="W27"/>
      <c r="X27"/>
      <c r="Y27" s="162"/>
      <c r="Z27" s="162"/>
      <c r="AA27" s="162"/>
      <c r="AB27" s="162"/>
      <c r="AC27" s="162"/>
      <c r="AD27" s="162"/>
      <c r="AE27" s="162"/>
      <c r="AF27" s="162"/>
    </row>
    <row r="28" spans="1:57" x14ac:dyDescent="0.2">
      <c r="B28"/>
      <c r="D28" s="91">
        <f ca="1">Setup!I9</f>
        <v>43836</v>
      </c>
      <c r="E28" s="35">
        <f ca="1">MATCH(D28,_xlfn.ANCHORARRAY($U$52),0)</f>
        <v>53</v>
      </c>
      <c r="Y28" s="162"/>
      <c r="Z28" s="162"/>
      <c r="AA28" s="162"/>
      <c r="AB28" s="162"/>
      <c r="AC28" s="162"/>
      <c r="AD28" s="162"/>
      <c r="AE28" s="162"/>
      <c r="AF28" s="162"/>
    </row>
    <row r="29" spans="1:57" x14ac:dyDescent="0.2">
      <c r="B29"/>
      <c r="D29" s="38" t="s">
        <v>35</v>
      </c>
      <c r="E29" s="35">
        <f ca="1">E30-E28+1</f>
        <v>52</v>
      </c>
      <c r="W29" s="37"/>
      <c r="X29" s="37"/>
      <c r="Y29" s="37"/>
      <c r="Z29" s="37"/>
      <c r="AA29" s="37"/>
    </row>
    <row r="30" spans="1:57" x14ac:dyDescent="0.2">
      <c r="B30"/>
      <c r="D30" s="91">
        <f ca="1">Setup!J9</f>
        <v>44193</v>
      </c>
      <c r="E30" s="35">
        <f ca="1">MATCH(D30,_xlfn.ANCHORARRAY($U$52),0)</f>
        <v>104</v>
      </c>
      <c r="X30" s="37"/>
    </row>
    <row r="31" spans="1:57" s="220" customFormat="1" x14ac:dyDescent="0.2">
      <c r="A31" s="34"/>
      <c r="B31"/>
      <c r="C31" s="33"/>
      <c r="D31" s="33"/>
      <c r="E31" s="33"/>
      <c r="F31"/>
      <c r="G31" s="33"/>
      <c r="H31" s="34"/>
      <c r="I31" s="33"/>
      <c r="J31" s="33"/>
      <c r="K31" s="33"/>
      <c r="L31" s="385"/>
      <c r="M31" s="33"/>
      <c r="N31" s="33"/>
      <c r="O31" s="33"/>
      <c r="P31" s="33"/>
      <c r="Q31" s="33"/>
      <c r="R31" s="33"/>
      <c r="S31" s="33"/>
      <c r="T31" s="33"/>
      <c r="U31"/>
      <c r="V31" s="52" t="s">
        <v>25</v>
      </c>
      <c r="W31" s="218" cm="1">
        <f t="array" aca="1" ref="W31:BE31" ca="1">TRANSPOSE(OFFSET(Model!$H$4,1,0,E20,1))</f>
        <v>0</v>
      </c>
      <c r="X31" s="219">
        <f ca="1"/>
        <v>0</v>
      </c>
      <c r="Y31" s="219">
        <f ca="1"/>
        <v>0</v>
      </c>
      <c r="Z31" s="219">
        <f ca="1"/>
        <v>0</v>
      </c>
      <c r="AA31" s="219">
        <f ca="1"/>
        <v>0</v>
      </c>
      <c r="AB31" s="219">
        <f ca="1"/>
        <v>0</v>
      </c>
      <c r="AC31" s="219">
        <f ca="1"/>
        <v>0</v>
      </c>
      <c r="AD31" s="219">
        <f ca="1"/>
        <v>0</v>
      </c>
      <c r="AE31" s="219">
        <f ca="1"/>
        <v>0</v>
      </c>
      <c r="AF31" s="219">
        <f ca="1"/>
        <v>0</v>
      </c>
      <c r="AG31" s="219">
        <f ca="1"/>
        <v>0</v>
      </c>
      <c r="AH31" s="219">
        <f ca="1"/>
        <v>0</v>
      </c>
      <c r="AI31" s="219">
        <f ca="1"/>
        <v>0</v>
      </c>
      <c r="AJ31" s="219">
        <f ca="1"/>
        <v>0</v>
      </c>
      <c r="AK31" s="219">
        <f ca="1"/>
        <v>0</v>
      </c>
      <c r="AL31" s="219">
        <f ca="1"/>
        <v>0</v>
      </c>
      <c r="AM31" s="220">
        <f ca="1"/>
        <v>0</v>
      </c>
      <c r="AN31" s="220">
        <f ca="1"/>
        <v>1</v>
      </c>
      <c r="AO31" s="220">
        <f ca="1"/>
        <v>0</v>
      </c>
      <c r="AP31" s="220">
        <f ca="1"/>
        <v>0</v>
      </c>
      <c r="AQ31" s="220">
        <f ca="1"/>
        <v>0</v>
      </c>
      <c r="AR31" s="220">
        <f ca="1"/>
        <v>1</v>
      </c>
      <c r="AS31" s="220">
        <f ca="1"/>
        <v>0</v>
      </c>
      <c r="AT31" s="220">
        <f ca="1"/>
        <v>0</v>
      </c>
      <c r="AU31" s="220">
        <f ca="1"/>
        <v>0</v>
      </c>
      <c r="AV31" s="220">
        <f ca="1"/>
        <v>0</v>
      </c>
      <c r="AW31" s="220">
        <f ca="1"/>
        <v>0</v>
      </c>
      <c r="AX31" s="220">
        <f ca="1"/>
        <v>0</v>
      </c>
      <c r="AY31" s="220">
        <f ca="1"/>
        <v>0</v>
      </c>
      <c r="AZ31" s="220">
        <f ca="1"/>
        <v>0</v>
      </c>
      <c r="BA31" s="220">
        <f ca="1"/>
        <v>0</v>
      </c>
      <c r="BB31" s="220">
        <f ca="1"/>
        <v>0</v>
      </c>
      <c r="BC31" s="220">
        <f ca="1"/>
        <v>0</v>
      </c>
      <c r="BD31" s="220">
        <f ca="1"/>
        <v>0</v>
      </c>
      <c r="BE31" s="220">
        <f ca="1"/>
        <v>0</v>
      </c>
    </row>
    <row r="32" spans="1:57" s="223" customFormat="1" x14ac:dyDescent="0.2">
      <c r="A32" s="34"/>
      <c r="B32"/>
      <c r="C32" s="33"/>
      <c r="D32" s="91">
        <f ca="1">Setup!I10</f>
        <v>44046</v>
      </c>
      <c r="E32" s="35">
        <f ca="1">MATCH(D32,_xlfn.ANCHORARRAY($U$52),0)</f>
        <v>83</v>
      </c>
      <c r="F32"/>
      <c r="G32" s="33"/>
      <c r="H32" s="34"/>
      <c r="I32" s="33"/>
      <c r="J32" s="33"/>
      <c r="K32" s="33"/>
      <c r="L32" s="385"/>
      <c r="M32" s="33"/>
      <c r="N32" s="33"/>
      <c r="O32" s="33"/>
      <c r="P32" s="33"/>
      <c r="Q32" s="33"/>
      <c r="R32" s="33"/>
      <c r="S32" s="33"/>
      <c r="T32" s="33"/>
      <c r="U32"/>
      <c r="V32" s="52" t="s">
        <v>36</v>
      </c>
      <c r="W32" s="221" cm="1">
        <f t="array" ref="W32:BE32">_xlfn.SEQUENCE(1,E20)</f>
        <v>1</v>
      </c>
      <c r="X32" s="222">
        <v>2</v>
      </c>
      <c r="Y32" s="222">
        <v>3</v>
      </c>
      <c r="Z32" s="222">
        <v>4</v>
      </c>
      <c r="AA32" s="222">
        <v>5</v>
      </c>
      <c r="AB32" s="222">
        <v>6</v>
      </c>
      <c r="AC32" s="222">
        <v>7</v>
      </c>
      <c r="AD32" s="222">
        <v>8</v>
      </c>
      <c r="AE32" s="222">
        <v>9</v>
      </c>
      <c r="AF32" s="222">
        <v>10</v>
      </c>
      <c r="AG32" s="222">
        <v>11</v>
      </c>
      <c r="AH32" s="222">
        <v>12</v>
      </c>
      <c r="AI32" s="222">
        <v>13</v>
      </c>
      <c r="AJ32" s="222">
        <v>14</v>
      </c>
      <c r="AK32" s="222">
        <v>15</v>
      </c>
      <c r="AL32" s="222">
        <v>16</v>
      </c>
      <c r="AM32" s="223">
        <v>17</v>
      </c>
      <c r="AN32" s="223">
        <v>18</v>
      </c>
      <c r="AO32" s="223">
        <v>19</v>
      </c>
      <c r="AP32" s="223">
        <v>20</v>
      </c>
      <c r="AQ32" s="223">
        <v>21</v>
      </c>
      <c r="AR32" s="223">
        <v>22</v>
      </c>
      <c r="AS32" s="223">
        <v>23</v>
      </c>
      <c r="AT32" s="223">
        <v>24</v>
      </c>
      <c r="AU32" s="223">
        <v>25</v>
      </c>
      <c r="AV32" s="223">
        <v>26</v>
      </c>
      <c r="AW32" s="223">
        <v>27</v>
      </c>
      <c r="AX32" s="223">
        <v>28</v>
      </c>
      <c r="AY32" s="223">
        <v>29</v>
      </c>
      <c r="AZ32" s="223">
        <v>30</v>
      </c>
      <c r="BA32" s="223">
        <v>31</v>
      </c>
      <c r="BB32" s="223">
        <v>32</v>
      </c>
      <c r="BC32" s="223">
        <v>33</v>
      </c>
      <c r="BD32" s="223">
        <v>34</v>
      </c>
      <c r="BE32" s="223">
        <v>35</v>
      </c>
    </row>
    <row r="33" spans="1:57" s="223" customFormat="1" x14ac:dyDescent="0.2">
      <c r="A33" s="34"/>
      <c r="B33"/>
      <c r="C33" s="33"/>
      <c r="D33" s="38" t="s">
        <v>35</v>
      </c>
      <c r="E33" s="35">
        <f ca="1">E34-E32+1</f>
        <v>22</v>
      </c>
      <c r="F33"/>
      <c r="G33" s="33"/>
      <c r="H33" s="34"/>
      <c r="I33" s="33"/>
      <c r="J33" s="33"/>
      <c r="K33" s="33"/>
      <c r="L33" s="385"/>
      <c r="M33" s="33"/>
      <c r="N33" s="33"/>
      <c r="O33" s="33"/>
      <c r="P33" s="33"/>
      <c r="Q33" s="33"/>
      <c r="R33" s="33"/>
      <c r="S33" s="33"/>
      <c r="T33" s="33"/>
      <c r="U33"/>
      <c r="V33" s="52" t="s">
        <v>37</v>
      </c>
      <c r="W33" s="221" cm="1">
        <f t="array" aca="1" ref="W33:BE33" ca="1">TRANSPOSE(_xlfn.ANCHORARRAY(Model!C5))</f>
        <v>60</v>
      </c>
      <c r="X33" s="222">
        <f ca="1"/>
        <v>58</v>
      </c>
      <c r="Y33" s="222">
        <f ca="1"/>
        <v>43</v>
      </c>
      <c r="Z33" s="222">
        <f ca="1"/>
        <v>62</v>
      </c>
      <c r="AA33" s="222">
        <f ca="1"/>
        <v>5</v>
      </c>
      <c r="AB33" s="222">
        <f ca="1"/>
        <v>32</v>
      </c>
      <c r="AC33" s="222">
        <f ca="1"/>
        <v>46</v>
      </c>
      <c r="AD33" s="222">
        <f ca="1"/>
        <v>48</v>
      </c>
      <c r="AE33" s="222">
        <f ca="1"/>
        <v>63</v>
      </c>
      <c r="AF33" s="222">
        <f ca="1"/>
        <v>59</v>
      </c>
      <c r="AG33" s="222">
        <f ca="1"/>
        <v>57</v>
      </c>
      <c r="AH33" s="222">
        <f ca="1"/>
        <v>22</v>
      </c>
      <c r="AI33" s="222">
        <f ca="1"/>
        <v>50</v>
      </c>
      <c r="AJ33" s="222">
        <f ca="1"/>
        <v>51</v>
      </c>
      <c r="AK33" s="222">
        <f ca="1"/>
        <v>55</v>
      </c>
      <c r="AL33" s="222">
        <f ca="1"/>
        <v>18</v>
      </c>
      <c r="AM33" s="223">
        <f ca="1"/>
        <v>61</v>
      </c>
      <c r="AN33" s="223">
        <f ca="1"/>
        <v>41</v>
      </c>
      <c r="AO33" s="223">
        <f ca="1"/>
        <v>39</v>
      </c>
      <c r="AP33" s="223">
        <f ca="1"/>
        <v>52</v>
      </c>
      <c r="AQ33" s="223">
        <f ca="1"/>
        <v>54</v>
      </c>
      <c r="AR33" s="223">
        <f ca="1"/>
        <v>53</v>
      </c>
      <c r="AS33" s="223">
        <f ca="1"/>
        <v>30</v>
      </c>
      <c r="AT33" s="223">
        <f ca="1"/>
        <v>7</v>
      </c>
      <c r="AU33" s="223">
        <f ca="1"/>
        <v>13</v>
      </c>
      <c r="AV33" s="223">
        <f ca="1"/>
        <v>2</v>
      </c>
      <c r="AW33" s="223">
        <f ca="1"/>
        <v>26</v>
      </c>
      <c r="AX33" s="223">
        <f ca="1"/>
        <v>28</v>
      </c>
      <c r="AY33" s="223">
        <f ca="1"/>
        <v>33</v>
      </c>
      <c r="AZ33" s="223">
        <f ca="1"/>
        <v>35</v>
      </c>
      <c r="BA33" s="223">
        <f ca="1"/>
        <v>16</v>
      </c>
      <c r="BB33" s="223">
        <f ca="1"/>
        <v>47</v>
      </c>
      <c r="BC33" s="223">
        <f ca="1"/>
        <v>25</v>
      </c>
      <c r="BD33" s="223">
        <f ca="1"/>
        <v>10</v>
      </c>
      <c r="BE33" s="223">
        <f ca="1"/>
        <v>24</v>
      </c>
    </row>
    <row r="34" spans="1:57" s="223" customFormat="1" x14ac:dyDescent="0.2">
      <c r="A34" s="34"/>
      <c r="B34"/>
      <c r="C34" s="33"/>
      <c r="D34" s="91">
        <f ca="1">Setup!J10</f>
        <v>44193</v>
      </c>
      <c r="E34" s="35">
        <f ca="1">MATCH(D34,_xlfn.ANCHORARRAY($U$52),0)</f>
        <v>104</v>
      </c>
      <c r="F34"/>
      <c r="G34" s="33"/>
      <c r="H34" s="34"/>
      <c r="I34" s="33"/>
      <c r="J34" s="33"/>
      <c r="K34" s="33"/>
      <c r="L34" s="385"/>
      <c r="M34" s="33"/>
      <c r="N34" s="33"/>
      <c r="O34" s="33"/>
      <c r="P34" s="33"/>
      <c r="Q34" s="33"/>
      <c r="R34"/>
      <c r="S34"/>
      <c r="T34"/>
      <c r="U34"/>
      <c r="V34" s="52" t="s">
        <v>29</v>
      </c>
      <c r="W34" s="224" cm="1">
        <f t="array" aca="1" ref="W34:BE34" ca="1">TRANSPOSE(_xlfn.ANCHORARRAY(Model!O5))</f>
        <v>0</v>
      </c>
      <c r="X34" s="225">
        <f ca="1"/>
        <v>0</v>
      </c>
      <c r="Y34" s="225">
        <f ca="1"/>
        <v>0</v>
      </c>
      <c r="Z34" s="225">
        <f ca="1"/>
        <v>0</v>
      </c>
      <c r="AA34" s="225">
        <f ca="1"/>
        <v>0</v>
      </c>
      <c r="AB34" s="225">
        <f ca="1"/>
        <v>0</v>
      </c>
      <c r="AC34" s="225">
        <f ca="1"/>
        <v>1.5</v>
      </c>
      <c r="AD34" s="225">
        <f ca="1"/>
        <v>0.25</v>
      </c>
      <c r="AE34" s="225">
        <f ca="1"/>
        <v>0</v>
      </c>
      <c r="AF34" s="225">
        <f ca="1"/>
        <v>0</v>
      </c>
      <c r="AG34" s="225">
        <f ca="1"/>
        <v>0.4285714285714286</v>
      </c>
      <c r="AH34" s="225">
        <f ca="1"/>
        <v>0</v>
      </c>
      <c r="AI34" s="225">
        <f ca="1"/>
        <v>0</v>
      </c>
      <c r="AJ34" s="225">
        <f ca="1"/>
        <v>0</v>
      </c>
      <c r="AK34" s="225">
        <f ca="1"/>
        <v>0</v>
      </c>
      <c r="AL34" s="225">
        <f ca="1"/>
        <v>0</v>
      </c>
      <c r="AM34" s="223">
        <f ca="1"/>
        <v>0</v>
      </c>
      <c r="AN34" s="223">
        <f ca="1"/>
        <v>0</v>
      </c>
      <c r="AO34" s="223">
        <f ca="1"/>
        <v>0</v>
      </c>
      <c r="AP34" s="223">
        <f ca="1"/>
        <v>0</v>
      </c>
      <c r="AQ34" s="223">
        <f ca="1"/>
        <v>0</v>
      </c>
      <c r="AR34" s="223">
        <f ca="1"/>
        <v>0</v>
      </c>
      <c r="AS34" s="223">
        <f ca="1"/>
        <v>0</v>
      </c>
      <c r="AT34" s="223">
        <f ca="1"/>
        <v>0</v>
      </c>
      <c r="AU34" s="223">
        <f ca="1"/>
        <v>0</v>
      </c>
      <c r="AV34" s="223">
        <f ca="1"/>
        <v>0</v>
      </c>
      <c r="AW34" s="223">
        <f ca="1"/>
        <v>0</v>
      </c>
      <c r="AX34" s="223">
        <f ca="1"/>
        <v>0</v>
      </c>
      <c r="AY34" s="223">
        <f ca="1"/>
        <v>0</v>
      </c>
      <c r="AZ34" s="223">
        <f ca="1"/>
        <v>0</v>
      </c>
      <c r="BA34" s="223">
        <f ca="1"/>
        <v>0</v>
      </c>
      <c r="BB34" s="223">
        <f ca="1"/>
        <v>0</v>
      </c>
      <c r="BC34" s="223">
        <f ca="1"/>
        <v>0</v>
      </c>
      <c r="BD34" s="223">
        <f ca="1"/>
        <v>0</v>
      </c>
      <c r="BE34" s="223">
        <f ca="1"/>
        <v>0</v>
      </c>
    </row>
    <row r="35" spans="1:57" s="223" customFormat="1" x14ac:dyDescent="0.2">
      <c r="A35" s="34"/>
      <c r="B35"/>
      <c r="C35" s="33"/>
      <c r="D35"/>
      <c r="E35"/>
      <c r="F35"/>
      <c r="G35" s="33"/>
      <c r="H35" s="34"/>
      <c r="I35" s="33"/>
      <c r="J35" s="33"/>
      <c r="K35" s="33"/>
      <c r="L35" s="385"/>
      <c r="M35" s="33"/>
      <c r="N35" s="33"/>
      <c r="O35" s="33"/>
      <c r="P35" s="33"/>
      <c r="Q35" s="33"/>
      <c r="R35"/>
      <c r="S35"/>
      <c r="T35"/>
      <c r="U35"/>
      <c r="V35" s="52" t="s">
        <v>38</v>
      </c>
      <c r="W35" s="226" cm="1">
        <f t="array" aca="1" ref="W35:BE35" ca="1">_xlfn.ANCHORARRAY(W43)+(SUMIF(OFFSET(V51,E30+_xlfn.ANCHORARRAY(W31),_xlfn.ANCHORARRAY(W32)),"&lt;&gt;0")-SUMIF(OFFSET(V51,E28-1+_xlfn.ANCHORARRAY(W31),_xlfn.ANCHORARRAY(W32)),"&lt;&gt;0"))*_xlfn.ANCHORARRAY(W34)+IF(_xlfn.ANCHORARRAY(W31),SUMIF(OFFSET(V51,E30+1,_xlfn.ANCHORARRAY(W32),_xlfn.ANCHORARRAY(W31),1),"&lt;&gt;0")-SUMIF(OFFSET(V51,E28,_xlfn.ANCHORARRAY(W32),_xlfn.ANCHORARRAY(W31)),"&lt;&gt;0"),0)</f>
        <v>0</v>
      </c>
      <c r="X35" s="227">
        <f ca="1"/>
        <v>2258006.4562911298</v>
      </c>
      <c r="Y35" s="227">
        <f ca="1"/>
        <v>-1294895.2282124299</v>
      </c>
      <c r="Z35" s="227">
        <f ca="1"/>
        <v>2561008.4365313901</v>
      </c>
      <c r="AA35" s="227">
        <f ca="1"/>
        <v>-63046261.540429354</v>
      </c>
      <c r="AB35" s="227">
        <f ca="1"/>
        <v>18552127.845816579</v>
      </c>
      <c r="AC35" s="227">
        <f ca="1"/>
        <v>34611047.821625993</v>
      </c>
      <c r="AD35" s="227">
        <f ca="1"/>
        <v>3461829.5297141317</v>
      </c>
      <c r="AE35" s="227">
        <f ca="1"/>
        <v>-488630.62359644601</v>
      </c>
      <c r="AF35" s="227">
        <f ca="1"/>
        <v>0</v>
      </c>
      <c r="AG35" s="227">
        <f ca="1"/>
        <v>12753000</v>
      </c>
      <c r="AH35" s="227">
        <f ca="1"/>
        <v>309069964.0952</v>
      </c>
      <c r="AI35" s="227">
        <f ca="1"/>
        <v>-9194552</v>
      </c>
      <c r="AJ35" s="227">
        <f ca="1"/>
        <v>-3464592</v>
      </c>
      <c r="AK35" s="227">
        <f ca="1"/>
        <v>3177112.2350869114</v>
      </c>
      <c r="AL35" s="227">
        <f ca="1"/>
        <v>182828.67780800004</v>
      </c>
      <c r="AM35" s="223">
        <f ca="1"/>
        <v>4000000</v>
      </c>
      <c r="AN35" s="223">
        <f ca="1"/>
        <v>1496437.7446700002</v>
      </c>
      <c r="AO35" s="223">
        <f ca="1"/>
        <v>8806816.0908000022</v>
      </c>
      <c r="AP35" s="223">
        <f ca="1"/>
        <v>-4022892.9065</v>
      </c>
      <c r="AQ35" s="223">
        <f ca="1"/>
        <v>1102424.9013179999</v>
      </c>
      <c r="AR35" s="223">
        <f ca="1"/>
        <v>2107447.43102</v>
      </c>
      <c r="AS35" s="223">
        <f ca="1"/>
        <v>1468044.6502721047</v>
      </c>
      <c r="AT35" s="223">
        <f ca="1"/>
        <v>13275050.039872672</v>
      </c>
      <c r="AU35" s="223">
        <f ca="1"/>
        <v>3452578.155505111</v>
      </c>
      <c r="AV35" s="223">
        <f ca="1"/>
        <v>3104861.0588903604</v>
      </c>
      <c r="AW35" s="223">
        <f ca="1"/>
        <v>523.05137089760285</v>
      </c>
      <c r="AX35" s="223">
        <f ca="1"/>
        <v>317558.35790153017</v>
      </c>
      <c r="AY35" s="223">
        <f ca="1"/>
        <v>491467.86018074403</v>
      </c>
      <c r="AZ35" s="223">
        <f ca="1"/>
        <v>745147.99410099408</v>
      </c>
      <c r="BA35" s="223">
        <f ca="1"/>
        <v>382088.46496994433</v>
      </c>
      <c r="BB35" s="223">
        <f ca="1"/>
        <v>8874748.2027458381</v>
      </c>
      <c r="BC35" s="223">
        <f ca="1"/>
        <v>9485.193838679199</v>
      </c>
      <c r="BD35" s="223">
        <f ca="1"/>
        <v>5726895.5873763477</v>
      </c>
      <c r="BE35" s="223">
        <f ca="1"/>
        <v>155.75667320733001</v>
      </c>
    </row>
    <row r="36" spans="1:57" s="223" customFormat="1" x14ac:dyDescent="0.2">
      <c r="A36" s="34"/>
      <c r="B36"/>
      <c r="C36" s="33"/>
      <c r="D36" s="91">
        <f ca="1">Setup!I11</f>
        <v>0</v>
      </c>
      <c r="E36" s="35" t="e">
        <f ca="1">MATCH(D36,_xlfn.ANCHORARRAY($U$52),0)</f>
        <v>#N/A</v>
      </c>
      <c r="F36"/>
      <c r="G36" s="33"/>
      <c r="H36" s="34"/>
      <c r="I36" s="33"/>
      <c r="J36" s="33"/>
      <c r="K36" s="33"/>
      <c r="L36" s="385"/>
      <c r="M36" s="33"/>
      <c r="N36" s="33"/>
      <c r="O36" s="33"/>
      <c r="P36" s="33"/>
      <c r="Q36" s="33"/>
      <c r="R36"/>
      <c r="S36"/>
      <c r="T36"/>
      <c r="U36"/>
      <c r="V36" s="52" t="s">
        <v>39</v>
      </c>
      <c r="W36" s="226" cm="1">
        <f t="array" aca="1" ref="W36:BE36" ca="1">_xlfn.ANCHORARRAY(W44)+(SUMIF(OFFSET(V51,E34+_xlfn.ANCHORARRAY(W31),_xlfn.ANCHORARRAY(W32)),"&lt;&gt;0")-SUMIF(OFFSET(V51,E32-1+_xlfn.ANCHORARRAY(W31),_xlfn.ANCHORARRAY(W32)),"&lt;&gt;0"))*_xlfn.ANCHORARRAY(W34)+IF(_xlfn.ANCHORARRAY(W31),SUMIF(OFFSET(V51,E34+1,_xlfn.ANCHORARRAY(W32),_xlfn.ANCHORARRAY(W31),1),"&lt;&gt;0")-SUMIF(OFFSET(V51,E32,_xlfn.ANCHORARRAY(W32),_xlfn.ANCHORARRAY(W31)),"&lt;&gt;0"),0)</f>
        <v>0</v>
      </c>
      <c r="X36" s="227">
        <f ca="1"/>
        <v>0</v>
      </c>
      <c r="Y36" s="227">
        <f ca="1"/>
        <v>-1294895.2282124299</v>
      </c>
      <c r="Z36" s="227">
        <f ca="1"/>
        <v>0</v>
      </c>
      <c r="AA36" s="227">
        <f ca="1"/>
        <v>-29077619.688671794</v>
      </c>
      <c r="AB36" s="227">
        <f ca="1"/>
        <v>8780425.2121611591</v>
      </c>
      <c r="AC36" s="227">
        <f ca="1"/>
        <v>22127940.679011721</v>
      </c>
      <c r="AD36" s="227">
        <f ca="1"/>
        <v>3461829.5297141317</v>
      </c>
      <c r="AE36" s="227">
        <f ca="1"/>
        <v>0</v>
      </c>
      <c r="AF36" s="227">
        <f ca="1"/>
        <v>0</v>
      </c>
      <c r="AG36" s="227">
        <f ca="1"/>
        <v>0</v>
      </c>
      <c r="AH36" s="227">
        <f ca="1"/>
        <v>163483604.68879998</v>
      </c>
      <c r="AI36" s="227">
        <f ca="1"/>
        <v>-9194552</v>
      </c>
      <c r="AJ36" s="227">
        <f ca="1"/>
        <v>-3464592</v>
      </c>
      <c r="AK36" s="227">
        <f ca="1"/>
        <v>1415278.7478360168</v>
      </c>
      <c r="AL36" s="227">
        <f ca="1"/>
        <v>182828.67780800004</v>
      </c>
      <c r="AM36" s="223">
        <f ca="1"/>
        <v>4000000</v>
      </c>
      <c r="AN36" s="223">
        <f ca="1"/>
        <v>1496437.7446700002</v>
      </c>
      <c r="AO36" s="223">
        <f ca="1"/>
        <v>5258102.6772000007</v>
      </c>
      <c r="AP36" s="223">
        <f ca="1"/>
        <v>-2921168.1540000001</v>
      </c>
      <c r="AQ36" s="223">
        <f ca="1"/>
        <v>0</v>
      </c>
      <c r="AR36" s="223">
        <f ca="1"/>
        <v>1100608.7064799999</v>
      </c>
      <c r="AS36" s="223">
        <f ca="1"/>
        <v>339696.24316973303</v>
      </c>
      <c r="AT36" s="223">
        <f ca="1"/>
        <v>11754793.614124851</v>
      </c>
      <c r="AU36" s="223">
        <f ca="1"/>
        <v>1885195.6533083145</v>
      </c>
      <c r="AV36" s="223">
        <f ca="1"/>
        <v>1449049.6513900002</v>
      </c>
      <c r="AW36" s="223">
        <f ca="1"/>
        <v>518.02364224398912</v>
      </c>
      <c r="AX36" s="223">
        <f ca="1"/>
        <v>153994.48570604488</v>
      </c>
      <c r="AY36" s="223">
        <f ca="1"/>
        <v>491467.86018074403</v>
      </c>
      <c r="AZ36" s="223">
        <f ca="1"/>
        <v>745147.99410099408</v>
      </c>
      <c r="BA36" s="223">
        <f ca="1"/>
        <v>177510.67376367297</v>
      </c>
      <c r="BB36" s="223">
        <f ca="1"/>
        <v>5960215.3558499012</v>
      </c>
      <c r="BC36" s="223">
        <f ca="1"/>
        <v>8947.2098416135996</v>
      </c>
      <c r="BD36" s="223">
        <f ca="1"/>
        <v>4411714.8325491231</v>
      </c>
      <c r="BE36" s="223">
        <f ca="1"/>
        <v>0</v>
      </c>
    </row>
    <row r="37" spans="1:57" s="223" customFormat="1" x14ac:dyDescent="0.2">
      <c r="A37" s="34"/>
      <c r="B37"/>
      <c r="C37" s="33"/>
      <c r="D37" s="38" t="s">
        <v>35</v>
      </c>
      <c r="E37" s="35" t="e">
        <f ca="1">E38-E36+1</f>
        <v>#N/A</v>
      </c>
      <c r="F37"/>
      <c r="G37" s="33"/>
      <c r="H37" s="34"/>
      <c r="I37" s="33"/>
      <c r="J37" s="33"/>
      <c r="K37" s="33"/>
      <c r="L37" s="385"/>
      <c r="M37" s="33"/>
      <c r="N37" s="33"/>
      <c r="O37" s="33"/>
      <c r="P37" s="33"/>
      <c r="Q37" s="33"/>
      <c r="R37"/>
      <c r="S37"/>
      <c r="T37"/>
      <c r="U37"/>
      <c r="V37" s="52" t="s">
        <v>40</v>
      </c>
      <c r="W37" s="226" t="e" cm="1">
        <f t="array" aca="1" ref="W37:BE37" ca="1">_xlfn.ANCHORARRAY(W45)+(SUMIF(OFFSET(V51,E38+_xlfn.ANCHORARRAY(W31),_xlfn.ANCHORARRAY(W32)),"&lt;&gt;0")-SUMIF(OFFSET(V51,E36-1+_xlfn.ANCHORARRAY(W31),_xlfn.ANCHORARRAY(W32)),"&lt;&gt;0"))*_xlfn.ANCHORARRAY(W34)+IF(_xlfn.ANCHORARRAY(W31),SUMIF(OFFSET(V51,E38+1,_xlfn.ANCHORARRAY(W32),_xlfn.ANCHORARRAY(W31),1),"&lt;&gt;0")-SUMIF(OFFSET(V51,E36,_xlfn.ANCHORARRAY(W32),_xlfn.ANCHORARRAY(W31)),"&lt;&gt;0"),0)</f>
        <v>#N/A</v>
      </c>
      <c r="X37" s="227" t="e">
        <f ca="1"/>
        <v>#N/A</v>
      </c>
      <c r="Y37" s="227" t="e">
        <f ca="1"/>
        <v>#N/A</v>
      </c>
      <c r="Z37" s="227" t="e">
        <f ca="1"/>
        <v>#N/A</v>
      </c>
      <c r="AA37" s="227" t="e">
        <f ca="1"/>
        <v>#N/A</v>
      </c>
      <c r="AB37" s="227" t="e">
        <f ca="1"/>
        <v>#N/A</v>
      </c>
      <c r="AC37" s="227" t="e">
        <f ca="1"/>
        <v>#N/A</v>
      </c>
      <c r="AD37" s="227" t="e">
        <f ca="1"/>
        <v>#N/A</v>
      </c>
      <c r="AE37" s="227" t="e">
        <f ca="1"/>
        <v>#N/A</v>
      </c>
      <c r="AF37" s="227" t="e">
        <f ca="1"/>
        <v>#N/A</v>
      </c>
      <c r="AG37" s="227" t="e">
        <f ca="1"/>
        <v>#N/A</v>
      </c>
      <c r="AH37" s="227" t="e">
        <f ca="1"/>
        <v>#N/A</v>
      </c>
      <c r="AI37" s="227" t="e">
        <f ca="1"/>
        <v>#N/A</v>
      </c>
      <c r="AJ37" s="227" t="e">
        <f ca="1"/>
        <v>#N/A</v>
      </c>
      <c r="AK37" s="227" t="e">
        <f ca="1"/>
        <v>#N/A</v>
      </c>
      <c r="AL37" s="227" t="e">
        <f ca="1"/>
        <v>#N/A</v>
      </c>
      <c r="AM37" s="223" t="e">
        <f ca="1"/>
        <v>#N/A</v>
      </c>
      <c r="AN37" s="223" t="e">
        <f ca="1"/>
        <v>#N/A</v>
      </c>
      <c r="AO37" s="223" t="e">
        <f ca="1"/>
        <v>#N/A</v>
      </c>
      <c r="AP37" s="223" t="e">
        <f ca="1"/>
        <v>#N/A</v>
      </c>
      <c r="AQ37" s="223" t="e">
        <f ca="1"/>
        <v>#N/A</v>
      </c>
      <c r="AR37" s="223" t="e">
        <f ca="1"/>
        <v>#N/A</v>
      </c>
      <c r="AS37" s="223" t="e">
        <f ca="1"/>
        <v>#N/A</v>
      </c>
      <c r="AT37" s="223" t="e">
        <f ca="1"/>
        <v>#N/A</v>
      </c>
      <c r="AU37" s="223" t="e">
        <f ca="1"/>
        <v>#N/A</v>
      </c>
      <c r="AV37" s="223" t="e">
        <f ca="1"/>
        <v>#N/A</v>
      </c>
      <c r="AW37" s="223" t="e">
        <f ca="1"/>
        <v>#N/A</v>
      </c>
      <c r="AX37" s="223" t="e">
        <f ca="1"/>
        <v>#N/A</v>
      </c>
      <c r="AY37" s="223" t="e">
        <f ca="1"/>
        <v>#N/A</v>
      </c>
      <c r="AZ37" s="223" t="e">
        <f ca="1"/>
        <v>#N/A</v>
      </c>
      <c r="BA37" s="223" t="e">
        <f ca="1"/>
        <v>#N/A</v>
      </c>
      <c r="BB37" s="223" t="e">
        <f ca="1"/>
        <v>#N/A</v>
      </c>
      <c r="BC37" s="223" t="e">
        <f ca="1"/>
        <v>#N/A</v>
      </c>
      <c r="BD37" s="223" t="e">
        <f ca="1"/>
        <v>#N/A</v>
      </c>
      <c r="BE37" s="223" t="e">
        <f ca="1"/>
        <v>#N/A</v>
      </c>
    </row>
    <row r="38" spans="1:57" s="230" customFormat="1" x14ac:dyDescent="0.2">
      <c r="A38" s="34"/>
      <c r="B38"/>
      <c r="C38" s="33"/>
      <c r="D38" s="91">
        <f ca="1">Setup!J11</f>
        <v>0</v>
      </c>
      <c r="E38" s="35" t="e">
        <f ca="1">MATCH(D38,_xlfn.ANCHORARRAY($U$52),0)</f>
        <v>#N/A</v>
      </c>
      <c r="F38"/>
      <c r="G38" s="33"/>
      <c r="H38" s="34"/>
      <c r="I38" s="33"/>
      <c r="J38" s="33"/>
      <c r="K38" s="33"/>
      <c r="L38" s="385"/>
      <c r="M38" s="33"/>
      <c r="N38" s="33"/>
      <c r="O38" s="33"/>
      <c r="P38" s="33"/>
      <c r="Q38" s="33"/>
      <c r="R38"/>
      <c r="S38"/>
      <c r="T38"/>
      <c r="U38"/>
      <c r="V38" s="52" t="s">
        <v>41</v>
      </c>
      <c r="W38" s="228" t="e" cm="1">
        <f t="array" aca="1" ref="W38:BE38" ca="1">_xlfn.ANCHORARRAY(W46)+(SUMIF(OFFSET(V51,E42+_xlfn.ANCHORARRAY(W31),_xlfn.ANCHORARRAY(W32)),"&lt;&gt;0")-SUMIF(OFFSET(V51,E40-1+_xlfn.ANCHORARRAY(W31),_xlfn.ANCHORARRAY(W32)),"&lt;&gt;0"))*_xlfn.ANCHORARRAY(W34)+IF(_xlfn.ANCHORARRAY(W31),SUMIF(OFFSET(V51,E42+1,_xlfn.ANCHORARRAY(W32),_xlfn.ANCHORARRAY(W31),1),"&lt;&gt;0")-SUMIF(OFFSET(V51,E40,_xlfn.ANCHORARRAY(W32),_xlfn.ANCHORARRAY(W31)),"&lt;&gt;0"),0)</f>
        <v>#N/A</v>
      </c>
      <c r="X38" s="229" t="e">
        <f ca="1"/>
        <v>#N/A</v>
      </c>
      <c r="Y38" s="229" t="e">
        <f ca="1"/>
        <v>#N/A</v>
      </c>
      <c r="Z38" s="229" t="e">
        <f ca="1"/>
        <v>#N/A</v>
      </c>
      <c r="AA38" s="229" t="e">
        <f ca="1"/>
        <v>#N/A</v>
      </c>
      <c r="AB38" s="229" t="e">
        <f ca="1"/>
        <v>#N/A</v>
      </c>
      <c r="AC38" s="229" t="e">
        <f ca="1"/>
        <v>#N/A</v>
      </c>
      <c r="AD38" s="229" t="e">
        <f ca="1"/>
        <v>#N/A</v>
      </c>
      <c r="AE38" s="229" t="e">
        <f ca="1"/>
        <v>#N/A</v>
      </c>
      <c r="AF38" s="229" t="e">
        <f ca="1"/>
        <v>#N/A</v>
      </c>
      <c r="AG38" s="229" t="e">
        <f ca="1"/>
        <v>#N/A</v>
      </c>
      <c r="AH38" s="229" t="e">
        <f ca="1"/>
        <v>#N/A</v>
      </c>
      <c r="AI38" s="229" t="e">
        <f ca="1"/>
        <v>#N/A</v>
      </c>
      <c r="AJ38" s="229" t="e">
        <f ca="1"/>
        <v>#N/A</v>
      </c>
      <c r="AK38" s="229" t="e">
        <f ca="1"/>
        <v>#N/A</v>
      </c>
      <c r="AL38" s="229" t="e">
        <f ca="1"/>
        <v>#N/A</v>
      </c>
      <c r="AM38" s="230" t="e">
        <f ca="1"/>
        <v>#N/A</v>
      </c>
      <c r="AN38" s="230" t="e">
        <f ca="1"/>
        <v>#N/A</v>
      </c>
      <c r="AO38" s="230" t="e">
        <f ca="1"/>
        <v>#N/A</v>
      </c>
      <c r="AP38" s="230" t="e">
        <f ca="1"/>
        <v>#N/A</v>
      </c>
      <c r="AQ38" s="230" t="e">
        <f ca="1"/>
        <v>#N/A</v>
      </c>
      <c r="AR38" s="230" t="e">
        <f ca="1"/>
        <v>#N/A</v>
      </c>
      <c r="AS38" s="230" t="e">
        <f ca="1"/>
        <v>#N/A</v>
      </c>
      <c r="AT38" s="230" t="e">
        <f ca="1"/>
        <v>#N/A</v>
      </c>
      <c r="AU38" s="230" t="e">
        <f ca="1"/>
        <v>#N/A</v>
      </c>
      <c r="AV38" s="230" t="e">
        <f ca="1"/>
        <v>#N/A</v>
      </c>
      <c r="AW38" s="230" t="e">
        <f ca="1"/>
        <v>#N/A</v>
      </c>
      <c r="AX38" s="230" t="e">
        <f ca="1"/>
        <v>#N/A</v>
      </c>
      <c r="AY38" s="230" t="e">
        <f ca="1"/>
        <v>#N/A</v>
      </c>
      <c r="AZ38" s="230" t="e">
        <f ca="1"/>
        <v>#N/A</v>
      </c>
      <c r="BA38" s="230" t="e">
        <f ca="1"/>
        <v>#N/A</v>
      </c>
      <c r="BB38" s="230" t="e">
        <f ca="1"/>
        <v>#N/A</v>
      </c>
      <c r="BC38" s="230" t="e">
        <f ca="1"/>
        <v>#N/A</v>
      </c>
      <c r="BD38" s="230" t="e">
        <f ca="1"/>
        <v>#N/A</v>
      </c>
      <c r="BE38" s="230" t="e">
        <f ca="1"/>
        <v>#N/A</v>
      </c>
    </row>
    <row r="39" spans="1:57" x14ac:dyDescent="0.2">
      <c r="B39"/>
      <c r="D39"/>
      <c r="E39"/>
      <c r="R39"/>
      <c r="S39"/>
      <c r="T39"/>
      <c r="U39" s="52"/>
      <c r="W39"/>
      <c r="X39"/>
      <c r="Y39"/>
      <c r="Z39"/>
      <c r="AA39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</row>
    <row r="40" spans="1:57" x14ac:dyDescent="0.2">
      <c r="B40"/>
      <c r="D40" s="91">
        <f ca="1">Setup!I12</f>
        <v>0</v>
      </c>
      <c r="E40" s="35" t="e">
        <f ca="1">MATCH(D40,_xlfn.ANCHORARRAY($U$52),0)</f>
        <v>#N/A</v>
      </c>
      <c r="R40"/>
      <c r="S40"/>
      <c r="T40"/>
    </row>
    <row r="41" spans="1:57" x14ac:dyDescent="0.2">
      <c r="B41"/>
      <c r="D41" s="38" t="s">
        <v>35</v>
      </c>
      <c r="E41" s="35" t="e">
        <f ca="1">E42-E40+1</f>
        <v>#N/A</v>
      </c>
      <c r="J41" s="33" t="s">
        <v>42</v>
      </c>
      <c r="M41" s="126" t="s">
        <v>43</v>
      </c>
      <c r="N41" s="126" t="s">
        <v>44</v>
      </c>
      <c r="O41" s="126" t="s">
        <v>45</v>
      </c>
    </row>
    <row r="42" spans="1:57" s="189" customFormat="1" ht="33.75" customHeight="1" x14ac:dyDescent="0.2">
      <c r="A42" s="34"/>
      <c r="B42"/>
      <c r="C42"/>
      <c r="D42" s="91">
        <f ca="1">Setup!J12</f>
        <v>0</v>
      </c>
      <c r="E42" s="35" t="e">
        <f ca="1">MATCH(D42,_xlfn.ANCHORARRAY($U$52),0)</f>
        <v>#N/A</v>
      </c>
      <c r="F42"/>
      <c r="G42" s="33"/>
      <c r="H42" s="34"/>
      <c r="I42"/>
      <c r="J42" s="274"/>
      <c r="K42" s="274"/>
      <c r="L42" s="378"/>
      <c r="M42" s="295">
        <f ca="1">SUM(_xlfn.ANCHORARRAY(M52))</f>
        <v>910770170.9789995</v>
      </c>
      <c r="N42" s="295">
        <f ca="1">SUM(_xlfn.ANCHORARRAY(N52))</f>
        <v>910770170.97899806</v>
      </c>
      <c r="O42" s="296" cm="1">
        <f t="array" aca="1" ref="O42" ca="1">SUM(ABS(_xlfn.ANCHORARRAY(N52)-_xlfn.ANCHORARRAY(M52))/_xlfn.ANCHORARRAY(M52))/E21</f>
        <v>0.10178688358805194</v>
      </c>
      <c r="P42" s="33"/>
      <c r="Q42" s="33"/>
      <c r="R42"/>
      <c r="S42" s="304"/>
      <c r="T42" s="305"/>
      <c r="U42" s="303" t="s">
        <v>46</v>
      </c>
      <c r="V42" s="354">
        <f ca="1">SUM(_xlfn.ANCHORARRAY(V52))</f>
        <v>10416621.484400641</v>
      </c>
      <c r="W42" s="107" cm="1">
        <f t="array" aca="1" ref="W42:BE42" ca="1">MMULT(_xlfn.SEQUENCE(1,$E$21,1,0),_xlfn.ANCHORARRAY($W$52))</f>
        <v>3763559.3727743202</v>
      </c>
      <c r="X42" s="96">
        <f ca="1"/>
        <v>4516012.9125822596</v>
      </c>
      <c r="Y42" s="96">
        <f ca="1"/>
        <v>-2589790.4564248598</v>
      </c>
      <c r="Z42" s="96">
        <f ca="1"/>
        <v>7683025.3095941702</v>
      </c>
      <c r="AA42" s="96">
        <f ca="1"/>
        <v>-63046261.540429354</v>
      </c>
      <c r="AB42" s="96">
        <f ca="1"/>
        <v>48489700.917944491</v>
      </c>
      <c r="AC42" s="96">
        <f ca="1"/>
        <v>58320617.468090586</v>
      </c>
      <c r="AD42" s="96">
        <f ca="1"/>
        <v>3461829.5297141317</v>
      </c>
      <c r="AE42" s="96">
        <f ca="1"/>
        <v>-488630.62359644601</v>
      </c>
      <c r="AF42" s="96">
        <f ca="1"/>
        <v>12000000</v>
      </c>
      <c r="AG42" s="96">
        <f ca="1"/>
        <v>25506000</v>
      </c>
      <c r="AH42" s="96">
        <f ca="1"/>
        <v>699986566.48580003</v>
      </c>
      <c r="AI42" s="96">
        <f ca="1"/>
        <v>-9194552</v>
      </c>
      <c r="AJ42" s="96">
        <f ca="1"/>
        <v>-3464592</v>
      </c>
      <c r="AK42" s="96">
        <f ca="1"/>
        <v>5685636.4761772156</v>
      </c>
      <c r="AL42" s="96">
        <f ca="1"/>
        <v>4187614.8853280013</v>
      </c>
      <c r="AM42" s="189">
        <f ca="1"/>
        <v>10000000</v>
      </c>
      <c r="AN42" s="189">
        <f ca="1"/>
        <v>1496437.7446700002</v>
      </c>
      <c r="AO42" s="189">
        <f ca="1"/>
        <v>27610949.916882001</v>
      </c>
      <c r="AP42" s="189">
        <f ca="1"/>
        <v>-4022892.9065</v>
      </c>
      <c r="AQ42" s="189">
        <f ca="1"/>
        <v>5351483.6383060012</v>
      </c>
      <c r="AR42" s="189">
        <f ca="1"/>
        <v>2107447.43102</v>
      </c>
      <c r="AS42" s="189">
        <f ca="1"/>
        <v>8410229.3265758734</v>
      </c>
      <c r="AT42" s="189">
        <f ca="1"/>
        <v>15041900.413278541</v>
      </c>
      <c r="AU42" s="189">
        <f ca="1"/>
        <v>8472184.3301583901</v>
      </c>
      <c r="AV42" s="189">
        <f ca="1"/>
        <v>5444873.9716377631</v>
      </c>
      <c r="AW42" s="189">
        <f ca="1"/>
        <v>132428.78062338772</v>
      </c>
      <c r="AX42" s="189">
        <f ca="1"/>
        <v>384830.9999613071</v>
      </c>
      <c r="AY42" s="189">
        <f ca="1"/>
        <v>491467.86018074403</v>
      </c>
      <c r="AZ42" s="189">
        <f ca="1"/>
        <v>745147.99410099408</v>
      </c>
      <c r="BA42" s="189">
        <f ca="1"/>
        <v>1422703.0447950629</v>
      </c>
      <c r="BB42" s="189">
        <f ca="1"/>
        <v>13819724.946147338</v>
      </c>
      <c r="BC42" s="189">
        <f ca="1"/>
        <v>12223.981338167039</v>
      </c>
      <c r="BD42" s="189">
        <f ca="1"/>
        <v>8610552.7607084755</v>
      </c>
      <c r="BE42" s="189">
        <f ca="1"/>
        <v>5118.5231588185497</v>
      </c>
    </row>
    <row r="43" spans="1:57" s="190" customFormat="1" ht="24.75" customHeight="1" x14ac:dyDescent="0.2">
      <c r="A43" s="34"/>
      <c r="B43"/>
      <c r="C43"/>
      <c r="D43"/>
      <c r="E43"/>
      <c r="F43"/>
      <c r="G43" s="33"/>
      <c r="H43" s="34"/>
      <c r="I43" s="33"/>
      <c r="J43"/>
      <c r="K43"/>
      <c r="L43" s="385"/>
      <c r="M43" s="295" cm="1">
        <f t="array" aca="1" ref="M43" ca="1">SUM(_xlfn.ANCHORARRAY(Q52)*_xlfn.ANCHORARRAY(M52))</f>
        <v>362065284.79899985</v>
      </c>
      <c r="N43" s="295" cm="1">
        <f t="array" aca="1" ref="N43" ca="1">SUM(_xlfn.ANCHORARRAY(Q52)*_xlfn.ANCHORARRAY(N52))</f>
        <v>365257546.8783257</v>
      </c>
      <c r="O43" s="296" cm="1">
        <f t="array" aca="1" ref="O43" ca="1">SUM(ABS(_xlfn.ANCHORARRAY(N52)-_xlfn.ANCHORARRAY(M52))/_xlfn.ANCHORARRAY(M52)*_xlfn.ANCHORARRAY(Q52))/E29</f>
        <v>0.12651786513624461</v>
      </c>
      <c r="P43" s="33"/>
      <c r="Q43" s="33"/>
      <c r="R43"/>
      <c r="S43" s="300"/>
      <c r="T43" s="169"/>
      <c r="U43" s="297" t="s">
        <v>47</v>
      </c>
      <c r="V43" s="355" cm="1">
        <f t="array" aca="1" ref="V43" ca="1">SUM(_xlfn.ANCHORARRAY(V52)*_xlfn.ANCHORARRAY(Q52))</f>
        <v>5208310.7422003187</v>
      </c>
      <c r="W43" s="108" cm="1">
        <f t="array" aca="1" ref="W43:BE43" ca="1">MMULT(_xlfn.SEQUENCE(1,$E$29,1,0),_xlfn._xlws.FILTER(_xlfn.ANCHORARRAY($W$52),_xlfn.ANCHORARRAY(Q52)))</f>
        <v>0</v>
      </c>
      <c r="X43" s="97">
        <f ca="1"/>
        <v>2258006.4562911298</v>
      </c>
      <c r="Y43" s="97">
        <f ca="1"/>
        <v>-1294895.2282124299</v>
      </c>
      <c r="Z43" s="97">
        <f ca="1"/>
        <v>2561008.4365313901</v>
      </c>
      <c r="AA43" s="97">
        <f ca="1"/>
        <v>-63046261.540429354</v>
      </c>
      <c r="AB43" s="97">
        <f ca="1"/>
        <v>18552127.845816579</v>
      </c>
      <c r="AC43" s="97">
        <f ca="1"/>
        <v>34183452.616909139</v>
      </c>
      <c r="AD43" s="97">
        <f ca="1"/>
        <v>3461829.5297141317</v>
      </c>
      <c r="AE43" s="97">
        <f ca="1"/>
        <v>-488630.62359644601</v>
      </c>
      <c r="AF43" s="97">
        <f ca="1"/>
        <v>0</v>
      </c>
      <c r="AG43" s="97">
        <f ca="1"/>
        <v>12753000</v>
      </c>
      <c r="AH43" s="97">
        <f ca="1"/>
        <v>309069964.0952</v>
      </c>
      <c r="AI43" s="97">
        <f ca="1"/>
        <v>-9194552</v>
      </c>
      <c r="AJ43" s="97">
        <f ca="1"/>
        <v>-3464592</v>
      </c>
      <c r="AK43" s="97">
        <f ca="1"/>
        <v>3177112.2350869114</v>
      </c>
      <c r="AL43" s="97">
        <f ca="1"/>
        <v>182828.67780800004</v>
      </c>
      <c r="AM43" s="190">
        <f ca="1"/>
        <v>4000000</v>
      </c>
      <c r="AN43" s="190">
        <f ca="1"/>
        <v>1496437.7446700002</v>
      </c>
      <c r="AO43" s="190">
        <f ca="1"/>
        <v>8806816.0908000022</v>
      </c>
      <c r="AP43" s="190">
        <f ca="1"/>
        <v>-4022892.9065</v>
      </c>
      <c r="AQ43" s="190">
        <f ca="1"/>
        <v>1102424.9013179999</v>
      </c>
      <c r="AR43" s="190">
        <f ca="1"/>
        <v>2107447.43102</v>
      </c>
      <c r="AS43" s="190">
        <f ca="1"/>
        <v>1468044.6502721047</v>
      </c>
      <c r="AT43" s="190">
        <f ca="1"/>
        <v>13275050.039872672</v>
      </c>
      <c r="AU43" s="190">
        <f ca="1"/>
        <v>3452578.155505111</v>
      </c>
      <c r="AV43" s="190">
        <f ca="1"/>
        <v>3104861.0588903604</v>
      </c>
      <c r="AW43" s="190">
        <f ca="1"/>
        <v>523.05137089760285</v>
      </c>
      <c r="AX43" s="190">
        <f ca="1"/>
        <v>317558.35790153017</v>
      </c>
      <c r="AY43" s="190">
        <f ca="1"/>
        <v>491467.86018074403</v>
      </c>
      <c r="AZ43" s="190">
        <f ca="1"/>
        <v>745147.99410099408</v>
      </c>
      <c r="BA43" s="190">
        <f ca="1"/>
        <v>382088.46496994433</v>
      </c>
      <c r="BB43" s="190">
        <f ca="1"/>
        <v>8874748.2027458381</v>
      </c>
      <c r="BC43" s="190">
        <f ca="1"/>
        <v>9485.193838679199</v>
      </c>
      <c r="BD43" s="190">
        <f ca="1"/>
        <v>5726895.5873763477</v>
      </c>
      <c r="BE43" s="190">
        <f ca="1"/>
        <v>155.75667320733001</v>
      </c>
    </row>
    <row r="44" spans="1:57" s="191" customFormat="1" ht="24.75" customHeight="1" x14ac:dyDescent="0.2">
      <c r="A44" s="34"/>
      <c r="B44"/>
      <c r="C44"/>
      <c r="D44"/>
      <c r="E44"/>
      <c r="F44"/>
      <c r="G44" s="33"/>
      <c r="H44" s="34"/>
      <c r="I44" s="33"/>
      <c r="J44" s="197" t="s">
        <v>48</v>
      </c>
      <c r="K44" s="102"/>
      <c r="L44" s="385"/>
      <c r="M44" s="295" cm="1">
        <f t="array" aca="1" ref="M44" ca="1">SUM(_xlfn.ANCHORARRAY(R52)*_xlfn.ANCHORARRAY(M52))</f>
        <v>189639848.37700003</v>
      </c>
      <c r="N44" s="295" cm="1">
        <f t="array" aca="1" ref="N44" ca="1">SUM(_xlfn.ANCHORARRAY(R52)*_xlfn.ANCHORARRAY(N52))</f>
        <v>193688622.80908138</v>
      </c>
      <c r="O44" s="296" cm="1">
        <f t="array" aca="1" ref="O44" ca="1">SUM(ABS(_xlfn.ANCHORARRAY(N52)-_xlfn.ANCHORARRAY(M52))/_xlfn.ANCHORARRAY(M52)*_xlfn.ANCHORARRAY(R52))/E29</f>
        <v>4.9262956658969376E-2</v>
      </c>
      <c r="P44" s="33"/>
      <c r="Q44" s="33"/>
      <c r="R44"/>
      <c r="S44" s="301"/>
      <c r="T44" s="171"/>
      <c r="U44" s="298" t="s">
        <v>49</v>
      </c>
      <c r="V44" s="356" cm="1">
        <f t="array" aca="1" ref="V44" ca="1">SUM(_xlfn.ANCHORARRAY(V52)*_xlfn.ANCHORARRAY(Q52))</f>
        <v>5208310.7422003187</v>
      </c>
      <c r="W44" s="175" cm="1">
        <f t="array" aca="1" ref="W44:BE44" ca="1">MMULT(_xlfn.SEQUENCE(1,$E$33,1,0),_xlfn._xlws.FILTER(_xlfn.ANCHORARRAY($W$52),_xlfn.ANCHORARRAY(R52)))</f>
        <v>0</v>
      </c>
      <c r="X44" s="176">
        <f ca="1"/>
        <v>0</v>
      </c>
      <c r="Y44" s="176">
        <f ca="1"/>
        <v>-1294895.2282124299</v>
      </c>
      <c r="Z44" s="176">
        <f ca="1"/>
        <v>0</v>
      </c>
      <c r="AA44" s="176">
        <f ca="1"/>
        <v>-29077619.688671794</v>
      </c>
      <c r="AB44" s="176">
        <f ca="1"/>
        <v>8780425.2121611591</v>
      </c>
      <c r="AC44" s="176">
        <f ca="1"/>
        <v>20880566.214430496</v>
      </c>
      <c r="AD44" s="176">
        <f ca="1"/>
        <v>3461829.5297141317</v>
      </c>
      <c r="AE44" s="176">
        <f ca="1"/>
        <v>0</v>
      </c>
      <c r="AF44" s="176">
        <f ca="1"/>
        <v>0</v>
      </c>
      <c r="AG44" s="176">
        <f ca="1"/>
        <v>0</v>
      </c>
      <c r="AH44" s="176">
        <f ca="1"/>
        <v>163483604.68879998</v>
      </c>
      <c r="AI44" s="176">
        <f ca="1"/>
        <v>-9194552</v>
      </c>
      <c r="AJ44" s="176">
        <f ca="1"/>
        <v>-3464592</v>
      </c>
      <c r="AK44" s="176">
        <f ca="1"/>
        <v>1415278.7478360168</v>
      </c>
      <c r="AL44" s="176">
        <f ca="1"/>
        <v>182828.67780800004</v>
      </c>
      <c r="AM44" s="191">
        <f ca="1"/>
        <v>4000000</v>
      </c>
      <c r="AN44" s="191">
        <f ca="1"/>
        <v>1496437.7446700002</v>
      </c>
      <c r="AO44" s="191">
        <f ca="1"/>
        <v>5258102.6772000007</v>
      </c>
      <c r="AP44" s="191">
        <f ca="1"/>
        <v>-2921168.1540000001</v>
      </c>
      <c r="AQ44" s="191">
        <f ca="1"/>
        <v>0</v>
      </c>
      <c r="AR44" s="191">
        <f ca="1"/>
        <v>1100608.7064799999</v>
      </c>
      <c r="AS44" s="191">
        <f ca="1"/>
        <v>339696.24316973303</v>
      </c>
      <c r="AT44" s="191">
        <f ca="1"/>
        <v>11754793.614124851</v>
      </c>
      <c r="AU44" s="191">
        <f ca="1"/>
        <v>1885195.6533083145</v>
      </c>
      <c r="AV44" s="191">
        <f ca="1"/>
        <v>1449049.6513900002</v>
      </c>
      <c r="AW44" s="191">
        <f ca="1"/>
        <v>518.02364224398912</v>
      </c>
      <c r="AX44" s="191">
        <f ca="1"/>
        <v>153994.48570604488</v>
      </c>
      <c r="AY44" s="191">
        <f ca="1"/>
        <v>491467.86018074403</v>
      </c>
      <c r="AZ44" s="191">
        <f ca="1"/>
        <v>745147.99410099408</v>
      </c>
      <c r="BA44" s="191">
        <f ca="1"/>
        <v>177510.67376367297</v>
      </c>
      <c r="BB44" s="191">
        <f ca="1"/>
        <v>5960215.3558499012</v>
      </c>
      <c r="BC44" s="191">
        <f ca="1"/>
        <v>8947.2098416135996</v>
      </c>
      <c r="BD44" s="191">
        <f ca="1"/>
        <v>4411714.8325491231</v>
      </c>
      <c r="BE44" s="191">
        <f ca="1"/>
        <v>0</v>
      </c>
    </row>
    <row r="45" spans="1:57" s="191" customFormat="1" ht="24.75" customHeight="1" x14ac:dyDescent="0.2">
      <c r="A45" s="34"/>
      <c r="B45"/>
      <c r="C45"/>
      <c r="D45"/>
      <c r="E45"/>
      <c r="F45"/>
      <c r="G45" s="33"/>
      <c r="H45" s="34"/>
      <c r="I45" s="33"/>
      <c r="J45" s="140"/>
      <c r="K45" s="139"/>
      <c r="L45" s="385"/>
      <c r="M45" s="295" cm="1">
        <f t="array" aca="1" ref="M45" ca="1">SUM(_xlfn.ANCHORARRAY(S52)*_xlfn.ANCHORARRAY(M52))</f>
        <v>0</v>
      </c>
      <c r="N45" s="295" cm="1">
        <f t="array" aca="1" ref="N45" ca="1">SUM(_xlfn.ANCHORARRAY(S52)*_xlfn.ANCHORARRAY(N52))</f>
        <v>0</v>
      </c>
      <c r="O45" s="296" cm="1">
        <f t="array" aca="1" ref="O45" ca="1">SUM(ABS(_xlfn.ANCHORARRAY(N52)-_xlfn.ANCHORARRAY(M52))/_xlfn.ANCHORARRAY(M52)*_xlfn.ANCHORARRAY(S52))/E29</f>
        <v>0</v>
      </c>
      <c r="P45" s="33"/>
      <c r="Q45" s="33"/>
      <c r="R45"/>
      <c r="S45" s="301"/>
      <c r="T45" s="171"/>
      <c r="U45" s="298" t="s">
        <v>50</v>
      </c>
      <c r="V45" s="356" cm="1">
        <f t="array" aca="1" ref="V45" ca="1">SUM(_xlfn.ANCHORARRAY(V52)*_xlfn.ANCHORARRAY(Q52))</f>
        <v>5208310.7422003187</v>
      </c>
      <c r="W45" s="175" t="e" cm="1">
        <f t="array" aca="1" ref="W45" ca="1">MMULT(_xlfn.SEQUENCE(1,$E$37,1,0),_xlfn._xlws.FILTER(_xlfn.ANCHORARRAY($W$52),_xlfn.ANCHORARRAY(S52)))</f>
        <v>#N/A</v>
      </c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</row>
    <row r="46" spans="1:57" s="192" customFormat="1" ht="24.75" customHeight="1" x14ac:dyDescent="0.2">
      <c r="A46" s="34"/>
      <c r="B46"/>
      <c r="C46"/>
      <c r="D46"/>
      <c r="E46"/>
      <c r="F46"/>
      <c r="G46" s="33"/>
      <c r="H46" s="34"/>
      <c r="I46" s="33"/>
      <c r="J46" s="103"/>
      <c r="K46" s="104"/>
      <c r="L46" s="385"/>
      <c r="M46" s="295" cm="1">
        <f t="array" aca="1" ref="M46" ca="1">SUM(_xlfn.ANCHORARRAY(T52)*_xlfn.ANCHORARRAY(M52))</f>
        <v>0</v>
      </c>
      <c r="N46" s="295" cm="1">
        <f t="array" aca="1" ref="N46" ca="1">SUM(_xlfn.ANCHORARRAY(T52)*_xlfn.ANCHORARRAY(N52))</f>
        <v>0</v>
      </c>
      <c r="O46" s="296" cm="1">
        <f t="array" aca="1" ref="O46" ca="1">SUM(ABS(_xlfn.ANCHORARRAY(N52)-_xlfn.ANCHORARRAY(M52))/_xlfn.ANCHORARRAY(M52)*_xlfn.ANCHORARRAY(T52))/E29</f>
        <v>0</v>
      </c>
      <c r="P46" s="33"/>
      <c r="Q46" s="33"/>
      <c r="R46"/>
      <c r="S46" s="302"/>
      <c r="T46" s="170"/>
      <c r="U46" s="299" t="s">
        <v>51</v>
      </c>
      <c r="V46" s="357" cm="1">
        <f t="array" aca="1" ref="V46" ca="1">SUM(_xlfn.ANCHORARRAY(V52)*_xlfn.ANCHORARRAY(Q52))</f>
        <v>5208310.7422003187</v>
      </c>
      <c r="W46" s="109" t="e" cm="1">
        <f t="array" aca="1" ref="W46" ca="1">MMULT(_xlfn.SEQUENCE(1,$E$41,1,0),_xlfn._xlws.FILTER(_xlfn.ANCHORARRAY($W$52),_xlfn.ANCHORARRAY(T52)))</f>
        <v>#N/A</v>
      </c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</row>
    <row r="47" spans="1:57" x14ac:dyDescent="0.2">
      <c r="C47" t="s">
        <v>52</v>
      </c>
      <c r="D47" s="89">
        <f ca="1">IFERROR(MATCH(J42,_xlfn.ANCHORARRAY($W$50),0),0)</f>
        <v>0</v>
      </c>
      <c r="E47"/>
      <c r="L47" s="401"/>
      <c r="R47"/>
    </row>
    <row r="48" spans="1:57" x14ac:dyDescent="0.2">
      <c r="C48" s="33" t="s">
        <v>53</v>
      </c>
      <c r="D48" s="89">
        <f ca="1">IFERROR(MATCH(K42,_xlfn.ANCHORARRAY(W50),0),0)</f>
        <v>0</v>
      </c>
      <c r="E48"/>
      <c r="J48"/>
      <c r="K48"/>
      <c r="L48" s="401"/>
    </row>
    <row r="49" spans="1:57" s="188" customFormat="1" x14ac:dyDescent="0.2">
      <c r="A49" s="34"/>
      <c r="B49" s="33"/>
      <c r="C49" s="33"/>
      <c r="D49" s="33"/>
      <c r="E49"/>
      <c r="F49"/>
      <c r="G49" s="33"/>
      <c r="H49" s="34"/>
      <c r="I49" s="33"/>
      <c r="J49"/>
      <c r="K49"/>
      <c r="L49" s="385"/>
      <c r="M49"/>
      <c r="N49" s="126" t="s">
        <v>54</v>
      </c>
      <c r="O49" s="36" t="s">
        <v>55</v>
      </c>
      <c r="P49" s="33"/>
      <c r="Q49" s="33"/>
      <c r="R49" s="33"/>
      <c r="S49" s="33"/>
      <c r="T49"/>
      <c r="U49" s="33"/>
      <c r="V49" s="51" t="s">
        <v>27</v>
      </c>
      <c r="W49" s="186" cm="1">
        <f t="array" aca="1" ref="W49:BE49" ca="1">TRANSPOSE(OFFSET(Model!K4,1,0,$E$20,1))</f>
        <v>3763559.3727743202</v>
      </c>
      <c r="X49" s="187">
        <f ca="1"/>
        <v>2258006.4562911298</v>
      </c>
      <c r="Y49" s="187">
        <f ca="1"/>
        <v>-1294895.2282124299</v>
      </c>
      <c r="Z49" s="187">
        <f ca="1"/>
        <v>2561008.4365313901</v>
      </c>
      <c r="AA49" s="187">
        <f ca="1"/>
        <v>60357.349850605999</v>
      </c>
      <c r="AB49" s="187">
        <f ca="1"/>
        <v>1.4386104698836499</v>
      </c>
      <c r="AC49" s="187">
        <f ca="1"/>
        <v>5.1993109602613302E-2</v>
      </c>
      <c r="AD49" s="187">
        <f ca="1"/>
        <v>0.10198168627787201</v>
      </c>
      <c r="AE49" s="187">
        <f ca="1"/>
        <v>-488630.62359644601</v>
      </c>
      <c r="AF49" s="187">
        <f ca="1"/>
        <v>12000000</v>
      </c>
      <c r="AG49" s="187">
        <f ca="1"/>
        <v>9000000</v>
      </c>
      <c r="AH49" s="187">
        <f ca="1"/>
        <v>2.1999999999999999E-2</v>
      </c>
      <c r="AI49" s="187">
        <f ca="1"/>
        <v>-1149319</v>
      </c>
      <c r="AJ49" s="187">
        <f ca="1"/>
        <v>-1732296</v>
      </c>
      <c r="AK49" s="187">
        <f ca="1"/>
        <v>2840.6428890000002</v>
      </c>
      <c r="AL49" s="187">
        <f ca="1"/>
        <v>9.7347680000000008</v>
      </c>
      <c r="AM49" s="188">
        <f ca="1"/>
        <v>4000000</v>
      </c>
      <c r="AN49" s="188">
        <f ca="1"/>
        <v>1.1000000000000001</v>
      </c>
      <c r="AO49" s="188">
        <f ca="1"/>
        <v>4.5</v>
      </c>
      <c r="AP49" s="188">
        <f ca="1"/>
        <v>-2.5</v>
      </c>
      <c r="AQ49" s="188">
        <f ca="1"/>
        <v>1.3</v>
      </c>
      <c r="AR49" s="188">
        <f ca="1"/>
        <v>2</v>
      </c>
      <c r="AS49" s="188">
        <f ca="1"/>
        <v>8.6553330000000006</v>
      </c>
      <c r="AT49" s="188">
        <f ca="1"/>
        <v>0.33328619999999998</v>
      </c>
      <c r="AU49" s="188">
        <f ca="1"/>
        <v>0.66523200000000005</v>
      </c>
      <c r="AV49" s="188">
        <f ca="1"/>
        <v>22</v>
      </c>
      <c r="AW49" s="188">
        <f ca="1"/>
        <v>0.16928670000000001</v>
      </c>
      <c r="AX49" s="188">
        <f ca="1"/>
        <v>3.3210049999999998E-2</v>
      </c>
      <c r="AY49" s="188">
        <f ca="1"/>
        <v>0.04</v>
      </c>
      <c r="AZ49" s="188">
        <f ca="1"/>
        <v>0.06</v>
      </c>
      <c r="BA49" s="188">
        <f ca="1"/>
        <v>3.0851199999999999E-2</v>
      </c>
      <c r="BB49" s="188">
        <f ca="1"/>
        <v>4.582E-2</v>
      </c>
      <c r="BC49" s="188">
        <f ca="1"/>
        <v>1.132E-2</v>
      </c>
      <c r="BD49" s="188">
        <f ca="1"/>
        <v>2.0604000000000001E-2</v>
      </c>
      <c r="BE49" s="188">
        <f ca="1"/>
        <v>1.4703000000000001E-2</v>
      </c>
    </row>
    <row r="50" spans="1:57" s="40" customFormat="1" x14ac:dyDescent="0.2">
      <c r="A50" s="34"/>
      <c r="B50" s="33"/>
      <c r="C50" s="33" t="s">
        <v>56</v>
      </c>
      <c r="D50" s="168">
        <f ca="1">MAX(_xlfn.ANCHORARRAY(M52),_xlfn.ANCHORARRAY(N52))*1.02</f>
        <v>26474131.344599999</v>
      </c>
      <c r="E50"/>
      <c r="F50"/>
      <c r="G50" s="33"/>
      <c r="H50" s="34"/>
      <c r="I50" s="33"/>
      <c r="J50"/>
      <c r="K50"/>
      <c r="L50" s="385"/>
      <c r="M50"/>
      <c r="N50" s="127">
        <f ca="1">RSQ(_xlfn.ANCHORARRAY(M52),_xlfn.ANCHORARRAY(N52))</f>
        <v>0.94606818860142605</v>
      </c>
      <c r="O50" s="39">
        <f ca="1">(M42-SUM(_xlfn.ANCHORARRAY(W52)))/E21</f>
        <v>100159.82196539067</v>
      </c>
      <c r="P50" s="33"/>
      <c r="Q50" s="33"/>
      <c r="R50" s="33"/>
      <c r="S50" s="33"/>
      <c r="T50"/>
      <c r="U50" s="270" t="str">
        <f>"dict["&amp;V50&amp;"]"</f>
        <v>dict[Group 3]</v>
      </c>
      <c r="V50" s="269" t="str">
        <f>'Summary Data'!B7</f>
        <v>Group 3</v>
      </c>
      <c r="W50" s="268" t="str" cm="1">
        <f t="array" aca="1" ref="W50:BE50" ca="1">INDEX(INDIRECT($U$50),MATCH(TRANSPOSE(_xlfn.ANCHORARRAY(Model!B5)),dict[Group 1],0))</f>
        <v>Macro</v>
      </c>
      <c r="X50" s="40" t="str">
        <f ca="1"/>
        <v>Macro</v>
      </c>
      <c r="Y50" s="40" t="str">
        <f ca="1"/>
        <v>Macro</v>
      </c>
      <c r="Z50" s="40" t="str">
        <f ca="1"/>
        <v>Promotion</v>
      </c>
      <c r="AA50" s="40" t="str">
        <f ca="1"/>
        <v>Covid</v>
      </c>
      <c r="AB50" s="40" t="str">
        <f ca="1"/>
        <v>Promotion</v>
      </c>
      <c r="AC50" s="40" t="str">
        <f ca="1"/>
        <v>Digital Media</v>
      </c>
      <c r="AD50" s="40" t="str">
        <f ca="1"/>
        <v>Traditional Media</v>
      </c>
      <c r="AE50" s="40" t="e">
        <f ca="1"/>
        <v>#N/A</v>
      </c>
      <c r="AF50" s="40" t="str">
        <f ca="1"/>
        <v>Macro</v>
      </c>
      <c r="AG50" s="40" t="str">
        <f ca="1"/>
        <v>Macro</v>
      </c>
      <c r="AH50" s="40" t="str">
        <f ca="1"/>
        <v>Macro</v>
      </c>
      <c r="AI50" s="40" t="str">
        <f ca="1"/>
        <v>Macro</v>
      </c>
      <c r="AJ50" s="40" t="str">
        <f ca="1"/>
        <v>Macro</v>
      </c>
      <c r="AK50" s="40" t="str">
        <f ca="1"/>
        <v>Promotion</v>
      </c>
      <c r="AL50" s="40" t="str">
        <f ca="1"/>
        <v>Promotion</v>
      </c>
      <c r="AM50" s="40" t="str">
        <f ca="1"/>
        <v>Promotion</v>
      </c>
      <c r="AN50" s="40" t="str">
        <f ca="1"/>
        <v>Traditional Media</v>
      </c>
      <c r="AO50" s="40" t="str">
        <f ca="1"/>
        <v>Traditional Media</v>
      </c>
      <c r="AP50" s="40" t="str">
        <f ca="1"/>
        <v>Traditional Media</v>
      </c>
      <c r="AQ50" s="40" t="str">
        <f ca="1"/>
        <v>Traditional Media</v>
      </c>
      <c r="AR50" s="40" t="str">
        <f ca="1"/>
        <v>Traditional Media</v>
      </c>
      <c r="AS50" s="40" t="str">
        <f ca="1"/>
        <v>Traditional Media</v>
      </c>
      <c r="AT50" s="40" t="str">
        <f ca="1"/>
        <v>Digital Media</v>
      </c>
      <c r="AU50" s="40" t="str">
        <f ca="1"/>
        <v>Digital Media</v>
      </c>
      <c r="AV50" s="40" t="str">
        <f ca="1"/>
        <v>Digital Media</v>
      </c>
      <c r="AW50" s="40" t="str">
        <f ca="1"/>
        <v>Digital Media</v>
      </c>
      <c r="AX50" s="40" t="str">
        <f ca="1"/>
        <v>Digital Media</v>
      </c>
      <c r="AY50" s="40" t="str">
        <f ca="1"/>
        <v>Digital Media</v>
      </c>
      <c r="AZ50" s="40" t="str">
        <f ca="1"/>
        <v>Digital Media</v>
      </c>
      <c r="BA50" s="40" t="str">
        <f ca="1"/>
        <v>Digital Media</v>
      </c>
      <c r="BB50" s="40" t="str">
        <f ca="1"/>
        <v>Digital Media</v>
      </c>
      <c r="BC50" s="40" t="str">
        <f ca="1"/>
        <v>Digital Media</v>
      </c>
      <c r="BD50" s="40" t="str">
        <f ca="1"/>
        <v>Digital Media</v>
      </c>
      <c r="BE50" s="40" t="str">
        <f ca="1"/>
        <v>Digital Media</v>
      </c>
    </row>
    <row r="51" spans="1:57" s="315" customFormat="1" ht="30" customHeight="1" x14ac:dyDescent="0.25">
      <c r="A51" s="9"/>
      <c r="B51" s="4" t="s">
        <v>57</v>
      </c>
      <c r="C51" s="4" t="s">
        <v>58</v>
      </c>
      <c r="D51" s="4" t="s">
        <v>59</v>
      </c>
      <c r="E51" s="4" t="s">
        <v>60</v>
      </c>
      <c r="F51" s="4" t="s">
        <v>61</v>
      </c>
      <c r="G51"/>
      <c r="H51" s="9"/>
      <c r="I51"/>
      <c r="J51" s="311" t="s">
        <v>62</v>
      </c>
      <c r="K51" s="311" t="s">
        <v>63</v>
      </c>
      <c r="L51" s="402"/>
      <c r="M51" s="312" t="s">
        <v>43</v>
      </c>
      <c r="N51" s="312" t="s">
        <v>44</v>
      </c>
      <c r="O51" s="312" t="s">
        <v>64</v>
      </c>
      <c r="P51"/>
      <c r="Q51" s="313" t="s">
        <v>47</v>
      </c>
      <c r="R51" s="313" t="s">
        <v>49</v>
      </c>
      <c r="S51" s="313" t="s">
        <v>50</v>
      </c>
      <c r="T51" s="313" t="s">
        <v>51</v>
      </c>
      <c r="U51" s="313" t="s">
        <v>16</v>
      </c>
      <c r="V51" s="358" t="s">
        <v>55</v>
      </c>
      <c r="W51" s="314" t="str" cm="1">
        <f t="array" aca="1" ref="W51:BE51" ca="1">TRANSPOSE(_xlfn.ANCHORARRAY(Model!N5))</f>
        <v>blackfriday_2019</v>
      </c>
      <c r="X51" s="315" t="str">
        <f ca="1"/>
        <v>july_promo</v>
      </c>
      <c r="Y51" s="315" t="str">
        <f ca="1"/>
        <v>xmas_dummy</v>
      </c>
      <c r="Z51" s="315" t="str">
        <f ca="1"/>
        <v>flash_sale_promo</v>
      </c>
      <c r="AA51" s="315" t="str">
        <f ca="1"/>
        <v>covid_trend</v>
      </c>
      <c r="AB51" s="315" t="str">
        <f ca="1"/>
        <v>samples_quantity_distributed</v>
      </c>
      <c r="AC51" s="315" t="str">
        <f ca="1"/>
        <v>fbig_imp +A60</v>
      </c>
      <c r="AD51" s="315" t="str">
        <f ca="1"/>
        <v>outdoor_impressions +A20</v>
      </c>
      <c r="AE51" s="315" t="str">
        <f ca="1"/>
        <v>new_year</v>
      </c>
      <c r="AF51" s="315" t="str">
        <f ca="1"/>
        <v>mothersday_2019</v>
      </c>
      <c r="AG51" s="315" t="str">
        <f ca="1"/>
        <v>week_before_vday +A30</v>
      </c>
      <c r="AH51" s="315" t="str">
        <f ca="1"/>
        <v>market_sales</v>
      </c>
      <c r="AI51" s="315" t="str">
        <f ca="1"/>
        <v>covid_holiday_period</v>
      </c>
      <c r="AJ51" s="315" t="str">
        <f ca="1"/>
        <v>covid_xmas</v>
      </c>
      <c r="AK51" s="315" t="str">
        <f ca="1"/>
        <v>total_product_launch</v>
      </c>
      <c r="AL51" s="315" t="str">
        <f ca="1"/>
        <v>gwp_units_distributed</v>
      </c>
      <c r="AM51" s="315" t="str">
        <f ca="1"/>
        <v>friends_and_family_august_promo</v>
      </c>
      <c r="AN51" s="315" t="str">
        <f ca="1"/>
        <v>tv_pure_spend +L1</v>
      </c>
      <c r="AO51" s="315" t="str">
        <f ca="1"/>
        <v>tv_coop_spend</v>
      </c>
      <c r="AP51" s="315" t="str">
        <f ca="1"/>
        <v>tv_coop_spend_after_2020-04-13</v>
      </c>
      <c r="AQ51" s="315" t="str">
        <f ca="1"/>
        <v>print_pure_spend_before_2020-04-13</v>
      </c>
      <c r="AR51" s="315" t="str">
        <f ca="1"/>
        <v>print_pure_spend_after_2020-04-13 +L1</v>
      </c>
      <c r="AS51" s="315" t="str">
        <f ca="1"/>
        <v>print_coop_spend</v>
      </c>
      <c r="AT51" s="315" t="str">
        <f ca="1"/>
        <v>google_brand_search_imp</v>
      </c>
      <c r="AU51" s="315" t="str">
        <f ca="1"/>
        <v>google_nonbrand_search_imp</v>
      </c>
      <c r="AV51" s="315" t="str">
        <f ca="1"/>
        <v>bing_brand_search_clicks</v>
      </c>
      <c r="AW51" s="315" t="str">
        <f ca="1"/>
        <v>pinterest_awareness_imp</v>
      </c>
      <c r="AX51" s="315" t="str">
        <f ca="1"/>
        <v>pinterest_conversion_imp</v>
      </c>
      <c r="AY51" s="315" t="str">
        <f ca="1"/>
        <v>snap_awareness_imp</v>
      </c>
      <c r="AZ51" s="315" t="str">
        <f ca="1"/>
        <v>snap_conversion_imp</v>
      </c>
      <c r="BA51" s="315" t="str">
        <f ca="1"/>
        <v>google_video_imp</v>
      </c>
      <c r="BB51" s="315" t="str">
        <f ca="1"/>
        <v>youtube_video_imp</v>
      </c>
      <c r="BC51" s="315" t="str">
        <f ca="1"/>
        <v>nongoogle_video_spend</v>
      </c>
      <c r="BD51" s="315" t="str">
        <f ca="1"/>
        <v>google_display_imp</v>
      </c>
      <c r="BE51" s="315" t="str">
        <f ca="1"/>
        <v>nongoogle_display_spend</v>
      </c>
    </row>
    <row r="52" spans="1:57" s="194" customFormat="1" x14ac:dyDescent="0.2">
      <c r="A52" s="34"/>
      <c r="B52" s="105" cm="1">
        <f t="array" ref="B52:B155">_xlfn.SEQUENCE(E21)</f>
        <v>1</v>
      </c>
      <c r="C52" s="164" cm="1">
        <f t="array" aca="1" ref="C52:C155" ca="1">_xlfn.ANCHORARRAY(Q52)*D50</f>
        <v>0</v>
      </c>
      <c r="D52" s="178" cm="1">
        <f t="array" aca="1" ref="D52:D155" ca="1">_xlfn.ANCHORARRAY(R52)*D50</f>
        <v>0</v>
      </c>
      <c r="E52" s="178" cm="1">
        <f t="array" aca="1" ref="E52:E155" ca="1">_xlfn.ANCHORARRAY(S52)*D50</f>
        <v>0</v>
      </c>
      <c r="F52" s="165" cm="1">
        <f t="array" aca="1" ref="F52:F155" ca="1">_xlfn.ANCHORARRAY(T52)*D50</f>
        <v>0</v>
      </c>
      <c r="G52" s="33"/>
      <c r="H52" s="34"/>
      <c r="I52" s="33"/>
      <c r="J52" s="100" cm="1">
        <f t="array" aca="1" ref="J52:J155" ca="1">SUMIFS(OFFSET(_xlfn.ANCHORARRAY(W51),_xlfn.ANCHORARRAY(B52),0),IF(D47,_xlfn.ANCHORARRAY(W50),_xlfn.ANCHORARRAY(W51)),J42)</f>
        <v>0</v>
      </c>
      <c r="K52" s="100" cm="1">
        <f t="array" aca="1" ref="K52:K155" ca="1">SUMIFS(OFFSET(_xlfn.ANCHORARRAY(W51),_xlfn.ANCHORARRAY(B52),0),IF(D48,_xlfn.ANCHORARRAY(W50),_xlfn.ANCHORARRAY(W51)),K$42)</f>
        <v>0</v>
      </c>
      <c r="L52" s="378"/>
      <c r="M52" s="100" cm="1">
        <f t="array" aca="1" ref="M52:M155" ca="1">SUMIFS(OFFSET(_xlfn.ANCHORARRAY(IS!C5),0,1),_xlfn.ANCHORARRAY(IS!C5),_xlfn.ANCHORARRAY(U52))</f>
        <v>6096762.5070000002</v>
      </c>
      <c r="N52" s="100" cm="1">
        <f t="array" aca="1" ref="N52:N155" ca="1">SUMIF(OFFSET(_xlfn.ANCHORARRAY(W51),_xlfn.ANCHORARRAY(B52),0),"&lt;&gt;0")+$O$50</f>
        <v>6561842.8596051121</v>
      </c>
      <c r="O52" s="101" cm="1">
        <f t="array" aca="1" ref="O52:O155" ca="1">IF(E6,0,_xlfn.ANCHORARRAY(N52)-_xlfn.ANCHORARRAY(M52))</f>
        <v>465080.3526051119</v>
      </c>
      <c r="P52" s="33"/>
      <c r="Q52" s="359" cm="1">
        <f t="array" aca="1" ref="Q52:Q155" ca="1">IF((_xlfn.ANCHORARRAY(U52)&gt;=D28)*(_xlfn.ANCHORARRAY(U52)&lt;=D30),1,0)</f>
        <v>0</v>
      </c>
      <c r="R52" s="360" cm="1">
        <f t="array" aca="1" ref="R52:R155" ca="1">IF((_xlfn.ANCHORARRAY($U$52)&gt;=$D$32)*(_xlfn.ANCHORARRAY($U$52)&lt;=$D$34),1,0)</f>
        <v>0</v>
      </c>
      <c r="S52" s="360" cm="1">
        <f t="array" aca="1" ref="S52:S155" ca="1">IF((_xlfn.ANCHORARRAY(U52)&gt;=D36)*(_xlfn.ANCHORARRAY(U52)&lt;=D38),1,0)</f>
        <v>0</v>
      </c>
      <c r="T52" s="361" cm="1">
        <f t="array" aca="1" ref="T52:T155" ca="1">IF((_xlfn.ANCHORARRAY(U52)&gt;=D40)*(_xlfn.ANCHORARRAY(U52)&lt;=D42),1,0)</f>
        <v>0</v>
      </c>
      <c r="U52" s="309" cm="1">
        <f t="array" aca="1" ref="U52:U155" ca="1">OFFSET(Setup!F9,0,0,Setup!E8,1)</f>
        <v>43472</v>
      </c>
      <c r="V52" s="310" cm="1">
        <f t="array" aca="1" ref="V52:V155" ca="1">IF(_xlfn.ANCHORARRAY(U52),$O$50)</f>
        <v>100159.82196539067</v>
      </c>
      <c r="W52" s="432" cm="1">
        <f t="array" aca="1" ref="W52:BE155" ca="1">_xlfn.ANCHORARRAY(W49)*SUMIFS(OFFSET(_xlfn.ANCHORARRAY(IS!C5),0,_xlfn.ANCHORARRAY(W33)),_xlfn.ANCHORARRAY(IS!C5),_xlfn.ANCHORARRAY(U52))</f>
        <v>0</v>
      </c>
      <c r="X52" s="88">
        <f ca="1"/>
        <v>0</v>
      </c>
      <c r="Y52" s="88">
        <f ca="1"/>
        <v>0</v>
      </c>
      <c r="Z52" s="88">
        <f ca="1"/>
        <v>0</v>
      </c>
      <c r="AA52" s="193">
        <f ca="1"/>
        <v>0</v>
      </c>
      <c r="AB52" s="193">
        <f ca="1"/>
        <v>410163.66967899731</v>
      </c>
      <c r="AC52" s="193">
        <f ca="1"/>
        <v>0</v>
      </c>
      <c r="AD52" s="193">
        <f ca="1"/>
        <v>0</v>
      </c>
      <c r="AE52" s="193">
        <f ca="1"/>
        <v>0</v>
      </c>
      <c r="AF52" s="193">
        <f ca="1"/>
        <v>0</v>
      </c>
      <c r="AG52" s="193">
        <f ca="1"/>
        <v>0</v>
      </c>
      <c r="AH52" s="193">
        <f ca="1"/>
        <v>5381542.551</v>
      </c>
      <c r="AI52" s="193">
        <f ca="1"/>
        <v>0</v>
      </c>
      <c r="AJ52" s="193">
        <f ca="1"/>
        <v>0</v>
      </c>
      <c r="AK52" s="193">
        <f ca="1"/>
        <v>1868.502805389606</v>
      </c>
      <c r="AL52" s="193">
        <f ca="1"/>
        <v>206717.79848000003</v>
      </c>
      <c r="AM52" s="194">
        <f ca="1"/>
        <v>0</v>
      </c>
      <c r="AN52" s="194">
        <f ca="1"/>
        <v>0</v>
      </c>
      <c r="AO52" s="194">
        <f ca="1"/>
        <v>0</v>
      </c>
      <c r="AP52" s="442">
        <f ca="1"/>
        <v>0</v>
      </c>
      <c r="AQ52" s="194">
        <f ca="1"/>
        <v>89305.944000000003</v>
      </c>
      <c r="AR52" s="194">
        <f ca="1"/>
        <v>0</v>
      </c>
      <c r="AS52" s="194">
        <f ca="1"/>
        <v>2525.9948753338672</v>
      </c>
      <c r="AT52" s="194">
        <f ca="1"/>
        <v>75189.041499326035</v>
      </c>
      <c r="AU52" s="194">
        <f ca="1"/>
        <v>200853.24530445604</v>
      </c>
      <c r="AV52" s="194">
        <f ca="1"/>
        <v>63819.289424000002</v>
      </c>
      <c r="AW52" s="194">
        <f ca="1"/>
        <v>0</v>
      </c>
      <c r="AX52" s="194">
        <f ca="1"/>
        <v>0</v>
      </c>
      <c r="AY52" s="194">
        <f ca="1"/>
        <v>0</v>
      </c>
      <c r="AZ52" s="194">
        <f ca="1"/>
        <v>0</v>
      </c>
      <c r="BA52" s="194">
        <f ca="1"/>
        <v>3805.2285861622399</v>
      </c>
      <c r="BB52" s="194">
        <f ca="1"/>
        <v>24404.976150460003</v>
      </c>
      <c r="BC52" s="194">
        <f ca="1"/>
        <v>0</v>
      </c>
      <c r="BD52" s="194">
        <f ca="1"/>
        <v>1486.79583559548</v>
      </c>
      <c r="BE52" s="194">
        <f ca="1"/>
        <v>0</v>
      </c>
    </row>
    <row r="53" spans="1:57" s="195" customFormat="1" x14ac:dyDescent="0.2">
      <c r="A53" s="34"/>
      <c r="B53" s="93">
        <v>2</v>
      </c>
      <c r="C53" s="166">
        <f ca="1"/>
        <v>0</v>
      </c>
      <c r="D53" s="177">
        <f ca="1"/>
        <v>0</v>
      </c>
      <c r="E53" s="177">
        <f ca="1"/>
        <v>0</v>
      </c>
      <c r="F53" s="167">
        <f ca="1"/>
        <v>0</v>
      </c>
      <c r="G53" s="33"/>
      <c r="H53" s="34"/>
      <c r="I53" s="33"/>
      <c r="J53" s="94">
        <f ca="1"/>
        <v>0</v>
      </c>
      <c r="K53" s="94">
        <f ca="1"/>
        <v>0</v>
      </c>
      <c r="L53" s="385"/>
      <c r="M53" s="94">
        <f ca="1"/>
        <v>6089210.2319999998</v>
      </c>
      <c r="N53" s="94">
        <f ca="1"/>
        <v>6853079.861029298</v>
      </c>
      <c r="O53" s="95">
        <f ca="1"/>
        <v>763869.6290292982</v>
      </c>
      <c r="P53" s="33"/>
      <c r="Q53" s="362">
        <f ca="1"/>
        <v>0</v>
      </c>
      <c r="R53" s="307">
        <f ca="1"/>
        <v>0</v>
      </c>
      <c r="S53" s="307">
        <f ca="1"/>
        <v>0</v>
      </c>
      <c r="T53" s="308">
        <f ca="1"/>
        <v>0</v>
      </c>
      <c r="U53" s="92">
        <f ca="1"/>
        <v>43479</v>
      </c>
      <c r="V53" s="306">
        <f ca="1"/>
        <v>100159.82196539067</v>
      </c>
      <c r="W53" s="87">
        <f ca="1"/>
        <v>0</v>
      </c>
      <c r="X53" s="88">
        <f ca="1"/>
        <v>0</v>
      </c>
      <c r="Y53" s="88">
        <f ca="1"/>
        <v>0</v>
      </c>
      <c r="Z53" s="88">
        <f ca="1"/>
        <v>0</v>
      </c>
      <c r="AA53" s="88">
        <f ca="1"/>
        <v>0</v>
      </c>
      <c r="AB53" s="88">
        <f ca="1"/>
        <v>704348.00188644463</v>
      </c>
      <c r="AC53" s="88">
        <f ca="1"/>
        <v>0</v>
      </c>
      <c r="AD53" s="88">
        <f ca="1"/>
        <v>0</v>
      </c>
      <c r="AE53" s="88">
        <f ca="1"/>
        <v>0</v>
      </c>
      <c r="AF53" s="88">
        <f ca="1"/>
        <v>0</v>
      </c>
      <c r="AG53" s="88">
        <f ca="1"/>
        <v>0</v>
      </c>
      <c r="AH53" s="88">
        <f ca="1"/>
        <v>5557037.8511999995</v>
      </c>
      <c r="AI53" s="88">
        <f ca="1"/>
        <v>0</v>
      </c>
      <c r="AJ53" s="88">
        <f ca="1"/>
        <v>0</v>
      </c>
      <c r="AK53" s="88">
        <f ca="1"/>
        <v>1425.8330075466681</v>
      </c>
      <c r="AL53" s="88">
        <f ca="1"/>
        <v>0</v>
      </c>
      <c r="AM53" s="195">
        <f ca="1"/>
        <v>0</v>
      </c>
      <c r="AN53" s="195">
        <f ca="1"/>
        <v>0</v>
      </c>
      <c r="AO53" s="195">
        <f ca="1"/>
        <v>0</v>
      </c>
      <c r="AP53" s="443">
        <f ca="1"/>
        <v>0</v>
      </c>
      <c r="AQ53" s="195">
        <f ca="1"/>
        <v>166504.49776999999</v>
      </c>
      <c r="AR53" s="195">
        <f ca="1"/>
        <v>0</v>
      </c>
      <c r="AS53" s="195">
        <f ca="1"/>
        <v>2525.992217281103</v>
      </c>
      <c r="AT53" s="195">
        <f ca="1"/>
        <v>69240.654253564557</v>
      </c>
      <c r="AU53" s="195">
        <f ca="1"/>
        <v>180181.58758426079</v>
      </c>
      <c r="AV53" s="195">
        <f ca="1"/>
        <v>49651.074770000007</v>
      </c>
      <c r="AW53" s="195">
        <f ca="1"/>
        <v>0</v>
      </c>
      <c r="AX53" s="195">
        <f ca="1"/>
        <v>0</v>
      </c>
      <c r="AY53" s="195">
        <f ca="1"/>
        <v>0</v>
      </c>
      <c r="AZ53" s="195">
        <f ca="1"/>
        <v>0</v>
      </c>
      <c r="BA53" s="195">
        <f ca="1"/>
        <v>4636.9841943644797</v>
      </c>
      <c r="BB53" s="195">
        <f ca="1"/>
        <v>16656.857147947998</v>
      </c>
      <c r="BC53" s="195">
        <f ca="1"/>
        <v>0</v>
      </c>
      <c r="BD53" s="195">
        <f ca="1"/>
        <v>710.70503249808007</v>
      </c>
      <c r="BE53" s="195">
        <f ca="1"/>
        <v>0</v>
      </c>
    </row>
    <row r="54" spans="1:57" s="195" customFormat="1" x14ac:dyDescent="0.2">
      <c r="A54" s="34"/>
      <c r="B54" s="93">
        <v>3</v>
      </c>
      <c r="C54" s="166">
        <f ca="1"/>
        <v>0</v>
      </c>
      <c r="D54" s="177">
        <f ca="1"/>
        <v>0</v>
      </c>
      <c r="E54" s="177">
        <f ca="1"/>
        <v>0</v>
      </c>
      <c r="F54" s="167">
        <f ca="1"/>
        <v>0</v>
      </c>
      <c r="G54" s="33"/>
      <c r="H54" s="34"/>
      <c r="I54" s="33"/>
      <c r="J54" s="94">
        <f ca="1"/>
        <v>0</v>
      </c>
      <c r="K54" s="94">
        <f ca="1"/>
        <v>0</v>
      </c>
      <c r="L54" s="385"/>
      <c r="M54" s="94">
        <f ca="1"/>
        <v>6508506.8210000005</v>
      </c>
      <c r="N54" s="94">
        <f ca="1"/>
        <v>6585670.1593386289</v>
      </c>
      <c r="O54" s="95">
        <f ca="1"/>
        <v>77163.338338628411</v>
      </c>
      <c r="P54" s="33"/>
      <c r="Q54" s="362">
        <f ca="1"/>
        <v>0</v>
      </c>
      <c r="R54" s="307">
        <f ca="1"/>
        <v>0</v>
      </c>
      <c r="S54" s="307">
        <f ca="1"/>
        <v>0</v>
      </c>
      <c r="T54" s="308">
        <f ca="1"/>
        <v>0</v>
      </c>
      <c r="U54" s="92">
        <f ca="1"/>
        <v>43486</v>
      </c>
      <c r="V54" s="306">
        <f ca="1"/>
        <v>100159.82196539067</v>
      </c>
      <c r="W54" s="87">
        <f ca="1"/>
        <v>0</v>
      </c>
      <c r="X54" s="88">
        <f ca="1"/>
        <v>0</v>
      </c>
      <c r="Y54" s="88">
        <f ca="1"/>
        <v>0</v>
      </c>
      <c r="Z54" s="88">
        <f ca="1"/>
        <v>0</v>
      </c>
      <c r="AA54" s="88">
        <f ca="1"/>
        <v>0</v>
      </c>
      <c r="AB54" s="88">
        <f ca="1"/>
        <v>434933.66474945401</v>
      </c>
      <c r="AC54" s="88">
        <f ca="1"/>
        <v>0</v>
      </c>
      <c r="AD54" s="88">
        <f ca="1"/>
        <v>0</v>
      </c>
      <c r="AE54" s="88">
        <f ca="1"/>
        <v>0</v>
      </c>
      <c r="AF54" s="88">
        <f ca="1"/>
        <v>0</v>
      </c>
      <c r="AG54" s="88">
        <f ca="1"/>
        <v>0</v>
      </c>
      <c r="AH54" s="88">
        <f ca="1"/>
        <v>5622796.5309999995</v>
      </c>
      <c r="AI54" s="88">
        <f ca="1"/>
        <v>0</v>
      </c>
      <c r="AJ54" s="88">
        <f ca="1"/>
        <v>0</v>
      </c>
      <c r="AK54" s="88">
        <f ca="1"/>
        <v>1707.4614281254933</v>
      </c>
      <c r="AL54" s="88">
        <f ca="1"/>
        <v>0</v>
      </c>
      <c r="AM54" s="195">
        <f ca="1"/>
        <v>0</v>
      </c>
      <c r="AN54" s="195">
        <f ca="1"/>
        <v>0</v>
      </c>
      <c r="AO54" s="195">
        <f ca="1"/>
        <v>0</v>
      </c>
      <c r="AP54" s="443">
        <f ca="1"/>
        <v>0</v>
      </c>
      <c r="AQ54" s="195">
        <f ca="1"/>
        <v>180533.05179</v>
      </c>
      <c r="AR54" s="195">
        <f ca="1"/>
        <v>0</v>
      </c>
      <c r="AS54" s="195">
        <f ca="1"/>
        <v>2525.986888192575</v>
      </c>
      <c r="AT54" s="195">
        <f ca="1"/>
        <v>70653.078808488543</v>
      </c>
      <c r="AU54" s="195">
        <f ca="1"/>
        <v>131819.793017688</v>
      </c>
      <c r="AV54" s="195">
        <f ca="1"/>
        <v>18350.8156414</v>
      </c>
      <c r="AW54" s="195">
        <f ca="1"/>
        <v>0</v>
      </c>
      <c r="AX54" s="195">
        <f ca="1"/>
        <v>0</v>
      </c>
      <c r="AY54" s="195">
        <f ca="1"/>
        <v>0</v>
      </c>
      <c r="AZ54" s="195">
        <f ca="1"/>
        <v>0</v>
      </c>
      <c r="BA54" s="195">
        <f ca="1"/>
        <v>4189.5380170979197</v>
      </c>
      <c r="BB54" s="195">
        <f ca="1"/>
        <v>16267.910888876</v>
      </c>
      <c r="BC54" s="195">
        <f ca="1"/>
        <v>0</v>
      </c>
      <c r="BD54" s="195">
        <f ca="1"/>
        <v>1732.5051439164001</v>
      </c>
      <c r="BE54" s="195">
        <f ca="1"/>
        <v>0</v>
      </c>
    </row>
    <row r="55" spans="1:57" s="195" customFormat="1" x14ac:dyDescent="0.2">
      <c r="A55" s="34"/>
      <c r="B55" s="93">
        <v>4</v>
      </c>
      <c r="C55" s="166">
        <f ca="1"/>
        <v>0</v>
      </c>
      <c r="D55" s="177">
        <f ca="1"/>
        <v>0</v>
      </c>
      <c r="E55" s="177">
        <f ca="1"/>
        <v>0</v>
      </c>
      <c r="F55" s="167">
        <f ca="1"/>
        <v>0</v>
      </c>
      <c r="G55" s="33"/>
      <c r="H55" s="34"/>
      <c r="I55" s="33"/>
      <c r="J55" s="94">
        <f ca="1"/>
        <v>0</v>
      </c>
      <c r="K55" s="94">
        <f ca="1"/>
        <v>0</v>
      </c>
      <c r="L55" s="385"/>
      <c r="M55" s="94">
        <f ca="1"/>
        <v>7022937.0590000004</v>
      </c>
      <c r="N55" s="94">
        <f ca="1"/>
        <v>6498984.2108471934</v>
      </c>
      <c r="O55" s="95">
        <f ca="1"/>
        <v>-523952.84815280698</v>
      </c>
      <c r="P55" s="33"/>
      <c r="Q55" s="362">
        <f ca="1"/>
        <v>0</v>
      </c>
      <c r="R55" s="307">
        <f ca="1"/>
        <v>0</v>
      </c>
      <c r="S55" s="307">
        <f ca="1"/>
        <v>0</v>
      </c>
      <c r="T55" s="308">
        <f ca="1"/>
        <v>0</v>
      </c>
      <c r="U55" s="92">
        <f ca="1"/>
        <v>43493</v>
      </c>
      <c r="V55" s="306">
        <f ca="1"/>
        <v>100159.82196539067</v>
      </c>
      <c r="W55" s="87">
        <f ca="1"/>
        <v>0</v>
      </c>
      <c r="X55" s="88">
        <f ca="1"/>
        <v>0</v>
      </c>
      <c r="Y55" s="88">
        <f ca="1"/>
        <v>0</v>
      </c>
      <c r="Z55" s="88">
        <f ca="1"/>
        <v>0</v>
      </c>
      <c r="AA55" s="88">
        <f ca="1"/>
        <v>0</v>
      </c>
      <c r="AB55" s="88">
        <f ca="1"/>
        <v>534161.82190967875</v>
      </c>
      <c r="AC55" s="88">
        <f ca="1"/>
        <v>0</v>
      </c>
      <c r="AD55" s="88">
        <f ca="1"/>
        <v>0</v>
      </c>
      <c r="AE55" s="88">
        <f ca="1"/>
        <v>0</v>
      </c>
      <c r="AF55" s="88">
        <f ca="1"/>
        <v>0</v>
      </c>
      <c r="AG55" s="88">
        <f ca="1"/>
        <v>0</v>
      </c>
      <c r="AH55" s="88">
        <f ca="1"/>
        <v>5448730.5466</v>
      </c>
      <c r="AI55" s="88">
        <f ca="1"/>
        <v>0</v>
      </c>
      <c r="AJ55" s="88">
        <f ca="1"/>
        <v>0</v>
      </c>
      <c r="AK55" s="88">
        <f ca="1"/>
        <v>67.085088332057794</v>
      </c>
      <c r="AL55" s="88">
        <f ca="1"/>
        <v>0</v>
      </c>
      <c r="AM55" s="195">
        <f ca="1"/>
        <v>0</v>
      </c>
      <c r="AN55" s="195">
        <f ca="1"/>
        <v>0</v>
      </c>
      <c r="AO55" s="195">
        <f ca="1"/>
        <v>0</v>
      </c>
      <c r="AP55" s="443">
        <f ca="1"/>
        <v>0</v>
      </c>
      <c r="AQ55" s="195">
        <f ca="1"/>
        <v>0</v>
      </c>
      <c r="AR55" s="195">
        <f ca="1"/>
        <v>0</v>
      </c>
      <c r="AS55" s="195">
        <f ca="1"/>
        <v>119766.70997316293</v>
      </c>
      <c r="AT55" s="195">
        <f ca="1"/>
        <v>87292.036160526593</v>
      </c>
      <c r="AU55" s="195">
        <f ca="1"/>
        <v>128440.18894404001</v>
      </c>
      <c r="AV55" s="195">
        <f ca="1"/>
        <v>41258.173439999999</v>
      </c>
      <c r="AW55" s="195">
        <f ca="1"/>
        <v>0</v>
      </c>
      <c r="AX55" s="195">
        <f ca="1"/>
        <v>0</v>
      </c>
      <c r="AY55" s="195">
        <f ca="1"/>
        <v>0</v>
      </c>
      <c r="AZ55" s="195">
        <f ca="1"/>
        <v>0</v>
      </c>
      <c r="BA55" s="195">
        <f ca="1"/>
        <v>9669.6090119119999</v>
      </c>
      <c r="BB55" s="195">
        <f ca="1"/>
        <v>27313.897046011996</v>
      </c>
      <c r="BC55" s="195">
        <f ca="1"/>
        <v>0</v>
      </c>
      <c r="BD55" s="195">
        <f ca="1"/>
        <v>2124.3207081383998</v>
      </c>
      <c r="BE55" s="195">
        <f ca="1"/>
        <v>0</v>
      </c>
    </row>
    <row r="56" spans="1:57" s="195" customFormat="1" x14ac:dyDescent="0.2">
      <c r="A56" s="34"/>
      <c r="B56" s="93">
        <v>5</v>
      </c>
      <c r="C56" s="166">
        <f ca="1"/>
        <v>0</v>
      </c>
      <c r="D56" s="177">
        <f ca="1"/>
        <v>0</v>
      </c>
      <c r="E56" s="177">
        <f ca="1"/>
        <v>0</v>
      </c>
      <c r="F56" s="167">
        <f ca="1"/>
        <v>0</v>
      </c>
      <c r="G56" s="33"/>
      <c r="H56" s="34"/>
      <c r="I56" s="33"/>
      <c r="J56" s="94">
        <f ca="1"/>
        <v>0</v>
      </c>
      <c r="K56" s="94">
        <f ca="1"/>
        <v>0</v>
      </c>
      <c r="L56" s="385"/>
      <c r="M56" s="94">
        <f ca="1"/>
        <v>19633182.66</v>
      </c>
      <c r="N56" s="94">
        <f ca="1"/>
        <v>18162465.660204906</v>
      </c>
      <c r="O56" s="95">
        <f ca="1"/>
        <v>-1470716.9997950941</v>
      </c>
      <c r="P56" s="33"/>
      <c r="Q56" s="362">
        <f ca="1"/>
        <v>0</v>
      </c>
      <c r="R56" s="307">
        <f ca="1"/>
        <v>0</v>
      </c>
      <c r="S56" s="307">
        <f ca="1"/>
        <v>0</v>
      </c>
      <c r="T56" s="308">
        <f ca="1"/>
        <v>0</v>
      </c>
      <c r="U56" s="92">
        <f ca="1"/>
        <v>43500</v>
      </c>
      <c r="V56" s="306">
        <f ca="1"/>
        <v>100159.82196539067</v>
      </c>
      <c r="W56" s="87">
        <f ca="1"/>
        <v>0</v>
      </c>
      <c r="X56" s="88">
        <f ca="1"/>
        <v>0</v>
      </c>
      <c r="Y56" s="88">
        <f ca="1"/>
        <v>0</v>
      </c>
      <c r="Z56" s="88">
        <f ca="1"/>
        <v>0</v>
      </c>
      <c r="AA56" s="88">
        <f ca="1"/>
        <v>0</v>
      </c>
      <c r="AB56" s="88">
        <f ca="1"/>
        <v>674095.46231526136</v>
      </c>
      <c r="AC56" s="88">
        <f ca="1"/>
        <v>0</v>
      </c>
      <c r="AD56" s="88">
        <f ca="1"/>
        <v>0</v>
      </c>
      <c r="AE56" s="88">
        <f ca="1"/>
        <v>0</v>
      </c>
      <c r="AF56" s="88">
        <f ca="1"/>
        <v>0</v>
      </c>
      <c r="AG56" s="88">
        <f ca="1"/>
        <v>9000000</v>
      </c>
      <c r="AH56" s="88">
        <f ca="1"/>
        <v>6645046.9932000004</v>
      </c>
      <c r="AI56" s="88">
        <f ca="1"/>
        <v>0</v>
      </c>
      <c r="AJ56" s="88">
        <f ca="1"/>
        <v>0</v>
      </c>
      <c r="AK56" s="88">
        <f ca="1"/>
        <v>96.486614310574723</v>
      </c>
      <c r="AL56" s="88">
        <f ca="1"/>
        <v>0</v>
      </c>
      <c r="AM56" s="195">
        <f ca="1"/>
        <v>0</v>
      </c>
      <c r="AN56" s="195">
        <f ca="1"/>
        <v>0</v>
      </c>
      <c r="AO56" s="195">
        <f ca="1"/>
        <v>863392.45274999994</v>
      </c>
      <c r="AP56" s="443">
        <f ca="1"/>
        <v>0</v>
      </c>
      <c r="AQ56" s="195">
        <f ca="1"/>
        <v>133323.28138999999</v>
      </c>
      <c r="AR56" s="195">
        <f ca="1"/>
        <v>0</v>
      </c>
      <c r="AS56" s="195">
        <f ca="1"/>
        <v>276087.67666459188</v>
      </c>
      <c r="AT56" s="195">
        <f ca="1"/>
        <v>94429.748578592684</v>
      </c>
      <c r="AU56" s="195">
        <f ca="1"/>
        <v>151382.2984479552</v>
      </c>
      <c r="AV56" s="195">
        <f ca="1"/>
        <v>46825.741644000002</v>
      </c>
      <c r="AW56" s="195">
        <f ca="1"/>
        <v>0</v>
      </c>
      <c r="AX56" s="195">
        <f ca="1"/>
        <v>0</v>
      </c>
      <c r="AY56" s="195">
        <f ca="1"/>
        <v>0</v>
      </c>
      <c r="AZ56" s="195">
        <f ca="1"/>
        <v>0</v>
      </c>
      <c r="BA56" s="195">
        <f ca="1"/>
        <v>35694.039477324797</v>
      </c>
      <c r="BB56" s="195">
        <f ca="1"/>
        <v>103160.75357862</v>
      </c>
      <c r="BC56" s="195">
        <f ca="1"/>
        <v>0</v>
      </c>
      <c r="BD56" s="195">
        <f ca="1"/>
        <v>38770.903578864003</v>
      </c>
      <c r="BE56" s="195">
        <f ca="1"/>
        <v>0</v>
      </c>
    </row>
    <row r="57" spans="1:57" s="195" customFormat="1" x14ac:dyDescent="0.2">
      <c r="A57" s="34"/>
      <c r="B57" s="93">
        <v>6</v>
      </c>
      <c r="C57" s="166">
        <f ca="1"/>
        <v>0</v>
      </c>
      <c r="D57" s="177">
        <f ca="1"/>
        <v>0</v>
      </c>
      <c r="E57" s="177">
        <f ca="1"/>
        <v>0</v>
      </c>
      <c r="F57" s="167">
        <f ca="1"/>
        <v>0</v>
      </c>
      <c r="G57" s="33"/>
      <c r="H57" s="34"/>
      <c r="I57" s="33"/>
      <c r="J57" s="94">
        <f ca="1"/>
        <v>0</v>
      </c>
      <c r="K57" s="94">
        <f ca="1"/>
        <v>0</v>
      </c>
      <c r="L57" s="385"/>
      <c r="M57" s="94">
        <f ca="1"/>
        <v>12143474.27</v>
      </c>
      <c r="N57" s="94">
        <f ca="1"/>
        <v>12386321.084644195</v>
      </c>
      <c r="O57" s="95">
        <f ca="1"/>
        <v>242846.81464419514</v>
      </c>
      <c r="P57" s="33"/>
      <c r="Q57" s="362">
        <f ca="1"/>
        <v>0</v>
      </c>
      <c r="R57" s="307">
        <f ca="1"/>
        <v>0</v>
      </c>
      <c r="S57" s="307">
        <f ca="1"/>
        <v>0</v>
      </c>
      <c r="T57" s="308">
        <f ca="1"/>
        <v>0</v>
      </c>
      <c r="U57" s="92">
        <f ca="1"/>
        <v>43507</v>
      </c>
      <c r="V57" s="306">
        <f ca="1"/>
        <v>100159.82196539067</v>
      </c>
      <c r="W57" s="87">
        <f ca="1"/>
        <v>0</v>
      </c>
      <c r="X57" s="88">
        <f ca="1"/>
        <v>0</v>
      </c>
      <c r="Y57" s="88">
        <f ca="1"/>
        <v>0</v>
      </c>
      <c r="Z57" s="88">
        <f ca="1"/>
        <v>0</v>
      </c>
      <c r="AA57" s="88">
        <f ca="1"/>
        <v>0</v>
      </c>
      <c r="AB57" s="88">
        <f ca="1"/>
        <v>299714.35085368011</v>
      </c>
      <c r="AC57" s="88">
        <f ca="1"/>
        <v>0</v>
      </c>
      <c r="AD57" s="88">
        <f ca="1"/>
        <v>0</v>
      </c>
      <c r="AE57" s="88">
        <f ca="1"/>
        <v>0</v>
      </c>
      <c r="AF57" s="88">
        <f ca="1"/>
        <v>0</v>
      </c>
      <c r="AG57" s="88">
        <f ca="1"/>
        <v>2700000</v>
      </c>
      <c r="AH57" s="88">
        <f ca="1"/>
        <v>7580827.6697999993</v>
      </c>
      <c r="AI57" s="88">
        <f ca="1"/>
        <v>0</v>
      </c>
      <c r="AJ57" s="88">
        <f ca="1"/>
        <v>0</v>
      </c>
      <c r="AK57" s="88">
        <f ca="1"/>
        <v>119.60744761444087</v>
      </c>
      <c r="AL57" s="88">
        <f ca="1"/>
        <v>0</v>
      </c>
      <c r="AM57" s="195">
        <f ca="1"/>
        <v>0</v>
      </c>
      <c r="AN57" s="195">
        <f ca="1"/>
        <v>0</v>
      </c>
      <c r="AO57" s="195">
        <f ca="1"/>
        <v>863392.45274999994</v>
      </c>
      <c r="AP57" s="443">
        <f ca="1"/>
        <v>0</v>
      </c>
      <c r="AQ57" s="195">
        <f ca="1"/>
        <v>0</v>
      </c>
      <c r="AR57" s="195">
        <f ca="1"/>
        <v>0</v>
      </c>
      <c r="AS57" s="195">
        <f ca="1"/>
        <v>263598.84422757395</v>
      </c>
      <c r="AT57" s="195">
        <f ca="1"/>
        <v>97694.925450623268</v>
      </c>
      <c r="AU57" s="195">
        <f ca="1"/>
        <v>153184.01179890722</v>
      </c>
      <c r="AV57" s="195">
        <f ca="1"/>
        <v>48556.950683999996</v>
      </c>
      <c r="AW57" s="195">
        <f ca="1"/>
        <v>0</v>
      </c>
      <c r="AX57" s="195">
        <f ca="1"/>
        <v>0</v>
      </c>
      <c r="AY57" s="195">
        <f ca="1"/>
        <v>0</v>
      </c>
      <c r="AZ57" s="195">
        <f ca="1"/>
        <v>0</v>
      </c>
      <c r="BA57" s="195">
        <f ca="1"/>
        <v>56089.558194272002</v>
      </c>
      <c r="BB57" s="195">
        <f ca="1"/>
        <v>116810.25606295999</v>
      </c>
      <c r="BC57" s="195">
        <f ca="1"/>
        <v>0</v>
      </c>
      <c r="BD57" s="195">
        <f ca="1"/>
        <v>106172.63540917201</v>
      </c>
      <c r="BE57" s="195">
        <f ca="1"/>
        <v>0</v>
      </c>
    </row>
    <row r="58" spans="1:57" s="195" customFormat="1" x14ac:dyDescent="0.2">
      <c r="A58" s="34"/>
      <c r="B58" s="93">
        <v>7</v>
      </c>
      <c r="C58" s="166">
        <f ca="1"/>
        <v>0</v>
      </c>
      <c r="D58" s="177">
        <f ca="1"/>
        <v>0</v>
      </c>
      <c r="E58" s="177">
        <f ca="1"/>
        <v>0</v>
      </c>
      <c r="F58" s="167">
        <f ca="1"/>
        <v>0</v>
      </c>
      <c r="G58" s="33"/>
      <c r="H58" s="34"/>
      <c r="I58" s="33"/>
      <c r="J58" s="94">
        <f ca="1"/>
        <v>0</v>
      </c>
      <c r="K58" s="94">
        <f ca="1"/>
        <v>0</v>
      </c>
      <c r="L58" s="385"/>
      <c r="M58" s="94">
        <f ca="1"/>
        <v>9691781.5439999998</v>
      </c>
      <c r="N58" s="94">
        <f ca="1"/>
        <v>10182404.848940557</v>
      </c>
      <c r="O58" s="95">
        <f ca="1"/>
        <v>490623.30494055711</v>
      </c>
      <c r="P58" s="33"/>
      <c r="Q58" s="362">
        <f ca="1"/>
        <v>0</v>
      </c>
      <c r="R58" s="307">
        <f ca="1"/>
        <v>0</v>
      </c>
      <c r="S58" s="307">
        <f ca="1"/>
        <v>0</v>
      </c>
      <c r="T58" s="308">
        <f ca="1"/>
        <v>0</v>
      </c>
      <c r="U58" s="92">
        <f ca="1"/>
        <v>43514</v>
      </c>
      <c r="V58" s="306">
        <f ca="1"/>
        <v>100159.82196539067</v>
      </c>
      <c r="W58" s="87">
        <f ca="1"/>
        <v>0</v>
      </c>
      <c r="X58" s="88">
        <f ca="1"/>
        <v>0</v>
      </c>
      <c r="Y58" s="88">
        <f ca="1"/>
        <v>0</v>
      </c>
      <c r="Z58" s="88">
        <f ca="1"/>
        <v>0</v>
      </c>
      <c r="AA58" s="88">
        <f ca="1"/>
        <v>0</v>
      </c>
      <c r="AB58" s="88">
        <f ca="1"/>
        <v>1193035.3468431013</v>
      </c>
      <c r="AC58" s="88">
        <f ca="1"/>
        <v>0</v>
      </c>
      <c r="AD58" s="88">
        <f ca="1"/>
        <v>0</v>
      </c>
      <c r="AE58" s="88">
        <f ca="1"/>
        <v>0</v>
      </c>
      <c r="AF58" s="88">
        <f ca="1"/>
        <v>0</v>
      </c>
      <c r="AG58" s="88">
        <f ca="1"/>
        <v>810000</v>
      </c>
      <c r="AH58" s="88">
        <f ca="1"/>
        <v>6503364.9647999993</v>
      </c>
      <c r="AI58" s="88">
        <f ca="1"/>
        <v>0</v>
      </c>
      <c r="AJ58" s="88">
        <f ca="1"/>
        <v>0</v>
      </c>
      <c r="AK58" s="88">
        <f ca="1"/>
        <v>174.98013353743255</v>
      </c>
      <c r="AL58" s="88">
        <f ca="1"/>
        <v>0</v>
      </c>
      <c r="AM58" s="195">
        <f ca="1"/>
        <v>0</v>
      </c>
      <c r="AN58" s="195">
        <f ca="1"/>
        <v>0</v>
      </c>
      <c r="AO58" s="195">
        <f ca="1"/>
        <v>863392.45274999994</v>
      </c>
      <c r="AP58" s="443">
        <f ca="1"/>
        <v>0</v>
      </c>
      <c r="AQ58" s="195">
        <f ca="1"/>
        <v>223952.57092</v>
      </c>
      <c r="AR58" s="195">
        <f ca="1"/>
        <v>0</v>
      </c>
      <c r="AS58" s="195">
        <f ca="1"/>
        <v>108891.62378048318</v>
      </c>
      <c r="AT58" s="195">
        <f ca="1"/>
        <v>53912.405774415238</v>
      </c>
      <c r="AU58" s="195">
        <f ca="1"/>
        <v>159453.09530248321</v>
      </c>
      <c r="AV58" s="195">
        <f ca="1"/>
        <v>37504.912279999997</v>
      </c>
      <c r="AW58" s="195">
        <f ca="1"/>
        <v>0</v>
      </c>
      <c r="AX58" s="195">
        <f ca="1"/>
        <v>0</v>
      </c>
      <c r="AY58" s="195">
        <f ca="1"/>
        <v>0</v>
      </c>
      <c r="AZ58" s="195">
        <f ca="1"/>
        <v>0</v>
      </c>
      <c r="BA58" s="195">
        <f ca="1"/>
        <v>36128.551264310394</v>
      </c>
      <c r="BB58" s="195">
        <f ca="1"/>
        <v>51337.460570159994</v>
      </c>
      <c r="BC58" s="195">
        <f ca="1"/>
        <v>0</v>
      </c>
      <c r="BD58" s="195">
        <f ca="1"/>
        <v>41096.662556675998</v>
      </c>
      <c r="BE58" s="195">
        <f ca="1"/>
        <v>0</v>
      </c>
    </row>
    <row r="59" spans="1:57" s="195" customFormat="1" x14ac:dyDescent="0.2">
      <c r="A59" s="34"/>
      <c r="B59" s="93">
        <v>8</v>
      </c>
      <c r="C59" s="166">
        <f ca="1"/>
        <v>0</v>
      </c>
      <c r="D59" s="177">
        <f ca="1"/>
        <v>0</v>
      </c>
      <c r="E59" s="177">
        <f ca="1"/>
        <v>0</v>
      </c>
      <c r="F59" s="167">
        <f ca="1"/>
        <v>0</v>
      </c>
      <c r="G59" s="33"/>
      <c r="H59" s="34"/>
      <c r="I59" s="33"/>
      <c r="J59" s="94">
        <f ca="1"/>
        <v>0</v>
      </c>
      <c r="K59" s="94">
        <f ca="1"/>
        <v>0</v>
      </c>
      <c r="L59" s="385"/>
      <c r="M59" s="94">
        <f ca="1"/>
        <v>7689159.5630000001</v>
      </c>
      <c r="N59" s="94">
        <f ca="1"/>
        <v>8225917.183384886</v>
      </c>
      <c r="O59" s="95">
        <f ca="1"/>
        <v>536757.62038488593</v>
      </c>
      <c r="P59" s="33"/>
      <c r="Q59" s="362">
        <f ca="1"/>
        <v>0</v>
      </c>
      <c r="R59" s="307">
        <f ca="1"/>
        <v>0</v>
      </c>
      <c r="S59" s="307">
        <f ca="1"/>
        <v>0</v>
      </c>
      <c r="T59" s="308">
        <f ca="1"/>
        <v>0</v>
      </c>
      <c r="U59" s="92">
        <f ca="1"/>
        <v>43521</v>
      </c>
      <c r="V59" s="306">
        <f ca="1"/>
        <v>100159.82196539067</v>
      </c>
      <c r="W59" s="87">
        <f ca="1"/>
        <v>0</v>
      </c>
      <c r="X59" s="88">
        <f ca="1"/>
        <v>0</v>
      </c>
      <c r="Y59" s="88">
        <f ca="1"/>
        <v>0</v>
      </c>
      <c r="Z59" s="88">
        <f ca="1"/>
        <v>0</v>
      </c>
      <c r="AA59" s="88">
        <f ca="1"/>
        <v>0</v>
      </c>
      <c r="AB59" s="88">
        <f ca="1"/>
        <v>1025481.8240262225</v>
      </c>
      <c r="AC59" s="88">
        <f ca="1"/>
        <v>0</v>
      </c>
      <c r="AD59" s="88">
        <f ca="1"/>
        <v>0</v>
      </c>
      <c r="AE59" s="88">
        <f ca="1"/>
        <v>0</v>
      </c>
      <c r="AF59" s="88">
        <f ca="1"/>
        <v>0</v>
      </c>
      <c r="AG59" s="88">
        <f ca="1"/>
        <v>242999.9999999991</v>
      </c>
      <c r="AH59" s="88">
        <f ca="1"/>
        <v>6411373.0009999992</v>
      </c>
      <c r="AI59" s="88">
        <f ca="1"/>
        <v>0</v>
      </c>
      <c r="AJ59" s="88">
        <f ca="1"/>
        <v>0</v>
      </c>
      <c r="AK59" s="88">
        <f ca="1"/>
        <v>878.16004974443013</v>
      </c>
      <c r="AL59" s="88">
        <f ca="1"/>
        <v>0</v>
      </c>
      <c r="AM59" s="195">
        <f ca="1"/>
        <v>0</v>
      </c>
      <c r="AN59" s="195">
        <f ca="1"/>
        <v>0</v>
      </c>
      <c r="AO59" s="195">
        <f ca="1"/>
        <v>0</v>
      </c>
      <c r="AP59" s="443">
        <f ca="1"/>
        <v>0</v>
      </c>
      <c r="AQ59" s="195">
        <f ca="1"/>
        <v>0</v>
      </c>
      <c r="AR59" s="195">
        <f ca="1"/>
        <v>0</v>
      </c>
      <c r="AS59" s="195">
        <f ca="1"/>
        <v>114621.50191736799</v>
      </c>
      <c r="AT59" s="195">
        <f ca="1"/>
        <v>31029.160969488705</v>
      </c>
      <c r="AU59" s="195">
        <f ca="1"/>
        <v>152690.07863546401</v>
      </c>
      <c r="AV59" s="195">
        <f ca="1"/>
        <v>35150.467989999997</v>
      </c>
      <c r="AW59" s="195">
        <f ca="1"/>
        <v>0</v>
      </c>
      <c r="AX59" s="195">
        <f ca="1"/>
        <v>0</v>
      </c>
      <c r="AY59" s="195">
        <f ca="1"/>
        <v>0</v>
      </c>
      <c r="AZ59" s="195">
        <f ca="1"/>
        <v>0</v>
      </c>
      <c r="BA59" s="195">
        <f ca="1"/>
        <v>20124.548357541116</v>
      </c>
      <c r="BB59" s="195">
        <f ca="1"/>
        <v>41313.772359884002</v>
      </c>
      <c r="BC59" s="195">
        <f ca="1"/>
        <v>0</v>
      </c>
      <c r="BD59" s="195">
        <f ca="1"/>
        <v>50094.846113784006</v>
      </c>
      <c r="BE59" s="195">
        <f ca="1"/>
        <v>0</v>
      </c>
    </row>
    <row r="60" spans="1:57" s="195" customFormat="1" x14ac:dyDescent="0.2">
      <c r="A60" s="34"/>
      <c r="B60" s="93">
        <v>9</v>
      </c>
      <c r="C60" s="166">
        <f ca="1"/>
        <v>0</v>
      </c>
      <c r="D60" s="177">
        <f ca="1"/>
        <v>0</v>
      </c>
      <c r="E60" s="177">
        <f ca="1"/>
        <v>0</v>
      </c>
      <c r="F60" s="167">
        <f ca="1"/>
        <v>0</v>
      </c>
      <c r="G60" s="33"/>
      <c r="H60" s="34"/>
      <c r="I60" s="33"/>
      <c r="J60" s="94">
        <f ca="1"/>
        <v>0</v>
      </c>
      <c r="K60" s="94">
        <f ca="1"/>
        <v>0</v>
      </c>
      <c r="L60" s="385"/>
      <c r="M60" s="94">
        <f ca="1"/>
        <v>10234521.560000001</v>
      </c>
      <c r="N60" s="94">
        <f ca="1"/>
        <v>10918332.832351711</v>
      </c>
      <c r="O60" s="95">
        <f ca="1"/>
        <v>683811.27235171013</v>
      </c>
      <c r="P60" s="33"/>
      <c r="Q60" s="362">
        <f ca="1"/>
        <v>0</v>
      </c>
      <c r="R60" s="307">
        <f ca="1"/>
        <v>0</v>
      </c>
      <c r="S60" s="307">
        <f ca="1"/>
        <v>0</v>
      </c>
      <c r="T60" s="308">
        <f ca="1"/>
        <v>0</v>
      </c>
      <c r="U60" s="92">
        <f ca="1"/>
        <v>43528</v>
      </c>
      <c r="V60" s="306">
        <f ca="1"/>
        <v>100159.82196539067</v>
      </c>
      <c r="W60" s="87">
        <f ca="1"/>
        <v>0</v>
      </c>
      <c r="X60" s="88">
        <f ca="1"/>
        <v>0</v>
      </c>
      <c r="Y60" s="88">
        <f ca="1"/>
        <v>0</v>
      </c>
      <c r="Z60" s="88">
        <f ca="1"/>
        <v>0</v>
      </c>
      <c r="AA60" s="88">
        <f ca="1"/>
        <v>0</v>
      </c>
      <c r="AB60" s="88">
        <f ca="1"/>
        <v>969052.32834503625</v>
      </c>
      <c r="AC60" s="88">
        <f ca="1"/>
        <v>0</v>
      </c>
      <c r="AD60" s="88">
        <f ca="1"/>
        <v>0</v>
      </c>
      <c r="AE60" s="88">
        <f ca="1"/>
        <v>0</v>
      </c>
      <c r="AF60" s="88">
        <f ca="1"/>
        <v>0</v>
      </c>
      <c r="AG60" s="88">
        <f ca="1"/>
        <v>0</v>
      </c>
      <c r="AH60" s="88">
        <f ca="1"/>
        <v>7291484.1692000004</v>
      </c>
      <c r="AI60" s="88">
        <f ca="1"/>
        <v>0</v>
      </c>
      <c r="AJ60" s="88">
        <f ca="1"/>
        <v>0</v>
      </c>
      <c r="AK60" s="88">
        <f ca="1"/>
        <v>7602.2984807716357</v>
      </c>
      <c r="AL60" s="88">
        <f ca="1"/>
        <v>1809664.166896</v>
      </c>
      <c r="AM60" s="195">
        <f ca="1"/>
        <v>0</v>
      </c>
      <c r="AN60" s="195">
        <f ca="1"/>
        <v>0</v>
      </c>
      <c r="AO60" s="195">
        <f ca="1"/>
        <v>127804.803885</v>
      </c>
      <c r="AP60" s="443">
        <f ca="1"/>
        <v>0</v>
      </c>
      <c r="AQ60" s="195">
        <f ca="1"/>
        <v>0</v>
      </c>
      <c r="AR60" s="195">
        <f ca="1"/>
        <v>0</v>
      </c>
      <c r="AS60" s="195">
        <f ca="1"/>
        <v>273691.90108988446</v>
      </c>
      <c r="AT60" s="195">
        <f ca="1"/>
        <v>57169.656733994998</v>
      </c>
      <c r="AU60" s="195">
        <f ca="1"/>
        <v>122788.37534415841</v>
      </c>
      <c r="AV60" s="195">
        <f ca="1"/>
        <v>39914.755232000003</v>
      </c>
      <c r="AW60" s="195">
        <f ca="1"/>
        <v>0</v>
      </c>
      <c r="AX60" s="195">
        <f ca="1"/>
        <v>0</v>
      </c>
      <c r="AY60" s="195">
        <f ca="1"/>
        <v>0</v>
      </c>
      <c r="AZ60" s="195">
        <f ca="1"/>
        <v>0</v>
      </c>
      <c r="BA60" s="195">
        <f ca="1"/>
        <v>31818.690670284799</v>
      </c>
      <c r="BB60" s="195">
        <f ca="1"/>
        <v>40572.263249395997</v>
      </c>
      <c r="BC60" s="195">
        <f ca="1"/>
        <v>0</v>
      </c>
      <c r="BD60" s="195">
        <f ca="1"/>
        <v>46609.601259792005</v>
      </c>
      <c r="BE60" s="195">
        <f ca="1"/>
        <v>0</v>
      </c>
    </row>
    <row r="61" spans="1:57" s="195" customFormat="1" x14ac:dyDescent="0.2">
      <c r="A61" s="34"/>
      <c r="B61" s="93">
        <v>10</v>
      </c>
      <c r="C61" s="166">
        <f ca="1"/>
        <v>0</v>
      </c>
      <c r="D61" s="177">
        <f ca="1"/>
        <v>0</v>
      </c>
      <c r="E61" s="177">
        <f ca="1"/>
        <v>0</v>
      </c>
      <c r="F61" s="167">
        <f ca="1"/>
        <v>0</v>
      </c>
      <c r="G61" s="33"/>
      <c r="H61" s="34"/>
      <c r="I61" s="33"/>
      <c r="J61" s="94">
        <f ca="1"/>
        <v>0</v>
      </c>
      <c r="K61" s="94">
        <f ca="1"/>
        <v>0</v>
      </c>
      <c r="L61" s="385"/>
      <c r="M61" s="94">
        <f ca="1"/>
        <v>9309029.1699999999</v>
      </c>
      <c r="N61" s="94">
        <f ca="1"/>
        <v>9317723.8841522522</v>
      </c>
      <c r="O61" s="95">
        <f ca="1"/>
        <v>8694.7141522523016</v>
      </c>
      <c r="P61" s="33"/>
      <c r="Q61" s="362">
        <f ca="1"/>
        <v>0</v>
      </c>
      <c r="R61" s="307">
        <f ca="1"/>
        <v>0</v>
      </c>
      <c r="S61" s="307">
        <f ca="1"/>
        <v>0</v>
      </c>
      <c r="T61" s="308">
        <f ca="1"/>
        <v>0</v>
      </c>
      <c r="U61" s="92">
        <f ca="1"/>
        <v>43535</v>
      </c>
      <c r="V61" s="306">
        <f ca="1"/>
        <v>100159.82196539067</v>
      </c>
      <c r="W61" s="87">
        <f ca="1"/>
        <v>0</v>
      </c>
      <c r="X61" s="88">
        <f ca="1"/>
        <v>0</v>
      </c>
      <c r="Y61" s="88">
        <f ca="1"/>
        <v>0</v>
      </c>
      <c r="Z61" s="88">
        <f ca="1"/>
        <v>0</v>
      </c>
      <c r="AA61" s="88">
        <f ca="1"/>
        <v>0</v>
      </c>
      <c r="AB61" s="88">
        <f ca="1"/>
        <v>376923.13616186572</v>
      </c>
      <c r="AC61" s="88">
        <f ca="1"/>
        <v>0</v>
      </c>
      <c r="AD61" s="88">
        <f ca="1"/>
        <v>0</v>
      </c>
      <c r="AE61" s="88">
        <f ca="1"/>
        <v>0</v>
      </c>
      <c r="AF61" s="88">
        <f ca="1"/>
        <v>0</v>
      </c>
      <c r="AG61" s="88">
        <f ca="1"/>
        <v>0</v>
      </c>
      <c r="AH61" s="88">
        <f ca="1"/>
        <v>6886546.8826000001</v>
      </c>
      <c r="AI61" s="88">
        <f ca="1"/>
        <v>0</v>
      </c>
      <c r="AJ61" s="88">
        <f ca="1"/>
        <v>0</v>
      </c>
      <c r="AK61" s="88">
        <f ca="1"/>
        <v>20515.200763769943</v>
      </c>
      <c r="AL61" s="88">
        <f ca="1"/>
        <v>977487.52441600012</v>
      </c>
      <c r="AM61" s="195">
        <f ca="1"/>
        <v>0</v>
      </c>
      <c r="AN61" s="195">
        <f ca="1"/>
        <v>0</v>
      </c>
      <c r="AO61" s="195">
        <f ca="1"/>
        <v>127804.803885</v>
      </c>
      <c r="AP61" s="443">
        <f ca="1"/>
        <v>0</v>
      </c>
      <c r="AQ61" s="195">
        <f ca="1"/>
        <v>162416.94079000002</v>
      </c>
      <c r="AR61" s="195">
        <f ca="1"/>
        <v>0</v>
      </c>
      <c r="AS61" s="195">
        <f ca="1"/>
        <v>275293.18391436269</v>
      </c>
      <c r="AT61" s="195">
        <f ca="1"/>
        <v>91731.126751016214</v>
      </c>
      <c r="AU61" s="195">
        <f ca="1"/>
        <v>114130.4835759792</v>
      </c>
      <c r="AV61" s="195">
        <f ca="1"/>
        <v>37754.206380000003</v>
      </c>
      <c r="AW61" s="195">
        <f ca="1"/>
        <v>0</v>
      </c>
      <c r="AX61" s="195">
        <f ca="1"/>
        <v>0</v>
      </c>
      <c r="AY61" s="195">
        <f ca="1"/>
        <v>0</v>
      </c>
      <c r="AZ61" s="195">
        <f ca="1"/>
        <v>0</v>
      </c>
      <c r="BA61" s="195">
        <f ca="1"/>
        <v>38209.088350521597</v>
      </c>
      <c r="BB61" s="195">
        <f ca="1"/>
        <v>49144.206635000002</v>
      </c>
      <c r="BC61" s="195">
        <f ca="1"/>
        <v>0</v>
      </c>
      <c r="BD61" s="195">
        <f ca="1"/>
        <v>59607.277963344008</v>
      </c>
      <c r="BE61" s="195">
        <f ca="1"/>
        <v>0</v>
      </c>
    </row>
    <row r="62" spans="1:57" s="195" customFormat="1" x14ac:dyDescent="0.2">
      <c r="A62" s="34"/>
      <c r="B62" s="93">
        <v>11</v>
      </c>
      <c r="C62" s="166">
        <f ca="1"/>
        <v>0</v>
      </c>
      <c r="D62" s="177">
        <f ca="1"/>
        <v>0</v>
      </c>
      <c r="E62" s="177">
        <f ca="1"/>
        <v>0</v>
      </c>
      <c r="F62" s="167">
        <f ca="1"/>
        <v>0</v>
      </c>
      <c r="G62" s="33"/>
      <c r="H62" s="34"/>
      <c r="I62" s="33"/>
      <c r="J62" s="94">
        <f ca="1"/>
        <v>0</v>
      </c>
      <c r="K62" s="94">
        <f ca="1"/>
        <v>0</v>
      </c>
      <c r="L62" s="385"/>
      <c r="M62" s="94">
        <f ca="1"/>
        <v>12102722.800000001</v>
      </c>
      <c r="N62" s="94">
        <f ca="1"/>
        <v>12273697.455023894</v>
      </c>
      <c r="O62" s="95">
        <f ca="1"/>
        <v>170974.65502389334</v>
      </c>
      <c r="P62" s="33"/>
      <c r="Q62" s="362">
        <f ca="1"/>
        <v>0</v>
      </c>
      <c r="R62" s="307">
        <f ca="1"/>
        <v>0</v>
      </c>
      <c r="S62" s="307">
        <f ca="1"/>
        <v>0</v>
      </c>
      <c r="T62" s="308">
        <f ca="1"/>
        <v>0</v>
      </c>
      <c r="U62" s="92">
        <f ca="1"/>
        <v>43542</v>
      </c>
      <c r="V62" s="306">
        <f ca="1"/>
        <v>100159.82196539067</v>
      </c>
      <c r="W62" s="87">
        <f ca="1"/>
        <v>0</v>
      </c>
      <c r="X62" s="88">
        <f ca="1"/>
        <v>0</v>
      </c>
      <c r="Y62" s="88">
        <f ca="1"/>
        <v>0</v>
      </c>
      <c r="Z62" s="88">
        <f ca="1"/>
        <v>2561008.4365313901</v>
      </c>
      <c r="AA62" s="88">
        <f ca="1"/>
        <v>0</v>
      </c>
      <c r="AB62" s="88">
        <f ca="1"/>
        <v>646081.40063521708</v>
      </c>
      <c r="AC62" s="88">
        <f ca="1"/>
        <v>0</v>
      </c>
      <c r="AD62" s="88">
        <f ca="1"/>
        <v>0</v>
      </c>
      <c r="AE62" s="88">
        <f ca="1"/>
        <v>0</v>
      </c>
      <c r="AF62" s="88">
        <f ca="1"/>
        <v>0</v>
      </c>
      <c r="AG62" s="88">
        <f ca="1"/>
        <v>0</v>
      </c>
      <c r="AH62" s="88">
        <f ca="1"/>
        <v>8320821.9093999993</v>
      </c>
      <c r="AI62" s="88">
        <f ca="1"/>
        <v>0</v>
      </c>
      <c r="AJ62" s="88">
        <f ca="1"/>
        <v>0</v>
      </c>
      <c r="AK62" s="88">
        <f ca="1"/>
        <v>42697.906722765001</v>
      </c>
      <c r="AL62" s="88">
        <f ca="1"/>
        <v>34344.261504000002</v>
      </c>
      <c r="AM62" s="195">
        <f ca="1"/>
        <v>0</v>
      </c>
      <c r="AN62" s="195">
        <f ca="1"/>
        <v>0</v>
      </c>
      <c r="AO62" s="195">
        <f ca="1"/>
        <v>127804.803885</v>
      </c>
      <c r="AP62" s="443">
        <f ca="1"/>
        <v>0</v>
      </c>
      <c r="AQ62" s="195">
        <f ca="1"/>
        <v>0</v>
      </c>
      <c r="AR62" s="195">
        <f ca="1"/>
        <v>0</v>
      </c>
      <c r="AS62" s="195">
        <f ca="1"/>
        <v>13736.98837308779</v>
      </c>
      <c r="AT62" s="195">
        <f ca="1"/>
        <v>100813.32641303586</v>
      </c>
      <c r="AU62" s="195">
        <f ca="1"/>
        <v>106830.4684884864</v>
      </c>
      <c r="AV62" s="195">
        <f ca="1"/>
        <v>32145.08913</v>
      </c>
      <c r="AW62" s="195">
        <f ca="1"/>
        <v>0</v>
      </c>
      <c r="AX62" s="195">
        <f ca="1"/>
        <v>12131.228998306358</v>
      </c>
      <c r="AY62" s="195">
        <f ca="1"/>
        <v>0</v>
      </c>
      <c r="AZ62" s="195">
        <f ca="1"/>
        <v>0</v>
      </c>
      <c r="BA62" s="195">
        <f ca="1"/>
        <v>29330.40732022496</v>
      </c>
      <c r="BB62" s="195">
        <f ca="1"/>
        <v>68078.385028379998</v>
      </c>
      <c r="BC62" s="195">
        <f ca="1"/>
        <v>0</v>
      </c>
      <c r="BD62" s="195">
        <f ca="1"/>
        <v>77713.020628608007</v>
      </c>
      <c r="BE62" s="195">
        <f ca="1"/>
        <v>0</v>
      </c>
    </row>
    <row r="63" spans="1:57" s="195" customFormat="1" x14ac:dyDescent="0.2">
      <c r="A63" s="34"/>
      <c r="B63" s="93">
        <v>12</v>
      </c>
      <c r="C63" s="166">
        <f ca="1"/>
        <v>0</v>
      </c>
      <c r="D63" s="177">
        <f ca="1"/>
        <v>0</v>
      </c>
      <c r="E63" s="177">
        <f ca="1"/>
        <v>0</v>
      </c>
      <c r="F63" s="167">
        <f ca="1"/>
        <v>0</v>
      </c>
      <c r="G63" s="33"/>
      <c r="H63" s="34"/>
      <c r="I63" s="33"/>
      <c r="J63" s="94">
        <f ca="1"/>
        <v>0</v>
      </c>
      <c r="K63" s="94">
        <f ca="1"/>
        <v>0</v>
      </c>
      <c r="L63" s="385"/>
      <c r="M63" s="94">
        <f ca="1"/>
        <v>9283960.8220000006</v>
      </c>
      <c r="N63" s="94">
        <f ca="1"/>
        <v>9730017.0453157797</v>
      </c>
      <c r="O63" s="95">
        <f ca="1"/>
        <v>446056.22331577912</v>
      </c>
      <c r="P63" s="33"/>
      <c r="Q63" s="362">
        <f ca="1"/>
        <v>0</v>
      </c>
      <c r="R63" s="307">
        <f ca="1"/>
        <v>0</v>
      </c>
      <c r="S63" s="307">
        <f ca="1"/>
        <v>0</v>
      </c>
      <c r="T63" s="308">
        <f ca="1"/>
        <v>0</v>
      </c>
      <c r="U63" s="92">
        <f ca="1"/>
        <v>43549</v>
      </c>
      <c r="V63" s="306">
        <f ca="1"/>
        <v>100159.82196539067</v>
      </c>
      <c r="W63" s="87">
        <f ca="1"/>
        <v>0</v>
      </c>
      <c r="X63" s="88">
        <f ca="1"/>
        <v>0</v>
      </c>
      <c r="Y63" s="88">
        <f ca="1"/>
        <v>0</v>
      </c>
      <c r="Z63" s="88">
        <f ca="1"/>
        <v>0</v>
      </c>
      <c r="AA63" s="88">
        <f ca="1"/>
        <v>0</v>
      </c>
      <c r="AB63" s="88">
        <f ca="1"/>
        <v>909990.17550396302</v>
      </c>
      <c r="AC63" s="88">
        <f ca="1"/>
        <v>0</v>
      </c>
      <c r="AD63" s="88">
        <f ca="1"/>
        <v>0</v>
      </c>
      <c r="AE63" s="88">
        <f ca="1"/>
        <v>0</v>
      </c>
      <c r="AF63" s="88">
        <f ca="1"/>
        <v>0</v>
      </c>
      <c r="AG63" s="88">
        <f ca="1"/>
        <v>0</v>
      </c>
      <c r="AH63" s="88">
        <f ca="1"/>
        <v>7827736.6397999991</v>
      </c>
      <c r="AI63" s="88">
        <f ca="1"/>
        <v>0</v>
      </c>
      <c r="AJ63" s="88">
        <f ca="1"/>
        <v>0</v>
      </c>
      <c r="AK63" s="88">
        <f ca="1"/>
        <v>35715.828884172493</v>
      </c>
      <c r="AL63" s="88">
        <f ca="1"/>
        <v>0</v>
      </c>
      <c r="AM63" s="195">
        <f ca="1"/>
        <v>0</v>
      </c>
      <c r="AN63" s="195">
        <f ca="1"/>
        <v>0</v>
      </c>
      <c r="AO63" s="195">
        <f ca="1"/>
        <v>0</v>
      </c>
      <c r="AP63" s="443">
        <f ca="1"/>
        <v>0</v>
      </c>
      <c r="AQ63" s="195">
        <f ca="1"/>
        <v>450726.43226000003</v>
      </c>
      <c r="AR63" s="195">
        <f ca="1"/>
        <v>0</v>
      </c>
      <c r="AS63" s="195">
        <f ca="1"/>
        <v>4127.5608140234508</v>
      </c>
      <c r="AT63" s="195">
        <f ca="1"/>
        <v>64695.444703751156</v>
      </c>
      <c r="AU63" s="195">
        <f ca="1"/>
        <v>116401.81426421761</v>
      </c>
      <c r="AV63" s="195">
        <f ca="1"/>
        <v>35039.670621999998</v>
      </c>
      <c r="AW63" s="195">
        <f ca="1"/>
        <v>0</v>
      </c>
      <c r="AX63" s="195">
        <f ca="1"/>
        <v>40286.731034616954</v>
      </c>
      <c r="AY63" s="195">
        <f ca="1"/>
        <v>0</v>
      </c>
      <c r="AZ63" s="195">
        <f ca="1"/>
        <v>0</v>
      </c>
      <c r="BA63" s="195">
        <f ca="1"/>
        <v>19942.379762107201</v>
      </c>
      <c r="BB63" s="195">
        <f ca="1"/>
        <v>57816.832221879995</v>
      </c>
      <c r="BC63" s="195">
        <f ca="1"/>
        <v>0</v>
      </c>
      <c r="BD63" s="195">
        <f ca="1"/>
        <v>67377.713479655999</v>
      </c>
      <c r="BE63" s="195">
        <f ca="1"/>
        <v>0</v>
      </c>
    </row>
    <row r="64" spans="1:57" s="195" customFormat="1" x14ac:dyDescent="0.2">
      <c r="A64" s="34"/>
      <c r="B64" s="93">
        <v>13</v>
      </c>
      <c r="C64" s="166">
        <f ca="1"/>
        <v>0</v>
      </c>
      <c r="D64" s="177">
        <f ca="1"/>
        <v>0</v>
      </c>
      <c r="E64" s="177">
        <f ca="1"/>
        <v>0</v>
      </c>
      <c r="F64" s="167">
        <f ca="1"/>
        <v>0</v>
      </c>
      <c r="G64" s="33"/>
      <c r="H64" s="34"/>
      <c r="I64" s="33"/>
      <c r="J64" s="94">
        <f ca="1"/>
        <v>0</v>
      </c>
      <c r="K64" s="94">
        <f ca="1"/>
        <v>0</v>
      </c>
      <c r="L64" s="385"/>
      <c r="M64" s="94">
        <f ca="1"/>
        <v>8030813.165</v>
      </c>
      <c r="N64" s="94">
        <f ca="1"/>
        <v>8105263.5159569094</v>
      </c>
      <c r="O64" s="95">
        <f ca="1"/>
        <v>74450.350956909359</v>
      </c>
      <c r="P64" s="33"/>
      <c r="Q64" s="362">
        <f ca="1"/>
        <v>0</v>
      </c>
      <c r="R64" s="307">
        <f ca="1"/>
        <v>0</v>
      </c>
      <c r="S64" s="307">
        <f ca="1"/>
        <v>0</v>
      </c>
      <c r="T64" s="308">
        <f ca="1"/>
        <v>0</v>
      </c>
      <c r="U64" s="92">
        <f ca="1"/>
        <v>43556</v>
      </c>
      <c r="V64" s="306">
        <f ca="1"/>
        <v>100159.82196539067</v>
      </c>
      <c r="W64" s="87">
        <f ca="1"/>
        <v>0</v>
      </c>
      <c r="X64" s="88">
        <f ca="1"/>
        <v>0</v>
      </c>
      <c r="Y64" s="88">
        <f ca="1"/>
        <v>0</v>
      </c>
      <c r="Z64" s="88">
        <f ca="1"/>
        <v>0</v>
      </c>
      <c r="AA64" s="88">
        <f ca="1"/>
        <v>0</v>
      </c>
      <c r="AB64" s="88">
        <f ca="1"/>
        <v>528007.44631951652</v>
      </c>
      <c r="AC64" s="88">
        <f ca="1"/>
        <v>0</v>
      </c>
      <c r="AD64" s="88">
        <f ca="1"/>
        <v>0</v>
      </c>
      <c r="AE64" s="88">
        <f ca="1"/>
        <v>0</v>
      </c>
      <c r="AF64" s="88">
        <f ca="1"/>
        <v>0</v>
      </c>
      <c r="AG64" s="88">
        <f ca="1"/>
        <v>0</v>
      </c>
      <c r="AH64" s="88">
        <f ca="1"/>
        <v>6716757.4363999991</v>
      </c>
      <c r="AI64" s="88">
        <f ca="1"/>
        <v>0</v>
      </c>
      <c r="AJ64" s="88">
        <f ca="1"/>
        <v>0</v>
      </c>
      <c r="AK64" s="88">
        <f ca="1"/>
        <v>41508.956596030344</v>
      </c>
      <c r="AL64" s="88">
        <f ca="1"/>
        <v>29204.304000000004</v>
      </c>
      <c r="AM64" s="195">
        <f ca="1"/>
        <v>0</v>
      </c>
      <c r="AN64" s="195">
        <f ca="1"/>
        <v>0</v>
      </c>
      <c r="AO64" s="195">
        <f ca="1"/>
        <v>266260.00805999996</v>
      </c>
      <c r="AP64" s="443">
        <f ca="1"/>
        <v>0</v>
      </c>
      <c r="AQ64" s="195">
        <f ca="1"/>
        <v>0</v>
      </c>
      <c r="AR64" s="195">
        <f ca="1"/>
        <v>0</v>
      </c>
      <c r="AS64" s="195">
        <f ca="1"/>
        <v>106512.73337560543</v>
      </c>
      <c r="AT64" s="195">
        <f ca="1"/>
        <v>69644.434784256533</v>
      </c>
      <c r="AU64" s="195">
        <f ca="1"/>
        <v>135240.11880255362</v>
      </c>
      <c r="AV64" s="195">
        <f ca="1"/>
        <v>31050.965044</v>
      </c>
      <c r="AW64" s="195">
        <f ca="1"/>
        <v>0</v>
      </c>
      <c r="AX64" s="195">
        <f ca="1"/>
        <v>11383.071228452704</v>
      </c>
      <c r="AY64" s="195">
        <f ca="1"/>
        <v>0</v>
      </c>
      <c r="AZ64" s="195">
        <f ca="1"/>
        <v>0</v>
      </c>
      <c r="BA64" s="195">
        <f ca="1"/>
        <v>14738.143108380478</v>
      </c>
      <c r="BB64" s="195">
        <f ca="1"/>
        <v>35590.480716111997</v>
      </c>
      <c r="BC64" s="195">
        <f ca="1"/>
        <v>0</v>
      </c>
      <c r="BD64" s="195">
        <f ca="1"/>
        <v>19205.595556611603</v>
      </c>
      <c r="BE64" s="195">
        <f ca="1"/>
        <v>0</v>
      </c>
    </row>
    <row r="65" spans="1:57" s="195" customFormat="1" x14ac:dyDescent="0.2">
      <c r="A65" s="34"/>
      <c r="B65" s="93">
        <v>14</v>
      </c>
      <c r="C65" s="166">
        <f ca="1"/>
        <v>0</v>
      </c>
      <c r="D65" s="177">
        <f ca="1"/>
        <v>0</v>
      </c>
      <c r="E65" s="177">
        <f ca="1"/>
        <v>0</v>
      </c>
      <c r="F65" s="167">
        <f ca="1"/>
        <v>0</v>
      </c>
      <c r="G65" s="33"/>
      <c r="H65" s="34"/>
      <c r="I65" s="33"/>
      <c r="J65" s="94">
        <f ca="1"/>
        <v>0</v>
      </c>
      <c r="K65" s="94">
        <f ca="1"/>
        <v>0</v>
      </c>
      <c r="L65" s="385"/>
      <c r="M65" s="94">
        <f ca="1"/>
        <v>7843202.9270000001</v>
      </c>
      <c r="N65" s="94">
        <f ca="1"/>
        <v>8249649.2140894812</v>
      </c>
      <c r="O65" s="95">
        <f ca="1"/>
        <v>406446.28708948102</v>
      </c>
      <c r="P65" s="33"/>
      <c r="Q65" s="362">
        <f ca="1"/>
        <v>0</v>
      </c>
      <c r="R65" s="307">
        <f ca="1"/>
        <v>0</v>
      </c>
      <c r="S65" s="307">
        <f ca="1"/>
        <v>0</v>
      </c>
      <c r="T65" s="308">
        <f ca="1"/>
        <v>0</v>
      </c>
      <c r="U65" s="92">
        <f ca="1"/>
        <v>43563</v>
      </c>
      <c r="V65" s="306">
        <f ca="1"/>
        <v>100159.82196539067</v>
      </c>
      <c r="W65" s="87">
        <f ca="1"/>
        <v>0</v>
      </c>
      <c r="X65" s="88">
        <f ca="1"/>
        <v>0</v>
      </c>
      <c r="Y65" s="88">
        <f ca="1"/>
        <v>0</v>
      </c>
      <c r="Z65" s="88">
        <f ca="1"/>
        <v>0</v>
      </c>
      <c r="AA65" s="88">
        <f ca="1"/>
        <v>0</v>
      </c>
      <c r="AB65" s="88">
        <f ca="1"/>
        <v>408484.81126064312</v>
      </c>
      <c r="AC65" s="88">
        <f ca="1"/>
        <v>0</v>
      </c>
      <c r="AD65" s="88">
        <f ca="1"/>
        <v>0</v>
      </c>
      <c r="AE65" s="88">
        <f ca="1"/>
        <v>0</v>
      </c>
      <c r="AF65" s="88">
        <f ca="1"/>
        <v>0</v>
      </c>
      <c r="AG65" s="88">
        <f ca="1"/>
        <v>0</v>
      </c>
      <c r="AH65" s="88">
        <f ca="1"/>
        <v>6468326.1587999994</v>
      </c>
      <c r="AI65" s="88">
        <f ca="1"/>
        <v>0</v>
      </c>
      <c r="AJ65" s="88">
        <f ca="1"/>
        <v>0</v>
      </c>
      <c r="AK65" s="88">
        <f ca="1"/>
        <v>57355.971821276762</v>
      </c>
      <c r="AL65" s="88">
        <f ca="1"/>
        <v>375392.12361600006</v>
      </c>
      <c r="AM65" s="195">
        <f ca="1"/>
        <v>0</v>
      </c>
      <c r="AN65" s="195">
        <f ca="1"/>
        <v>0</v>
      </c>
      <c r="AO65" s="195">
        <f ca="1"/>
        <v>266260.00805999996</v>
      </c>
      <c r="AP65" s="443">
        <f ca="1"/>
        <v>0</v>
      </c>
      <c r="AQ65" s="195">
        <f ca="1"/>
        <v>133875.20627</v>
      </c>
      <c r="AR65" s="195">
        <f ca="1"/>
        <v>0</v>
      </c>
      <c r="AS65" s="195">
        <f ca="1"/>
        <v>136920.82272407875</v>
      </c>
      <c r="AT65" s="195">
        <f ca="1"/>
        <v>85021.85317646357</v>
      </c>
      <c r="AU65" s="195">
        <f ca="1"/>
        <v>108955.31834996161</v>
      </c>
      <c r="AV65" s="195">
        <f ca="1"/>
        <v>28350.278967999999</v>
      </c>
      <c r="AW65" s="195">
        <f ca="1"/>
        <v>0</v>
      </c>
      <c r="AX65" s="195">
        <f ca="1"/>
        <v>3403.0559214672699</v>
      </c>
      <c r="AY65" s="195">
        <f ca="1"/>
        <v>0</v>
      </c>
      <c r="AZ65" s="195">
        <f ca="1"/>
        <v>0</v>
      </c>
      <c r="BA65" s="195">
        <f ca="1"/>
        <v>20043.721912599998</v>
      </c>
      <c r="BB65" s="195">
        <f ca="1"/>
        <v>33505.909809454002</v>
      </c>
      <c r="BC65" s="195">
        <f ca="1"/>
        <v>0</v>
      </c>
      <c r="BD65" s="195">
        <f ca="1"/>
        <v>23291.661768156002</v>
      </c>
      <c r="BE65" s="195">
        <f ca="1"/>
        <v>302.48966599098003</v>
      </c>
    </row>
    <row r="66" spans="1:57" s="195" customFormat="1" x14ac:dyDescent="0.2">
      <c r="A66" s="34"/>
      <c r="B66" s="93">
        <v>15</v>
      </c>
      <c r="C66" s="166">
        <f ca="1"/>
        <v>0</v>
      </c>
      <c r="D66" s="177">
        <f ca="1"/>
        <v>0</v>
      </c>
      <c r="E66" s="177">
        <f ca="1"/>
        <v>0</v>
      </c>
      <c r="F66" s="167">
        <f ca="1"/>
        <v>0</v>
      </c>
      <c r="G66" s="33"/>
      <c r="H66" s="34"/>
      <c r="I66" s="33"/>
      <c r="J66" s="94">
        <f ca="1"/>
        <v>0</v>
      </c>
      <c r="K66" s="94">
        <f ca="1"/>
        <v>0</v>
      </c>
      <c r="L66" s="385"/>
      <c r="M66" s="94">
        <f ca="1"/>
        <v>10981537.49</v>
      </c>
      <c r="N66" s="94">
        <f ca="1"/>
        <v>10839163.573249122</v>
      </c>
      <c r="O66" s="95">
        <f ca="1"/>
        <v>-142373.9167508781</v>
      </c>
      <c r="P66" s="33"/>
      <c r="Q66" s="362">
        <f ca="1"/>
        <v>0</v>
      </c>
      <c r="R66" s="307">
        <f ca="1"/>
        <v>0</v>
      </c>
      <c r="S66" s="307">
        <f ca="1"/>
        <v>0</v>
      </c>
      <c r="T66" s="308">
        <f ca="1"/>
        <v>0</v>
      </c>
      <c r="U66" s="92">
        <f ca="1"/>
        <v>43570</v>
      </c>
      <c r="V66" s="306">
        <f ca="1"/>
        <v>100159.82196539067</v>
      </c>
      <c r="W66" s="87">
        <f ca="1"/>
        <v>0</v>
      </c>
      <c r="X66" s="88">
        <f ca="1"/>
        <v>0</v>
      </c>
      <c r="Y66" s="88">
        <f ca="1"/>
        <v>0</v>
      </c>
      <c r="Z66" s="88">
        <f ca="1"/>
        <v>2561008.4365313901</v>
      </c>
      <c r="AA66" s="88">
        <f ca="1"/>
        <v>0</v>
      </c>
      <c r="AB66" s="88">
        <f ca="1"/>
        <v>331355.14952830109</v>
      </c>
      <c r="AC66" s="88">
        <f ca="1"/>
        <v>0</v>
      </c>
      <c r="AD66" s="88">
        <f ca="1"/>
        <v>0</v>
      </c>
      <c r="AE66" s="88">
        <f ca="1"/>
        <v>0</v>
      </c>
      <c r="AF66" s="88">
        <f ca="1"/>
        <v>0</v>
      </c>
      <c r="AG66" s="88">
        <f ca="1"/>
        <v>0</v>
      </c>
      <c r="AH66" s="88">
        <f ca="1"/>
        <v>6793924.9773999993</v>
      </c>
      <c r="AI66" s="88">
        <f ca="1"/>
        <v>0</v>
      </c>
      <c r="AJ66" s="88">
        <f ca="1"/>
        <v>0</v>
      </c>
      <c r="AK66" s="88">
        <f ca="1"/>
        <v>76694.103438673075</v>
      </c>
      <c r="AL66" s="88">
        <f ca="1"/>
        <v>0</v>
      </c>
      <c r="AM66" s="195">
        <f ca="1"/>
        <v>0</v>
      </c>
      <c r="AN66" s="195">
        <f ca="1"/>
        <v>0</v>
      </c>
      <c r="AO66" s="195">
        <f ca="1"/>
        <v>266260.00805999996</v>
      </c>
      <c r="AP66" s="443">
        <f ca="1"/>
        <v>0</v>
      </c>
      <c r="AQ66" s="195">
        <f ca="1"/>
        <v>122321.71045900001</v>
      </c>
      <c r="AR66" s="195">
        <f ca="1"/>
        <v>0</v>
      </c>
      <c r="AS66" s="195">
        <f ca="1"/>
        <v>136926.04916035748</v>
      </c>
      <c r="AT66" s="195">
        <f ca="1"/>
        <v>39884.738633723879</v>
      </c>
      <c r="AU66" s="195">
        <f ca="1"/>
        <v>106434.67746766561</v>
      </c>
      <c r="AV66" s="195">
        <f ca="1"/>
        <v>26716.017636</v>
      </c>
      <c r="AW66" s="195">
        <f ca="1"/>
        <v>0</v>
      </c>
      <c r="AX66" s="195">
        <f ca="1"/>
        <v>4.0932344236791742</v>
      </c>
      <c r="AY66" s="195">
        <f ca="1"/>
        <v>0</v>
      </c>
      <c r="AZ66" s="195">
        <f ca="1"/>
        <v>0</v>
      </c>
      <c r="BA66" s="195">
        <f ca="1"/>
        <v>18735.621515004797</v>
      </c>
      <c r="BB66" s="195">
        <f ca="1"/>
        <v>194129.99835585998</v>
      </c>
      <c r="BC66" s="195">
        <f ca="1"/>
        <v>0</v>
      </c>
      <c r="BD66" s="195">
        <f ca="1"/>
        <v>64305.680197344009</v>
      </c>
      <c r="BE66" s="195">
        <f ca="1"/>
        <v>302.48966599098003</v>
      </c>
    </row>
    <row r="67" spans="1:57" s="195" customFormat="1" x14ac:dyDescent="0.2">
      <c r="A67" s="34"/>
      <c r="B67" s="93">
        <v>16</v>
      </c>
      <c r="C67" s="166">
        <f ca="1"/>
        <v>0</v>
      </c>
      <c r="D67" s="177">
        <f ca="1"/>
        <v>0</v>
      </c>
      <c r="E67" s="177">
        <f ca="1"/>
        <v>0</v>
      </c>
      <c r="F67" s="167">
        <f ca="1"/>
        <v>0</v>
      </c>
      <c r="G67" s="33"/>
      <c r="H67" s="34"/>
      <c r="I67" s="33"/>
      <c r="J67" s="94">
        <f ca="1"/>
        <v>0</v>
      </c>
      <c r="K67" s="94">
        <f ca="1"/>
        <v>0</v>
      </c>
      <c r="L67" s="385"/>
      <c r="M67" s="94">
        <f ca="1"/>
        <v>8798635.0580000002</v>
      </c>
      <c r="N67" s="94">
        <f ca="1"/>
        <v>8737689.7177103981</v>
      </c>
      <c r="O67" s="95">
        <f ca="1"/>
        <v>-60945.340289602056</v>
      </c>
      <c r="P67" s="33"/>
      <c r="Q67" s="362">
        <f ca="1"/>
        <v>0</v>
      </c>
      <c r="R67" s="307">
        <f ca="1"/>
        <v>0</v>
      </c>
      <c r="S67" s="307">
        <f ca="1"/>
        <v>0</v>
      </c>
      <c r="T67" s="308">
        <f ca="1"/>
        <v>0</v>
      </c>
      <c r="U67" s="92">
        <f ca="1"/>
        <v>43577</v>
      </c>
      <c r="V67" s="306">
        <f ca="1"/>
        <v>100159.82196539067</v>
      </c>
      <c r="W67" s="87">
        <f ca="1"/>
        <v>0</v>
      </c>
      <c r="X67" s="88">
        <f ca="1"/>
        <v>0</v>
      </c>
      <c r="Y67" s="88">
        <f ca="1"/>
        <v>0</v>
      </c>
      <c r="Z67" s="88">
        <f ca="1"/>
        <v>0</v>
      </c>
      <c r="AA67" s="88">
        <f ca="1"/>
        <v>0</v>
      </c>
      <c r="AB67" s="88">
        <f ca="1"/>
        <v>329329.58598670491</v>
      </c>
      <c r="AC67" s="88">
        <f ca="1"/>
        <v>0</v>
      </c>
      <c r="AD67" s="88">
        <f ca="1"/>
        <v>0</v>
      </c>
      <c r="AE67" s="88">
        <f ca="1"/>
        <v>0</v>
      </c>
      <c r="AF67" s="88">
        <f ca="1"/>
        <v>0</v>
      </c>
      <c r="AG67" s="88">
        <f ca="1"/>
        <v>0</v>
      </c>
      <c r="AH67" s="88">
        <f ca="1"/>
        <v>6906256.4582000002</v>
      </c>
      <c r="AI67" s="88">
        <f ca="1"/>
        <v>0</v>
      </c>
      <c r="AJ67" s="88">
        <f ca="1"/>
        <v>0</v>
      </c>
      <c r="AK67" s="88">
        <f ca="1"/>
        <v>104362.51803765535</v>
      </c>
      <c r="AL67" s="88">
        <f ca="1"/>
        <v>0</v>
      </c>
      <c r="AM67" s="195">
        <f ca="1"/>
        <v>0</v>
      </c>
      <c r="AN67" s="195">
        <f ca="1"/>
        <v>0</v>
      </c>
      <c r="AO67" s="195">
        <f ca="1"/>
        <v>266260.00805999996</v>
      </c>
      <c r="AP67" s="443">
        <f ca="1"/>
        <v>0</v>
      </c>
      <c r="AQ67" s="195">
        <f ca="1"/>
        <v>335293.18017000001</v>
      </c>
      <c r="AR67" s="195">
        <f ca="1"/>
        <v>0</v>
      </c>
      <c r="AS67" s="195">
        <f ca="1"/>
        <v>60886.760185165745</v>
      </c>
      <c r="AT67" s="195">
        <f ca="1"/>
        <v>15926.360297511221</v>
      </c>
      <c r="AU67" s="195">
        <f ca="1"/>
        <v>106548.63949248001</v>
      </c>
      <c r="AV67" s="195">
        <f ca="1"/>
        <v>29901.442251999997</v>
      </c>
      <c r="AW67" s="195">
        <f ca="1"/>
        <v>0</v>
      </c>
      <c r="AX67" s="195">
        <f ca="1"/>
        <v>3.8959701141042746</v>
      </c>
      <c r="AY67" s="195">
        <f ca="1"/>
        <v>0</v>
      </c>
      <c r="AZ67" s="195">
        <f ca="1"/>
        <v>0</v>
      </c>
      <c r="BA67" s="195">
        <f ca="1"/>
        <v>15584.653719473919</v>
      </c>
      <c r="BB67" s="195">
        <f ca="1"/>
        <v>390520.52783214004</v>
      </c>
      <c r="BC67" s="195">
        <f ca="1"/>
        <v>0</v>
      </c>
      <c r="BD67" s="195">
        <f ca="1"/>
        <v>76353.375875771992</v>
      </c>
      <c r="BE67" s="195">
        <f ca="1"/>
        <v>302.48966599098003</v>
      </c>
    </row>
    <row r="68" spans="1:57" s="195" customFormat="1" x14ac:dyDescent="0.2">
      <c r="A68" s="34"/>
      <c r="B68" s="93">
        <v>17</v>
      </c>
      <c r="C68" s="166">
        <f ca="1"/>
        <v>0</v>
      </c>
      <c r="D68" s="177">
        <f ca="1"/>
        <v>0</v>
      </c>
      <c r="E68" s="177">
        <f ca="1"/>
        <v>0</v>
      </c>
      <c r="F68" s="167">
        <f ca="1"/>
        <v>0</v>
      </c>
      <c r="G68" s="33"/>
      <c r="H68" s="34"/>
      <c r="I68" s="33"/>
      <c r="J68" s="94">
        <f ca="1"/>
        <v>0</v>
      </c>
      <c r="K68" s="94">
        <f ca="1"/>
        <v>0</v>
      </c>
      <c r="L68" s="385"/>
      <c r="M68" s="94">
        <f ca="1"/>
        <v>9088033.0690000001</v>
      </c>
      <c r="N68" s="94">
        <f ca="1"/>
        <v>10106190.725575844</v>
      </c>
      <c r="O68" s="95">
        <f ca="1"/>
        <v>1018157.6565758437</v>
      </c>
      <c r="P68" s="33"/>
      <c r="Q68" s="362">
        <f ca="1"/>
        <v>0</v>
      </c>
      <c r="R68" s="307">
        <f ca="1"/>
        <v>0</v>
      </c>
      <c r="S68" s="307">
        <f ca="1"/>
        <v>0</v>
      </c>
      <c r="T68" s="308">
        <f ca="1"/>
        <v>0</v>
      </c>
      <c r="U68" s="92">
        <f ca="1"/>
        <v>43584</v>
      </c>
      <c r="V68" s="306">
        <f ca="1"/>
        <v>100159.82196539067</v>
      </c>
      <c r="W68" s="87">
        <f ca="1"/>
        <v>0</v>
      </c>
      <c r="X68" s="88">
        <f ca="1"/>
        <v>0</v>
      </c>
      <c r="Y68" s="88">
        <f ca="1"/>
        <v>0</v>
      </c>
      <c r="Z68" s="88">
        <f ca="1"/>
        <v>0</v>
      </c>
      <c r="AA68" s="88">
        <f ca="1"/>
        <v>0</v>
      </c>
      <c r="AB68" s="88">
        <f ca="1"/>
        <v>332073.01615277305</v>
      </c>
      <c r="AC68" s="88">
        <f ca="1"/>
        <v>27386.729200162717</v>
      </c>
      <c r="AD68" s="88">
        <f ca="1"/>
        <v>0</v>
      </c>
      <c r="AE68" s="88">
        <f ca="1"/>
        <v>0</v>
      </c>
      <c r="AF68" s="88">
        <f ca="1"/>
        <v>0</v>
      </c>
      <c r="AG68" s="88">
        <f ca="1"/>
        <v>0</v>
      </c>
      <c r="AH68" s="88">
        <f ca="1"/>
        <v>8811287.900799999</v>
      </c>
      <c r="AI68" s="88">
        <f ca="1"/>
        <v>0</v>
      </c>
      <c r="AJ68" s="88">
        <f ca="1"/>
        <v>0</v>
      </c>
      <c r="AK68" s="88">
        <f ca="1"/>
        <v>117974.89258999293</v>
      </c>
      <c r="AL68" s="88">
        <f ca="1"/>
        <v>0</v>
      </c>
      <c r="AM68" s="195">
        <f ca="1"/>
        <v>0</v>
      </c>
      <c r="AN68" s="195">
        <f ca="1"/>
        <v>0</v>
      </c>
      <c r="AO68" s="195">
        <f ca="1"/>
        <v>0</v>
      </c>
      <c r="AP68" s="443">
        <f ca="1"/>
        <v>0</v>
      </c>
      <c r="AQ68" s="195">
        <f ca="1"/>
        <v>0</v>
      </c>
      <c r="AR68" s="195">
        <f ca="1"/>
        <v>0</v>
      </c>
      <c r="AS68" s="195">
        <f ca="1"/>
        <v>236544.42377361111</v>
      </c>
      <c r="AT68" s="195">
        <f ca="1"/>
        <v>17831.218039202176</v>
      </c>
      <c r="AU68" s="195">
        <f ca="1"/>
        <v>105558.42955325761</v>
      </c>
      <c r="AV68" s="195">
        <f ca="1"/>
        <v>43640.317049999998</v>
      </c>
      <c r="AW68" s="195">
        <f ca="1"/>
        <v>0</v>
      </c>
      <c r="AX68" s="195">
        <f ca="1"/>
        <v>3.6329510346710752</v>
      </c>
      <c r="AY68" s="195">
        <f ca="1"/>
        <v>0</v>
      </c>
      <c r="AZ68" s="195">
        <f ca="1"/>
        <v>0</v>
      </c>
      <c r="BA68" s="195">
        <f ca="1"/>
        <v>4706.5202076636797</v>
      </c>
      <c r="BB68" s="195">
        <f ca="1"/>
        <v>218893.64017851997</v>
      </c>
      <c r="BC68" s="195">
        <f ca="1"/>
        <v>0</v>
      </c>
      <c r="BD68" s="195">
        <f ca="1"/>
        <v>90130.183114236002</v>
      </c>
      <c r="BE68" s="195">
        <f ca="1"/>
        <v>0</v>
      </c>
    </row>
    <row r="69" spans="1:57" s="195" customFormat="1" x14ac:dyDescent="0.2">
      <c r="A69" s="34"/>
      <c r="B69" s="93">
        <v>18</v>
      </c>
      <c r="C69" s="166">
        <f ca="1"/>
        <v>0</v>
      </c>
      <c r="D69" s="177">
        <f ca="1"/>
        <v>0</v>
      </c>
      <c r="E69" s="177">
        <f ca="1"/>
        <v>0</v>
      </c>
      <c r="F69" s="167">
        <f ca="1"/>
        <v>0</v>
      </c>
      <c r="G69" s="33"/>
      <c r="H69" s="34"/>
      <c r="I69" s="33"/>
      <c r="J69" s="94">
        <f ca="1"/>
        <v>0</v>
      </c>
      <c r="K69" s="94">
        <f ca="1"/>
        <v>0</v>
      </c>
      <c r="L69" s="385"/>
      <c r="M69" s="94">
        <f ca="1"/>
        <v>25955030.73</v>
      </c>
      <c r="N69" s="94">
        <f ca="1"/>
        <v>24820218.880741764</v>
      </c>
      <c r="O69" s="95">
        <f ca="1"/>
        <v>-1134811.8492582366</v>
      </c>
      <c r="P69" s="33"/>
      <c r="Q69" s="362">
        <f ca="1"/>
        <v>0</v>
      </c>
      <c r="R69" s="307">
        <f ca="1"/>
        <v>0</v>
      </c>
      <c r="S69" s="307">
        <f ca="1"/>
        <v>0</v>
      </c>
      <c r="T69" s="308">
        <f ca="1"/>
        <v>0</v>
      </c>
      <c r="U69" s="92">
        <f ca="1"/>
        <v>43591</v>
      </c>
      <c r="V69" s="306">
        <f ca="1"/>
        <v>100159.82196539067</v>
      </c>
      <c r="W69" s="87">
        <f ca="1"/>
        <v>0</v>
      </c>
      <c r="X69" s="88">
        <f ca="1"/>
        <v>0</v>
      </c>
      <c r="Y69" s="88">
        <f ca="1"/>
        <v>0</v>
      </c>
      <c r="Z69" s="88">
        <f ca="1"/>
        <v>0</v>
      </c>
      <c r="AA69" s="88">
        <f ca="1"/>
        <v>0</v>
      </c>
      <c r="AB69" s="88">
        <f ca="1"/>
        <v>1163556.7797047154</v>
      </c>
      <c r="AC69" s="88">
        <f ca="1"/>
        <v>94465.56492306474</v>
      </c>
      <c r="AD69" s="88">
        <f ca="1"/>
        <v>0</v>
      </c>
      <c r="AE69" s="88">
        <f ca="1"/>
        <v>0</v>
      </c>
      <c r="AF69" s="88">
        <f ca="1"/>
        <v>12000000</v>
      </c>
      <c r="AG69" s="88">
        <f ca="1"/>
        <v>0</v>
      </c>
      <c r="AH69" s="88">
        <f ca="1"/>
        <v>10169625.829</v>
      </c>
      <c r="AI69" s="88">
        <f ca="1"/>
        <v>0</v>
      </c>
      <c r="AJ69" s="88">
        <f ca="1"/>
        <v>0</v>
      </c>
      <c r="AK69" s="88">
        <f ca="1"/>
        <v>109628.98303302958</v>
      </c>
      <c r="AL69" s="88">
        <f ca="1"/>
        <v>0</v>
      </c>
      <c r="AM69" s="195">
        <f ca="1"/>
        <v>0</v>
      </c>
      <c r="AN69" s="195">
        <f ca="1"/>
        <v>0</v>
      </c>
      <c r="AO69" s="195">
        <f ca="1"/>
        <v>661034.84670000011</v>
      </c>
      <c r="AP69" s="443">
        <f ca="1"/>
        <v>0</v>
      </c>
      <c r="AQ69" s="195">
        <f ca="1"/>
        <v>14249.580787000001</v>
      </c>
      <c r="AR69" s="195">
        <f ca="1"/>
        <v>0</v>
      </c>
      <c r="AS69" s="195">
        <f ca="1"/>
        <v>318958.88423472014</v>
      </c>
      <c r="AT69" s="195">
        <f ca="1"/>
        <v>18917.506539619269</v>
      </c>
      <c r="AU69" s="195">
        <f ca="1"/>
        <v>104972.79948047039</v>
      </c>
      <c r="AV69" s="195">
        <f ca="1"/>
        <v>43058.630824</v>
      </c>
      <c r="AW69" s="195">
        <f ca="1"/>
        <v>0</v>
      </c>
      <c r="AX69" s="195">
        <f ca="1"/>
        <v>3.3874250999999997</v>
      </c>
      <c r="AY69" s="195">
        <f ca="1"/>
        <v>0</v>
      </c>
      <c r="AZ69" s="195">
        <f ca="1"/>
        <v>0</v>
      </c>
      <c r="BA69" s="195">
        <f ca="1"/>
        <v>6262.3715247327991</v>
      </c>
      <c r="BB69" s="195">
        <f ca="1"/>
        <v>0</v>
      </c>
      <c r="BC69" s="195">
        <f ca="1"/>
        <v>223.57448973839999</v>
      </c>
      <c r="BD69" s="195">
        <f ca="1"/>
        <v>15100.320110182802</v>
      </c>
      <c r="BE69" s="195">
        <f ca="1"/>
        <v>0</v>
      </c>
    </row>
    <row r="70" spans="1:57" s="195" customFormat="1" x14ac:dyDescent="0.2">
      <c r="A70" s="34"/>
      <c r="B70" s="93">
        <v>19</v>
      </c>
      <c r="C70" s="166">
        <f ca="1"/>
        <v>0</v>
      </c>
      <c r="D70" s="177">
        <f ca="1"/>
        <v>0</v>
      </c>
      <c r="E70" s="177">
        <f ca="1"/>
        <v>0</v>
      </c>
      <c r="F70" s="167">
        <f ca="1"/>
        <v>0</v>
      </c>
      <c r="G70" s="33"/>
      <c r="H70" s="34"/>
      <c r="I70" s="33"/>
      <c r="J70" s="94">
        <f ca="1"/>
        <v>0</v>
      </c>
      <c r="K70" s="94">
        <f ca="1"/>
        <v>0</v>
      </c>
      <c r="L70" s="385"/>
      <c r="M70" s="94">
        <f ca="1"/>
        <v>9793229.7449999992</v>
      </c>
      <c r="N70" s="94">
        <f ca="1"/>
        <v>8806138.8074397799</v>
      </c>
      <c r="O70" s="95">
        <f ca="1"/>
        <v>-987090.93756021932</v>
      </c>
      <c r="P70" s="33"/>
      <c r="Q70" s="362">
        <f ca="1"/>
        <v>0</v>
      </c>
      <c r="R70" s="307">
        <f ca="1"/>
        <v>0</v>
      </c>
      <c r="S70" s="307">
        <f ca="1"/>
        <v>0</v>
      </c>
      <c r="T70" s="308">
        <f ca="1"/>
        <v>0</v>
      </c>
      <c r="U70" s="92">
        <f ca="1"/>
        <v>43598</v>
      </c>
      <c r="V70" s="306">
        <f ca="1"/>
        <v>100159.82196539067</v>
      </c>
      <c r="W70" s="87">
        <f ca="1"/>
        <v>0</v>
      </c>
      <c r="X70" s="88">
        <f ca="1"/>
        <v>0</v>
      </c>
      <c r="Y70" s="88">
        <f ca="1"/>
        <v>0</v>
      </c>
      <c r="Z70" s="88">
        <f ca="1"/>
        <v>0</v>
      </c>
      <c r="AA70" s="88">
        <f ca="1"/>
        <v>0</v>
      </c>
      <c r="AB70" s="88">
        <f ca="1"/>
        <v>687819.80619795143</v>
      </c>
      <c r="AC70" s="88">
        <f ca="1"/>
        <v>89183.701074261699</v>
      </c>
      <c r="AD70" s="88">
        <f ca="1"/>
        <v>0</v>
      </c>
      <c r="AE70" s="88">
        <f ca="1"/>
        <v>0</v>
      </c>
      <c r="AF70" s="88">
        <f ca="1"/>
        <v>0</v>
      </c>
      <c r="AG70" s="88">
        <f ca="1"/>
        <v>0</v>
      </c>
      <c r="AH70" s="88">
        <f ca="1"/>
        <v>6500088.735799999</v>
      </c>
      <c r="AI70" s="88">
        <f ca="1"/>
        <v>0</v>
      </c>
      <c r="AJ70" s="88">
        <f ca="1"/>
        <v>0</v>
      </c>
      <c r="AK70" s="88">
        <f ca="1"/>
        <v>93620.56782207948</v>
      </c>
      <c r="AL70" s="88">
        <f ca="1"/>
        <v>0</v>
      </c>
      <c r="AM70" s="195">
        <f ca="1"/>
        <v>0</v>
      </c>
      <c r="AN70" s="195">
        <f ca="1"/>
        <v>0</v>
      </c>
      <c r="AO70" s="195">
        <f ca="1"/>
        <v>661034.84670000011</v>
      </c>
      <c r="AP70" s="443">
        <f ca="1"/>
        <v>0</v>
      </c>
      <c r="AQ70" s="195">
        <f ca="1"/>
        <v>176870.25135000004</v>
      </c>
      <c r="AR70" s="195">
        <f ca="1"/>
        <v>0</v>
      </c>
      <c r="AS70" s="195">
        <f ca="1"/>
        <v>318958.91331663908</v>
      </c>
      <c r="AT70" s="195">
        <f ca="1"/>
        <v>14995.360706137108</v>
      </c>
      <c r="AU70" s="195">
        <f ca="1"/>
        <v>102829.78599142079</v>
      </c>
      <c r="AV70" s="195">
        <f ca="1"/>
        <v>51908.571351999999</v>
      </c>
      <c r="AW70" s="195">
        <f ca="1"/>
        <v>0</v>
      </c>
      <c r="AX70" s="195">
        <f ca="1"/>
        <v>3.6658284196002247</v>
      </c>
      <c r="AY70" s="195">
        <f ca="1"/>
        <v>0</v>
      </c>
      <c r="AZ70" s="195">
        <f ca="1"/>
        <v>0</v>
      </c>
      <c r="BA70" s="195">
        <f ca="1"/>
        <v>5183.5035644496002</v>
      </c>
      <c r="BB70" s="195">
        <f ca="1"/>
        <v>0</v>
      </c>
      <c r="BC70" s="195">
        <f ca="1"/>
        <v>223.57448973839999</v>
      </c>
      <c r="BD70" s="195">
        <f ca="1"/>
        <v>3257.7012812916</v>
      </c>
      <c r="BE70" s="195">
        <f ca="1"/>
        <v>0</v>
      </c>
    </row>
    <row r="71" spans="1:57" s="195" customFormat="1" x14ac:dyDescent="0.2">
      <c r="A71" s="34"/>
      <c r="B71" s="93">
        <v>20</v>
      </c>
      <c r="C71" s="166">
        <f ca="1"/>
        <v>0</v>
      </c>
      <c r="D71" s="177">
        <f ca="1"/>
        <v>0</v>
      </c>
      <c r="E71" s="177">
        <f ca="1"/>
        <v>0</v>
      </c>
      <c r="F71" s="167">
        <f ca="1"/>
        <v>0</v>
      </c>
      <c r="G71" s="33"/>
      <c r="H71" s="34"/>
      <c r="I71" s="33"/>
      <c r="J71" s="94">
        <f ca="1"/>
        <v>0</v>
      </c>
      <c r="K71" s="94">
        <f ca="1"/>
        <v>0</v>
      </c>
      <c r="L71" s="385"/>
      <c r="M71" s="94">
        <f ca="1"/>
        <v>9953995.2880000006</v>
      </c>
      <c r="N71" s="94">
        <f ca="1"/>
        <v>8314114.5264927819</v>
      </c>
      <c r="O71" s="95">
        <f ca="1"/>
        <v>-1639880.7615072187</v>
      </c>
      <c r="P71" s="33"/>
      <c r="Q71" s="362">
        <f ca="1"/>
        <v>0</v>
      </c>
      <c r="R71" s="307">
        <f ca="1"/>
        <v>0</v>
      </c>
      <c r="S71" s="307">
        <f ca="1"/>
        <v>0</v>
      </c>
      <c r="T71" s="308">
        <f ca="1"/>
        <v>0</v>
      </c>
      <c r="U71" s="92">
        <f ca="1"/>
        <v>43605</v>
      </c>
      <c r="V71" s="306">
        <f ca="1"/>
        <v>100159.82196539067</v>
      </c>
      <c r="W71" s="87">
        <f ca="1"/>
        <v>0</v>
      </c>
      <c r="X71" s="88">
        <f ca="1"/>
        <v>0</v>
      </c>
      <c r="Y71" s="88">
        <f ca="1"/>
        <v>0</v>
      </c>
      <c r="Z71" s="88">
        <f ca="1"/>
        <v>0</v>
      </c>
      <c r="AA71" s="88">
        <f ca="1"/>
        <v>0</v>
      </c>
      <c r="AB71" s="88">
        <f ca="1"/>
        <v>549877.20268268778</v>
      </c>
      <c r="AC71" s="88">
        <f ca="1"/>
        <v>70665.401178779633</v>
      </c>
      <c r="AD71" s="88">
        <f ca="1"/>
        <v>0</v>
      </c>
      <c r="AE71" s="88">
        <f ca="1"/>
        <v>0</v>
      </c>
      <c r="AF71" s="88">
        <f ca="1"/>
        <v>0</v>
      </c>
      <c r="AG71" s="88">
        <f ca="1"/>
        <v>0</v>
      </c>
      <c r="AH71" s="88">
        <f ca="1"/>
        <v>6358660.1187999994</v>
      </c>
      <c r="AI71" s="88">
        <f ca="1"/>
        <v>0</v>
      </c>
      <c r="AJ71" s="88">
        <f ca="1"/>
        <v>0</v>
      </c>
      <c r="AK71" s="88">
        <f ca="1"/>
        <v>89159.47712631445</v>
      </c>
      <c r="AL71" s="88">
        <f ca="1"/>
        <v>31131.788064000004</v>
      </c>
      <c r="AM71" s="195">
        <f ca="1"/>
        <v>0</v>
      </c>
      <c r="AN71" s="195">
        <f ca="1"/>
        <v>0</v>
      </c>
      <c r="AO71" s="195">
        <f ca="1"/>
        <v>661034.84670000011</v>
      </c>
      <c r="AP71" s="443">
        <f ca="1"/>
        <v>0</v>
      </c>
      <c r="AQ71" s="195">
        <f ca="1"/>
        <v>89927.964139000003</v>
      </c>
      <c r="AR71" s="195">
        <f ca="1"/>
        <v>0</v>
      </c>
      <c r="AS71" s="195">
        <f ca="1"/>
        <v>186003.37188872311</v>
      </c>
      <c r="AT71" s="195">
        <f ca="1"/>
        <v>14415.889421630969</v>
      </c>
      <c r="AU71" s="195">
        <f ca="1"/>
        <v>105628.44735</v>
      </c>
      <c r="AV71" s="195">
        <f ca="1"/>
        <v>48723.146735999995</v>
      </c>
      <c r="AW71" s="195">
        <f ca="1"/>
        <v>0</v>
      </c>
      <c r="AX71" s="195">
        <f ca="1"/>
        <v>2.5808747166061741</v>
      </c>
      <c r="AY71" s="195">
        <f ca="1"/>
        <v>0</v>
      </c>
      <c r="AZ71" s="195">
        <f ca="1"/>
        <v>0</v>
      </c>
      <c r="BA71" s="195">
        <f ca="1"/>
        <v>5496.0895487078405</v>
      </c>
      <c r="BB71" s="195">
        <f ca="1"/>
        <v>0</v>
      </c>
      <c r="BC71" s="195">
        <f ca="1"/>
        <v>223.57448973839999</v>
      </c>
      <c r="BD71" s="195">
        <f ca="1"/>
        <v>3004.8055270932005</v>
      </c>
      <c r="BE71" s="195">
        <f ca="1"/>
        <v>0</v>
      </c>
    </row>
    <row r="72" spans="1:57" s="195" customFormat="1" x14ac:dyDescent="0.2">
      <c r="A72" s="34"/>
      <c r="B72" s="93">
        <v>21</v>
      </c>
      <c r="C72" s="166">
        <f ca="1"/>
        <v>0</v>
      </c>
      <c r="D72" s="177">
        <f ca="1"/>
        <v>0</v>
      </c>
      <c r="E72" s="177">
        <f ca="1"/>
        <v>0</v>
      </c>
      <c r="F72" s="167">
        <f ca="1"/>
        <v>0</v>
      </c>
      <c r="G72" s="33"/>
      <c r="H72" s="34"/>
      <c r="I72" s="33"/>
      <c r="J72" s="94">
        <f ca="1"/>
        <v>0</v>
      </c>
      <c r="K72" s="94">
        <f ca="1"/>
        <v>0</v>
      </c>
      <c r="L72" s="385"/>
      <c r="M72" s="94">
        <f ca="1"/>
        <v>7779670.7589999996</v>
      </c>
      <c r="N72" s="94">
        <f ca="1"/>
        <v>7657457.2995677656</v>
      </c>
      <c r="O72" s="95">
        <f ca="1"/>
        <v>-122213.45943223406</v>
      </c>
      <c r="P72" s="33"/>
      <c r="Q72" s="362">
        <f ca="1"/>
        <v>0</v>
      </c>
      <c r="R72" s="307">
        <f ca="1"/>
        <v>0</v>
      </c>
      <c r="S72" s="307">
        <f ca="1"/>
        <v>0</v>
      </c>
      <c r="T72" s="308">
        <f ca="1"/>
        <v>0</v>
      </c>
      <c r="U72" s="92">
        <f ca="1"/>
        <v>43612</v>
      </c>
      <c r="V72" s="306">
        <f ca="1"/>
        <v>100159.82196539067</v>
      </c>
      <c r="W72" s="87">
        <f ca="1"/>
        <v>0</v>
      </c>
      <c r="X72" s="88">
        <f ca="1"/>
        <v>0</v>
      </c>
      <c r="Y72" s="88">
        <f ca="1"/>
        <v>0</v>
      </c>
      <c r="Z72" s="88">
        <f ca="1"/>
        <v>0</v>
      </c>
      <c r="AA72" s="88">
        <f ca="1"/>
        <v>0</v>
      </c>
      <c r="AB72" s="88">
        <f ca="1"/>
        <v>794997.72481475316</v>
      </c>
      <c r="AC72" s="88">
        <f ca="1"/>
        <v>38849.920602926955</v>
      </c>
      <c r="AD72" s="88">
        <f ca="1"/>
        <v>0</v>
      </c>
      <c r="AE72" s="88">
        <f ca="1"/>
        <v>0</v>
      </c>
      <c r="AF72" s="88">
        <f ca="1"/>
        <v>0</v>
      </c>
      <c r="AG72" s="88">
        <f ca="1"/>
        <v>0</v>
      </c>
      <c r="AH72" s="88">
        <f ca="1"/>
        <v>5874930.699</v>
      </c>
      <c r="AI72" s="88">
        <f ca="1"/>
        <v>0</v>
      </c>
      <c r="AJ72" s="88">
        <f ca="1"/>
        <v>0</v>
      </c>
      <c r="AK72" s="88">
        <f ca="1"/>
        <v>92618.322085293519</v>
      </c>
      <c r="AL72" s="88">
        <f ca="1"/>
        <v>374107.13424000004</v>
      </c>
      <c r="AM72" s="195">
        <f ca="1"/>
        <v>0</v>
      </c>
      <c r="AN72" s="195">
        <f ca="1"/>
        <v>0</v>
      </c>
      <c r="AO72" s="195">
        <f ca="1"/>
        <v>0</v>
      </c>
      <c r="AP72" s="443">
        <f ca="1"/>
        <v>0</v>
      </c>
      <c r="AQ72" s="195">
        <f ca="1"/>
        <v>0</v>
      </c>
      <c r="AR72" s="195">
        <f ca="1"/>
        <v>0</v>
      </c>
      <c r="AS72" s="195">
        <f ca="1"/>
        <v>142089.65646338378</v>
      </c>
      <c r="AT72" s="195">
        <f ca="1"/>
        <v>23651.76347101924</v>
      </c>
      <c r="AU72" s="195">
        <f ca="1"/>
        <v>85178.561547374396</v>
      </c>
      <c r="AV72" s="195">
        <f ca="1"/>
        <v>37920.402431999995</v>
      </c>
      <c r="AW72" s="195">
        <f ca="1"/>
        <v>0</v>
      </c>
      <c r="AX72" s="195">
        <f ca="1"/>
        <v>0.47672208147267492</v>
      </c>
      <c r="AY72" s="195">
        <f ca="1"/>
        <v>0</v>
      </c>
      <c r="AZ72" s="195">
        <f ca="1"/>
        <v>0</v>
      </c>
      <c r="BA72" s="195">
        <f ca="1"/>
        <v>6322.91323780128</v>
      </c>
      <c r="BB72" s="195">
        <f ca="1"/>
        <v>0</v>
      </c>
      <c r="BC72" s="195">
        <f ca="1"/>
        <v>0</v>
      </c>
      <c r="BD72" s="195">
        <f ca="1"/>
        <v>86629.902985740002</v>
      </c>
      <c r="BE72" s="195">
        <f ca="1"/>
        <v>0</v>
      </c>
    </row>
    <row r="73" spans="1:57" s="195" customFormat="1" x14ac:dyDescent="0.2">
      <c r="A73" s="34"/>
      <c r="B73" s="93">
        <v>22</v>
      </c>
      <c r="C73" s="166">
        <f ca="1"/>
        <v>0</v>
      </c>
      <c r="D73" s="177">
        <f ca="1"/>
        <v>0</v>
      </c>
      <c r="E73" s="177">
        <f ca="1"/>
        <v>0</v>
      </c>
      <c r="F73" s="167">
        <f ca="1"/>
        <v>0</v>
      </c>
      <c r="G73" s="33"/>
      <c r="H73" s="34"/>
      <c r="I73" s="33"/>
      <c r="J73" s="94">
        <f ca="1"/>
        <v>0</v>
      </c>
      <c r="K73" s="94">
        <f ca="1"/>
        <v>0</v>
      </c>
      <c r="L73" s="385"/>
      <c r="M73" s="94">
        <f ca="1"/>
        <v>9289882.693</v>
      </c>
      <c r="N73" s="94">
        <f ca="1"/>
        <v>7733081.3710952485</v>
      </c>
      <c r="O73" s="95">
        <f ca="1"/>
        <v>-1556801.3219047515</v>
      </c>
      <c r="P73" s="33"/>
      <c r="Q73" s="362">
        <f ca="1"/>
        <v>0</v>
      </c>
      <c r="R73" s="307">
        <f ca="1"/>
        <v>0</v>
      </c>
      <c r="S73" s="307">
        <f ca="1"/>
        <v>0</v>
      </c>
      <c r="T73" s="308">
        <f ca="1"/>
        <v>0</v>
      </c>
      <c r="U73" s="92">
        <f ca="1"/>
        <v>43619</v>
      </c>
      <c r="V73" s="306">
        <f ca="1"/>
        <v>100159.82196539067</v>
      </c>
      <c r="W73" s="87">
        <f ca="1"/>
        <v>0</v>
      </c>
      <c r="X73" s="88">
        <f ca="1"/>
        <v>0</v>
      </c>
      <c r="Y73" s="88">
        <f ca="1"/>
        <v>0</v>
      </c>
      <c r="Z73" s="88">
        <f ca="1"/>
        <v>0</v>
      </c>
      <c r="AA73" s="88">
        <f ca="1"/>
        <v>0</v>
      </c>
      <c r="AB73" s="88">
        <f ca="1"/>
        <v>300396.25221640494</v>
      </c>
      <c r="AC73" s="88">
        <f ca="1"/>
        <v>124904.16569758891</v>
      </c>
      <c r="AD73" s="88">
        <f ca="1"/>
        <v>0</v>
      </c>
      <c r="AE73" s="88">
        <f ca="1"/>
        <v>0</v>
      </c>
      <c r="AF73" s="88">
        <f ca="1"/>
        <v>0</v>
      </c>
      <c r="AG73" s="88">
        <f ca="1"/>
        <v>0</v>
      </c>
      <c r="AH73" s="88">
        <f ca="1"/>
        <v>6723154.9307999993</v>
      </c>
      <c r="AI73" s="88">
        <f ca="1"/>
        <v>0</v>
      </c>
      <c r="AJ73" s="88">
        <f ca="1"/>
        <v>0</v>
      </c>
      <c r="AK73" s="88">
        <f ca="1"/>
        <v>96581.006356966594</v>
      </c>
      <c r="AL73" s="88">
        <f ca="1"/>
        <v>0</v>
      </c>
      <c r="AM73" s="195">
        <f ca="1"/>
        <v>0</v>
      </c>
      <c r="AN73" s="195">
        <f ca="1"/>
        <v>0</v>
      </c>
      <c r="AO73" s="195">
        <f ca="1"/>
        <v>0</v>
      </c>
      <c r="AP73" s="443">
        <f ca="1"/>
        <v>0</v>
      </c>
      <c r="AQ73" s="195">
        <f ca="1"/>
        <v>0</v>
      </c>
      <c r="AR73" s="195">
        <f ca="1"/>
        <v>0</v>
      </c>
      <c r="AS73" s="195">
        <f ca="1"/>
        <v>230409.97157014051</v>
      </c>
      <c r="AT73" s="195">
        <f ca="1"/>
        <v>16251.175382162994</v>
      </c>
      <c r="AU73" s="195">
        <f ca="1"/>
        <v>37227.499045819204</v>
      </c>
      <c r="AV73" s="195">
        <f ca="1"/>
        <v>40080.951306000003</v>
      </c>
      <c r="AW73" s="195">
        <f ca="1"/>
        <v>0</v>
      </c>
      <c r="AX73" s="195">
        <f ca="1"/>
        <v>0.69042508351215004</v>
      </c>
      <c r="AY73" s="195">
        <f ca="1"/>
        <v>0</v>
      </c>
      <c r="AZ73" s="195">
        <f ca="1"/>
        <v>0</v>
      </c>
      <c r="BA73" s="195">
        <f ca="1"/>
        <v>4465.7120206419204</v>
      </c>
      <c r="BB73" s="195">
        <f ca="1"/>
        <v>0</v>
      </c>
      <c r="BC73" s="195">
        <f ca="1"/>
        <v>0</v>
      </c>
      <c r="BD73" s="195">
        <f ca="1"/>
        <v>59449.194309047998</v>
      </c>
      <c r="BE73" s="195">
        <f ca="1"/>
        <v>0</v>
      </c>
    </row>
    <row r="74" spans="1:57" s="195" customFormat="1" x14ac:dyDescent="0.2">
      <c r="A74" s="34"/>
      <c r="B74" s="93">
        <v>23</v>
      </c>
      <c r="C74" s="166">
        <f ca="1"/>
        <v>0</v>
      </c>
      <c r="D74" s="177">
        <f ca="1"/>
        <v>0</v>
      </c>
      <c r="E74" s="177">
        <f ca="1"/>
        <v>0</v>
      </c>
      <c r="F74" s="167">
        <f ca="1"/>
        <v>0</v>
      </c>
      <c r="G74" s="33"/>
      <c r="H74" s="34"/>
      <c r="I74" s="33"/>
      <c r="J74" s="94">
        <f ca="1"/>
        <v>0</v>
      </c>
      <c r="K74" s="94">
        <f ca="1"/>
        <v>0</v>
      </c>
      <c r="L74" s="385"/>
      <c r="M74" s="94">
        <f ca="1"/>
        <v>7877616.6009999998</v>
      </c>
      <c r="N74" s="94">
        <f ca="1"/>
        <v>8871545.2190345842</v>
      </c>
      <c r="O74" s="95">
        <f ca="1"/>
        <v>993928.61803458445</v>
      </c>
      <c r="P74" s="33"/>
      <c r="Q74" s="362">
        <f ca="1"/>
        <v>0</v>
      </c>
      <c r="R74" s="307">
        <f ca="1"/>
        <v>0</v>
      </c>
      <c r="S74" s="307">
        <f ca="1"/>
        <v>0</v>
      </c>
      <c r="T74" s="308">
        <f ca="1"/>
        <v>0</v>
      </c>
      <c r="U74" s="92">
        <f ca="1"/>
        <v>43626</v>
      </c>
      <c r="V74" s="306">
        <f ca="1"/>
        <v>100159.82196539067</v>
      </c>
      <c r="W74" s="87">
        <f ca="1"/>
        <v>0</v>
      </c>
      <c r="X74" s="88">
        <f ca="1"/>
        <v>0</v>
      </c>
      <c r="Y74" s="88">
        <f ca="1"/>
        <v>0</v>
      </c>
      <c r="Z74" s="88">
        <f ca="1"/>
        <v>0</v>
      </c>
      <c r="AA74" s="88">
        <f ca="1"/>
        <v>0</v>
      </c>
      <c r="AB74" s="88">
        <f ca="1"/>
        <v>815964.03380283748</v>
      </c>
      <c r="AC74" s="88">
        <f ca="1"/>
        <v>217474.91151809099</v>
      </c>
      <c r="AD74" s="88">
        <f ca="1"/>
        <v>0</v>
      </c>
      <c r="AE74" s="88">
        <f ca="1"/>
        <v>0</v>
      </c>
      <c r="AF74" s="88">
        <f ca="1"/>
        <v>0</v>
      </c>
      <c r="AG74" s="88">
        <f ca="1"/>
        <v>0</v>
      </c>
      <c r="AH74" s="88">
        <f ca="1"/>
        <v>7277097.627799999</v>
      </c>
      <c r="AI74" s="88">
        <f ca="1"/>
        <v>0</v>
      </c>
      <c r="AJ74" s="88">
        <f ca="1"/>
        <v>0</v>
      </c>
      <c r="AK74" s="88">
        <f ca="1"/>
        <v>115248.14167569192</v>
      </c>
      <c r="AL74" s="88">
        <f ca="1"/>
        <v>0</v>
      </c>
      <c r="AM74" s="195">
        <f ca="1"/>
        <v>0</v>
      </c>
      <c r="AN74" s="195">
        <f ca="1"/>
        <v>0</v>
      </c>
      <c r="AO74" s="195">
        <f ca="1"/>
        <v>0</v>
      </c>
      <c r="AP74" s="443">
        <f ca="1"/>
        <v>0</v>
      </c>
      <c r="AQ74" s="195">
        <f ca="1"/>
        <v>0</v>
      </c>
      <c r="AR74" s="195">
        <f ca="1"/>
        <v>0</v>
      </c>
      <c r="AS74" s="195">
        <f ca="1"/>
        <v>230409.68049129174</v>
      </c>
      <c r="AT74" s="195">
        <f ca="1"/>
        <v>13957.948583622809</v>
      </c>
      <c r="AU74" s="195">
        <f ca="1"/>
        <v>28085.927820632161</v>
      </c>
      <c r="AV74" s="195">
        <f ca="1"/>
        <v>41576.715883999997</v>
      </c>
      <c r="AW74" s="195">
        <f ca="1"/>
        <v>0</v>
      </c>
      <c r="AX74" s="195">
        <f ca="1"/>
        <v>1.7918174786386749</v>
      </c>
      <c r="AY74" s="195">
        <f ca="1"/>
        <v>0</v>
      </c>
      <c r="AZ74" s="195">
        <f ca="1"/>
        <v>0</v>
      </c>
      <c r="BA74" s="195">
        <f ca="1"/>
        <v>2996.9233779966721</v>
      </c>
      <c r="BB74" s="195">
        <f ca="1"/>
        <v>0</v>
      </c>
      <c r="BC74" s="195">
        <f ca="1"/>
        <v>0</v>
      </c>
      <c r="BD74" s="195">
        <f ca="1"/>
        <v>28571.694297552003</v>
      </c>
      <c r="BE74" s="195">
        <f ca="1"/>
        <v>0</v>
      </c>
    </row>
    <row r="75" spans="1:57" s="195" customFormat="1" x14ac:dyDescent="0.2">
      <c r="A75" s="34"/>
      <c r="B75" s="93">
        <v>24</v>
      </c>
      <c r="C75" s="166">
        <f ca="1"/>
        <v>0</v>
      </c>
      <c r="D75" s="177">
        <f ca="1"/>
        <v>0</v>
      </c>
      <c r="E75" s="177">
        <f ca="1"/>
        <v>0</v>
      </c>
      <c r="F75" s="167">
        <f ca="1"/>
        <v>0</v>
      </c>
      <c r="G75" s="33"/>
      <c r="H75" s="34"/>
      <c r="I75" s="33"/>
      <c r="J75" s="94">
        <f ca="1"/>
        <v>0</v>
      </c>
      <c r="K75" s="94">
        <f ca="1"/>
        <v>0</v>
      </c>
      <c r="L75" s="385"/>
      <c r="M75" s="94">
        <f ca="1"/>
        <v>6779537.8909999998</v>
      </c>
      <c r="N75" s="94">
        <f ca="1"/>
        <v>7576127.669281764</v>
      </c>
      <c r="O75" s="95">
        <f ca="1"/>
        <v>796589.77828176413</v>
      </c>
      <c r="P75" s="33"/>
      <c r="Q75" s="362">
        <f ca="1"/>
        <v>0</v>
      </c>
      <c r="R75" s="307">
        <f ca="1"/>
        <v>0</v>
      </c>
      <c r="S75" s="307">
        <f ca="1"/>
        <v>0</v>
      </c>
      <c r="T75" s="308">
        <f ca="1"/>
        <v>0</v>
      </c>
      <c r="U75" s="92">
        <f ca="1"/>
        <v>43633</v>
      </c>
      <c r="V75" s="306">
        <f ca="1"/>
        <v>100159.82196539067</v>
      </c>
      <c r="W75" s="87">
        <f ca="1"/>
        <v>0</v>
      </c>
      <c r="X75" s="88">
        <f ca="1"/>
        <v>0</v>
      </c>
      <c r="Y75" s="88">
        <f ca="1"/>
        <v>0</v>
      </c>
      <c r="Z75" s="88">
        <f ca="1"/>
        <v>0</v>
      </c>
      <c r="AA75" s="88">
        <f ca="1"/>
        <v>0</v>
      </c>
      <c r="AB75" s="88">
        <f ca="1"/>
        <v>732157.78087976552</v>
      </c>
      <c r="AC75" s="88">
        <f ca="1"/>
        <v>177859.31997551306</v>
      </c>
      <c r="AD75" s="88">
        <f ca="1"/>
        <v>0</v>
      </c>
      <c r="AE75" s="88">
        <f ca="1"/>
        <v>0</v>
      </c>
      <c r="AF75" s="88">
        <f ca="1"/>
        <v>0</v>
      </c>
      <c r="AG75" s="88">
        <f ca="1"/>
        <v>0</v>
      </c>
      <c r="AH75" s="88">
        <f ca="1"/>
        <v>6154522.0307999989</v>
      </c>
      <c r="AI75" s="88">
        <f ca="1"/>
        <v>0</v>
      </c>
      <c r="AJ75" s="88">
        <f ca="1"/>
        <v>0</v>
      </c>
      <c r="AK75" s="88">
        <f ca="1"/>
        <v>98882.013730983148</v>
      </c>
      <c r="AL75" s="88">
        <f ca="1"/>
        <v>0</v>
      </c>
      <c r="AM75" s="195">
        <f ca="1"/>
        <v>0</v>
      </c>
      <c r="AN75" s="195">
        <f ca="1"/>
        <v>0</v>
      </c>
      <c r="AO75" s="195">
        <f ca="1"/>
        <v>0</v>
      </c>
      <c r="AP75" s="443">
        <f ca="1"/>
        <v>0</v>
      </c>
      <c r="AQ75" s="195">
        <f ca="1"/>
        <v>0</v>
      </c>
      <c r="AR75" s="195">
        <f ca="1"/>
        <v>0</v>
      </c>
      <c r="AS75" s="195">
        <f ca="1"/>
        <v>165299.90614716627</v>
      </c>
      <c r="AT75" s="195">
        <f ca="1"/>
        <v>14205.265991329137</v>
      </c>
      <c r="AU75" s="195">
        <f ca="1"/>
        <v>28223.912696778239</v>
      </c>
      <c r="AV75" s="195">
        <f ca="1"/>
        <v>45828.565243999998</v>
      </c>
      <c r="AW75" s="195">
        <f ca="1"/>
        <v>54614.121482068171</v>
      </c>
      <c r="AX75" s="195">
        <f ca="1"/>
        <v>3.731583189458525</v>
      </c>
      <c r="AY75" s="195">
        <f ca="1"/>
        <v>0</v>
      </c>
      <c r="AZ75" s="195">
        <f ca="1"/>
        <v>0</v>
      </c>
      <c r="BA75" s="195">
        <f ca="1"/>
        <v>3097.0019787209599</v>
      </c>
      <c r="BB75" s="195">
        <f ca="1"/>
        <v>0</v>
      </c>
      <c r="BC75" s="195">
        <f ca="1"/>
        <v>0</v>
      </c>
      <c r="BD75" s="195">
        <f ca="1"/>
        <v>1274.1968068609201</v>
      </c>
      <c r="BE75" s="195">
        <f ca="1"/>
        <v>0</v>
      </c>
    </row>
    <row r="76" spans="1:57" s="195" customFormat="1" x14ac:dyDescent="0.2">
      <c r="A76" s="34"/>
      <c r="B76" s="93">
        <v>25</v>
      </c>
      <c r="C76" s="166">
        <f ca="1"/>
        <v>0</v>
      </c>
      <c r="D76" s="177">
        <f ca="1"/>
        <v>0</v>
      </c>
      <c r="E76" s="177">
        <f ca="1"/>
        <v>0</v>
      </c>
      <c r="F76" s="167">
        <f ca="1"/>
        <v>0</v>
      </c>
      <c r="G76" s="33"/>
      <c r="H76" s="34"/>
      <c r="I76" s="33"/>
      <c r="J76" s="94">
        <f ca="1"/>
        <v>0</v>
      </c>
      <c r="K76" s="94">
        <f ca="1"/>
        <v>0</v>
      </c>
      <c r="L76" s="385"/>
      <c r="M76" s="94">
        <f ca="1"/>
        <v>8152210.6619999995</v>
      </c>
      <c r="N76" s="94">
        <f ca="1"/>
        <v>7245142.545848378</v>
      </c>
      <c r="O76" s="95">
        <f ca="1"/>
        <v>-907068.11615162157</v>
      </c>
      <c r="P76" s="33"/>
      <c r="Q76" s="362">
        <f ca="1"/>
        <v>0</v>
      </c>
      <c r="R76" s="307">
        <f ca="1"/>
        <v>0</v>
      </c>
      <c r="S76" s="307">
        <f ca="1"/>
        <v>0</v>
      </c>
      <c r="T76" s="308">
        <f ca="1"/>
        <v>0</v>
      </c>
      <c r="U76" s="92">
        <f ca="1"/>
        <v>43640</v>
      </c>
      <c r="V76" s="306">
        <f ca="1"/>
        <v>100159.82196539067</v>
      </c>
      <c r="W76" s="87">
        <f ca="1"/>
        <v>0</v>
      </c>
      <c r="X76" s="88">
        <f ca="1"/>
        <v>0</v>
      </c>
      <c r="Y76" s="88">
        <f ca="1"/>
        <v>0</v>
      </c>
      <c r="Z76" s="88">
        <f ca="1"/>
        <v>0</v>
      </c>
      <c r="AA76" s="88">
        <f ca="1"/>
        <v>0</v>
      </c>
      <c r="AB76" s="88">
        <f ca="1"/>
        <v>685343.95757928165</v>
      </c>
      <c r="AC76" s="88">
        <f ca="1"/>
        <v>160360.93102827849</v>
      </c>
      <c r="AD76" s="88">
        <f ca="1"/>
        <v>0</v>
      </c>
      <c r="AE76" s="88">
        <f ca="1"/>
        <v>0</v>
      </c>
      <c r="AF76" s="88">
        <f ca="1"/>
        <v>0</v>
      </c>
      <c r="AG76" s="88">
        <f ca="1"/>
        <v>0</v>
      </c>
      <c r="AH76" s="88">
        <f ca="1"/>
        <v>6097746.534</v>
      </c>
      <c r="AI76" s="88">
        <f ca="1"/>
        <v>0</v>
      </c>
      <c r="AJ76" s="88">
        <f ca="1"/>
        <v>0</v>
      </c>
      <c r="AK76" s="88">
        <f ca="1"/>
        <v>44622.897180615029</v>
      </c>
      <c r="AL76" s="88">
        <f ca="1"/>
        <v>0</v>
      </c>
      <c r="AM76" s="195">
        <f ca="1"/>
        <v>0</v>
      </c>
      <c r="AN76" s="195">
        <f ca="1"/>
        <v>0</v>
      </c>
      <c r="AO76" s="195">
        <f ca="1"/>
        <v>0</v>
      </c>
      <c r="AP76" s="443">
        <f ca="1"/>
        <v>0</v>
      </c>
      <c r="AQ76" s="195">
        <f ca="1"/>
        <v>0</v>
      </c>
      <c r="AR76" s="195">
        <f ca="1"/>
        <v>0</v>
      </c>
      <c r="AS76" s="195">
        <f ca="1"/>
        <v>2524.7427204262235</v>
      </c>
      <c r="AT76" s="195">
        <f ca="1"/>
        <v>13148.332672835646</v>
      </c>
      <c r="AU76" s="195">
        <f ca="1"/>
        <v>30115.565221212964</v>
      </c>
      <c r="AV76" s="195">
        <f ca="1"/>
        <v>45579.271144000006</v>
      </c>
      <c r="AW76" s="195">
        <f ca="1"/>
        <v>59197.734096302673</v>
      </c>
      <c r="AX76" s="195">
        <f ca="1"/>
        <v>2.4164877919604244</v>
      </c>
      <c r="AY76" s="195">
        <f ca="1"/>
        <v>0</v>
      </c>
      <c r="AZ76" s="195">
        <f ca="1"/>
        <v>0</v>
      </c>
      <c r="BA76" s="195">
        <f ca="1"/>
        <v>3558.0075422185596</v>
      </c>
      <c r="BB76" s="195">
        <f ca="1"/>
        <v>0</v>
      </c>
      <c r="BC76" s="195">
        <f ca="1"/>
        <v>0</v>
      </c>
      <c r="BD76" s="195">
        <f ca="1"/>
        <v>2782.3342100256</v>
      </c>
      <c r="BE76" s="195">
        <f ca="1"/>
        <v>0</v>
      </c>
    </row>
    <row r="77" spans="1:57" s="195" customFormat="1" x14ac:dyDescent="0.2">
      <c r="A77" s="34"/>
      <c r="B77" s="93">
        <v>26</v>
      </c>
      <c r="C77" s="166">
        <f ca="1"/>
        <v>0</v>
      </c>
      <c r="D77" s="177">
        <f ca="1"/>
        <v>0</v>
      </c>
      <c r="E77" s="177">
        <f ca="1"/>
        <v>0</v>
      </c>
      <c r="F77" s="167">
        <f ca="1"/>
        <v>0</v>
      </c>
      <c r="G77" s="33"/>
      <c r="H77" s="34"/>
      <c r="I77" s="33"/>
      <c r="J77" s="94">
        <f ca="1"/>
        <v>0</v>
      </c>
      <c r="K77" s="94">
        <f ca="1"/>
        <v>0</v>
      </c>
      <c r="L77" s="385"/>
      <c r="M77" s="94">
        <f ca="1"/>
        <v>6559549.4809999997</v>
      </c>
      <c r="N77" s="94">
        <f ca="1"/>
        <v>6447376.7501151245</v>
      </c>
      <c r="O77" s="95">
        <f ca="1"/>
        <v>-112172.73088487517</v>
      </c>
      <c r="P77" s="33"/>
      <c r="Q77" s="362">
        <f ca="1"/>
        <v>0</v>
      </c>
      <c r="R77" s="307">
        <f ca="1"/>
        <v>0</v>
      </c>
      <c r="S77" s="307">
        <f ca="1"/>
        <v>0</v>
      </c>
      <c r="T77" s="308">
        <f ca="1"/>
        <v>0</v>
      </c>
      <c r="U77" s="92">
        <f ca="1"/>
        <v>43647</v>
      </c>
      <c r="V77" s="306">
        <f ca="1"/>
        <v>100159.82196539067</v>
      </c>
      <c r="W77" s="87">
        <f ca="1"/>
        <v>0</v>
      </c>
      <c r="X77" s="88">
        <f ca="1"/>
        <v>0</v>
      </c>
      <c r="Y77" s="88">
        <f ca="1"/>
        <v>0</v>
      </c>
      <c r="Z77" s="88">
        <f ca="1"/>
        <v>0</v>
      </c>
      <c r="AA77" s="88">
        <f ca="1"/>
        <v>0</v>
      </c>
      <c r="AB77" s="88">
        <f ca="1"/>
        <v>392883.08071475493</v>
      </c>
      <c r="AC77" s="88">
        <f ca="1"/>
        <v>164344.51147863321</v>
      </c>
      <c r="AD77" s="88">
        <f ca="1"/>
        <v>0</v>
      </c>
      <c r="AE77" s="88">
        <f ca="1"/>
        <v>0</v>
      </c>
      <c r="AF77" s="88">
        <f ca="1"/>
        <v>0</v>
      </c>
      <c r="AG77" s="88">
        <f ca="1"/>
        <v>0</v>
      </c>
      <c r="AH77" s="88">
        <f ca="1"/>
        <v>5503570.6549999993</v>
      </c>
      <c r="AI77" s="88">
        <f ca="1"/>
        <v>0</v>
      </c>
      <c r="AJ77" s="88">
        <f ca="1"/>
        <v>0</v>
      </c>
      <c r="AK77" s="88">
        <f ca="1"/>
        <v>44686.547153357846</v>
      </c>
      <c r="AL77" s="88">
        <f ca="1"/>
        <v>0</v>
      </c>
      <c r="AM77" s="195">
        <f ca="1"/>
        <v>0</v>
      </c>
      <c r="AN77" s="195">
        <f ca="1"/>
        <v>0</v>
      </c>
      <c r="AO77" s="195">
        <f ca="1"/>
        <v>0</v>
      </c>
      <c r="AP77" s="443">
        <f ca="1"/>
        <v>0</v>
      </c>
      <c r="AQ77" s="195">
        <f ca="1"/>
        <v>112916.01369100001</v>
      </c>
      <c r="AR77" s="195">
        <f ca="1"/>
        <v>0</v>
      </c>
      <c r="AS77" s="195">
        <f ca="1"/>
        <v>2524.7459064543009</v>
      </c>
      <c r="AT77" s="195">
        <f ca="1"/>
        <v>11072.040668710866</v>
      </c>
      <c r="AU77" s="195">
        <f ca="1"/>
        <v>77303.462908699206</v>
      </c>
      <c r="AV77" s="195">
        <f ca="1"/>
        <v>37421.814231999997</v>
      </c>
      <c r="AW77" s="195">
        <f ca="1"/>
        <v>0</v>
      </c>
      <c r="AX77" s="195">
        <f ca="1"/>
        <v>0</v>
      </c>
      <c r="AY77" s="195">
        <f ca="1"/>
        <v>0</v>
      </c>
      <c r="AZ77" s="195">
        <f ca="1"/>
        <v>0</v>
      </c>
      <c r="BA77" s="195">
        <f ca="1"/>
        <v>17.689700961101437</v>
      </c>
      <c r="BB77" s="195">
        <f ca="1"/>
        <v>0</v>
      </c>
      <c r="BC77" s="195">
        <f ca="1"/>
        <v>0</v>
      </c>
      <c r="BD77" s="195">
        <f ca="1"/>
        <v>0.85293677707692006</v>
      </c>
      <c r="BE77" s="195">
        <f ca="1"/>
        <v>475.51375838538002</v>
      </c>
    </row>
    <row r="78" spans="1:57" s="195" customFormat="1" x14ac:dyDescent="0.2">
      <c r="A78" s="34"/>
      <c r="B78" s="93">
        <v>27</v>
      </c>
      <c r="C78" s="166">
        <f ca="1"/>
        <v>0</v>
      </c>
      <c r="D78" s="177">
        <f ca="1"/>
        <v>0</v>
      </c>
      <c r="E78" s="177">
        <f ca="1"/>
        <v>0</v>
      </c>
      <c r="F78" s="167">
        <f ca="1"/>
        <v>0</v>
      </c>
      <c r="G78" s="33"/>
      <c r="H78" s="34"/>
      <c r="I78" s="33"/>
      <c r="J78" s="94">
        <f ca="1"/>
        <v>0</v>
      </c>
      <c r="K78" s="94">
        <f ca="1"/>
        <v>0</v>
      </c>
      <c r="L78" s="385"/>
      <c r="M78" s="94">
        <f ca="1"/>
        <v>9809436.0380000006</v>
      </c>
      <c r="N78" s="94">
        <f ca="1"/>
        <v>9817670.6281187385</v>
      </c>
      <c r="O78" s="95">
        <f ca="1"/>
        <v>8234.5901187378913</v>
      </c>
      <c r="P78" s="33"/>
      <c r="Q78" s="362">
        <f ca="1"/>
        <v>0</v>
      </c>
      <c r="R78" s="307">
        <f ca="1"/>
        <v>0</v>
      </c>
      <c r="S78" s="307">
        <f ca="1"/>
        <v>0</v>
      </c>
      <c r="T78" s="308">
        <f ca="1"/>
        <v>0</v>
      </c>
      <c r="U78" s="92">
        <f ca="1"/>
        <v>43654</v>
      </c>
      <c r="V78" s="306">
        <f ca="1"/>
        <v>100159.82196539067</v>
      </c>
      <c r="W78" s="87">
        <f ca="1"/>
        <v>0</v>
      </c>
      <c r="X78" s="88">
        <f ca="1"/>
        <v>2258006.4562911298</v>
      </c>
      <c r="Y78" s="88">
        <f ca="1"/>
        <v>0</v>
      </c>
      <c r="Z78" s="88">
        <f ca="1"/>
        <v>0</v>
      </c>
      <c r="AA78" s="88">
        <f ca="1"/>
        <v>0</v>
      </c>
      <c r="AB78" s="88">
        <f ca="1"/>
        <v>737333.90135040681</v>
      </c>
      <c r="AC78" s="88">
        <f ca="1"/>
        <v>177750.40031813641</v>
      </c>
      <c r="AD78" s="88">
        <f ca="1"/>
        <v>0</v>
      </c>
      <c r="AE78" s="88">
        <f ca="1"/>
        <v>0</v>
      </c>
      <c r="AF78" s="88">
        <f ca="1"/>
        <v>0</v>
      </c>
      <c r="AG78" s="88">
        <f ca="1"/>
        <v>0</v>
      </c>
      <c r="AH78" s="88">
        <f ca="1"/>
        <v>6305751.8457999993</v>
      </c>
      <c r="AI78" s="88">
        <f ca="1"/>
        <v>0</v>
      </c>
      <c r="AJ78" s="88">
        <f ca="1"/>
        <v>0</v>
      </c>
      <c r="AK78" s="88">
        <f ca="1"/>
        <v>37825.105620509035</v>
      </c>
      <c r="AL78" s="88">
        <f ca="1"/>
        <v>0</v>
      </c>
      <c r="AM78" s="195">
        <f ca="1"/>
        <v>0</v>
      </c>
      <c r="AN78" s="195">
        <f ca="1"/>
        <v>0</v>
      </c>
      <c r="AO78" s="195">
        <f ca="1"/>
        <v>0</v>
      </c>
      <c r="AP78" s="443">
        <f ca="1"/>
        <v>0</v>
      </c>
      <c r="AQ78" s="195">
        <f ca="1"/>
        <v>64046.750794</v>
      </c>
      <c r="AR78" s="195">
        <f ca="1"/>
        <v>0</v>
      </c>
      <c r="AS78" s="195">
        <f ca="1"/>
        <v>2524.7490881547119</v>
      </c>
      <c r="AT78" s="195">
        <f ca="1"/>
        <v>13736.610515251728</v>
      </c>
      <c r="AU78" s="195">
        <f ca="1"/>
        <v>84410.416427371209</v>
      </c>
      <c r="AV78" s="195">
        <f ca="1"/>
        <v>35649.056189999996</v>
      </c>
      <c r="AW78" s="195">
        <f ca="1"/>
        <v>0</v>
      </c>
      <c r="AX78" s="195">
        <f ca="1"/>
        <v>0</v>
      </c>
      <c r="AY78" s="195">
        <f ca="1"/>
        <v>0</v>
      </c>
      <c r="AZ78" s="195">
        <f ca="1"/>
        <v>0</v>
      </c>
      <c r="BA78" s="195">
        <f ca="1"/>
        <v>0</v>
      </c>
      <c r="BB78" s="195">
        <f ca="1"/>
        <v>0</v>
      </c>
      <c r="BC78" s="195">
        <f ca="1"/>
        <v>0</v>
      </c>
      <c r="BD78" s="195">
        <f ca="1"/>
        <v>0</v>
      </c>
      <c r="BE78" s="195">
        <f ca="1"/>
        <v>475.51375838538002</v>
      </c>
    </row>
    <row r="79" spans="1:57" s="195" customFormat="1" x14ac:dyDescent="0.2">
      <c r="A79" s="34"/>
      <c r="B79" s="93">
        <v>28</v>
      </c>
      <c r="C79" s="166">
        <f ca="1"/>
        <v>0</v>
      </c>
      <c r="D79" s="177">
        <f ca="1"/>
        <v>0</v>
      </c>
      <c r="E79" s="177">
        <f ca="1"/>
        <v>0</v>
      </c>
      <c r="F79" s="167">
        <f ca="1"/>
        <v>0</v>
      </c>
      <c r="G79" s="33"/>
      <c r="H79" s="34"/>
      <c r="I79" s="33"/>
      <c r="J79" s="94">
        <f ca="1"/>
        <v>0</v>
      </c>
      <c r="K79" s="94">
        <f ca="1"/>
        <v>0</v>
      </c>
      <c r="L79" s="385"/>
      <c r="M79" s="94">
        <f ca="1"/>
        <v>8647284.5350000001</v>
      </c>
      <c r="N79" s="94">
        <f ca="1"/>
        <v>7493206.5892001959</v>
      </c>
      <c r="O79" s="95">
        <f ca="1"/>
        <v>-1154077.9457998043</v>
      </c>
      <c r="P79" s="33"/>
      <c r="Q79" s="362">
        <f ca="1"/>
        <v>0</v>
      </c>
      <c r="R79" s="307">
        <f ca="1"/>
        <v>0</v>
      </c>
      <c r="S79" s="307">
        <f ca="1"/>
        <v>0</v>
      </c>
      <c r="T79" s="308">
        <f ca="1"/>
        <v>0</v>
      </c>
      <c r="U79" s="92">
        <f ca="1"/>
        <v>43661</v>
      </c>
      <c r="V79" s="306">
        <f ca="1"/>
        <v>100159.82196539067</v>
      </c>
      <c r="W79" s="87">
        <f ca="1"/>
        <v>0</v>
      </c>
      <c r="X79" s="88">
        <f ca="1"/>
        <v>0</v>
      </c>
      <c r="Y79" s="88">
        <f ca="1"/>
        <v>0</v>
      </c>
      <c r="Z79" s="88">
        <f ca="1"/>
        <v>0</v>
      </c>
      <c r="AA79" s="88">
        <f ca="1"/>
        <v>0</v>
      </c>
      <c r="AB79" s="88">
        <f ca="1"/>
        <v>419757.76290265139</v>
      </c>
      <c r="AC79" s="88">
        <f ca="1"/>
        <v>432828.69335357682</v>
      </c>
      <c r="AD79" s="88">
        <f ca="1"/>
        <v>0</v>
      </c>
      <c r="AE79" s="88">
        <f ca="1"/>
        <v>0</v>
      </c>
      <c r="AF79" s="88">
        <f ca="1"/>
        <v>0</v>
      </c>
      <c r="AG79" s="88">
        <f ca="1"/>
        <v>0</v>
      </c>
      <c r="AH79" s="88">
        <f ca="1"/>
        <v>6366056.6551999999</v>
      </c>
      <c r="AI79" s="88">
        <f ca="1"/>
        <v>0</v>
      </c>
      <c r="AJ79" s="88">
        <f ca="1"/>
        <v>0</v>
      </c>
      <c r="AK79" s="88">
        <f ca="1"/>
        <v>41670.493699566301</v>
      </c>
      <c r="AL79" s="88">
        <f ca="1"/>
        <v>0</v>
      </c>
      <c r="AM79" s="195">
        <f ca="1"/>
        <v>0</v>
      </c>
      <c r="AN79" s="195">
        <f ca="1"/>
        <v>0</v>
      </c>
      <c r="AO79" s="195">
        <f ca="1"/>
        <v>0</v>
      </c>
      <c r="AP79" s="443">
        <f ca="1"/>
        <v>0</v>
      </c>
      <c r="AQ79" s="195">
        <f ca="1"/>
        <v>0</v>
      </c>
      <c r="AR79" s="195">
        <f ca="1"/>
        <v>0</v>
      </c>
      <c r="AS79" s="195">
        <f ca="1"/>
        <v>2524.7490881547119</v>
      </c>
      <c r="AT79" s="195">
        <f ca="1"/>
        <v>14324.154478119719</v>
      </c>
      <c r="AU79" s="195">
        <f ca="1"/>
        <v>83332.903968350409</v>
      </c>
      <c r="AV79" s="195">
        <f ca="1"/>
        <v>32075.840786000001</v>
      </c>
      <c r="AW79" s="195">
        <f ca="1"/>
        <v>0</v>
      </c>
      <c r="AX79" s="195">
        <f ca="1"/>
        <v>0</v>
      </c>
      <c r="AY79" s="195">
        <f ca="1"/>
        <v>0</v>
      </c>
      <c r="AZ79" s="195">
        <f ca="1"/>
        <v>0</v>
      </c>
      <c r="BA79" s="195">
        <f ca="1"/>
        <v>0</v>
      </c>
      <c r="BB79" s="195">
        <f ca="1"/>
        <v>0</v>
      </c>
      <c r="BC79" s="195">
        <f ca="1"/>
        <v>0</v>
      </c>
      <c r="BD79" s="195">
        <f ca="1"/>
        <v>0</v>
      </c>
      <c r="BE79" s="195">
        <f ca="1"/>
        <v>475.51375838538002</v>
      </c>
    </row>
    <row r="80" spans="1:57" s="195" customFormat="1" x14ac:dyDescent="0.2">
      <c r="A80" s="34"/>
      <c r="B80" s="93">
        <v>29</v>
      </c>
      <c r="C80" s="166">
        <f ca="1"/>
        <v>0</v>
      </c>
      <c r="D80" s="177">
        <f ca="1"/>
        <v>0</v>
      </c>
      <c r="E80" s="177">
        <f ca="1"/>
        <v>0</v>
      </c>
      <c r="F80" s="167">
        <f ca="1"/>
        <v>0</v>
      </c>
      <c r="G80" s="33"/>
      <c r="H80" s="34"/>
      <c r="I80" s="33"/>
      <c r="J80" s="94">
        <f ca="1"/>
        <v>0</v>
      </c>
      <c r="K80" s="94">
        <f ca="1"/>
        <v>0</v>
      </c>
      <c r="L80" s="385"/>
      <c r="M80" s="94">
        <f ca="1"/>
        <v>7670843.8949999996</v>
      </c>
      <c r="N80" s="94">
        <f ca="1"/>
        <v>7271449.863601598</v>
      </c>
      <c r="O80" s="95">
        <f ca="1"/>
        <v>-399394.0313984016</v>
      </c>
      <c r="P80" s="33"/>
      <c r="Q80" s="362">
        <f ca="1"/>
        <v>0</v>
      </c>
      <c r="R80" s="307">
        <f ca="1"/>
        <v>0</v>
      </c>
      <c r="S80" s="307">
        <f ca="1"/>
        <v>0</v>
      </c>
      <c r="T80" s="308">
        <f ca="1"/>
        <v>0</v>
      </c>
      <c r="U80" s="92">
        <f ca="1"/>
        <v>43668</v>
      </c>
      <c r="V80" s="306">
        <f ca="1"/>
        <v>100159.82196539067</v>
      </c>
      <c r="W80" s="87">
        <f ca="1"/>
        <v>0</v>
      </c>
      <c r="X80" s="88">
        <f ca="1"/>
        <v>0</v>
      </c>
      <c r="Y80" s="88">
        <f ca="1"/>
        <v>0</v>
      </c>
      <c r="Z80" s="88">
        <f ca="1"/>
        <v>0</v>
      </c>
      <c r="AA80" s="88">
        <f ca="1"/>
        <v>0</v>
      </c>
      <c r="AB80" s="88">
        <f ca="1"/>
        <v>380316.81826032122</v>
      </c>
      <c r="AC80" s="88">
        <f ca="1"/>
        <v>353169.26433704805</v>
      </c>
      <c r="AD80" s="88">
        <f ca="1"/>
        <v>0</v>
      </c>
      <c r="AE80" s="88">
        <f ca="1"/>
        <v>0</v>
      </c>
      <c r="AF80" s="88">
        <f ca="1"/>
        <v>0</v>
      </c>
      <c r="AG80" s="88">
        <f ca="1"/>
        <v>0</v>
      </c>
      <c r="AH80" s="88">
        <f ca="1"/>
        <v>6176321.8175999997</v>
      </c>
      <c r="AI80" s="88">
        <f ca="1"/>
        <v>0</v>
      </c>
      <c r="AJ80" s="88">
        <f ca="1"/>
        <v>0</v>
      </c>
      <c r="AK80" s="88">
        <f ca="1"/>
        <v>41172.855521662124</v>
      </c>
      <c r="AL80" s="88">
        <f ca="1"/>
        <v>23918.324976000004</v>
      </c>
      <c r="AM80" s="195">
        <f ca="1"/>
        <v>0</v>
      </c>
      <c r="AN80" s="195">
        <f ca="1"/>
        <v>0</v>
      </c>
      <c r="AO80" s="195">
        <f ca="1"/>
        <v>0</v>
      </c>
      <c r="AP80" s="443">
        <f ca="1"/>
        <v>0</v>
      </c>
      <c r="AQ80" s="195">
        <f ca="1"/>
        <v>27515.025603000002</v>
      </c>
      <c r="AR80" s="195">
        <f ca="1"/>
        <v>0</v>
      </c>
      <c r="AS80" s="195">
        <f ca="1"/>
        <v>2524.7490881547119</v>
      </c>
      <c r="AT80" s="195">
        <f ca="1"/>
        <v>15686.822013014646</v>
      </c>
      <c r="AU80" s="195">
        <f ca="1"/>
        <v>87438.466676443204</v>
      </c>
      <c r="AV80" s="195">
        <f ca="1"/>
        <v>29485.952078000002</v>
      </c>
      <c r="AW80" s="195">
        <f ca="1"/>
        <v>0</v>
      </c>
      <c r="AX80" s="195">
        <f ca="1"/>
        <v>0</v>
      </c>
      <c r="AY80" s="195">
        <f ca="1"/>
        <v>0</v>
      </c>
      <c r="AZ80" s="195">
        <f ca="1"/>
        <v>0</v>
      </c>
      <c r="BA80" s="195">
        <f ca="1"/>
        <v>0</v>
      </c>
      <c r="BB80" s="195">
        <f ca="1"/>
        <v>28430.657532363999</v>
      </c>
      <c r="BC80" s="195">
        <f ca="1"/>
        <v>0</v>
      </c>
      <c r="BD80" s="195">
        <f ca="1"/>
        <v>4833.774191814</v>
      </c>
      <c r="BE80" s="195">
        <f ca="1"/>
        <v>475.51375838538002</v>
      </c>
    </row>
    <row r="81" spans="1:57" s="195" customFormat="1" x14ac:dyDescent="0.2">
      <c r="A81" s="34"/>
      <c r="B81" s="93">
        <v>30</v>
      </c>
      <c r="C81" s="166">
        <f ca="1"/>
        <v>0</v>
      </c>
      <c r="D81" s="177">
        <f ca="1"/>
        <v>0</v>
      </c>
      <c r="E81" s="177">
        <f ca="1"/>
        <v>0</v>
      </c>
      <c r="F81" s="167">
        <f ca="1"/>
        <v>0</v>
      </c>
      <c r="G81" s="33"/>
      <c r="H81" s="34"/>
      <c r="I81" s="33"/>
      <c r="J81" s="94">
        <f ca="1"/>
        <v>0</v>
      </c>
      <c r="K81" s="94">
        <f ca="1"/>
        <v>0</v>
      </c>
      <c r="L81" s="385"/>
      <c r="M81" s="94">
        <f ca="1"/>
        <v>7169139.9129999997</v>
      </c>
      <c r="N81" s="94">
        <f ca="1"/>
        <v>7952909.6802862072</v>
      </c>
      <c r="O81" s="95">
        <f ca="1"/>
        <v>783769.76728620753</v>
      </c>
      <c r="P81" s="33"/>
      <c r="Q81" s="362">
        <f ca="1"/>
        <v>0</v>
      </c>
      <c r="R81" s="307">
        <f ca="1"/>
        <v>0</v>
      </c>
      <c r="S81" s="307">
        <f ca="1"/>
        <v>0</v>
      </c>
      <c r="T81" s="308">
        <f ca="1"/>
        <v>0</v>
      </c>
      <c r="U81" s="92">
        <f ca="1"/>
        <v>43675</v>
      </c>
      <c r="V81" s="306">
        <f ca="1"/>
        <v>100159.82196539067</v>
      </c>
      <c r="W81" s="87">
        <f ca="1"/>
        <v>0</v>
      </c>
      <c r="X81" s="88">
        <f ca="1"/>
        <v>0</v>
      </c>
      <c r="Y81" s="88">
        <f ca="1"/>
        <v>0</v>
      </c>
      <c r="Z81" s="88">
        <f ca="1"/>
        <v>0</v>
      </c>
      <c r="AA81" s="88">
        <f ca="1"/>
        <v>0</v>
      </c>
      <c r="AB81" s="88">
        <f ca="1"/>
        <v>351033.90214583953</v>
      </c>
      <c r="AC81" s="88">
        <f ca="1"/>
        <v>675658.60711743077</v>
      </c>
      <c r="AD81" s="88">
        <f ca="1"/>
        <v>0</v>
      </c>
      <c r="AE81" s="88">
        <f ca="1"/>
        <v>0</v>
      </c>
      <c r="AF81" s="88">
        <f ca="1"/>
        <v>0</v>
      </c>
      <c r="AG81" s="88">
        <f ca="1"/>
        <v>0</v>
      </c>
      <c r="AH81" s="88">
        <f ca="1"/>
        <v>6396540.3149999995</v>
      </c>
      <c r="AI81" s="88">
        <f ca="1"/>
        <v>0</v>
      </c>
      <c r="AJ81" s="88">
        <f ca="1"/>
        <v>0</v>
      </c>
      <c r="AK81" s="88">
        <f ca="1"/>
        <v>42993.698918303235</v>
      </c>
      <c r="AL81" s="88">
        <f ca="1"/>
        <v>53356.263408000006</v>
      </c>
      <c r="AM81" s="195">
        <f ca="1"/>
        <v>0</v>
      </c>
      <c r="AN81" s="195">
        <f ca="1"/>
        <v>0</v>
      </c>
      <c r="AO81" s="195">
        <f ca="1"/>
        <v>0</v>
      </c>
      <c r="AP81" s="443">
        <f ca="1"/>
        <v>0</v>
      </c>
      <c r="AQ81" s="195">
        <f ca="1"/>
        <v>22553.298911000002</v>
      </c>
      <c r="AR81" s="195">
        <f ca="1"/>
        <v>0</v>
      </c>
      <c r="AS81" s="195">
        <f ca="1"/>
        <v>108889.18167827721</v>
      </c>
      <c r="AT81" s="195">
        <f ca="1"/>
        <v>14701.662114324352</v>
      </c>
      <c r="AU81" s="195">
        <f ca="1"/>
        <v>86077.953415248005</v>
      </c>
      <c r="AV81" s="195">
        <f ca="1"/>
        <v>38280.493922000001</v>
      </c>
      <c r="AW81" s="195">
        <f ca="1"/>
        <v>0</v>
      </c>
      <c r="AX81" s="195">
        <f ca="1"/>
        <v>0</v>
      </c>
      <c r="AY81" s="195">
        <f ca="1"/>
        <v>0</v>
      </c>
      <c r="AZ81" s="195">
        <f ca="1"/>
        <v>0</v>
      </c>
      <c r="BA81" s="195">
        <f ca="1"/>
        <v>577.619006777408</v>
      </c>
      <c r="BB81" s="195">
        <f ca="1"/>
        <v>46775.313688859998</v>
      </c>
      <c r="BC81" s="195">
        <f ca="1"/>
        <v>0</v>
      </c>
      <c r="BD81" s="195">
        <f ca="1"/>
        <v>15311.548994757601</v>
      </c>
      <c r="BE81" s="195">
        <f ca="1"/>
        <v>0</v>
      </c>
    </row>
    <row r="82" spans="1:57" s="400" customFormat="1" x14ac:dyDescent="0.2">
      <c r="A82" s="385"/>
      <c r="B82" s="386">
        <v>31</v>
      </c>
      <c r="C82" s="387">
        <f ca="1"/>
        <v>0</v>
      </c>
      <c r="D82" s="388">
        <f ca="1"/>
        <v>0</v>
      </c>
      <c r="E82" s="388">
        <f ca="1"/>
        <v>0</v>
      </c>
      <c r="F82" s="389">
        <f ca="1"/>
        <v>0</v>
      </c>
      <c r="G82" s="385"/>
      <c r="H82" s="385"/>
      <c r="I82" s="390"/>
      <c r="J82" s="391">
        <f ca="1"/>
        <v>0</v>
      </c>
      <c r="K82" s="391">
        <f ca="1"/>
        <v>0</v>
      </c>
      <c r="L82" s="385"/>
      <c r="M82" s="391">
        <f ca="1"/>
        <v>16286039.140000001</v>
      </c>
      <c r="N82" s="391">
        <f ca="1"/>
        <v>15375528.324779663</v>
      </c>
      <c r="O82" s="392">
        <f ca="1"/>
        <v>-910510.81522033736</v>
      </c>
      <c r="P82" s="385"/>
      <c r="Q82" s="393">
        <f ca="1"/>
        <v>0</v>
      </c>
      <c r="R82" s="394">
        <f ca="1"/>
        <v>0</v>
      </c>
      <c r="S82" s="394">
        <f ca="1"/>
        <v>0</v>
      </c>
      <c r="T82" s="395">
        <f ca="1"/>
        <v>0</v>
      </c>
      <c r="U82" s="396">
        <f ca="1"/>
        <v>43682</v>
      </c>
      <c r="V82" s="397">
        <f ca="1"/>
        <v>100159.82196539067</v>
      </c>
      <c r="W82" s="398">
        <f ca="1"/>
        <v>0</v>
      </c>
      <c r="X82" s="399">
        <f ca="1"/>
        <v>0</v>
      </c>
      <c r="Y82" s="399">
        <f ca="1"/>
        <v>0</v>
      </c>
      <c r="Z82" s="399">
        <f ca="1"/>
        <v>0</v>
      </c>
      <c r="AA82" s="399">
        <f ca="1"/>
        <v>0</v>
      </c>
      <c r="AB82" s="399">
        <f ca="1"/>
        <v>502351.26719961147</v>
      </c>
      <c r="AC82" s="399">
        <f ca="1"/>
        <v>870761.42755555792</v>
      </c>
      <c r="AD82" s="399">
        <f ca="1"/>
        <v>0</v>
      </c>
      <c r="AE82" s="399">
        <f ca="1"/>
        <v>0</v>
      </c>
      <c r="AF82" s="399">
        <f ca="1"/>
        <v>0</v>
      </c>
      <c r="AG82" s="399">
        <f ca="1"/>
        <v>0</v>
      </c>
      <c r="AH82" s="399">
        <f ca="1"/>
        <v>6535250.7747999988</v>
      </c>
      <c r="AI82" s="399">
        <f ca="1"/>
        <v>0</v>
      </c>
      <c r="AJ82" s="399">
        <f ca="1"/>
        <v>0</v>
      </c>
      <c r="AK82" s="399">
        <f ca="1"/>
        <v>41671.046429019007</v>
      </c>
      <c r="AL82" s="399">
        <f ca="1"/>
        <v>0</v>
      </c>
      <c r="AM82" s="400">
        <f ca="1"/>
        <v>6000000</v>
      </c>
      <c r="AN82" s="400">
        <f ca="1"/>
        <v>0</v>
      </c>
      <c r="AO82" s="400">
        <f ca="1"/>
        <v>656774.68680000002</v>
      </c>
      <c r="AP82" s="444">
        <f ca="1"/>
        <v>0</v>
      </c>
      <c r="AQ82" s="400">
        <f ca="1"/>
        <v>268182.03152000002</v>
      </c>
      <c r="AR82" s="400">
        <f ca="1"/>
        <v>0</v>
      </c>
      <c r="AS82" s="400">
        <f ca="1"/>
        <v>188662.49886640173</v>
      </c>
      <c r="AT82" s="400">
        <f ca="1"/>
        <v>18960.365105227727</v>
      </c>
      <c r="AU82" s="400">
        <f ca="1"/>
        <v>87177.730923216004</v>
      </c>
      <c r="AV82" s="400">
        <f ca="1"/>
        <v>37629.559329999996</v>
      </c>
      <c r="AW82" s="400">
        <f ca="1"/>
        <v>0</v>
      </c>
      <c r="AX82" s="400">
        <f ca="1"/>
        <v>0</v>
      </c>
      <c r="AY82" s="400">
        <f ca="1"/>
        <v>0</v>
      </c>
      <c r="AZ82" s="400">
        <f ca="1"/>
        <v>0</v>
      </c>
      <c r="BA82" s="400">
        <f ca="1"/>
        <v>584.22207492185601</v>
      </c>
      <c r="BB82" s="400">
        <f ca="1"/>
        <v>42305.147314308</v>
      </c>
      <c r="BC82" s="400">
        <f ca="1"/>
        <v>65.209226190679999</v>
      </c>
      <c r="BD82" s="400">
        <f ca="1"/>
        <v>24992.535669816003</v>
      </c>
      <c r="BE82" s="400">
        <f ca="1"/>
        <v>0</v>
      </c>
    </row>
    <row r="83" spans="1:57" s="400" customFormat="1" x14ac:dyDescent="0.2">
      <c r="A83" s="385"/>
      <c r="B83" s="386">
        <v>32</v>
      </c>
      <c r="C83" s="387">
        <f ca="1"/>
        <v>0</v>
      </c>
      <c r="D83" s="388">
        <f ca="1"/>
        <v>0</v>
      </c>
      <c r="E83" s="388">
        <f ca="1"/>
        <v>0</v>
      </c>
      <c r="F83" s="389">
        <f ca="1"/>
        <v>0</v>
      </c>
      <c r="G83" s="385"/>
      <c r="H83" s="385"/>
      <c r="I83" s="390"/>
      <c r="J83" s="391">
        <f ca="1"/>
        <v>0</v>
      </c>
      <c r="K83" s="391">
        <f ca="1"/>
        <v>0</v>
      </c>
      <c r="L83" s="385"/>
      <c r="M83" s="391">
        <f ca="1"/>
        <v>9260269.5020000003</v>
      </c>
      <c r="N83" s="391">
        <f ca="1"/>
        <v>8958124.3014601171</v>
      </c>
      <c r="O83" s="392">
        <f ca="1"/>
        <v>-302145.20053988323</v>
      </c>
      <c r="P83" s="385"/>
      <c r="Q83" s="393">
        <f ca="1"/>
        <v>0</v>
      </c>
      <c r="R83" s="394">
        <f ca="1"/>
        <v>0</v>
      </c>
      <c r="S83" s="394">
        <f ca="1"/>
        <v>0</v>
      </c>
      <c r="T83" s="395">
        <f ca="1"/>
        <v>0</v>
      </c>
      <c r="U83" s="396">
        <f ca="1"/>
        <v>43689</v>
      </c>
      <c r="V83" s="397">
        <f ca="1"/>
        <v>100159.82196539067</v>
      </c>
      <c r="W83" s="398">
        <f ca="1"/>
        <v>0</v>
      </c>
      <c r="X83" s="399">
        <f ca="1"/>
        <v>0</v>
      </c>
      <c r="Y83" s="399">
        <f ca="1"/>
        <v>0</v>
      </c>
      <c r="Z83" s="399">
        <f ca="1"/>
        <v>0</v>
      </c>
      <c r="AA83" s="399">
        <f ca="1"/>
        <v>0</v>
      </c>
      <c r="AB83" s="399">
        <f ca="1"/>
        <v>779549.9255891426</v>
      </c>
      <c r="AC83" s="399">
        <f ca="1"/>
        <v>1005267.957558603</v>
      </c>
      <c r="AD83" s="399">
        <f ca="1"/>
        <v>0</v>
      </c>
      <c r="AE83" s="399">
        <f ca="1"/>
        <v>0</v>
      </c>
      <c r="AF83" s="399">
        <f ca="1"/>
        <v>0</v>
      </c>
      <c r="AG83" s="399">
        <f ca="1"/>
        <v>0</v>
      </c>
      <c r="AH83" s="399">
        <f ca="1"/>
        <v>5968985.2926000003</v>
      </c>
      <c r="AI83" s="399">
        <f ca="1"/>
        <v>0</v>
      </c>
      <c r="AJ83" s="399">
        <f ca="1"/>
        <v>0</v>
      </c>
      <c r="AK83" s="399">
        <f ca="1"/>
        <v>43179.809633773213</v>
      </c>
      <c r="AL83" s="399">
        <f ca="1"/>
        <v>0</v>
      </c>
      <c r="AM83" s="400">
        <f ca="1"/>
        <v>0</v>
      </c>
      <c r="AN83" s="400">
        <f ca="1"/>
        <v>0</v>
      </c>
      <c r="AO83" s="400">
        <f ca="1"/>
        <v>656774.68680000002</v>
      </c>
      <c r="AP83" s="444">
        <f ca="1"/>
        <v>0</v>
      </c>
      <c r="AQ83" s="400">
        <f ca="1"/>
        <v>0</v>
      </c>
      <c r="AR83" s="400">
        <f ca="1"/>
        <v>0</v>
      </c>
      <c r="AS83" s="400">
        <f ca="1"/>
        <v>188662.50206887495</v>
      </c>
      <c r="AT83" s="400">
        <f ca="1"/>
        <v>24085.63305985005</v>
      </c>
      <c r="AU83" s="400">
        <f ca="1"/>
        <v>88066.283234788803</v>
      </c>
      <c r="AV83" s="400">
        <f ca="1"/>
        <v>40510.291140000001</v>
      </c>
      <c r="AW83" s="400">
        <f ca="1"/>
        <v>0</v>
      </c>
      <c r="AX83" s="400">
        <f ca="1"/>
        <v>0</v>
      </c>
      <c r="AY83" s="400">
        <f ca="1"/>
        <v>0</v>
      </c>
      <c r="AZ83" s="400">
        <f ca="1"/>
        <v>0</v>
      </c>
      <c r="BA83" s="400">
        <f ca="1"/>
        <v>1356.1288876991039</v>
      </c>
      <c r="BB83" s="400">
        <f ca="1"/>
        <v>38046.565383339999</v>
      </c>
      <c r="BC83" s="400">
        <f ca="1"/>
        <v>65.209226190679999</v>
      </c>
      <c r="BD83" s="400">
        <f ca="1"/>
        <v>23414.194312464002</v>
      </c>
      <c r="BE83" s="400">
        <f ca="1"/>
        <v>0</v>
      </c>
    </row>
    <row r="84" spans="1:57" s="400" customFormat="1" x14ac:dyDescent="0.2">
      <c r="A84" s="385"/>
      <c r="B84" s="386">
        <v>33</v>
      </c>
      <c r="C84" s="387">
        <f ca="1"/>
        <v>0</v>
      </c>
      <c r="D84" s="388">
        <f ca="1"/>
        <v>0</v>
      </c>
      <c r="E84" s="388">
        <f ca="1"/>
        <v>0</v>
      </c>
      <c r="F84" s="389">
        <f ca="1"/>
        <v>0</v>
      </c>
      <c r="G84" s="385"/>
      <c r="H84" s="385"/>
      <c r="I84" s="390"/>
      <c r="J84" s="391">
        <f ca="1"/>
        <v>0</v>
      </c>
      <c r="K84" s="391">
        <f ca="1"/>
        <v>0</v>
      </c>
      <c r="L84" s="385"/>
      <c r="M84" s="391">
        <f ca="1"/>
        <v>8989828.5419999994</v>
      </c>
      <c r="N84" s="391">
        <f ca="1"/>
        <v>10843317.17014616</v>
      </c>
      <c r="O84" s="392">
        <f ca="1"/>
        <v>1853488.6281461604</v>
      </c>
      <c r="P84" s="385"/>
      <c r="Q84" s="393">
        <f ca="1"/>
        <v>0</v>
      </c>
      <c r="R84" s="394">
        <f ca="1"/>
        <v>0</v>
      </c>
      <c r="S84" s="394">
        <f ca="1"/>
        <v>0</v>
      </c>
      <c r="T84" s="395">
        <f ca="1"/>
        <v>0</v>
      </c>
      <c r="U84" s="396">
        <f ca="1"/>
        <v>43696</v>
      </c>
      <c r="V84" s="397">
        <f ca="1"/>
        <v>100159.82196539067</v>
      </c>
      <c r="W84" s="398">
        <f ca="1"/>
        <v>0</v>
      </c>
      <c r="X84" s="399">
        <f ca="1"/>
        <v>0</v>
      </c>
      <c r="Y84" s="399">
        <f ca="1"/>
        <v>0</v>
      </c>
      <c r="Z84" s="399">
        <f ca="1"/>
        <v>0</v>
      </c>
      <c r="AA84" s="399">
        <f ca="1"/>
        <v>0</v>
      </c>
      <c r="AB84" s="399">
        <f ca="1"/>
        <v>517787.55754146306</v>
      </c>
      <c r="AC84" s="399">
        <f ca="1"/>
        <v>1114266.4164184097</v>
      </c>
      <c r="AD84" s="399">
        <f ca="1"/>
        <v>0</v>
      </c>
      <c r="AE84" s="399">
        <f ca="1"/>
        <v>0</v>
      </c>
      <c r="AF84" s="399">
        <f ca="1"/>
        <v>0</v>
      </c>
      <c r="AG84" s="399">
        <f ca="1"/>
        <v>0</v>
      </c>
      <c r="AH84" s="399">
        <f ca="1"/>
        <v>7745044.0099999998</v>
      </c>
      <c r="AI84" s="399">
        <f ca="1"/>
        <v>0</v>
      </c>
      <c r="AJ84" s="399">
        <f ca="1"/>
        <v>0</v>
      </c>
      <c r="AK84" s="399">
        <f ca="1"/>
        <v>43983.896812523642</v>
      </c>
      <c r="AL84" s="399">
        <f ca="1"/>
        <v>0</v>
      </c>
      <c r="AM84" s="400">
        <f ca="1"/>
        <v>0</v>
      </c>
      <c r="AN84" s="400">
        <f ca="1"/>
        <v>0</v>
      </c>
      <c r="AO84" s="400">
        <f ca="1"/>
        <v>656774.68680000002</v>
      </c>
      <c r="AP84" s="444">
        <f ca="1"/>
        <v>0</v>
      </c>
      <c r="AQ84" s="400">
        <f ca="1"/>
        <v>350453.53642000002</v>
      </c>
      <c r="AR84" s="400">
        <f ca="1"/>
        <v>0</v>
      </c>
      <c r="AS84" s="400">
        <f ca="1"/>
        <v>82298.066329942303</v>
      </c>
      <c r="AT84" s="400">
        <f ca="1"/>
        <v>25498.204404015094</v>
      </c>
      <c r="AU84" s="400">
        <f ca="1"/>
        <v>88158.273112305615</v>
      </c>
      <c r="AV84" s="400">
        <f ca="1"/>
        <v>53861.375127999992</v>
      </c>
      <c r="AW84" s="400">
        <f ca="1"/>
        <v>0</v>
      </c>
      <c r="AX84" s="400">
        <f ca="1"/>
        <v>0</v>
      </c>
      <c r="AY84" s="400">
        <f ca="1"/>
        <v>0</v>
      </c>
      <c r="AZ84" s="400">
        <f ca="1"/>
        <v>0</v>
      </c>
      <c r="BA84" s="400">
        <f ca="1"/>
        <v>3816.7228146611201</v>
      </c>
      <c r="BB84" s="400">
        <f ca="1"/>
        <v>34528.791750541997</v>
      </c>
      <c r="BC84" s="400">
        <f ca="1"/>
        <v>65.209226190679999</v>
      </c>
      <c r="BD84" s="400">
        <f ca="1"/>
        <v>26620.601422715998</v>
      </c>
      <c r="BE84" s="400">
        <f ca="1"/>
        <v>0</v>
      </c>
    </row>
    <row r="85" spans="1:57" s="195" customFormat="1" x14ac:dyDescent="0.2">
      <c r="A85" s="34"/>
      <c r="B85" s="93">
        <v>34</v>
      </c>
      <c r="C85" s="166">
        <f ca="1"/>
        <v>0</v>
      </c>
      <c r="D85" s="177">
        <f ca="1"/>
        <v>0</v>
      </c>
      <c r="E85" s="177">
        <f ca="1"/>
        <v>0</v>
      </c>
      <c r="F85" s="167">
        <f ca="1"/>
        <v>0</v>
      </c>
      <c r="G85" s="33"/>
      <c r="H85" s="34"/>
      <c r="I85" s="33"/>
      <c r="J85" s="94">
        <f ca="1"/>
        <v>0</v>
      </c>
      <c r="K85" s="94">
        <f ca="1"/>
        <v>0</v>
      </c>
      <c r="L85" s="385"/>
      <c r="M85" s="94">
        <f ca="1"/>
        <v>11458412.84</v>
      </c>
      <c r="N85" s="94">
        <f ca="1"/>
        <v>10841299.967122471</v>
      </c>
      <c r="O85" s="95">
        <f ca="1"/>
        <v>-617112.87287752889</v>
      </c>
      <c r="P85" s="33"/>
      <c r="Q85" s="362">
        <f ca="1"/>
        <v>0</v>
      </c>
      <c r="R85" s="307">
        <f ca="1"/>
        <v>0</v>
      </c>
      <c r="S85" s="307">
        <f ca="1"/>
        <v>0</v>
      </c>
      <c r="T85" s="308">
        <f ca="1"/>
        <v>0</v>
      </c>
      <c r="U85" s="92">
        <f ca="1"/>
        <v>43703</v>
      </c>
      <c r="V85" s="306">
        <f ca="1"/>
        <v>100159.82196539067</v>
      </c>
      <c r="W85" s="87">
        <f ca="1"/>
        <v>0</v>
      </c>
      <c r="X85" s="88">
        <f ca="1"/>
        <v>0</v>
      </c>
      <c r="Y85" s="88">
        <f ca="1"/>
        <v>0</v>
      </c>
      <c r="Z85" s="88">
        <f ca="1"/>
        <v>0</v>
      </c>
      <c r="AA85" s="88">
        <f ca="1"/>
        <v>0</v>
      </c>
      <c r="AB85" s="88">
        <f ca="1"/>
        <v>1122383.7480566453</v>
      </c>
      <c r="AC85" s="88">
        <f ca="1"/>
        <v>1123516.2679675054</v>
      </c>
      <c r="AD85" s="88">
        <f ca="1"/>
        <v>0</v>
      </c>
      <c r="AE85" s="88">
        <f ca="1"/>
        <v>0</v>
      </c>
      <c r="AF85" s="88">
        <f ca="1"/>
        <v>0</v>
      </c>
      <c r="AG85" s="88">
        <f ca="1"/>
        <v>0</v>
      </c>
      <c r="AH85" s="88">
        <f ca="1"/>
        <v>7905234.2511999998</v>
      </c>
      <c r="AI85" s="88">
        <f ca="1"/>
        <v>0</v>
      </c>
      <c r="AJ85" s="88">
        <f ca="1"/>
        <v>0</v>
      </c>
      <c r="AK85" s="88">
        <f ca="1"/>
        <v>40294.066749586425</v>
      </c>
      <c r="AL85" s="88">
        <f ca="1"/>
        <v>54553.639872000007</v>
      </c>
      <c r="AM85" s="195">
        <f ca="1"/>
        <v>0</v>
      </c>
      <c r="AN85" s="195">
        <f ca="1"/>
        <v>0</v>
      </c>
      <c r="AO85" s="195">
        <f ca="1"/>
        <v>44404.562232000004</v>
      </c>
      <c r="AP85" s="443">
        <f ca="1"/>
        <v>0</v>
      </c>
      <c r="AQ85" s="195">
        <f ca="1"/>
        <v>64047.467835000003</v>
      </c>
      <c r="AR85" s="195">
        <f ca="1"/>
        <v>0</v>
      </c>
      <c r="AS85" s="195">
        <f ca="1"/>
        <v>102758.7154287598</v>
      </c>
      <c r="AT85" s="195">
        <f ca="1"/>
        <v>22993.767074867468</v>
      </c>
      <c r="AU85" s="195">
        <f ca="1"/>
        <v>88058.080258996808</v>
      </c>
      <c r="AV85" s="195">
        <f ca="1"/>
        <v>44069.656884000004</v>
      </c>
      <c r="AW85" s="195">
        <f ca="1"/>
        <v>0</v>
      </c>
      <c r="AX85" s="195">
        <f ca="1"/>
        <v>0</v>
      </c>
      <c r="AY85" s="195">
        <f ca="1"/>
        <v>0</v>
      </c>
      <c r="AZ85" s="195">
        <f ca="1"/>
        <v>0</v>
      </c>
      <c r="BA85" s="195">
        <f ca="1"/>
        <v>6705.4428290726391</v>
      </c>
      <c r="BB85" s="195">
        <f ca="1"/>
        <v>87570.432643640001</v>
      </c>
      <c r="BC85" s="195">
        <f ca="1"/>
        <v>0</v>
      </c>
      <c r="BD85" s="195">
        <f ca="1"/>
        <v>34550.046125004003</v>
      </c>
      <c r="BE85" s="195">
        <f ca="1"/>
        <v>0</v>
      </c>
    </row>
    <row r="86" spans="1:57" s="195" customFormat="1" x14ac:dyDescent="0.2">
      <c r="A86" s="34"/>
      <c r="B86" s="93">
        <v>35</v>
      </c>
      <c r="C86" s="166">
        <f ca="1"/>
        <v>0</v>
      </c>
      <c r="D86" s="177">
        <f ca="1"/>
        <v>0</v>
      </c>
      <c r="E86" s="177">
        <f ca="1"/>
        <v>0</v>
      </c>
      <c r="F86" s="167">
        <f ca="1"/>
        <v>0</v>
      </c>
      <c r="G86" s="33"/>
      <c r="H86" s="34"/>
      <c r="I86" s="33"/>
      <c r="J86" s="94">
        <f ca="1"/>
        <v>0</v>
      </c>
      <c r="K86" s="94">
        <f ca="1"/>
        <v>0</v>
      </c>
      <c r="L86" s="385"/>
      <c r="M86" s="94">
        <f ca="1"/>
        <v>8988057.9379999992</v>
      </c>
      <c r="N86" s="94">
        <f ca="1"/>
        <v>8917034.6319649406</v>
      </c>
      <c r="O86" s="95">
        <f ca="1"/>
        <v>-71023.306035058573</v>
      </c>
      <c r="P86" s="33"/>
      <c r="Q86" s="362">
        <f ca="1"/>
        <v>0</v>
      </c>
      <c r="R86" s="307">
        <f ca="1"/>
        <v>0</v>
      </c>
      <c r="S86" s="307">
        <f ca="1"/>
        <v>0</v>
      </c>
      <c r="T86" s="308">
        <f ca="1"/>
        <v>0</v>
      </c>
      <c r="U86" s="92">
        <f ca="1"/>
        <v>43710</v>
      </c>
      <c r="V86" s="306">
        <f ca="1"/>
        <v>100159.82196539067</v>
      </c>
      <c r="W86" s="87">
        <f ca="1"/>
        <v>0</v>
      </c>
      <c r="X86" s="88">
        <f ca="1"/>
        <v>0</v>
      </c>
      <c r="Y86" s="88">
        <f ca="1"/>
        <v>0</v>
      </c>
      <c r="Z86" s="88">
        <f ca="1"/>
        <v>0</v>
      </c>
      <c r="AA86" s="88">
        <f ca="1"/>
        <v>0</v>
      </c>
      <c r="AB86" s="88">
        <f ca="1"/>
        <v>387535.76559819741</v>
      </c>
      <c r="AC86" s="88">
        <f ca="1"/>
        <v>1150527.9526193601</v>
      </c>
      <c r="AD86" s="88">
        <f ca="1"/>
        <v>0</v>
      </c>
      <c r="AE86" s="88">
        <f ca="1"/>
        <v>0</v>
      </c>
      <c r="AF86" s="88">
        <f ca="1"/>
        <v>0</v>
      </c>
      <c r="AG86" s="88">
        <f ca="1"/>
        <v>0</v>
      </c>
      <c r="AH86" s="88">
        <f ca="1"/>
        <v>6084629.4432000006</v>
      </c>
      <c r="AI86" s="88">
        <f ca="1"/>
        <v>0</v>
      </c>
      <c r="AJ86" s="88">
        <f ca="1"/>
        <v>0</v>
      </c>
      <c r="AK86" s="88">
        <f ca="1"/>
        <v>40629.075417803331</v>
      </c>
      <c r="AL86" s="88">
        <f ca="1"/>
        <v>0</v>
      </c>
      <c r="AM86" s="195">
        <f ca="1"/>
        <v>0</v>
      </c>
      <c r="AN86" s="195">
        <f ca="1"/>
        <v>0</v>
      </c>
      <c r="AO86" s="195">
        <f ca="1"/>
        <v>621663.87150000001</v>
      </c>
      <c r="AP86" s="443">
        <f ca="1"/>
        <v>0</v>
      </c>
      <c r="AQ86" s="195">
        <f ca="1"/>
        <v>0</v>
      </c>
      <c r="AR86" s="195">
        <f ca="1"/>
        <v>0</v>
      </c>
      <c r="AS86" s="195">
        <f ca="1"/>
        <v>137422.19137033008</v>
      </c>
      <c r="AT86" s="195">
        <f ca="1"/>
        <v>18638.632311345071</v>
      </c>
      <c r="AU86" s="195">
        <f ca="1"/>
        <v>84788.336788790402</v>
      </c>
      <c r="AV86" s="195">
        <f ca="1"/>
        <v>41285.872781999999</v>
      </c>
      <c r="AW86" s="195">
        <f ca="1"/>
        <v>0</v>
      </c>
      <c r="AX86" s="195">
        <f ca="1"/>
        <v>0</v>
      </c>
      <c r="AY86" s="195">
        <f ca="1"/>
        <v>0</v>
      </c>
      <c r="AZ86" s="195">
        <f ca="1"/>
        <v>0</v>
      </c>
      <c r="BA86" s="195">
        <f ca="1"/>
        <v>21624.355116284798</v>
      </c>
      <c r="BB86" s="195">
        <f ca="1"/>
        <v>187912.78583414</v>
      </c>
      <c r="BC86" s="195">
        <f ca="1"/>
        <v>65.209226190679999</v>
      </c>
      <c r="BD86" s="195">
        <f ca="1"/>
        <v>40151.318235108003</v>
      </c>
      <c r="BE86" s="195">
        <f ca="1"/>
        <v>0</v>
      </c>
    </row>
    <row r="87" spans="1:57" s="195" customFormat="1" x14ac:dyDescent="0.2">
      <c r="A87" s="34"/>
      <c r="B87" s="93">
        <v>36</v>
      </c>
      <c r="C87" s="166">
        <f ca="1"/>
        <v>0</v>
      </c>
      <c r="D87" s="177">
        <f ca="1"/>
        <v>0</v>
      </c>
      <c r="E87" s="177">
        <f ca="1"/>
        <v>0</v>
      </c>
      <c r="F87" s="167">
        <f ca="1"/>
        <v>0</v>
      </c>
      <c r="G87" s="33"/>
      <c r="H87" s="34"/>
      <c r="I87" s="33"/>
      <c r="J87" s="94">
        <f ca="1"/>
        <v>0</v>
      </c>
      <c r="K87" s="94">
        <f ca="1"/>
        <v>0</v>
      </c>
      <c r="L87" s="385"/>
      <c r="M87" s="94">
        <f ca="1"/>
        <v>9665573.1909999996</v>
      </c>
      <c r="N87" s="94">
        <f ca="1"/>
        <v>9725309.0656938311</v>
      </c>
      <c r="O87" s="95">
        <f ca="1"/>
        <v>59735.874693831429</v>
      </c>
      <c r="P87" s="33"/>
      <c r="Q87" s="362">
        <f ca="1"/>
        <v>0</v>
      </c>
      <c r="R87" s="307">
        <f ca="1"/>
        <v>0</v>
      </c>
      <c r="S87" s="307">
        <f ca="1"/>
        <v>0</v>
      </c>
      <c r="T87" s="308">
        <f ca="1"/>
        <v>0</v>
      </c>
      <c r="U87" s="92">
        <f ca="1"/>
        <v>43717</v>
      </c>
      <c r="V87" s="306">
        <f ca="1"/>
        <v>100159.82196539067</v>
      </c>
      <c r="W87" s="87">
        <f ca="1"/>
        <v>0</v>
      </c>
      <c r="X87" s="88">
        <f ca="1"/>
        <v>0</v>
      </c>
      <c r="Y87" s="88">
        <f ca="1"/>
        <v>0</v>
      </c>
      <c r="Z87" s="88">
        <f ca="1"/>
        <v>0</v>
      </c>
      <c r="AA87" s="88">
        <f ca="1"/>
        <v>0</v>
      </c>
      <c r="AB87" s="88">
        <f ca="1"/>
        <v>354981.44927520026</v>
      </c>
      <c r="AC87" s="88">
        <f ca="1"/>
        <v>1097083.4876915053</v>
      </c>
      <c r="AD87" s="88">
        <f ca="1"/>
        <v>0</v>
      </c>
      <c r="AE87" s="88">
        <f ca="1"/>
        <v>0</v>
      </c>
      <c r="AF87" s="88">
        <f ca="1"/>
        <v>0</v>
      </c>
      <c r="AG87" s="88">
        <f ca="1"/>
        <v>0</v>
      </c>
      <c r="AH87" s="88">
        <f ca="1"/>
        <v>6611878.1563999997</v>
      </c>
      <c r="AI87" s="88">
        <f ca="1"/>
        <v>0</v>
      </c>
      <c r="AJ87" s="88">
        <f ca="1"/>
        <v>0</v>
      </c>
      <c r="AK87" s="88">
        <f ca="1"/>
        <v>40789.396064313005</v>
      </c>
      <c r="AL87" s="88">
        <f ca="1"/>
        <v>0</v>
      </c>
      <c r="AM87" s="195">
        <f ca="1"/>
        <v>0</v>
      </c>
      <c r="AN87" s="195">
        <f ca="1"/>
        <v>0</v>
      </c>
      <c r="AO87" s="195">
        <f ca="1"/>
        <v>621663.87150000001</v>
      </c>
      <c r="AP87" s="443">
        <f ca="1"/>
        <v>0</v>
      </c>
      <c r="AQ87" s="195">
        <f ca="1"/>
        <v>118805.612133</v>
      </c>
      <c r="AR87" s="195">
        <f ca="1"/>
        <v>0</v>
      </c>
      <c r="AS87" s="195">
        <f ca="1"/>
        <v>138250.46060550518</v>
      </c>
      <c r="AT87" s="195">
        <f ca="1"/>
        <v>15216.845553750671</v>
      </c>
      <c r="AU87" s="195">
        <f ca="1"/>
        <v>81406.389036283203</v>
      </c>
      <c r="AV87" s="195">
        <f ca="1"/>
        <v>37463.363255999997</v>
      </c>
      <c r="AW87" s="195">
        <f ca="1"/>
        <v>0</v>
      </c>
      <c r="AX87" s="195">
        <f ca="1"/>
        <v>0</v>
      </c>
      <c r="AY87" s="195">
        <f ca="1"/>
        <v>0</v>
      </c>
      <c r="AZ87" s="195">
        <f ca="1"/>
        <v>0</v>
      </c>
      <c r="BA87" s="195">
        <f ca="1"/>
        <v>67373.535826854393</v>
      </c>
      <c r="BB87" s="195">
        <f ca="1"/>
        <v>359534.3298219</v>
      </c>
      <c r="BC87" s="195">
        <f ca="1"/>
        <v>158.36526353639999</v>
      </c>
      <c r="BD87" s="195">
        <f ca="1"/>
        <v>80543.981300592</v>
      </c>
      <c r="BE87" s="195">
        <f ca="1"/>
        <v>0</v>
      </c>
    </row>
    <row r="88" spans="1:57" s="195" customFormat="1" x14ac:dyDescent="0.2">
      <c r="A88" s="34"/>
      <c r="B88" s="93">
        <v>37</v>
      </c>
      <c r="C88" s="166">
        <f ca="1"/>
        <v>0</v>
      </c>
      <c r="D88" s="177">
        <f ca="1"/>
        <v>0</v>
      </c>
      <c r="E88" s="177">
        <f ca="1"/>
        <v>0</v>
      </c>
      <c r="F88" s="167">
        <f ca="1"/>
        <v>0</v>
      </c>
      <c r="G88" s="33"/>
      <c r="H88" s="34"/>
      <c r="I88" s="33"/>
      <c r="J88" s="94">
        <f ca="1"/>
        <v>0</v>
      </c>
      <c r="K88" s="94">
        <f ca="1"/>
        <v>0</v>
      </c>
      <c r="L88" s="385"/>
      <c r="M88" s="94">
        <f ca="1"/>
        <v>9216226.3289999999</v>
      </c>
      <c r="N88" s="94">
        <f ca="1"/>
        <v>10033215.261337308</v>
      </c>
      <c r="O88" s="95">
        <f ca="1"/>
        <v>816988.9323373083</v>
      </c>
      <c r="P88" s="33"/>
      <c r="Q88" s="362">
        <f ca="1"/>
        <v>0</v>
      </c>
      <c r="R88" s="307">
        <f ca="1"/>
        <v>0</v>
      </c>
      <c r="S88" s="307">
        <f ca="1"/>
        <v>0</v>
      </c>
      <c r="T88" s="308">
        <f ca="1"/>
        <v>0</v>
      </c>
      <c r="U88" s="92">
        <f ca="1"/>
        <v>43724</v>
      </c>
      <c r="V88" s="306">
        <f ca="1"/>
        <v>100159.82196539067</v>
      </c>
      <c r="W88" s="87">
        <f ca="1"/>
        <v>0</v>
      </c>
      <c r="X88" s="88">
        <f ca="1"/>
        <v>0</v>
      </c>
      <c r="Y88" s="88">
        <f ca="1"/>
        <v>0</v>
      </c>
      <c r="Z88" s="88">
        <f ca="1"/>
        <v>0</v>
      </c>
      <c r="AA88" s="88">
        <f ca="1"/>
        <v>0</v>
      </c>
      <c r="AB88" s="88">
        <f ca="1"/>
        <v>591963.75197913393</v>
      </c>
      <c r="AC88" s="88">
        <f ca="1"/>
        <v>1053624.7571498575</v>
      </c>
      <c r="AD88" s="88">
        <f ca="1"/>
        <v>0</v>
      </c>
      <c r="AE88" s="88">
        <f ca="1"/>
        <v>0</v>
      </c>
      <c r="AF88" s="88">
        <f ca="1"/>
        <v>0</v>
      </c>
      <c r="AG88" s="88">
        <f ca="1"/>
        <v>0</v>
      </c>
      <c r="AH88" s="88">
        <f ca="1"/>
        <v>6945501.7675999999</v>
      </c>
      <c r="AI88" s="88">
        <f ca="1"/>
        <v>0</v>
      </c>
      <c r="AJ88" s="88">
        <f ca="1"/>
        <v>0</v>
      </c>
      <c r="AK88" s="88">
        <f ca="1"/>
        <v>42159.303054267686</v>
      </c>
      <c r="AL88" s="88">
        <f ca="1"/>
        <v>0</v>
      </c>
      <c r="AM88" s="195">
        <f ca="1"/>
        <v>0</v>
      </c>
      <c r="AN88" s="195">
        <f ca="1"/>
        <v>0</v>
      </c>
      <c r="AO88" s="195">
        <f ca="1"/>
        <v>621663.87150000001</v>
      </c>
      <c r="AP88" s="443">
        <f ca="1"/>
        <v>0</v>
      </c>
      <c r="AQ88" s="195">
        <f ca="1"/>
        <v>0</v>
      </c>
      <c r="AR88" s="195">
        <f ca="1"/>
        <v>0</v>
      </c>
      <c r="AS88" s="195">
        <f ca="1"/>
        <v>38534.081976939888</v>
      </c>
      <c r="AT88" s="195">
        <f ca="1"/>
        <v>17329.684759370331</v>
      </c>
      <c r="AU88" s="195">
        <f ca="1"/>
        <v>83799.005754086407</v>
      </c>
      <c r="AV88" s="195">
        <f ca="1"/>
        <v>31951.193736000001</v>
      </c>
      <c r="AW88" s="195">
        <f ca="1"/>
        <v>0</v>
      </c>
      <c r="AX88" s="195">
        <f ca="1"/>
        <v>0</v>
      </c>
      <c r="AY88" s="195">
        <f ca="1"/>
        <v>0</v>
      </c>
      <c r="AZ88" s="195">
        <f ca="1"/>
        <v>0</v>
      </c>
      <c r="BA88" s="195">
        <f ca="1"/>
        <v>60547.756849411198</v>
      </c>
      <c r="BB88" s="195">
        <f ca="1"/>
        <v>359772.98283370002</v>
      </c>
      <c r="BC88" s="195">
        <f ca="1"/>
        <v>158.36526353639999</v>
      </c>
      <c r="BD88" s="195">
        <f ca="1"/>
        <v>86048.916915612004</v>
      </c>
      <c r="BE88" s="195">
        <f ca="1"/>
        <v>0</v>
      </c>
    </row>
    <row r="89" spans="1:57" s="195" customFormat="1" x14ac:dyDescent="0.2">
      <c r="A89" s="34"/>
      <c r="B89" s="93">
        <v>38</v>
      </c>
      <c r="C89" s="166">
        <f ca="1"/>
        <v>0</v>
      </c>
      <c r="D89" s="177">
        <f ca="1"/>
        <v>0</v>
      </c>
      <c r="E89" s="177">
        <f ca="1"/>
        <v>0</v>
      </c>
      <c r="F89" s="167">
        <f ca="1"/>
        <v>0</v>
      </c>
      <c r="G89" s="33"/>
      <c r="H89" s="34"/>
      <c r="I89" s="33"/>
      <c r="J89" s="94">
        <f ca="1"/>
        <v>0</v>
      </c>
      <c r="K89" s="94">
        <f ca="1"/>
        <v>0</v>
      </c>
      <c r="L89" s="385"/>
      <c r="M89" s="94">
        <f ca="1"/>
        <v>7296708.9639999997</v>
      </c>
      <c r="N89" s="94">
        <f ca="1"/>
        <v>9814554.0243380964</v>
      </c>
      <c r="O89" s="95">
        <f ca="1"/>
        <v>2517845.0603380967</v>
      </c>
      <c r="P89" s="33"/>
      <c r="Q89" s="362">
        <f ca="1"/>
        <v>0</v>
      </c>
      <c r="R89" s="307">
        <f ca="1"/>
        <v>0</v>
      </c>
      <c r="S89" s="307">
        <f ca="1"/>
        <v>0</v>
      </c>
      <c r="T89" s="308">
        <f ca="1"/>
        <v>0</v>
      </c>
      <c r="U89" s="92">
        <f ca="1"/>
        <v>43731</v>
      </c>
      <c r="V89" s="306">
        <f ca="1"/>
        <v>100159.82196539067</v>
      </c>
      <c r="W89" s="87">
        <f ca="1"/>
        <v>0</v>
      </c>
      <c r="X89" s="88">
        <f ca="1"/>
        <v>0</v>
      </c>
      <c r="Y89" s="88">
        <f ca="1"/>
        <v>0</v>
      </c>
      <c r="Z89" s="88">
        <f ca="1"/>
        <v>0</v>
      </c>
      <c r="AA89" s="88">
        <f ca="1"/>
        <v>0</v>
      </c>
      <c r="AB89" s="88">
        <f ca="1"/>
        <v>511453.35564256535</v>
      </c>
      <c r="AC89" s="88">
        <f ca="1"/>
        <v>925190.98108749255</v>
      </c>
      <c r="AD89" s="88">
        <f ca="1"/>
        <v>0</v>
      </c>
      <c r="AE89" s="88">
        <f ca="1"/>
        <v>0</v>
      </c>
      <c r="AF89" s="88">
        <f ca="1"/>
        <v>0</v>
      </c>
      <c r="AG89" s="88">
        <f ca="1"/>
        <v>0</v>
      </c>
      <c r="AH89" s="88">
        <f ca="1"/>
        <v>6981180.7801999999</v>
      </c>
      <c r="AI89" s="88">
        <f ca="1"/>
        <v>0</v>
      </c>
      <c r="AJ89" s="88">
        <f ca="1"/>
        <v>0</v>
      </c>
      <c r="AK89" s="88">
        <f ca="1"/>
        <v>42990.631299525478</v>
      </c>
      <c r="AL89" s="88">
        <f ca="1"/>
        <v>0</v>
      </c>
      <c r="AM89" s="195">
        <f ca="1"/>
        <v>0</v>
      </c>
      <c r="AN89" s="195">
        <f ca="1"/>
        <v>0</v>
      </c>
      <c r="AO89" s="195">
        <f ca="1"/>
        <v>577259.3088</v>
      </c>
      <c r="AP89" s="443">
        <f ca="1"/>
        <v>0</v>
      </c>
      <c r="AQ89" s="195">
        <f ca="1"/>
        <v>0</v>
      </c>
      <c r="AR89" s="195">
        <f ca="1"/>
        <v>0</v>
      </c>
      <c r="AS89" s="195">
        <f ca="1"/>
        <v>5109.9699828488056</v>
      </c>
      <c r="AT89" s="195">
        <f ca="1"/>
        <v>16147.991917701538</v>
      </c>
      <c r="AU89" s="195">
        <f ca="1"/>
        <v>81504.238144209608</v>
      </c>
      <c r="AV89" s="195">
        <f ca="1"/>
        <v>40357.944747999994</v>
      </c>
      <c r="AW89" s="195">
        <f ca="1"/>
        <v>0</v>
      </c>
      <c r="AX89" s="195">
        <f ca="1"/>
        <v>0</v>
      </c>
      <c r="AY89" s="195">
        <f ca="1"/>
        <v>0</v>
      </c>
      <c r="AZ89" s="195">
        <f ca="1"/>
        <v>0</v>
      </c>
      <c r="BA89" s="195">
        <f ca="1"/>
        <v>55096.557283731199</v>
      </c>
      <c r="BB89" s="195">
        <f ca="1"/>
        <v>354952.41445143998</v>
      </c>
      <c r="BC89" s="195">
        <f ca="1"/>
        <v>93.15603740232001</v>
      </c>
      <c r="BD89" s="195">
        <f ca="1"/>
        <v>123056.872777788</v>
      </c>
      <c r="BE89" s="195">
        <f ca="1"/>
        <v>0</v>
      </c>
    </row>
    <row r="90" spans="1:57" s="195" customFormat="1" x14ac:dyDescent="0.2">
      <c r="A90" s="34"/>
      <c r="B90" s="93">
        <v>39</v>
      </c>
      <c r="C90" s="166">
        <f ca="1"/>
        <v>0</v>
      </c>
      <c r="D90" s="177">
        <f ca="1"/>
        <v>0</v>
      </c>
      <c r="E90" s="177">
        <f ca="1"/>
        <v>0</v>
      </c>
      <c r="F90" s="167">
        <f ca="1"/>
        <v>0</v>
      </c>
      <c r="G90" s="33"/>
      <c r="H90" s="34"/>
      <c r="I90" s="33"/>
      <c r="J90" s="94">
        <f ca="1"/>
        <v>0</v>
      </c>
      <c r="K90" s="94">
        <f ca="1"/>
        <v>0</v>
      </c>
      <c r="L90" s="385"/>
      <c r="M90" s="94">
        <f ca="1"/>
        <v>10761945.16</v>
      </c>
      <c r="N90" s="94">
        <f ca="1"/>
        <v>9014035.2893809862</v>
      </c>
      <c r="O90" s="95">
        <f ca="1"/>
        <v>-1747909.8706190139</v>
      </c>
      <c r="P90" s="33"/>
      <c r="Q90" s="362">
        <f ca="1"/>
        <v>0</v>
      </c>
      <c r="R90" s="307">
        <f ca="1"/>
        <v>0</v>
      </c>
      <c r="S90" s="307">
        <f ca="1"/>
        <v>0</v>
      </c>
      <c r="T90" s="308">
        <f ca="1"/>
        <v>0</v>
      </c>
      <c r="U90" s="92">
        <f ca="1"/>
        <v>43738</v>
      </c>
      <c r="V90" s="306">
        <f ca="1"/>
        <v>100159.82196539067</v>
      </c>
      <c r="W90" s="87">
        <f ca="1"/>
        <v>0</v>
      </c>
      <c r="X90" s="88">
        <f ca="1"/>
        <v>0</v>
      </c>
      <c r="Y90" s="88">
        <f ca="1"/>
        <v>0</v>
      </c>
      <c r="Z90" s="88">
        <f ca="1"/>
        <v>0</v>
      </c>
      <c r="AA90" s="88">
        <f ca="1"/>
        <v>0</v>
      </c>
      <c r="AB90" s="88">
        <f ca="1"/>
        <v>905907.3989904332</v>
      </c>
      <c r="AC90" s="88">
        <f ca="1"/>
        <v>810685.46064260765</v>
      </c>
      <c r="AD90" s="88">
        <f ca="1"/>
        <v>0</v>
      </c>
      <c r="AE90" s="88">
        <f ca="1"/>
        <v>0</v>
      </c>
      <c r="AF90" s="88">
        <f ca="1"/>
        <v>0</v>
      </c>
      <c r="AG90" s="88">
        <f ca="1"/>
        <v>0</v>
      </c>
      <c r="AH90" s="88">
        <f ca="1"/>
        <v>6330240.3669999996</v>
      </c>
      <c r="AI90" s="88">
        <f ca="1"/>
        <v>0</v>
      </c>
      <c r="AJ90" s="88">
        <f ca="1"/>
        <v>0</v>
      </c>
      <c r="AK90" s="88">
        <f ca="1"/>
        <v>41492.983246331634</v>
      </c>
      <c r="AL90" s="88">
        <f ca="1"/>
        <v>0</v>
      </c>
      <c r="AM90" s="195">
        <f ca="1"/>
        <v>0</v>
      </c>
      <c r="AN90" s="195">
        <f ca="1"/>
        <v>0</v>
      </c>
      <c r="AO90" s="195">
        <f ca="1"/>
        <v>0</v>
      </c>
      <c r="AP90" s="443">
        <f ca="1"/>
        <v>0</v>
      </c>
      <c r="AQ90" s="195">
        <f ca="1"/>
        <v>18532.619559999999</v>
      </c>
      <c r="AR90" s="195">
        <f ca="1"/>
        <v>0</v>
      </c>
      <c r="AS90" s="195">
        <f ca="1"/>
        <v>321982.90447207942</v>
      </c>
      <c r="AT90" s="195">
        <f ca="1"/>
        <v>19385.134584329357</v>
      </c>
      <c r="AU90" s="195">
        <f ca="1"/>
        <v>81119.579647862396</v>
      </c>
      <c r="AV90" s="195">
        <f ca="1"/>
        <v>46036.310341999997</v>
      </c>
      <c r="AW90" s="195">
        <f ca="1"/>
        <v>0</v>
      </c>
      <c r="AX90" s="195">
        <f ca="1"/>
        <v>0</v>
      </c>
      <c r="AY90" s="195">
        <f ca="1"/>
        <v>0</v>
      </c>
      <c r="AZ90" s="195">
        <f ca="1"/>
        <v>0</v>
      </c>
      <c r="BA90" s="195">
        <f ca="1"/>
        <v>20288.646828217599</v>
      </c>
      <c r="BB90" s="195">
        <f ca="1"/>
        <v>208069.19568248</v>
      </c>
      <c r="BC90" s="195">
        <f ca="1"/>
        <v>0</v>
      </c>
      <c r="BD90" s="195">
        <f ca="1"/>
        <v>109726.50536724</v>
      </c>
      <c r="BE90" s="195">
        <f ca="1"/>
        <v>408.36105201372004</v>
      </c>
    </row>
    <row r="91" spans="1:57" s="195" customFormat="1" x14ac:dyDescent="0.2">
      <c r="A91" s="34"/>
      <c r="B91" s="93">
        <v>40</v>
      </c>
      <c r="C91" s="166">
        <f ca="1"/>
        <v>0</v>
      </c>
      <c r="D91" s="177">
        <f ca="1"/>
        <v>0</v>
      </c>
      <c r="E91" s="177">
        <f ca="1"/>
        <v>0</v>
      </c>
      <c r="F91" s="167">
        <f ca="1"/>
        <v>0</v>
      </c>
      <c r="G91" s="33"/>
      <c r="H91" s="34"/>
      <c r="I91" s="33"/>
      <c r="J91" s="94">
        <f ca="1"/>
        <v>0</v>
      </c>
      <c r="K91" s="94">
        <f ca="1"/>
        <v>0</v>
      </c>
      <c r="L91" s="385"/>
      <c r="M91" s="94">
        <f ca="1"/>
        <v>10128820.43</v>
      </c>
      <c r="N91" s="94">
        <f ca="1"/>
        <v>9922121.0614886303</v>
      </c>
      <c r="O91" s="95">
        <f ca="1"/>
        <v>-206699.36851136945</v>
      </c>
      <c r="P91" s="33"/>
      <c r="Q91" s="362">
        <f ca="1"/>
        <v>0</v>
      </c>
      <c r="R91" s="307">
        <f ca="1"/>
        <v>0</v>
      </c>
      <c r="S91" s="307">
        <f ca="1"/>
        <v>0</v>
      </c>
      <c r="T91" s="308">
        <f ca="1"/>
        <v>0</v>
      </c>
      <c r="U91" s="92">
        <f ca="1"/>
        <v>43745</v>
      </c>
      <c r="V91" s="306">
        <f ca="1"/>
        <v>100159.82196539067</v>
      </c>
      <c r="W91" s="87">
        <f ca="1"/>
        <v>0</v>
      </c>
      <c r="X91" s="88">
        <f ca="1"/>
        <v>0</v>
      </c>
      <c r="Y91" s="88">
        <f ca="1"/>
        <v>0</v>
      </c>
      <c r="Z91" s="88">
        <f ca="1"/>
        <v>0</v>
      </c>
      <c r="AA91" s="88">
        <f ca="1"/>
        <v>0</v>
      </c>
      <c r="AB91" s="88">
        <f ca="1"/>
        <v>1306967.5416160068</v>
      </c>
      <c r="AC91" s="88">
        <f ca="1"/>
        <v>732309.97230752232</v>
      </c>
      <c r="AD91" s="88">
        <f ca="1"/>
        <v>0</v>
      </c>
      <c r="AE91" s="88">
        <f ca="1"/>
        <v>0</v>
      </c>
      <c r="AF91" s="88">
        <f ca="1"/>
        <v>0</v>
      </c>
      <c r="AG91" s="88">
        <f ca="1"/>
        <v>0</v>
      </c>
      <c r="AH91" s="88">
        <f ca="1"/>
        <v>6356535.6206</v>
      </c>
      <c r="AI91" s="88">
        <f ca="1"/>
        <v>0</v>
      </c>
      <c r="AJ91" s="88">
        <f ca="1"/>
        <v>0</v>
      </c>
      <c r="AK91" s="88">
        <f ca="1"/>
        <v>38292.949246765864</v>
      </c>
      <c r="AL91" s="88">
        <f ca="1"/>
        <v>0</v>
      </c>
      <c r="AM91" s="195">
        <f ca="1"/>
        <v>0</v>
      </c>
      <c r="AN91" s="195">
        <f ca="1"/>
        <v>0</v>
      </c>
      <c r="AO91" s="195">
        <f ca="1"/>
        <v>337262.67688500002</v>
      </c>
      <c r="AP91" s="443">
        <f ca="1"/>
        <v>0</v>
      </c>
      <c r="AQ91" s="195">
        <f ca="1"/>
        <v>239508.55487000002</v>
      </c>
      <c r="AR91" s="195">
        <f ca="1"/>
        <v>0</v>
      </c>
      <c r="AS91" s="195">
        <f ca="1"/>
        <v>376532.10440155934</v>
      </c>
      <c r="AT91" s="195">
        <f ca="1"/>
        <v>21410.34857190707</v>
      </c>
      <c r="AU91" s="195">
        <f ca="1"/>
        <v>83992.067389430405</v>
      </c>
      <c r="AV91" s="195">
        <f ca="1"/>
        <v>46105.558686000004</v>
      </c>
      <c r="AW91" s="195">
        <f ca="1"/>
        <v>0</v>
      </c>
      <c r="AX91" s="195">
        <f ca="1"/>
        <v>0</v>
      </c>
      <c r="AY91" s="195">
        <f ca="1"/>
        <v>0</v>
      </c>
      <c r="AZ91" s="195">
        <f ca="1"/>
        <v>0</v>
      </c>
      <c r="BA91" s="195">
        <f ca="1"/>
        <v>13551.452209425279</v>
      </c>
      <c r="BB91" s="195">
        <f ca="1"/>
        <v>154426.84894893999</v>
      </c>
      <c r="BC91" s="195">
        <f ca="1"/>
        <v>465.78018701160005</v>
      </c>
      <c r="BD91" s="195">
        <f ca="1"/>
        <v>114191.40255165601</v>
      </c>
      <c r="BE91" s="195">
        <f ca="1"/>
        <v>408.36105201372004</v>
      </c>
    </row>
    <row r="92" spans="1:57" s="195" customFormat="1" x14ac:dyDescent="0.2">
      <c r="A92" s="34"/>
      <c r="B92" s="93">
        <v>41</v>
      </c>
      <c r="C92" s="166">
        <f ca="1"/>
        <v>0</v>
      </c>
      <c r="D92" s="177">
        <f ca="1"/>
        <v>0</v>
      </c>
      <c r="E92" s="177">
        <f ca="1"/>
        <v>0</v>
      </c>
      <c r="F92" s="167">
        <f ca="1"/>
        <v>0</v>
      </c>
      <c r="G92" s="33"/>
      <c r="H92" s="34"/>
      <c r="I92" s="33"/>
      <c r="J92" s="94">
        <f ca="1"/>
        <v>0</v>
      </c>
      <c r="K92" s="94">
        <f ca="1"/>
        <v>0</v>
      </c>
      <c r="L92" s="385"/>
      <c r="M92" s="94">
        <f ca="1"/>
        <v>10579812.07</v>
      </c>
      <c r="N92" s="94">
        <f ca="1"/>
        <v>9277789.3424933348</v>
      </c>
      <c r="O92" s="95">
        <f ca="1"/>
        <v>-1302022.7275066655</v>
      </c>
      <c r="P92" s="33"/>
      <c r="Q92" s="362">
        <f ca="1"/>
        <v>0</v>
      </c>
      <c r="R92" s="307">
        <f ca="1"/>
        <v>0</v>
      </c>
      <c r="S92" s="307">
        <f ca="1"/>
        <v>0</v>
      </c>
      <c r="T92" s="308">
        <f ca="1"/>
        <v>0</v>
      </c>
      <c r="U92" s="92">
        <f ca="1"/>
        <v>43752</v>
      </c>
      <c r="V92" s="306">
        <f ca="1"/>
        <v>100159.82196539067</v>
      </c>
      <c r="W92" s="87">
        <f ca="1"/>
        <v>0</v>
      </c>
      <c r="X92" s="88">
        <f ca="1"/>
        <v>0</v>
      </c>
      <c r="Y92" s="88">
        <f ca="1"/>
        <v>0</v>
      </c>
      <c r="Z92" s="88">
        <f ca="1"/>
        <v>0</v>
      </c>
      <c r="AA92" s="88">
        <f ca="1"/>
        <v>0</v>
      </c>
      <c r="AB92" s="88">
        <f ca="1"/>
        <v>741474.22228273202</v>
      </c>
      <c r="AC92" s="88">
        <f ca="1"/>
        <v>701247.58948403702</v>
      </c>
      <c r="AD92" s="88">
        <f ca="1"/>
        <v>0</v>
      </c>
      <c r="AE92" s="88">
        <f ca="1"/>
        <v>0</v>
      </c>
      <c r="AF92" s="88">
        <f ca="1"/>
        <v>0</v>
      </c>
      <c r="AG92" s="88">
        <f ca="1"/>
        <v>0</v>
      </c>
      <c r="AH92" s="88">
        <f ca="1"/>
        <v>6648607.0772000002</v>
      </c>
      <c r="AI92" s="88">
        <f ca="1"/>
        <v>0</v>
      </c>
      <c r="AJ92" s="88">
        <f ca="1"/>
        <v>0</v>
      </c>
      <c r="AK92" s="88">
        <f ca="1"/>
        <v>37986.662918175003</v>
      </c>
      <c r="AL92" s="88">
        <f ca="1"/>
        <v>5607.2263680000005</v>
      </c>
      <c r="AM92" s="195">
        <f ca="1"/>
        <v>0</v>
      </c>
      <c r="AN92" s="195">
        <f ca="1"/>
        <v>0</v>
      </c>
      <c r="AO92" s="195">
        <f ca="1"/>
        <v>337262.67688500002</v>
      </c>
      <c r="AP92" s="443">
        <f ca="1"/>
        <v>0</v>
      </c>
      <c r="AQ92" s="195">
        <f ca="1"/>
        <v>44854.815551000007</v>
      </c>
      <c r="AR92" s="195">
        <f ca="1"/>
        <v>0</v>
      </c>
      <c r="AS92" s="195">
        <f ca="1"/>
        <v>273684.59624849242</v>
      </c>
      <c r="AT92" s="195">
        <f ca="1"/>
        <v>22778.300039548245</v>
      </c>
      <c r="AU92" s="195">
        <f ca="1"/>
        <v>65540.472044823371</v>
      </c>
      <c r="AV92" s="195">
        <f ca="1"/>
        <v>44222.003276000003</v>
      </c>
      <c r="AW92" s="195">
        <f ca="1"/>
        <v>0</v>
      </c>
      <c r="AX92" s="195">
        <f ca="1"/>
        <v>0</v>
      </c>
      <c r="AY92" s="195">
        <f ca="1"/>
        <v>0</v>
      </c>
      <c r="AZ92" s="195">
        <f ca="1"/>
        <v>0</v>
      </c>
      <c r="BA92" s="195">
        <f ca="1"/>
        <v>11756.314397582721</v>
      </c>
      <c r="BB92" s="195">
        <f ca="1"/>
        <v>154342.78166616001</v>
      </c>
      <c r="BC92" s="195">
        <f ca="1"/>
        <v>465.78018701160005</v>
      </c>
      <c r="BD92" s="195">
        <f ca="1"/>
        <v>87390.640927368004</v>
      </c>
      <c r="BE92" s="195">
        <f ca="1"/>
        <v>408.36105201372004</v>
      </c>
    </row>
    <row r="93" spans="1:57" s="195" customFormat="1" x14ac:dyDescent="0.2">
      <c r="A93" s="34"/>
      <c r="B93" s="93">
        <v>42</v>
      </c>
      <c r="C93" s="166">
        <f ca="1"/>
        <v>0</v>
      </c>
      <c r="D93" s="177">
        <f ca="1"/>
        <v>0</v>
      </c>
      <c r="E93" s="177">
        <f ca="1"/>
        <v>0</v>
      </c>
      <c r="F93" s="167">
        <f ca="1"/>
        <v>0</v>
      </c>
      <c r="G93" s="33"/>
      <c r="H93" s="34"/>
      <c r="I93" s="33"/>
      <c r="J93" s="94">
        <f ca="1"/>
        <v>0</v>
      </c>
      <c r="K93" s="94">
        <f ca="1"/>
        <v>0</v>
      </c>
      <c r="L93" s="385"/>
      <c r="M93" s="94">
        <f ca="1"/>
        <v>9540770.0470000003</v>
      </c>
      <c r="N93" s="94">
        <f ca="1"/>
        <v>9206309.0898901336</v>
      </c>
      <c r="O93" s="95">
        <f ca="1"/>
        <v>-334460.95710986666</v>
      </c>
      <c r="P93" s="33"/>
      <c r="Q93" s="362">
        <f ca="1"/>
        <v>0</v>
      </c>
      <c r="R93" s="307">
        <f ca="1"/>
        <v>0</v>
      </c>
      <c r="S93" s="307">
        <f ca="1"/>
        <v>0</v>
      </c>
      <c r="T93" s="308">
        <f ca="1"/>
        <v>0</v>
      </c>
      <c r="U93" s="92">
        <f ca="1"/>
        <v>43759</v>
      </c>
      <c r="V93" s="306">
        <f ca="1"/>
        <v>100159.82196539067</v>
      </c>
      <c r="W93" s="87">
        <f ca="1"/>
        <v>0</v>
      </c>
      <c r="X93" s="88">
        <f ca="1"/>
        <v>0</v>
      </c>
      <c r="Y93" s="88">
        <f ca="1"/>
        <v>0</v>
      </c>
      <c r="Z93" s="88">
        <f ca="1"/>
        <v>0</v>
      </c>
      <c r="AA93" s="88">
        <f ca="1"/>
        <v>0</v>
      </c>
      <c r="AB93" s="88">
        <f ca="1"/>
        <v>358267.23558841454</v>
      </c>
      <c r="AC93" s="88">
        <f ca="1"/>
        <v>870770.97943849268</v>
      </c>
      <c r="AD93" s="88">
        <f ca="1"/>
        <v>0</v>
      </c>
      <c r="AE93" s="88">
        <f ca="1"/>
        <v>0</v>
      </c>
      <c r="AF93" s="88">
        <f ca="1"/>
        <v>0</v>
      </c>
      <c r="AG93" s="88">
        <f ca="1"/>
        <v>0</v>
      </c>
      <c r="AH93" s="88">
        <f ca="1"/>
        <v>6963961.3912000004</v>
      </c>
      <c r="AI93" s="88">
        <f ca="1"/>
        <v>0</v>
      </c>
      <c r="AJ93" s="88">
        <f ca="1"/>
        <v>0</v>
      </c>
      <c r="AK93" s="88">
        <f ca="1"/>
        <v>34876.800411653625</v>
      </c>
      <c r="AL93" s="88">
        <f ca="1"/>
        <v>0</v>
      </c>
      <c r="AM93" s="195">
        <f ca="1"/>
        <v>0</v>
      </c>
      <c r="AN93" s="195">
        <f ca="1"/>
        <v>0</v>
      </c>
      <c r="AO93" s="195">
        <f ca="1"/>
        <v>337262.67688500002</v>
      </c>
      <c r="AP93" s="443">
        <f ca="1"/>
        <v>0</v>
      </c>
      <c r="AQ93" s="195">
        <f ca="1"/>
        <v>42285.249526</v>
      </c>
      <c r="AR93" s="195">
        <f ca="1"/>
        <v>0</v>
      </c>
      <c r="AS93" s="195">
        <f ca="1"/>
        <v>16571.73719860422</v>
      </c>
      <c r="AT93" s="195">
        <f ca="1"/>
        <v>20515.015529902998</v>
      </c>
      <c r="AU93" s="195">
        <f ca="1"/>
        <v>87653.793360734402</v>
      </c>
      <c r="AV93" s="195">
        <f ca="1"/>
        <v>40814.983924</v>
      </c>
      <c r="AW93" s="195">
        <f ca="1"/>
        <v>0</v>
      </c>
      <c r="AX93" s="195">
        <f ca="1"/>
        <v>0</v>
      </c>
      <c r="AY93" s="195">
        <f ca="1"/>
        <v>0</v>
      </c>
      <c r="AZ93" s="195">
        <f ca="1"/>
        <v>0</v>
      </c>
      <c r="BA93" s="195">
        <f ca="1"/>
        <v>11209.672748766399</v>
      </c>
      <c r="BB93" s="195">
        <f ca="1"/>
        <v>161178.48294901999</v>
      </c>
      <c r="BC93" s="195">
        <f ca="1"/>
        <v>465.78018701160005</v>
      </c>
      <c r="BD93" s="195">
        <f ca="1"/>
        <v>159907.10792512802</v>
      </c>
      <c r="BE93" s="195">
        <f ca="1"/>
        <v>408.36105201372004</v>
      </c>
    </row>
    <row r="94" spans="1:57" s="195" customFormat="1" x14ac:dyDescent="0.2">
      <c r="A94" s="34"/>
      <c r="B94" s="93">
        <v>43</v>
      </c>
      <c r="C94" s="166">
        <f ca="1"/>
        <v>0</v>
      </c>
      <c r="D94" s="177">
        <f ca="1"/>
        <v>0</v>
      </c>
      <c r="E94" s="177">
        <f ca="1"/>
        <v>0</v>
      </c>
      <c r="F94" s="167">
        <f ca="1"/>
        <v>0</v>
      </c>
      <c r="G94" s="33"/>
      <c r="H94" s="34"/>
      <c r="I94" s="33"/>
      <c r="J94" s="94">
        <f ca="1"/>
        <v>0</v>
      </c>
      <c r="K94" s="94">
        <f ca="1"/>
        <v>0</v>
      </c>
      <c r="L94" s="385"/>
      <c r="M94" s="94">
        <f ca="1"/>
        <v>7647281.8370000003</v>
      </c>
      <c r="N94" s="94">
        <f ca="1"/>
        <v>8591645.9094600156</v>
      </c>
      <c r="O94" s="95">
        <f ca="1"/>
        <v>944364.0724600153</v>
      </c>
      <c r="P94" s="33"/>
      <c r="Q94" s="362">
        <f ca="1"/>
        <v>0</v>
      </c>
      <c r="R94" s="307">
        <f ca="1"/>
        <v>0</v>
      </c>
      <c r="S94" s="307">
        <f ca="1"/>
        <v>0</v>
      </c>
      <c r="T94" s="308">
        <f ca="1"/>
        <v>0</v>
      </c>
      <c r="U94" s="92">
        <f ca="1"/>
        <v>43766</v>
      </c>
      <c r="V94" s="306">
        <f ca="1"/>
        <v>100159.82196539067</v>
      </c>
      <c r="W94" s="87">
        <f ca="1"/>
        <v>0</v>
      </c>
      <c r="X94" s="88">
        <f ca="1"/>
        <v>0</v>
      </c>
      <c r="Y94" s="88">
        <f ca="1"/>
        <v>0</v>
      </c>
      <c r="Z94" s="88">
        <f ca="1"/>
        <v>0</v>
      </c>
      <c r="AA94" s="88">
        <f ca="1"/>
        <v>0</v>
      </c>
      <c r="AB94" s="88">
        <f ca="1"/>
        <v>158239.95863485208</v>
      </c>
      <c r="AC94" s="88">
        <f ca="1"/>
        <v>918358.13389623922</v>
      </c>
      <c r="AD94" s="88">
        <f ca="1"/>
        <v>0</v>
      </c>
      <c r="AE94" s="88">
        <f ca="1"/>
        <v>0</v>
      </c>
      <c r="AF94" s="88">
        <f ca="1"/>
        <v>0</v>
      </c>
      <c r="AG94" s="88">
        <f ca="1"/>
        <v>0</v>
      </c>
      <c r="AH94" s="88">
        <f ca="1"/>
        <v>6897047.4056000002</v>
      </c>
      <c r="AI94" s="88">
        <f ca="1"/>
        <v>0</v>
      </c>
      <c r="AJ94" s="88">
        <f ca="1"/>
        <v>0</v>
      </c>
      <c r="AK94" s="88">
        <f ca="1"/>
        <v>39510.764810512665</v>
      </c>
      <c r="AL94" s="88">
        <f ca="1"/>
        <v>0</v>
      </c>
      <c r="AM94" s="195">
        <f ca="1"/>
        <v>0</v>
      </c>
      <c r="AN94" s="195">
        <f ca="1"/>
        <v>0</v>
      </c>
      <c r="AO94" s="195">
        <f ca="1"/>
        <v>0</v>
      </c>
      <c r="AP94" s="443">
        <f ca="1"/>
        <v>0</v>
      </c>
      <c r="AQ94" s="195">
        <f ca="1"/>
        <v>32263.521043000004</v>
      </c>
      <c r="AR94" s="195">
        <f ca="1"/>
        <v>0</v>
      </c>
      <c r="AS94" s="195">
        <f ca="1"/>
        <v>23998.59703506239</v>
      </c>
      <c r="AT94" s="195">
        <f ca="1"/>
        <v>16945.57220723289</v>
      </c>
      <c r="AU94" s="195">
        <f ca="1"/>
        <v>96066.476356228814</v>
      </c>
      <c r="AV94" s="195">
        <f ca="1"/>
        <v>56035.773662</v>
      </c>
      <c r="AW94" s="195">
        <f ca="1"/>
        <v>0</v>
      </c>
      <c r="AX94" s="195">
        <f ca="1"/>
        <v>0</v>
      </c>
      <c r="AY94" s="195">
        <f ca="1"/>
        <v>0</v>
      </c>
      <c r="AZ94" s="195">
        <f ca="1"/>
        <v>0</v>
      </c>
      <c r="BA94" s="195">
        <f ca="1"/>
        <v>11406.650691480319</v>
      </c>
      <c r="BB94" s="195">
        <f ca="1"/>
        <v>112671.68681072</v>
      </c>
      <c r="BC94" s="195">
        <f ca="1"/>
        <v>0</v>
      </c>
      <c r="BD94" s="195">
        <f ca="1"/>
        <v>128941.54674729602</v>
      </c>
      <c r="BE94" s="195">
        <f ca="1"/>
        <v>0</v>
      </c>
    </row>
    <row r="95" spans="1:57" s="195" customFormat="1" x14ac:dyDescent="0.2">
      <c r="A95" s="34"/>
      <c r="B95" s="93">
        <v>44</v>
      </c>
      <c r="C95" s="166">
        <f ca="1"/>
        <v>0</v>
      </c>
      <c r="D95" s="177">
        <f ca="1"/>
        <v>0</v>
      </c>
      <c r="E95" s="177">
        <f ca="1"/>
        <v>0</v>
      </c>
      <c r="F95" s="167">
        <f ca="1"/>
        <v>0</v>
      </c>
      <c r="G95" s="33"/>
      <c r="H95" s="34"/>
      <c r="I95" s="33"/>
      <c r="J95" s="94">
        <f ca="1"/>
        <v>0</v>
      </c>
      <c r="K95" s="94">
        <f ca="1"/>
        <v>0</v>
      </c>
      <c r="L95" s="385"/>
      <c r="M95" s="94">
        <f ca="1"/>
        <v>14800451.35</v>
      </c>
      <c r="N95" s="94">
        <f ca="1"/>
        <v>13192072.287721796</v>
      </c>
      <c r="O95" s="95">
        <f ca="1"/>
        <v>-1608379.0622782037</v>
      </c>
      <c r="P95" s="33"/>
      <c r="Q95" s="362">
        <f ca="1"/>
        <v>0</v>
      </c>
      <c r="R95" s="307">
        <f ca="1"/>
        <v>0</v>
      </c>
      <c r="S95" s="307">
        <f ca="1"/>
        <v>0</v>
      </c>
      <c r="T95" s="308">
        <f ca="1"/>
        <v>0</v>
      </c>
      <c r="U95" s="92">
        <f ca="1"/>
        <v>43773</v>
      </c>
      <c r="V95" s="306">
        <f ca="1"/>
        <v>100159.82196539067</v>
      </c>
      <c r="W95" s="87">
        <f ca="1"/>
        <v>0</v>
      </c>
      <c r="X95" s="88">
        <f ca="1"/>
        <v>0</v>
      </c>
      <c r="Y95" s="88">
        <f ca="1"/>
        <v>0</v>
      </c>
      <c r="Z95" s="88">
        <f ca="1"/>
        <v>0</v>
      </c>
      <c r="AA95" s="88">
        <f ca="1"/>
        <v>0</v>
      </c>
      <c r="AB95" s="88">
        <f ca="1"/>
        <v>165136.65722747429</v>
      </c>
      <c r="AC95" s="88">
        <f ca="1"/>
        <v>946018.72981835634</v>
      </c>
      <c r="AD95" s="88">
        <f ca="1"/>
        <v>0</v>
      </c>
      <c r="AE95" s="88">
        <f ca="1"/>
        <v>0</v>
      </c>
      <c r="AF95" s="88">
        <f ca="1"/>
        <v>0</v>
      </c>
      <c r="AG95" s="88">
        <f ca="1"/>
        <v>0</v>
      </c>
      <c r="AH95" s="88">
        <f ca="1"/>
        <v>9502697.7517999988</v>
      </c>
      <c r="AI95" s="88">
        <f ca="1"/>
        <v>0</v>
      </c>
      <c r="AJ95" s="88">
        <f ca="1"/>
        <v>0</v>
      </c>
      <c r="AK95" s="88">
        <f ca="1"/>
        <v>33879.104157618407</v>
      </c>
      <c r="AL95" s="88">
        <f ca="1"/>
        <v>25232.518656</v>
      </c>
      <c r="AM95" s="195">
        <f ca="1"/>
        <v>0</v>
      </c>
      <c r="AN95" s="195">
        <f ca="1"/>
        <v>0</v>
      </c>
      <c r="AO95" s="195">
        <f ca="1"/>
        <v>1816603.2819000001</v>
      </c>
      <c r="AP95" s="443">
        <f ca="1"/>
        <v>0</v>
      </c>
      <c r="AQ95" s="195">
        <f ca="1"/>
        <v>83556.653323000006</v>
      </c>
      <c r="AR95" s="195">
        <f ca="1"/>
        <v>0</v>
      </c>
      <c r="AS95" s="195">
        <f ca="1"/>
        <v>109872.79968639622</v>
      </c>
      <c r="AT95" s="195">
        <f ca="1"/>
        <v>17558.801950951169</v>
      </c>
      <c r="AU95" s="195">
        <f ca="1"/>
        <v>96030.442069252807</v>
      </c>
      <c r="AV95" s="195">
        <f ca="1"/>
        <v>59179.649231999996</v>
      </c>
      <c r="AW95" s="195">
        <f ca="1"/>
        <v>0</v>
      </c>
      <c r="AX95" s="195">
        <f ca="1"/>
        <v>0</v>
      </c>
      <c r="AY95" s="195">
        <f ca="1"/>
        <v>0</v>
      </c>
      <c r="AZ95" s="195">
        <f ca="1"/>
        <v>0</v>
      </c>
      <c r="BA95" s="195">
        <f ca="1"/>
        <v>19773.729795383999</v>
      </c>
      <c r="BB95" s="195">
        <f ca="1"/>
        <v>131842.29897002</v>
      </c>
      <c r="BC95" s="195">
        <f ca="1"/>
        <v>0</v>
      </c>
      <c r="BD95" s="195">
        <f ca="1"/>
        <v>84356.781087936004</v>
      </c>
      <c r="BE95" s="195">
        <f ca="1"/>
        <v>173.26608201395999</v>
      </c>
    </row>
    <row r="96" spans="1:57" s="195" customFormat="1" x14ac:dyDescent="0.2">
      <c r="A96" s="34"/>
      <c r="B96" s="93">
        <v>45</v>
      </c>
      <c r="C96" s="166">
        <f ca="1"/>
        <v>0</v>
      </c>
      <c r="D96" s="177">
        <f ca="1"/>
        <v>0</v>
      </c>
      <c r="E96" s="177">
        <f ca="1"/>
        <v>0</v>
      </c>
      <c r="F96" s="167">
        <f ca="1"/>
        <v>0</v>
      </c>
      <c r="G96" s="33"/>
      <c r="H96" s="34"/>
      <c r="I96" s="33"/>
      <c r="J96" s="94">
        <f ca="1"/>
        <v>0</v>
      </c>
      <c r="K96" s="94">
        <f ca="1"/>
        <v>0</v>
      </c>
      <c r="L96" s="385"/>
      <c r="M96" s="94">
        <f ca="1"/>
        <v>11785160.34</v>
      </c>
      <c r="N96" s="94">
        <f ca="1"/>
        <v>12846228.701920027</v>
      </c>
      <c r="O96" s="95">
        <f ca="1"/>
        <v>1061068.3619200271</v>
      </c>
      <c r="P96" s="33"/>
      <c r="Q96" s="362">
        <f ca="1"/>
        <v>0</v>
      </c>
      <c r="R96" s="307">
        <f ca="1"/>
        <v>0</v>
      </c>
      <c r="S96" s="307">
        <f ca="1"/>
        <v>0</v>
      </c>
      <c r="T96" s="308">
        <f ca="1"/>
        <v>0</v>
      </c>
      <c r="U96" s="92">
        <f ca="1"/>
        <v>43780</v>
      </c>
      <c r="V96" s="306">
        <f ca="1"/>
        <v>100159.82196539067</v>
      </c>
      <c r="W96" s="87">
        <f ca="1"/>
        <v>0</v>
      </c>
      <c r="X96" s="88">
        <f ca="1"/>
        <v>0</v>
      </c>
      <c r="Y96" s="88">
        <f ca="1"/>
        <v>0</v>
      </c>
      <c r="Z96" s="88">
        <f ca="1"/>
        <v>0</v>
      </c>
      <c r="AA96" s="88">
        <f ca="1"/>
        <v>0</v>
      </c>
      <c r="AB96" s="88">
        <f ca="1"/>
        <v>234287.78529384159</v>
      </c>
      <c r="AC96" s="88">
        <f ca="1"/>
        <v>1116655.430547748</v>
      </c>
      <c r="AD96" s="88">
        <f ca="1"/>
        <v>0</v>
      </c>
      <c r="AE96" s="88">
        <f ca="1"/>
        <v>0</v>
      </c>
      <c r="AF96" s="88">
        <f ca="1"/>
        <v>0</v>
      </c>
      <c r="AG96" s="88">
        <f ca="1"/>
        <v>0</v>
      </c>
      <c r="AH96" s="88">
        <f ca="1"/>
        <v>8949752.7481999993</v>
      </c>
      <c r="AI96" s="88">
        <f ca="1"/>
        <v>0</v>
      </c>
      <c r="AJ96" s="88">
        <f ca="1"/>
        <v>0</v>
      </c>
      <c r="AK96" s="88">
        <f ca="1"/>
        <v>35703.985863322101</v>
      </c>
      <c r="AL96" s="88">
        <f ca="1"/>
        <v>97.347680000000011</v>
      </c>
      <c r="AM96" s="195">
        <f ca="1"/>
        <v>0</v>
      </c>
      <c r="AN96" s="195">
        <f ca="1"/>
        <v>0</v>
      </c>
      <c r="AO96" s="195">
        <f ca="1"/>
        <v>1816603.2819000001</v>
      </c>
      <c r="AP96" s="443">
        <f ca="1"/>
        <v>0</v>
      </c>
      <c r="AQ96" s="195">
        <f ca="1"/>
        <v>98953.132927999992</v>
      </c>
      <c r="AR96" s="195">
        <f ca="1"/>
        <v>0</v>
      </c>
      <c r="AS96" s="195">
        <f ca="1"/>
        <v>140261.69081384889</v>
      </c>
      <c r="AT96" s="195">
        <f ca="1"/>
        <v>16304.601813263944</v>
      </c>
      <c r="AU96" s="195">
        <f ca="1"/>
        <v>44607.199700144163</v>
      </c>
      <c r="AV96" s="195">
        <f ca="1"/>
        <v>62434.322192000007</v>
      </c>
      <c r="AW96" s="195">
        <f ca="1"/>
        <v>0</v>
      </c>
      <c r="AX96" s="195">
        <f ca="1"/>
        <v>0</v>
      </c>
      <c r="AY96" s="195">
        <f ca="1"/>
        <v>0</v>
      </c>
      <c r="AZ96" s="195">
        <f ca="1"/>
        <v>0</v>
      </c>
      <c r="BA96" s="195">
        <f ca="1"/>
        <v>22803.885899062399</v>
      </c>
      <c r="BB96" s="195">
        <f ca="1"/>
        <v>110509.44343917999</v>
      </c>
      <c r="BC96" s="195">
        <f ca="1"/>
        <v>0</v>
      </c>
      <c r="BD96" s="195">
        <f ca="1"/>
        <v>96920.757602208017</v>
      </c>
      <c r="BE96" s="195">
        <f ca="1"/>
        <v>173.26608201395999</v>
      </c>
    </row>
    <row r="97" spans="1:57" s="195" customFormat="1" x14ac:dyDescent="0.2">
      <c r="A97" s="34"/>
      <c r="B97" s="93">
        <v>46</v>
      </c>
      <c r="C97" s="166">
        <f ca="1"/>
        <v>0</v>
      </c>
      <c r="D97" s="177">
        <f ca="1"/>
        <v>0</v>
      </c>
      <c r="E97" s="177">
        <f ca="1"/>
        <v>0</v>
      </c>
      <c r="F97" s="167">
        <f ca="1"/>
        <v>0</v>
      </c>
      <c r="G97" s="33"/>
      <c r="H97" s="34"/>
      <c r="I97" s="33"/>
      <c r="J97" s="94">
        <f ca="1"/>
        <v>0</v>
      </c>
      <c r="K97" s="94">
        <f ca="1"/>
        <v>0</v>
      </c>
      <c r="L97" s="385"/>
      <c r="M97" s="94">
        <f ca="1"/>
        <v>10627951.74</v>
      </c>
      <c r="N97" s="94">
        <f ca="1"/>
        <v>12274558.085785698</v>
      </c>
      <c r="O97" s="95">
        <f ca="1"/>
        <v>1646606.3457856979</v>
      </c>
      <c r="P97" s="33"/>
      <c r="Q97" s="362">
        <f ca="1"/>
        <v>0</v>
      </c>
      <c r="R97" s="307">
        <f ca="1"/>
        <v>0</v>
      </c>
      <c r="S97" s="307">
        <f ca="1"/>
        <v>0</v>
      </c>
      <c r="T97" s="308">
        <f ca="1"/>
        <v>0</v>
      </c>
      <c r="U97" s="92">
        <f ca="1"/>
        <v>43787</v>
      </c>
      <c r="V97" s="306">
        <f ca="1"/>
        <v>100159.82196539067</v>
      </c>
      <c r="W97" s="87">
        <f ca="1"/>
        <v>0</v>
      </c>
      <c r="X97" s="88">
        <f ca="1"/>
        <v>0</v>
      </c>
      <c r="Y97" s="88">
        <f ca="1"/>
        <v>0</v>
      </c>
      <c r="Z97" s="88">
        <f ca="1"/>
        <v>0</v>
      </c>
      <c r="AA97" s="88">
        <f ca="1"/>
        <v>0</v>
      </c>
      <c r="AB97" s="88">
        <f ca="1"/>
        <v>1103798.3393962185</v>
      </c>
      <c r="AC97" s="88">
        <f ca="1"/>
        <v>1258838.2604995547</v>
      </c>
      <c r="AD97" s="88">
        <f ca="1"/>
        <v>0</v>
      </c>
      <c r="AE97" s="88">
        <f ca="1"/>
        <v>0</v>
      </c>
      <c r="AF97" s="88">
        <f ca="1"/>
        <v>0</v>
      </c>
      <c r="AG97" s="88">
        <f ca="1"/>
        <v>0</v>
      </c>
      <c r="AH97" s="88">
        <f ca="1"/>
        <v>7075328.5855999999</v>
      </c>
      <c r="AI97" s="88">
        <f ca="1"/>
        <v>0</v>
      </c>
      <c r="AJ97" s="88">
        <f ca="1"/>
        <v>0</v>
      </c>
      <c r="AK97" s="88">
        <f ca="1"/>
        <v>250623.45673076052</v>
      </c>
      <c r="AL97" s="88">
        <f ca="1"/>
        <v>1985.8926720000002</v>
      </c>
      <c r="AM97" s="195">
        <f ca="1"/>
        <v>0</v>
      </c>
      <c r="AN97" s="195">
        <f ca="1"/>
        <v>0</v>
      </c>
      <c r="AO97" s="195">
        <f ca="1"/>
        <v>1816603.2819000001</v>
      </c>
      <c r="AP97" s="443">
        <f ca="1"/>
        <v>0</v>
      </c>
      <c r="AQ97" s="195">
        <f ca="1"/>
        <v>228138.69858000003</v>
      </c>
      <c r="AR97" s="195">
        <f ca="1"/>
        <v>0</v>
      </c>
      <c r="AS97" s="195">
        <f ca="1"/>
        <v>140261.1400750101</v>
      </c>
      <c r="AT97" s="195">
        <f ca="1"/>
        <v>20734.592287358664</v>
      </c>
      <c r="AU97" s="195">
        <f ca="1"/>
        <v>0</v>
      </c>
      <c r="AV97" s="195">
        <f ca="1"/>
        <v>103166.20809</v>
      </c>
      <c r="AW97" s="195">
        <f ca="1"/>
        <v>0</v>
      </c>
      <c r="AX97" s="195">
        <f ca="1"/>
        <v>0</v>
      </c>
      <c r="AY97" s="195">
        <f ca="1"/>
        <v>0</v>
      </c>
      <c r="AZ97" s="195">
        <f ca="1"/>
        <v>0</v>
      </c>
      <c r="BA97" s="195">
        <f ca="1"/>
        <v>23871.273214630077</v>
      </c>
      <c r="BB97" s="195">
        <f ca="1"/>
        <v>98461.9498761</v>
      </c>
      <c r="BC97" s="195">
        <f ca="1"/>
        <v>0</v>
      </c>
      <c r="BD97" s="195">
        <f ca="1"/>
        <v>52413.318816660001</v>
      </c>
      <c r="BE97" s="195">
        <f ca="1"/>
        <v>173.26608201395999</v>
      </c>
    </row>
    <row r="98" spans="1:57" s="195" customFormat="1" x14ac:dyDescent="0.2">
      <c r="A98" s="34"/>
      <c r="B98" s="93">
        <v>47</v>
      </c>
      <c r="C98" s="166">
        <f ca="1"/>
        <v>0</v>
      </c>
      <c r="D98" s="177">
        <f ca="1"/>
        <v>0</v>
      </c>
      <c r="E98" s="177">
        <f ca="1"/>
        <v>0</v>
      </c>
      <c r="F98" s="167">
        <f ca="1"/>
        <v>0</v>
      </c>
      <c r="G98" s="33"/>
      <c r="H98" s="34"/>
      <c r="I98" s="33"/>
      <c r="J98" s="94">
        <f ca="1"/>
        <v>0</v>
      </c>
      <c r="K98" s="94">
        <f ca="1"/>
        <v>0</v>
      </c>
      <c r="L98" s="385"/>
      <c r="M98" s="94">
        <f ca="1"/>
        <v>17191909.940000001</v>
      </c>
      <c r="N98" s="94">
        <f ca="1"/>
        <v>17292069.751167182</v>
      </c>
      <c r="O98" s="95">
        <f ca="1"/>
        <v>100159.81116718054</v>
      </c>
      <c r="P98" s="33"/>
      <c r="Q98" s="362">
        <f ca="1"/>
        <v>0</v>
      </c>
      <c r="R98" s="307">
        <f ca="1"/>
        <v>0</v>
      </c>
      <c r="S98" s="307">
        <f ca="1"/>
        <v>0</v>
      </c>
      <c r="T98" s="308">
        <f ca="1"/>
        <v>0</v>
      </c>
      <c r="U98" s="92">
        <f ca="1"/>
        <v>43794</v>
      </c>
      <c r="V98" s="306">
        <f ca="1"/>
        <v>100159.82196539067</v>
      </c>
      <c r="W98" s="87">
        <f ca="1"/>
        <v>3763559.3727743202</v>
      </c>
      <c r="X98" s="88">
        <f ca="1"/>
        <v>0</v>
      </c>
      <c r="Y98" s="88">
        <f ca="1"/>
        <v>0</v>
      </c>
      <c r="Z98" s="88">
        <f ca="1"/>
        <v>0</v>
      </c>
      <c r="AA98" s="88">
        <f ca="1"/>
        <v>0</v>
      </c>
      <c r="AB98" s="88">
        <f ca="1"/>
        <v>294054.8572651578</v>
      </c>
      <c r="AC98" s="88">
        <f ca="1"/>
        <v>1204254.1700324854</v>
      </c>
      <c r="AD98" s="88">
        <f ca="1"/>
        <v>0</v>
      </c>
      <c r="AE98" s="88">
        <f ca="1"/>
        <v>0</v>
      </c>
      <c r="AF98" s="88">
        <f ca="1"/>
        <v>0</v>
      </c>
      <c r="AG98" s="88">
        <f ca="1"/>
        <v>0</v>
      </c>
      <c r="AH98" s="88">
        <f ca="1"/>
        <v>11317307.691799998</v>
      </c>
      <c r="AI98" s="88">
        <f ca="1"/>
        <v>0</v>
      </c>
      <c r="AJ98" s="88">
        <f ca="1"/>
        <v>0</v>
      </c>
      <c r="AK98" s="88">
        <f ca="1"/>
        <v>28960.18427496581</v>
      </c>
      <c r="AL98" s="88">
        <f ca="1"/>
        <v>1985.8926720000002</v>
      </c>
      <c r="AM98" s="195">
        <f ca="1"/>
        <v>0</v>
      </c>
      <c r="AN98" s="195">
        <f ca="1"/>
        <v>0</v>
      </c>
      <c r="AO98" s="195">
        <f ca="1"/>
        <v>0</v>
      </c>
      <c r="AP98" s="443">
        <f ca="1"/>
        <v>0</v>
      </c>
      <c r="AQ98" s="195">
        <f ca="1"/>
        <v>137169.57865000001</v>
      </c>
      <c r="AR98" s="195">
        <f ca="1"/>
        <v>0</v>
      </c>
      <c r="AS98" s="195">
        <f ca="1"/>
        <v>59338.085089190172</v>
      </c>
      <c r="AT98" s="195">
        <f ca="1"/>
        <v>24102.365510213636</v>
      </c>
      <c r="AU98" s="195">
        <f ca="1"/>
        <v>78535.95207192481</v>
      </c>
      <c r="AV98" s="195">
        <f ca="1"/>
        <v>100548.62003999999</v>
      </c>
      <c r="AW98" s="195">
        <f ca="1"/>
        <v>0</v>
      </c>
      <c r="AX98" s="195">
        <f ca="1"/>
        <v>0</v>
      </c>
      <c r="AY98" s="195">
        <f ca="1"/>
        <v>0</v>
      </c>
      <c r="AZ98" s="195">
        <f ca="1"/>
        <v>0</v>
      </c>
      <c r="BA98" s="195">
        <f ca="1"/>
        <v>23651.809513626558</v>
      </c>
      <c r="BB98" s="195">
        <f ca="1"/>
        <v>106357.76334378001</v>
      </c>
      <c r="BC98" s="195">
        <f ca="1"/>
        <v>0</v>
      </c>
      <c r="BD98" s="195">
        <f ca="1"/>
        <v>52083.586164132001</v>
      </c>
      <c r="BE98" s="195">
        <f ca="1"/>
        <v>0</v>
      </c>
    </row>
    <row r="99" spans="1:57" s="195" customFormat="1" x14ac:dyDescent="0.2">
      <c r="A99" s="34"/>
      <c r="B99" s="93">
        <v>48</v>
      </c>
      <c r="C99" s="166">
        <f ca="1"/>
        <v>0</v>
      </c>
      <c r="D99" s="177">
        <f ca="1"/>
        <v>0</v>
      </c>
      <c r="E99" s="177">
        <f ca="1"/>
        <v>0</v>
      </c>
      <c r="F99" s="167">
        <f ca="1"/>
        <v>0</v>
      </c>
      <c r="G99" s="33"/>
      <c r="H99" s="34"/>
      <c r="I99" s="33"/>
      <c r="J99" s="94">
        <f ca="1"/>
        <v>0</v>
      </c>
      <c r="K99" s="94">
        <f ca="1"/>
        <v>0</v>
      </c>
      <c r="L99" s="385"/>
      <c r="M99" s="94">
        <f ca="1"/>
        <v>17642889.190000001</v>
      </c>
      <c r="N99" s="94">
        <f ca="1"/>
        <v>14506778.472090825</v>
      </c>
      <c r="O99" s="95">
        <f ca="1"/>
        <v>-3136110.7179091759</v>
      </c>
      <c r="P99" s="33"/>
      <c r="Q99" s="362">
        <f ca="1"/>
        <v>0</v>
      </c>
      <c r="R99" s="307">
        <f ca="1"/>
        <v>0</v>
      </c>
      <c r="S99" s="307">
        <f ca="1"/>
        <v>0</v>
      </c>
      <c r="T99" s="308">
        <f ca="1"/>
        <v>0</v>
      </c>
      <c r="U99" s="92">
        <f ca="1"/>
        <v>43801</v>
      </c>
      <c r="V99" s="306">
        <f ca="1"/>
        <v>100159.82196539067</v>
      </c>
      <c r="W99" s="87">
        <f ca="1"/>
        <v>0</v>
      </c>
      <c r="X99" s="88">
        <f ca="1"/>
        <v>0</v>
      </c>
      <c r="Y99" s="88">
        <f ca="1"/>
        <v>0</v>
      </c>
      <c r="Z99" s="88">
        <f ca="1"/>
        <v>0</v>
      </c>
      <c r="AA99" s="88">
        <f ca="1"/>
        <v>0</v>
      </c>
      <c r="AB99" s="88">
        <f ca="1"/>
        <v>185957.66655810035</v>
      </c>
      <c r="AC99" s="88">
        <f ca="1"/>
        <v>1005968.7028229148</v>
      </c>
      <c r="AD99" s="88">
        <f ca="1"/>
        <v>0</v>
      </c>
      <c r="AE99" s="88">
        <f ca="1"/>
        <v>0</v>
      </c>
      <c r="AF99" s="88">
        <f ca="1"/>
        <v>0</v>
      </c>
      <c r="AG99" s="88">
        <f ca="1"/>
        <v>0</v>
      </c>
      <c r="AH99" s="88">
        <f ca="1"/>
        <v>12057692.3082</v>
      </c>
      <c r="AI99" s="88">
        <f ca="1"/>
        <v>0</v>
      </c>
      <c r="AJ99" s="88">
        <f ca="1"/>
        <v>0</v>
      </c>
      <c r="AK99" s="88">
        <f ca="1"/>
        <v>32635.246190603477</v>
      </c>
      <c r="AL99" s="88">
        <f ca="1"/>
        <v>0</v>
      </c>
      <c r="AM99" s="195">
        <f ca="1"/>
        <v>0</v>
      </c>
      <c r="AN99" s="195">
        <f ca="1"/>
        <v>0</v>
      </c>
      <c r="AO99" s="195">
        <f ca="1"/>
        <v>621273.35385000007</v>
      </c>
      <c r="AP99" s="443">
        <f ca="1"/>
        <v>0</v>
      </c>
      <c r="AQ99" s="195">
        <f ca="1"/>
        <v>15975.563955000001</v>
      </c>
      <c r="AR99" s="195">
        <f ca="1"/>
        <v>0</v>
      </c>
      <c r="AS99" s="195">
        <f ca="1"/>
        <v>65099.4461602952</v>
      </c>
      <c r="AT99" s="195">
        <f ca="1"/>
        <v>24263.525458974204</v>
      </c>
      <c r="AU99" s="195">
        <f ca="1"/>
        <v>107208.97478625122</v>
      </c>
      <c r="AV99" s="195">
        <f ca="1"/>
        <v>67240.158458000005</v>
      </c>
      <c r="AW99" s="195">
        <f ca="1"/>
        <v>0</v>
      </c>
      <c r="AX99" s="195">
        <f ca="1"/>
        <v>0</v>
      </c>
      <c r="AY99" s="195">
        <f ca="1"/>
        <v>0</v>
      </c>
      <c r="AZ99" s="195">
        <f ca="1"/>
        <v>0</v>
      </c>
      <c r="BA99" s="195">
        <f ca="1"/>
        <v>36026.3259673664</v>
      </c>
      <c r="BB99" s="195">
        <f ca="1"/>
        <v>145265.70454298001</v>
      </c>
      <c r="BC99" s="195">
        <f ca="1"/>
        <v>0</v>
      </c>
      <c r="BD99" s="195">
        <f ca="1"/>
        <v>42011.673174948002</v>
      </c>
      <c r="BE99" s="195">
        <f ca="1"/>
        <v>0</v>
      </c>
    </row>
    <row r="100" spans="1:57" s="195" customFormat="1" x14ac:dyDescent="0.2">
      <c r="A100" s="34"/>
      <c r="B100" s="93">
        <v>49</v>
      </c>
      <c r="C100" s="166">
        <f ca="1"/>
        <v>0</v>
      </c>
      <c r="D100" s="177">
        <f ca="1"/>
        <v>0</v>
      </c>
      <c r="E100" s="177">
        <f ca="1"/>
        <v>0</v>
      </c>
      <c r="F100" s="167">
        <f ca="1"/>
        <v>0</v>
      </c>
      <c r="G100" s="33"/>
      <c r="H100" s="34"/>
      <c r="I100" s="33"/>
      <c r="J100" s="94">
        <f ca="1"/>
        <v>0</v>
      </c>
      <c r="K100" s="94">
        <f ca="1"/>
        <v>0</v>
      </c>
      <c r="L100" s="385"/>
      <c r="M100" s="94">
        <f ca="1"/>
        <v>17787325.870000001</v>
      </c>
      <c r="N100" s="94">
        <f ca="1"/>
        <v>16502775.734518608</v>
      </c>
      <c r="O100" s="95">
        <f ca="1"/>
        <v>-1284550.135481393</v>
      </c>
      <c r="P100" s="33"/>
      <c r="Q100" s="362">
        <f ca="1"/>
        <v>0</v>
      </c>
      <c r="R100" s="307">
        <f ca="1"/>
        <v>0</v>
      </c>
      <c r="S100" s="307">
        <f ca="1"/>
        <v>0</v>
      </c>
      <c r="T100" s="308">
        <f ca="1"/>
        <v>0</v>
      </c>
      <c r="U100" s="92">
        <f ca="1"/>
        <v>43808</v>
      </c>
      <c r="V100" s="306">
        <f ca="1"/>
        <v>100159.82196539067</v>
      </c>
      <c r="W100" s="87">
        <f ca="1"/>
        <v>0</v>
      </c>
      <c r="X100" s="88">
        <f ca="1"/>
        <v>0</v>
      </c>
      <c r="Y100" s="88">
        <f ca="1"/>
        <v>0</v>
      </c>
      <c r="Z100" s="88">
        <f ca="1"/>
        <v>0</v>
      </c>
      <c r="AA100" s="88">
        <f ca="1"/>
        <v>0</v>
      </c>
      <c r="AB100" s="88">
        <f ca="1"/>
        <v>381916.55310283182</v>
      </c>
      <c r="AC100" s="88">
        <f ca="1"/>
        <v>840959.0384070914</v>
      </c>
      <c r="AD100" s="88">
        <f ca="1"/>
        <v>0</v>
      </c>
      <c r="AE100" s="88">
        <f ca="1"/>
        <v>0</v>
      </c>
      <c r="AF100" s="88">
        <f ca="1"/>
        <v>0</v>
      </c>
      <c r="AG100" s="88">
        <f ca="1"/>
        <v>0</v>
      </c>
      <c r="AH100" s="88">
        <f ca="1"/>
        <v>13538461.538799999</v>
      </c>
      <c r="AI100" s="88">
        <f ca="1"/>
        <v>0</v>
      </c>
      <c r="AJ100" s="88">
        <f ca="1"/>
        <v>0</v>
      </c>
      <c r="AK100" s="88">
        <f ca="1"/>
        <v>32085.606917068337</v>
      </c>
      <c r="AL100" s="88">
        <f ca="1"/>
        <v>0</v>
      </c>
      <c r="AM100" s="195">
        <f ca="1"/>
        <v>0</v>
      </c>
      <c r="AN100" s="195">
        <f ca="1"/>
        <v>0</v>
      </c>
      <c r="AO100" s="195">
        <f ca="1"/>
        <v>621273.35385000007</v>
      </c>
      <c r="AP100" s="443">
        <f ca="1"/>
        <v>0</v>
      </c>
      <c r="AQ100" s="195">
        <f ca="1"/>
        <v>0</v>
      </c>
      <c r="AR100" s="195">
        <f ca="1"/>
        <v>0</v>
      </c>
      <c r="AS100" s="195">
        <f ca="1"/>
        <v>326622.59295702283</v>
      </c>
      <c r="AT100" s="195">
        <f ca="1"/>
        <v>24537.849634050242</v>
      </c>
      <c r="AU100" s="195">
        <f ca="1"/>
        <v>95789.627752636807</v>
      </c>
      <c r="AV100" s="195">
        <f ca="1"/>
        <v>55551.035122000001</v>
      </c>
      <c r="AW100" s="195">
        <f ca="1"/>
        <v>0</v>
      </c>
      <c r="AX100" s="195">
        <f ca="1"/>
        <v>0</v>
      </c>
      <c r="AY100" s="195">
        <f ca="1"/>
        <v>0</v>
      </c>
      <c r="AZ100" s="195">
        <f ca="1"/>
        <v>0</v>
      </c>
      <c r="BA100" s="195">
        <f ca="1"/>
        <v>59175.690915763196</v>
      </c>
      <c r="BB100" s="195">
        <f ca="1"/>
        <v>310098.44268909999</v>
      </c>
      <c r="BC100" s="195">
        <f ca="1"/>
        <v>0</v>
      </c>
      <c r="BD100" s="195">
        <f ca="1"/>
        <v>116144.58240565201</v>
      </c>
      <c r="BE100" s="195">
        <f ca="1"/>
        <v>0</v>
      </c>
    </row>
    <row r="101" spans="1:57" s="195" customFormat="1" x14ac:dyDescent="0.2">
      <c r="A101" s="34"/>
      <c r="B101" s="93">
        <v>50</v>
      </c>
      <c r="C101" s="166">
        <f ca="1"/>
        <v>0</v>
      </c>
      <c r="D101" s="177">
        <f ca="1"/>
        <v>0</v>
      </c>
      <c r="E101" s="177">
        <f ca="1"/>
        <v>0</v>
      </c>
      <c r="F101" s="167">
        <f ca="1"/>
        <v>0</v>
      </c>
      <c r="G101" s="33"/>
      <c r="H101" s="34"/>
      <c r="I101" s="33"/>
      <c r="J101" s="94">
        <f ca="1"/>
        <v>0</v>
      </c>
      <c r="K101" s="94">
        <f ca="1"/>
        <v>0</v>
      </c>
      <c r="L101" s="385"/>
      <c r="M101" s="94">
        <f ca="1"/>
        <v>20681419.510000002</v>
      </c>
      <c r="N101" s="94">
        <f ca="1"/>
        <v>21102609.175834499</v>
      </c>
      <c r="O101" s="95">
        <f ca="1"/>
        <v>421189.66583449766</v>
      </c>
      <c r="P101" s="33"/>
      <c r="Q101" s="362">
        <f ca="1"/>
        <v>0</v>
      </c>
      <c r="R101" s="307">
        <f ca="1"/>
        <v>0</v>
      </c>
      <c r="S101" s="307">
        <f ca="1"/>
        <v>0</v>
      </c>
      <c r="T101" s="308">
        <f ca="1"/>
        <v>0</v>
      </c>
      <c r="U101" s="92">
        <f ca="1"/>
        <v>43815</v>
      </c>
      <c r="V101" s="306">
        <f ca="1"/>
        <v>100159.82196539067</v>
      </c>
      <c r="W101" s="87">
        <f ca="1"/>
        <v>0</v>
      </c>
      <c r="X101" s="88">
        <f ca="1"/>
        <v>0</v>
      </c>
      <c r="Y101" s="88">
        <f ca="1"/>
        <v>0</v>
      </c>
      <c r="Z101" s="88">
        <f ca="1"/>
        <v>0</v>
      </c>
      <c r="AA101" s="88">
        <f ca="1"/>
        <v>0</v>
      </c>
      <c r="AB101" s="88">
        <f ca="1"/>
        <v>801972.10837274918</v>
      </c>
      <c r="AC101" s="88">
        <f ca="1"/>
        <v>831467.75340744737</v>
      </c>
      <c r="AD101" s="88">
        <f ca="1"/>
        <v>0</v>
      </c>
      <c r="AE101" s="88">
        <f ca="1"/>
        <v>0</v>
      </c>
      <c r="AF101" s="88">
        <f ca="1"/>
        <v>0</v>
      </c>
      <c r="AG101" s="88">
        <f ca="1"/>
        <v>0</v>
      </c>
      <c r="AH101" s="88">
        <f ca="1"/>
        <v>17980769.230599999</v>
      </c>
      <c r="AI101" s="88">
        <f ca="1"/>
        <v>0</v>
      </c>
      <c r="AJ101" s="88">
        <f ca="1"/>
        <v>0</v>
      </c>
      <c r="AK101" s="88">
        <f ca="1"/>
        <v>34872.769820617781</v>
      </c>
      <c r="AL101" s="88">
        <f ca="1"/>
        <v>0</v>
      </c>
      <c r="AM101" s="195">
        <f ca="1"/>
        <v>0</v>
      </c>
      <c r="AN101" s="195">
        <f ca="1"/>
        <v>0</v>
      </c>
      <c r="AO101" s="195">
        <f ca="1"/>
        <v>621273.35385000007</v>
      </c>
      <c r="AP101" s="443">
        <f ca="1"/>
        <v>0</v>
      </c>
      <c r="AQ101" s="195">
        <f ca="1"/>
        <v>0</v>
      </c>
      <c r="AR101" s="195">
        <f ca="1"/>
        <v>0</v>
      </c>
      <c r="AS101" s="195">
        <f ca="1"/>
        <v>148686.39182000433</v>
      </c>
      <c r="AT101" s="195">
        <f ca="1"/>
        <v>18652.135695029927</v>
      </c>
      <c r="AU101" s="195">
        <f ca="1"/>
        <v>89353.556115864005</v>
      </c>
      <c r="AV101" s="195">
        <f ca="1"/>
        <v>43155.578532</v>
      </c>
      <c r="AW101" s="195">
        <f ca="1"/>
        <v>0</v>
      </c>
      <c r="AX101" s="195">
        <f ca="1"/>
        <v>0</v>
      </c>
      <c r="AY101" s="195">
        <f ca="1"/>
        <v>0</v>
      </c>
      <c r="AZ101" s="195">
        <f ca="1"/>
        <v>0</v>
      </c>
      <c r="BA101" s="195">
        <f ca="1"/>
        <v>67891.740810902396</v>
      </c>
      <c r="BB101" s="195">
        <f ca="1"/>
        <v>184693.58393091999</v>
      </c>
      <c r="BC101" s="195">
        <f ca="1"/>
        <v>0</v>
      </c>
      <c r="BD101" s="195">
        <f ca="1"/>
        <v>179661.150913572</v>
      </c>
      <c r="BE101" s="195">
        <f ca="1"/>
        <v>0</v>
      </c>
    </row>
    <row r="102" spans="1:57" s="195" customFormat="1" x14ac:dyDescent="0.2">
      <c r="A102" s="34"/>
      <c r="B102" s="93">
        <v>51</v>
      </c>
      <c r="C102" s="166">
        <f ca="1"/>
        <v>0</v>
      </c>
      <c r="D102" s="177">
        <f ca="1"/>
        <v>0</v>
      </c>
      <c r="E102" s="177">
        <f ca="1"/>
        <v>0</v>
      </c>
      <c r="F102" s="167">
        <f ca="1"/>
        <v>0</v>
      </c>
      <c r="G102" s="33"/>
      <c r="H102" s="34"/>
      <c r="I102" s="33"/>
      <c r="J102" s="94">
        <f ca="1"/>
        <v>0</v>
      </c>
      <c r="K102" s="94">
        <f ca="1"/>
        <v>0</v>
      </c>
      <c r="L102" s="385"/>
      <c r="M102" s="94">
        <f ca="1"/>
        <v>14988373.890000001</v>
      </c>
      <c r="N102" s="94">
        <f ca="1"/>
        <v>15369713.676746801</v>
      </c>
      <c r="O102" s="95">
        <f ca="1"/>
        <v>381339.78674679995</v>
      </c>
      <c r="P102" s="33"/>
      <c r="Q102" s="362">
        <f ca="1"/>
        <v>0</v>
      </c>
      <c r="R102" s="307">
        <f ca="1"/>
        <v>0</v>
      </c>
      <c r="S102" s="307">
        <f ca="1"/>
        <v>0</v>
      </c>
      <c r="T102" s="308">
        <f ca="1"/>
        <v>0</v>
      </c>
      <c r="U102" s="92">
        <f ca="1"/>
        <v>43822</v>
      </c>
      <c r="V102" s="306">
        <f ca="1"/>
        <v>100159.82196539067</v>
      </c>
      <c r="W102" s="87">
        <f ca="1"/>
        <v>0</v>
      </c>
      <c r="X102" s="88">
        <f ca="1"/>
        <v>0</v>
      </c>
      <c r="Y102" s="88">
        <f ca="1"/>
        <v>-1294895.2282124299</v>
      </c>
      <c r="Z102" s="88">
        <f ca="1"/>
        <v>0</v>
      </c>
      <c r="AA102" s="88">
        <f ca="1"/>
        <v>0</v>
      </c>
      <c r="AB102" s="88">
        <f ca="1"/>
        <v>332888.70828919706</v>
      </c>
      <c r="AC102" s="88">
        <f ca="1"/>
        <v>955253.63899905758</v>
      </c>
      <c r="AD102" s="88">
        <f ca="1"/>
        <v>0</v>
      </c>
      <c r="AE102" s="88">
        <f ca="1"/>
        <v>0</v>
      </c>
      <c r="AF102" s="88">
        <f ca="1"/>
        <v>0</v>
      </c>
      <c r="AG102" s="88">
        <f ca="1"/>
        <v>0</v>
      </c>
      <c r="AH102" s="88">
        <f ca="1"/>
        <v>14596153.846999999</v>
      </c>
      <c r="AI102" s="88">
        <f ca="1"/>
        <v>0</v>
      </c>
      <c r="AJ102" s="88">
        <f ca="1"/>
        <v>0</v>
      </c>
      <c r="AK102" s="88">
        <f ca="1"/>
        <v>38041.85630840042</v>
      </c>
      <c r="AL102" s="88">
        <f ca="1"/>
        <v>0</v>
      </c>
      <c r="AM102" s="195">
        <f ca="1"/>
        <v>0</v>
      </c>
      <c r="AN102" s="195">
        <f ca="1"/>
        <v>0</v>
      </c>
      <c r="AO102" s="195">
        <f ca="1"/>
        <v>0</v>
      </c>
      <c r="AP102" s="443">
        <f ca="1"/>
        <v>0</v>
      </c>
      <c r="AQ102" s="195">
        <f ca="1"/>
        <v>0</v>
      </c>
      <c r="AR102" s="195">
        <f ca="1"/>
        <v>0</v>
      </c>
      <c r="AS102" s="195">
        <f ca="1"/>
        <v>148686.22780144395</v>
      </c>
      <c r="AT102" s="195">
        <f ca="1"/>
        <v>18846.760551183394</v>
      </c>
      <c r="AU102" s="195">
        <f ca="1"/>
        <v>91923.707554992012</v>
      </c>
      <c r="AV102" s="195">
        <f ca="1"/>
        <v>58140.92383</v>
      </c>
      <c r="AW102" s="195">
        <f ca="1"/>
        <v>18093.873674119321</v>
      </c>
      <c r="AX102" s="195">
        <f ca="1"/>
        <v>38.191557499999995</v>
      </c>
      <c r="AY102" s="195">
        <f ca="1"/>
        <v>0</v>
      </c>
      <c r="AZ102" s="195">
        <f ca="1"/>
        <v>0</v>
      </c>
      <c r="BA102" s="195">
        <f ca="1"/>
        <v>77750.148661980798</v>
      </c>
      <c r="BB102" s="195">
        <f ca="1"/>
        <v>41711.011466206</v>
      </c>
      <c r="BC102" s="195">
        <f ca="1"/>
        <v>0</v>
      </c>
      <c r="BD102" s="195">
        <f ca="1"/>
        <v>186920.18729976</v>
      </c>
      <c r="BE102" s="195">
        <f ca="1"/>
        <v>0</v>
      </c>
    </row>
    <row r="103" spans="1:57" s="195" customFormat="1" x14ac:dyDescent="0.2">
      <c r="A103" s="34"/>
      <c r="B103" s="93">
        <v>52</v>
      </c>
      <c r="C103" s="166">
        <f ca="1"/>
        <v>0</v>
      </c>
      <c r="D103" s="177">
        <f ca="1"/>
        <v>0</v>
      </c>
      <c r="E103" s="177">
        <f ca="1"/>
        <v>0</v>
      </c>
      <c r="F103" s="167">
        <f ca="1"/>
        <v>0</v>
      </c>
      <c r="G103" s="33"/>
      <c r="H103" s="34"/>
      <c r="I103" s="33"/>
      <c r="J103" s="94">
        <f ca="1"/>
        <v>0</v>
      </c>
      <c r="K103" s="94">
        <f ca="1"/>
        <v>0</v>
      </c>
      <c r="L103" s="385"/>
      <c r="M103" s="94">
        <f ca="1"/>
        <v>7394759.4119999995</v>
      </c>
      <c r="N103" s="94">
        <f ca="1"/>
        <v>8164681.1130869566</v>
      </c>
      <c r="O103" s="95">
        <f ca="1"/>
        <v>769921.70108695701</v>
      </c>
      <c r="P103" s="33"/>
      <c r="Q103" s="362">
        <f ca="1"/>
        <v>0</v>
      </c>
      <c r="R103" s="307">
        <f ca="1"/>
        <v>0</v>
      </c>
      <c r="S103" s="307">
        <f ca="1"/>
        <v>0</v>
      </c>
      <c r="T103" s="308">
        <f ca="1"/>
        <v>0</v>
      </c>
      <c r="U103" s="92">
        <f ca="1"/>
        <v>43829</v>
      </c>
      <c r="V103" s="306">
        <f ca="1"/>
        <v>100159.82196539067</v>
      </c>
      <c r="W103" s="87">
        <f ca="1"/>
        <v>0</v>
      </c>
      <c r="X103" s="88">
        <f ca="1"/>
        <v>0</v>
      </c>
      <c r="Y103" s="88">
        <f ca="1"/>
        <v>0</v>
      </c>
      <c r="Z103" s="88">
        <f ca="1"/>
        <v>0</v>
      </c>
      <c r="AA103" s="88">
        <f ca="1"/>
        <v>0</v>
      </c>
      <c r="AB103" s="88">
        <f ca="1"/>
        <v>80027.023218687682</v>
      </c>
      <c r="AC103" s="88">
        <f ca="1"/>
        <v>799235.62102609128</v>
      </c>
      <c r="AD103" s="88">
        <f ca="1"/>
        <v>0</v>
      </c>
      <c r="AE103" s="88">
        <f ca="1"/>
        <v>0</v>
      </c>
      <c r="AF103" s="88">
        <f ca="1"/>
        <v>0</v>
      </c>
      <c r="AG103" s="88">
        <f ca="1"/>
        <v>0</v>
      </c>
      <c r="AH103" s="88">
        <f ca="1"/>
        <v>6846411.9151999997</v>
      </c>
      <c r="AI103" s="88">
        <f ca="1"/>
        <v>0</v>
      </c>
      <c r="AJ103" s="88">
        <f ca="1"/>
        <v>0</v>
      </c>
      <c r="AK103" s="88">
        <f ca="1"/>
        <v>34388.740898615011</v>
      </c>
      <c r="AL103" s="88">
        <f ca="1"/>
        <v>0</v>
      </c>
      <c r="AM103" s="195">
        <f ca="1"/>
        <v>0</v>
      </c>
      <c r="AN103" s="195">
        <f ca="1"/>
        <v>0</v>
      </c>
      <c r="AO103" s="195">
        <f ca="1"/>
        <v>0</v>
      </c>
      <c r="AP103" s="443">
        <f ca="1"/>
        <v>0</v>
      </c>
      <c r="AQ103" s="195">
        <f ca="1"/>
        <v>0</v>
      </c>
      <c r="AR103" s="195">
        <f ca="1"/>
        <v>0</v>
      </c>
      <c r="AS103" s="195">
        <f ca="1"/>
        <v>60059.820279309446</v>
      </c>
      <c r="AT103" s="195">
        <f ca="1"/>
        <v>20720.501800035334</v>
      </c>
      <c r="AU103" s="195">
        <f ca="1"/>
        <v>97107.661626624016</v>
      </c>
      <c r="AV103" s="195">
        <f ca="1"/>
        <v>57032.950040000003</v>
      </c>
      <c r="AW103" s="195">
        <f ca="1"/>
        <v>0</v>
      </c>
      <c r="AX103" s="195">
        <f ca="1"/>
        <v>0</v>
      </c>
      <c r="AY103" s="195">
        <f ca="1"/>
        <v>0</v>
      </c>
      <c r="AZ103" s="195">
        <f ca="1"/>
        <v>0</v>
      </c>
      <c r="BA103" s="195">
        <f ca="1"/>
        <v>22927.401316039999</v>
      </c>
      <c r="BB103" s="195">
        <f ca="1"/>
        <v>0</v>
      </c>
      <c r="BC103" s="195">
        <f ca="1"/>
        <v>0</v>
      </c>
      <c r="BD103" s="195">
        <f ca="1"/>
        <v>46609.655716164001</v>
      </c>
      <c r="BE103" s="195">
        <f ca="1"/>
        <v>0</v>
      </c>
    </row>
    <row r="104" spans="1:57" s="195" customFormat="1" x14ac:dyDescent="0.2">
      <c r="A104" s="34"/>
      <c r="B104" s="93">
        <v>53</v>
      </c>
      <c r="C104" s="166">
        <f ca="1"/>
        <v>26474131.344599999</v>
      </c>
      <c r="D104" s="177">
        <f ca="1"/>
        <v>0</v>
      </c>
      <c r="E104" s="177">
        <f ca="1"/>
        <v>0</v>
      </c>
      <c r="F104" s="167">
        <f ca="1"/>
        <v>0</v>
      </c>
      <c r="G104" s="33"/>
      <c r="H104" s="34"/>
      <c r="I104" s="33"/>
      <c r="J104" s="94">
        <f ca="1"/>
        <v>0</v>
      </c>
      <c r="K104" s="94">
        <f ca="1"/>
        <v>0</v>
      </c>
      <c r="L104" s="385"/>
      <c r="M104" s="94">
        <f ca="1"/>
        <v>6128183.483</v>
      </c>
      <c r="N104" s="94">
        <f ca="1"/>
        <v>6228343.3034927109</v>
      </c>
      <c r="O104" s="95">
        <f ca="1"/>
        <v>100159.82049271092</v>
      </c>
      <c r="P104" s="33"/>
      <c r="Q104" s="362">
        <f ca="1"/>
        <v>1</v>
      </c>
      <c r="R104" s="307">
        <f ca="1"/>
        <v>0</v>
      </c>
      <c r="S104" s="307">
        <f ca="1"/>
        <v>0</v>
      </c>
      <c r="T104" s="308">
        <f ca="1"/>
        <v>0</v>
      </c>
      <c r="U104" s="92">
        <f ca="1"/>
        <v>43836</v>
      </c>
      <c r="V104" s="306">
        <f ca="1"/>
        <v>100159.82196539067</v>
      </c>
      <c r="W104" s="87">
        <f ca="1"/>
        <v>0</v>
      </c>
      <c r="X104" s="88">
        <f ca="1"/>
        <v>0</v>
      </c>
      <c r="Y104" s="88">
        <f ca="1"/>
        <v>0</v>
      </c>
      <c r="Z104" s="88">
        <f ca="1"/>
        <v>0</v>
      </c>
      <c r="AA104" s="88">
        <f ca="1"/>
        <v>0</v>
      </c>
      <c r="AB104" s="88">
        <f ca="1"/>
        <v>260694.91907902586</v>
      </c>
      <c r="AC104" s="88">
        <f ca="1"/>
        <v>761534.85807690921</v>
      </c>
      <c r="AD104" s="88">
        <f ca="1"/>
        <v>0</v>
      </c>
      <c r="AE104" s="88">
        <f ca="1"/>
        <v>-488630.62359644601</v>
      </c>
      <c r="AF104" s="88">
        <f ca="1"/>
        <v>0</v>
      </c>
      <c r="AG104" s="88">
        <f ca="1"/>
        <v>0</v>
      </c>
      <c r="AH104" s="88">
        <f ca="1"/>
        <v>5406639.8870000001</v>
      </c>
      <c r="AI104" s="88">
        <f ca="1"/>
        <v>0</v>
      </c>
      <c r="AJ104" s="88">
        <f ca="1"/>
        <v>0</v>
      </c>
      <c r="AK104" s="88">
        <f ca="1"/>
        <v>35260.61075657497</v>
      </c>
      <c r="AL104" s="88">
        <f ca="1"/>
        <v>0</v>
      </c>
      <c r="AM104" s="195">
        <f ca="1"/>
        <v>0</v>
      </c>
      <c r="AN104" s="195">
        <f ca="1"/>
        <v>0</v>
      </c>
      <c r="AO104" s="195">
        <f ca="1"/>
        <v>0</v>
      </c>
      <c r="AP104" s="443">
        <f ca="1"/>
        <v>0</v>
      </c>
      <c r="AQ104" s="195">
        <f ca="1"/>
        <v>0</v>
      </c>
      <c r="AR104" s="195">
        <f ca="1"/>
        <v>0</v>
      </c>
      <c r="AS104" s="195">
        <f ca="1"/>
        <v>8949.1923831715831</v>
      </c>
      <c r="AT104" s="195">
        <f ca="1"/>
        <v>17653.325636745161</v>
      </c>
      <c r="AU104" s="195">
        <f ca="1"/>
        <v>88160.909759337606</v>
      </c>
      <c r="AV104" s="195">
        <f ca="1"/>
        <v>37920.402431999995</v>
      </c>
      <c r="AW104" s="195">
        <f ca="1"/>
        <v>0</v>
      </c>
      <c r="AX104" s="195">
        <f ca="1"/>
        <v>0</v>
      </c>
      <c r="AY104" s="195">
        <f ca="1"/>
        <v>0</v>
      </c>
      <c r="AZ104" s="195">
        <f ca="1"/>
        <v>0</v>
      </c>
      <c r="BA104" s="195">
        <f ca="1"/>
        <v>0</v>
      </c>
      <c r="BB104" s="195">
        <f ca="1"/>
        <v>0</v>
      </c>
      <c r="BC104" s="195">
        <f ca="1"/>
        <v>0</v>
      </c>
      <c r="BD104" s="195">
        <f ca="1"/>
        <v>0</v>
      </c>
      <c r="BE104" s="195">
        <f ca="1"/>
        <v>0</v>
      </c>
    </row>
    <row r="105" spans="1:57" s="195" customFormat="1" x14ac:dyDescent="0.2">
      <c r="A105" s="34"/>
      <c r="B105" s="93">
        <v>54</v>
      </c>
      <c r="C105" s="166">
        <f ca="1"/>
        <v>26474131.344599999</v>
      </c>
      <c r="D105" s="177">
        <f ca="1"/>
        <v>0</v>
      </c>
      <c r="E105" s="177">
        <f ca="1"/>
        <v>0</v>
      </c>
      <c r="F105" s="167">
        <f ca="1"/>
        <v>0</v>
      </c>
      <c r="G105" s="33"/>
      <c r="H105" s="34"/>
      <c r="I105" s="33"/>
      <c r="J105" s="94">
        <f ca="1"/>
        <v>0</v>
      </c>
      <c r="K105" s="94">
        <f ca="1"/>
        <v>0</v>
      </c>
      <c r="L105" s="385"/>
      <c r="M105" s="94">
        <f ca="1"/>
        <v>6077461.2920000004</v>
      </c>
      <c r="N105" s="94">
        <f ca="1"/>
        <v>6987917.9832904525</v>
      </c>
      <c r="O105" s="95">
        <f ca="1"/>
        <v>910456.69129045215</v>
      </c>
      <c r="P105" s="33"/>
      <c r="Q105" s="362">
        <f ca="1"/>
        <v>1</v>
      </c>
      <c r="R105" s="307">
        <f ca="1"/>
        <v>0</v>
      </c>
      <c r="S105" s="307">
        <f ca="1"/>
        <v>0</v>
      </c>
      <c r="T105" s="308">
        <f ca="1"/>
        <v>0</v>
      </c>
      <c r="U105" s="92">
        <f ca="1"/>
        <v>43843</v>
      </c>
      <c r="V105" s="306">
        <f ca="1"/>
        <v>100159.82196539067</v>
      </c>
      <c r="W105" s="87">
        <f ca="1"/>
        <v>0</v>
      </c>
      <c r="X105" s="88">
        <f ca="1"/>
        <v>0</v>
      </c>
      <c r="Y105" s="88">
        <f ca="1"/>
        <v>0</v>
      </c>
      <c r="Z105" s="88">
        <f ca="1"/>
        <v>0</v>
      </c>
      <c r="AA105" s="88">
        <f ca="1"/>
        <v>0</v>
      </c>
      <c r="AB105" s="88">
        <f ca="1"/>
        <v>248921.33099349806</v>
      </c>
      <c r="AC105" s="88">
        <f ca="1"/>
        <v>757658.86943486554</v>
      </c>
      <c r="AD105" s="88">
        <f ca="1"/>
        <v>0</v>
      </c>
      <c r="AE105" s="88">
        <f ca="1"/>
        <v>0</v>
      </c>
      <c r="AF105" s="88">
        <f ca="1"/>
        <v>0</v>
      </c>
      <c r="AG105" s="88">
        <f ca="1"/>
        <v>0</v>
      </c>
      <c r="AH105" s="88">
        <f ca="1"/>
        <v>5524999.4469999997</v>
      </c>
      <c r="AI105" s="88">
        <f ca="1"/>
        <v>0</v>
      </c>
      <c r="AJ105" s="88">
        <f ca="1"/>
        <v>0</v>
      </c>
      <c r="AK105" s="88">
        <f ca="1"/>
        <v>35074.465606831895</v>
      </c>
      <c r="AL105" s="88">
        <f ca="1"/>
        <v>0</v>
      </c>
      <c r="AM105" s="195">
        <f ca="1"/>
        <v>0</v>
      </c>
      <c r="AN105" s="195">
        <f ca="1"/>
        <v>0</v>
      </c>
      <c r="AO105" s="195">
        <f ca="1"/>
        <v>0</v>
      </c>
      <c r="AP105" s="443">
        <f ca="1"/>
        <v>0</v>
      </c>
      <c r="AQ105" s="195">
        <f ca="1"/>
        <v>149119.9762</v>
      </c>
      <c r="AR105" s="195">
        <f ca="1"/>
        <v>0</v>
      </c>
      <c r="AS105" s="195">
        <f ca="1"/>
        <v>8949.1877352577631</v>
      </c>
      <c r="AT105" s="195">
        <f ca="1"/>
        <v>19814.307340719526</v>
      </c>
      <c r="AU105" s="195">
        <f ca="1"/>
        <v>113443.78181188802</v>
      </c>
      <c r="AV105" s="195">
        <f ca="1"/>
        <v>29776.795202000001</v>
      </c>
      <c r="AW105" s="195">
        <f ca="1"/>
        <v>0</v>
      </c>
      <c r="AX105" s="195">
        <f ca="1"/>
        <v>0</v>
      </c>
      <c r="AY105" s="195">
        <f ca="1"/>
        <v>0</v>
      </c>
      <c r="AZ105" s="195">
        <f ca="1"/>
        <v>0</v>
      </c>
      <c r="BA105" s="195">
        <f ca="1"/>
        <v>0</v>
      </c>
      <c r="BB105" s="195">
        <f ca="1"/>
        <v>0</v>
      </c>
      <c r="BC105" s="195">
        <f ca="1"/>
        <v>0</v>
      </c>
      <c r="BD105" s="195">
        <f ca="1"/>
        <v>0</v>
      </c>
      <c r="BE105" s="195">
        <f ca="1"/>
        <v>0</v>
      </c>
    </row>
    <row r="106" spans="1:57" s="195" customFormat="1" x14ac:dyDescent="0.2">
      <c r="A106" s="34"/>
      <c r="B106" s="93">
        <v>55</v>
      </c>
      <c r="C106" s="166">
        <f ca="1"/>
        <v>26474131.344599999</v>
      </c>
      <c r="D106" s="177">
        <f ca="1"/>
        <v>0</v>
      </c>
      <c r="E106" s="177">
        <f ca="1"/>
        <v>0</v>
      </c>
      <c r="F106" s="167">
        <f ca="1"/>
        <v>0</v>
      </c>
      <c r="G106" s="33"/>
      <c r="H106" s="34"/>
      <c r="I106" s="33"/>
      <c r="J106" s="94">
        <f ca="1"/>
        <v>0</v>
      </c>
      <c r="K106" s="94">
        <f ca="1"/>
        <v>0</v>
      </c>
      <c r="L106" s="385"/>
      <c r="M106" s="94">
        <f ca="1"/>
        <v>7084933.6600000001</v>
      </c>
      <c r="N106" s="94">
        <f ca="1"/>
        <v>7088942.6724703964</v>
      </c>
      <c r="O106" s="95">
        <f ca="1"/>
        <v>4009.0124703962356</v>
      </c>
      <c r="P106" s="33"/>
      <c r="Q106" s="362">
        <f ca="1"/>
        <v>1</v>
      </c>
      <c r="R106" s="307">
        <f ca="1"/>
        <v>0</v>
      </c>
      <c r="S106" s="307">
        <f ca="1"/>
        <v>0</v>
      </c>
      <c r="T106" s="308">
        <f ca="1"/>
        <v>0</v>
      </c>
      <c r="U106" s="92">
        <f ca="1"/>
        <v>43850</v>
      </c>
      <c r="V106" s="306">
        <f ca="1"/>
        <v>100159.82196539067</v>
      </c>
      <c r="W106" s="87">
        <f ca="1"/>
        <v>0</v>
      </c>
      <c r="X106" s="88">
        <f ca="1"/>
        <v>0</v>
      </c>
      <c r="Y106" s="88">
        <f ca="1"/>
        <v>0</v>
      </c>
      <c r="Z106" s="88">
        <f ca="1"/>
        <v>0</v>
      </c>
      <c r="AA106" s="88">
        <f ca="1"/>
        <v>0</v>
      </c>
      <c r="AB106" s="88">
        <f ca="1"/>
        <v>115621.12346454895</v>
      </c>
      <c r="AC106" s="88">
        <f ca="1"/>
        <v>626790.11677066819</v>
      </c>
      <c r="AD106" s="88">
        <f ca="1"/>
        <v>0</v>
      </c>
      <c r="AE106" s="88">
        <f ca="1"/>
        <v>0</v>
      </c>
      <c r="AF106" s="88">
        <f ca="1"/>
        <v>0</v>
      </c>
      <c r="AG106" s="88">
        <f ca="1"/>
        <v>0</v>
      </c>
      <c r="AH106" s="88">
        <f ca="1"/>
        <v>5925954.379399999</v>
      </c>
      <c r="AI106" s="88">
        <f ca="1"/>
        <v>0</v>
      </c>
      <c r="AJ106" s="88">
        <f ca="1"/>
        <v>0</v>
      </c>
      <c r="AK106" s="88">
        <f ca="1"/>
        <v>39027.264870188039</v>
      </c>
      <c r="AL106" s="88">
        <f ca="1"/>
        <v>0</v>
      </c>
      <c r="AM106" s="195">
        <f ca="1"/>
        <v>0</v>
      </c>
      <c r="AN106" s="195">
        <f ca="1"/>
        <v>0</v>
      </c>
      <c r="AO106" s="195">
        <f ca="1"/>
        <v>0</v>
      </c>
      <c r="AP106" s="443">
        <f ca="1"/>
        <v>0</v>
      </c>
      <c r="AQ106" s="195">
        <f ca="1"/>
        <v>61909.065634000006</v>
      </c>
      <c r="AR106" s="195">
        <f ca="1"/>
        <v>0</v>
      </c>
      <c r="AS106" s="195">
        <f ca="1"/>
        <v>8005.5468900492324</v>
      </c>
      <c r="AT106" s="195">
        <f ca="1"/>
        <v>19063.108238627465</v>
      </c>
      <c r="AU106" s="195">
        <f ca="1"/>
        <v>122873.0412169248</v>
      </c>
      <c r="AV106" s="195">
        <f ca="1"/>
        <v>69539.204020000005</v>
      </c>
      <c r="AW106" s="195">
        <f ca="1"/>
        <v>0</v>
      </c>
      <c r="AX106" s="195">
        <f ca="1"/>
        <v>0</v>
      </c>
      <c r="AY106" s="195">
        <f ca="1"/>
        <v>0</v>
      </c>
      <c r="AZ106" s="195">
        <f ca="1"/>
        <v>0</v>
      </c>
      <c r="BA106" s="195">
        <f ca="1"/>
        <v>0</v>
      </c>
      <c r="BB106" s="195">
        <f ca="1"/>
        <v>0</v>
      </c>
      <c r="BC106" s="195">
        <f ca="1"/>
        <v>0</v>
      </c>
      <c r="BD106" s="195">
        <f ca="1"/>
        <v>0</v>
      </c>
      <c r="BE106" s="195">
        <f ca="1"/>
        <v>0</v>
      </c>
    </row>
    <row r="107" spans="1:57" s="195" customFormat="1" x14ac:dyDescent="0.2">
      <c r="A107" s="34"/>
      <c r="B107" s="93">
        <v>56</v>
      </c>
      <c r="C107" s="166">
        <f ca="1"/>
        <v>26474131.344599999</v>
      </c>
      <c r="D107" s="177">
        <f ca="1"/>
        <v>0</v>
      </c>
      <c r="E107" s="177">
        <f ca="1"/>
        <v>0</v>
      </c>
      <c r="F107" s="167">
        <f ca="1"/>
        <v>0</v>
      </c>
      <c r="G107" s="33"/>
      <c r="H107" s="34"/>
      <c r="I107" s="33"/>
      <c r="J107" s="94">
        <f ca="1"/>
        <v>0</v>
      </c>
      <c r="K107" s="94">
        <f ca="1"/>
        <v>0</v>
      </c>
      <c r="L107" s="385"/>
      <c r="M107" s="94">
        <f ca="1"/>
        <v>6811065.7240000004</v>
      </c>
      <c r="N107" s="94">
        <f ca="1"/>
        <v>7160850.4034846481</v>
      </c>
      <c r="O107" s="95">
        <f ca="1"/>
        <v>349784.6794846477</v>
      </c>
      <c r="P107" s="33"/>
      <c r="Q107" s="362">
        <f ca="1"/>
        <v>1</v>
      </c>
      <c r="R107" s="307">
        <f ca="1"/>
        <v>0</v>
      </c>
      <c r="S107" s="307">
        <f ca="1"/>
        <v>0</v>
      </c>
      <c r="T107" s="308">
        <f ca="1"/>
        <v>0</v>
      </c>
      <c r="U107" s="92">
        <f ca="1"/>
        <v>43857</v>
      </c>
      <c r="V107" s="306">
        <f ca="1"/>
        <v>100159.82196539067</v>
      </c>
      <c r="W107" s="87">
        <f ca="1"/>
        <v>0</v>
      </c>
      <c r="X107" s="88">
        <f ca="1"/>
        <v>0</v>
      </c>
      <c r="Y107" s="88">
        <f ca="1"/>
        <v>0</v>
      </c>
      <c r="Z107" s="88">
        <f ca="1"/>
        <v>0</v>
      </c>
      <c r="AA107" s="88">
        <f ca="1"/>
        <v>0</v>
      </c>
      <c r="AB107" s="88">
        <f ca="1"/>
        <v>148117.8953687507</v>
      </c>
      <c r="AC107" s="88">
        <f ca="1"/>
        <v>532258.75061883661</v>
      </c>
      <c r="AD107" s="88">
        <f ca="1"/>
        <v>0</v>
      </c>
      <c r="AE107" s="88">
        <f ca="1"/>
        <v>0</v>
      </c>
      <c r="AF107" s="88">
        <f ca="1"/>
        <v>0</v>
      </c>
      <c r="AG107" s="88">
        <f ca="1"/>
        <v>0</v>
      </c>
      <c r="AH107" s="88">
        <f ca="1"/>
        <v>5787817.1339999996</v>
      </c>
      <c r="AI107" s="88">
        <f ca="1"/>
        <v>0</v>
      </c>
      <c r="AJ107" s="88">
        <f ca="1"/>
        <v>0</v>
      </c>
      <c r="AK107" s="88">
        <f ca="1"/>
        <v>35776.73717066228</v>
      </c>
      <c r="AL107" s="88">
        <f ca="1"/>
        <v>0</v>
      </c>
      <c r="AM107" s="195">
        <f ca="1"/>
        <v>0</v>
      </c>
      <c r="AN107" s="195">
        <f ca="1"/>
        <v>0</v>
      </c>
      <c r="AO107" s="195">
        <f ca="1"/>
        <v>0</v>
      </c>
      <c r="AP107" s="443">
        <f ca="1"/>
        <v>0</v>
      </c>
      <c r="AQ107" s="195">
        <f ca="1"/>
        <v>252745.49976000001</v>
      </c>
      <c r="AR107" s="195">
        <f ca="1"/>
        <v>0</v>
      </c>
      <c r="AS107" s="195">
        <f ca="1"/>
        <v>59679.533691650344</v>
      </c>
      <c r="AT107" s="195">
        <f ca="1"/>
        <v>17126.106572730165</v>
      </c>
      <c r="AU107" s="195">
        <f ca="1"/>
        <v>135040.9049686272</v>
      </c>
      <c r="AV107" s="195">
        <f ca="1"/>
        <v>92128.019367999994</v>
      </c>
      <c r="AW107" s="195">
        <f ca="1"/>
        <v>0</v>
      </c>
      <c r="AX107" s="195">
        <f ca="1"/>
        <v>0</v>
      </c>
      <c r="AY107" s="195">
        <f ca="1"/>
        <v>0</v>
      </c>
      <c r="AZ107" s="195">
        <f ca="1"/>
        <v>0</v>
      </c>
      <c r="BA107" s="195">
        <f ca="1"/>
        <v>0</v>
      </c>
      <c r="BB107" s="195">
        <f ca="1"/>
        <v>0</v>
      </c>
      <c r="BC107" s="195">
        <f ca="1"/>
        <v>0</v>
      </c>
      <c r="BD107" s="195">
        <f ca="1"/>
        <v>0</v>
      </c>
      <c r="BE107" s="195">
        <f ca="1"/>
        <v>0</v>
      </c>
    </row>
    <row r="108" spans="1:57" s="195" customFormat="1" x14ac:dyDescent="0.2">
      <c r="A108" s="34"/>
      <c r="B108" s="93">
        <v>57</v>
      </c>
      <c r="C108" s="166">
        <f ca="1"/>
        <v>26474131.344599999</v>
      </c>
      <c r="D108" s="177">
        <f ca="1"/>
        <v>0</v>
      </c>
      <c r="E108" s="177">
        <f ca="1"/>
        <v>0</v>
      </c>
      <c r="F108" s="167">
        <f ca="1"/>
        <v>0</v>
      </c>
      <c r="G108" s="33"/>
      <c r="H108" s="34"/>
      <c r="I108" s="33"/>
      <c r="J108" s="94">
        <f ca="1"/>
        <v>0</v>
      </c>
      <c r="K108" s="94">
        <f ca="1"/>
        <v>0</v>
      </c>
      <c r="L108" s="385"/>
      <c r="M108" s="94">
        <f ca="1"/>
        <v>18472805.66</v>
      </c>
      <c r="N108" s="94">
        <f ca="1"/>
        <v>17682072.344801068</v>
      </c>
      <c r="O108" s="95">
        <f ca="1"/>
        <v>-790733.31519893184</v>
      </c>
      <c r="P108" s="33"/>
      <c r="Q108" s="362">
        <f ca="1"/>
        <v>1</v>
      </c>
      <c r="R108" s="307">
        <f ca="1"/>
        <v>0</v>
      </c>
      <c r="S108" s="307">
        <f ca="1"/>
        <v>0</v>
      </c>
      <c r="T108" s="308">
        <f ca="1"/>
        <v>0</v>
      </c>
      <c r="U108" s="92">
        <f ca="1"/>
        <v>43864</v>
      </c>
      <c r="V108" s="306">
        <f ca="1"/>
        <v>100159.82196539067</v>
      </c>
      <c r="W108" s="87">
        <f ca="1"/>
        <v>0</v>
      </c>
      <c r="X108" s="88">
        <f ca="1"/>
        <v>0</v>
      </c>
      <c r="Y108" s="88">
        <f ca="1"/>
        <v>0</v>
      </c>
      <c r="Z108" s="88">
        <f ca="1"/>
        <v>0</v>
      </c>
      <c r="AA108" s="88">
        <f ca="1"/>
        <v>0</v>
      </c>
      <c r="AB108" s="88">
        <f ca="1"/>
        <v>53468.835334165618</v>
      </c>
      <c r="AC108" s="88">
        <f ca="1"/>
        <v>457562.49888245272</v>
      </c>
      <c r="AD108" s="88">
        <f ca="1"/>
        <v>0</v>
      </c>
      <c r="AE108" s="88">
        <f ca="1"/>
        <v>0</v>
      </c>
      <c r="AF108" s="88">
        <f ca="1"/>
        <v>0</v>
      </c>
      <c r="AG108" s="88">
        <f ca="1"/>
        <v>9000000</v>
      </c>
      <c r="AH108" s="88">
        <f ca="1"/>
        <v>6596312.2037999993</v>
      </c>
      <c r="AI108" s="88">
        <f ca="1"/>
        <v>0</v>
      </c>
      <c r="AJ108" s="88">
        <f ca="1"/>
        <v>0</v>
      </c>
      <c r="AK108" s="88">
        <f ca="1"/>
        <v>35136.10711154226</v>
      </c>
      <c r="AL108" s="88">
        <f ca="1"/>
        <v>0</v>
      </c>
      <c r="AM108" s="195">
        <f ca="1"/>
        <v>0</v>
      </c>
      <c r="AN108" s="195">
        <f ca="1"/>
        <v>0</v>
      </c>
      <c r="AO108" s="195">
        <f ca="1"/>
        <v>782804.42955</v>
      </c>
      <c r="AP108" s="443">
        <f ca="1"/>
        <v>0</v>
      </c>
      <c r="AQ108" s="195">
        <f ca="1"/>
        <v>0</v>
      </c>
      <c r="AR108" s="195">
        <f ca="1"/>
        <v>0</v>
      </c>
      <c r="AS108" s="195">
        <f ca="1"/>
        <v>219179.01305204607</v>
      </c>
      <c r="AT108" s="195">
        <f ca="1"/>
        <v>17581.992544670815</v>
      </c>
      <c r="AU108" s="195">
        <f ca="1"/>
        <v>103521.761049576</v>
      </c>
      <c r="AV108" s="195">
        <f ca="1"/>
        <v>93277.542159999997</v>
      </c>
      <c r="AW108" s="195">
        <f ca="1"/>
        <v>0</v>
      </c>
      <c r="AX108" s="195">
        <f ca="1"/>
        <v>0</v>
      </c>
      <c r="AY108" s="195">
        <f ca="1"/>
        <v>0</v>
      </c>
      <c r="AZ108" s="195">
        <f ca="1"/>
        <v>0</v>
      </c>
      <c r="BA108" s="195">
        <f ca="1"/>
        <v>6266.4746664601598</v>
      </c>
      <c r="BB108" s="195">
        <f ca="1"/>
        <v>203379.29805918</v>
      </c>
      <c r="BC108" s="195">
        <f ca="1"/>
        <v>0</v>
      </c>
      <c r="BD108" s="195">
        <f ca="1"/>
        <v>13422.3666255852</v>
      </c>
      <c r="BE108" s="195">
        <f ca="1"/>
        <v>0</v>
      </c>
    </row>
    <row r="109" spans="1:57" s="195" customFormat="1" x14ac:dyDescent="0.2">
      <c r="A109" s="34"/>
      <c r="B109" s="93">
        <v>58</v>
      </c>
      <c r="C109" s="166">
        <f ca="1"/>
        <v>26474131.344599999</v>
      </c>
      <c r="D109" s="177">
        <f ca="1"/>
        <v>0</v>
      </c>
      <c r="E109" s="177">
        <f ca="1"/>
        <v>0</v>
      </c>
      <c r="F109" s="167">
        <f ca="1"/>
        <v>0</v>
      </c>
      <c r="G109" s="33"/>
      <c r="H109" s="34"/>
      <c r="I109" s="33"/>
      <c r="J109" s="94">
        <f ca="1"/>
        <v>0</v>
      </c>
      <c r="K109" s="94">
        <f ca="1"/>
        <v>0</v>
      </c>
      <c r="L109" s="385"/>
      <c r="M109" s="94">
        <f ca="1"/>
        <v>12271156.390000001</v>
      </c>
      <c r="N109" s="94">
        <f ca="1"/>
        <v>13286656.08679674</v>
      </c>
      <c r="O109" s="95">
        <f ca="1"/>
        <v>1015499.6967967395</v>
      </c>
      <c r="P109" s="33"/>
      <c r="Q109" s="362">
        <f ca="1"/>
        <v>1</v>
      </c>
      <c r="R109" s="307">
        <f ca="1"/>
        <v>0</v>
      </c>
      <c r="S109" s="307">
        <f ca="1"/>
        <v>0</v>
      </c>
      <c r="T109" s="308">
        <f ca="1"/>
        <v>0</v>
      </c>
      <c r="U109" s="92">
        <f ca="1"/>
        <v>43871</v>
      </c>
      <c r="V109" s="306">
        <f ca="1"/>
        <v>100159.82196539067</v>
      </c>
      <c r="W109" s="87">
        <f ca="1"/>
        <v>0</v>
      </c>
      <c r="X109" s="88">
        <f ca="1"/>
        <v>0</v>
      </c>
      <c r="Y109" s="88">
        <f ca="1"/>
        <v>0</v>
      </c>
      <c r="Z109" s="88">
        <f ca="1"/>
        <v>0</v>
      </c>
      <c r="AA109" s="88">
        <f ca="1"/>
        <v>20932.139937485237</v>
      </c>
      <c r="AB109" s="88">
        <f ca="1"/>
        <v>269996.97437729355</v>
      </c>
      <c r="AC109" s="88">
        <f ca="1"/>
        <v>476302.52759362949</v>
      </c>
      <c r="AD109" s="88">
        <f ca="1"/>
        <v>0</v>
      </c>
      <c r="AE109" s="88">
        <f ca="1"/>
        <v>0</v>
      </c>
      <c r="AF109" s="88">
        <f ca="1"/>
        <v>0</v>
      </c>
      <c r="AG109" s="88">
        <f ca="1"/>
        <v>2700000</v>
      </c>
      <c r="AH109" s="88">
        <f ca="1"/>
        <v>7952227.2829999998</v>
      </c>
      <c r="AI109" s="88">
        <f ca="1"/>
        <v>0</v>
      </c>
      <c r="AJ109" s="88">
        <f ca="1"/>
        <v>0</v>
      </c>
      <c r="AK109" s="88">
        <f ca="1"/>
        <v>43178.805696604024</v>
      </c>
      <c r="AL109" s="88">
        <f ca="1"/>
        <v>0</v>
      </c>
      <c r="AM109" s="195">
        <f ca="1"/>
        <v>0</v>
      </c>
      <c r="AN109" s="195">
        <f ca="1"/>
        <v>0</v>
      </c>
      <c r="AO109" s="195">
        <f ca="1"/>
        <v>782804.42955</v>
      </c>
      <c r="AP109" s="443">
        <f ca="1"/>
        <v>0</v>
      </c>
      <c r="AQ109" s="195">
        <f ca="1"/>
        <v>96796.724596</v>
      </c>
      <c r="AR109" s="195">
        <f ca="1"/>
        <v>0</v>
      </c>
      <c r="AS109" s="195">
        <f ca="1"/>
        <v>361907.8206766416</v>
      </c>
      <c r="AT109" s="195">
        <f ca="1"/>
        <v>13999.779717863939</v>
      </c>
      <c r="AU109" s="195">
        <f ca="1"/>
        <v>96934.228393195212</v>
      </c>
      <c r="AV109" s="195">
        <f ca="1"/>
        <v>87654.575249999994</v>
      </c>
      <c r="AW109" s="195">
        <f ca="1"/>
        <v>0</v>
      </c>
      <c r="AX109" s="195">
        <f ca="1"/>
        <v>0</v>
      </c>
      <c r="AY109" s="195">
        <f ca="1"/>
        <v>0</v>
      </c>
      <c r="AZ109" s="195">
        <f ca="1"/>
        <v>0</v>
      </c>
      <c r="BA109" s="195">
        <f ca="1"/>
        <v>24571.945695963201</v>
      </c>
      <c r="BB109" s="195">
        <f ca="1"/>
        <v>240710.2548843</v>
      </c>
      <c r="BC109" s="195">
        <f ca="1"/>
        <v>0</v>
      </c>
      <c r="BD109" s="195">
        <f ca="1"/>
        <v>18478.775462374801</v>
      </c>
      <c r="BE109" s="195">
        <f ca="1"/>
        <v>0</v>
      </c>
    </row>
    <row r="110" spans="1:57" s="195" customFormat="1" x14ac:dyDescent="0.2">
      <c r="A110" s="34"/>
      <c r="B110" s="93">
        <v>59</v>
      </c>
      <c r="C110" s="166">
        <f ca="1"/>
        <v>26474131.344599999</v>
      </c>
      <c r="D110" s="177">
        <f ca="1"/>
        <v>0</v>
      </c>
      <c r="E110" s="177">
        <f ca="1"/>
        <v>0</v>
      </c>
      <c r="F110" s="167">
        <f ca="1"/>
        <v>0</v>
      </c>
      <c r="G110" s="33"/>
      <c r="H110" s="34"/>
      <c r="I110" s="33"/>
      <c r="J110" s="94">
        <f ca="1"/>
        <v>0</v>
      </c>
      <c r="K110" s="94">
        <f ca="1"/>
        <v>0</v>
      </c>
      <c r="L110" s="385"/>
      <c r="M110" s="94">
        <f ca="1"/>
        <v>10431474.85</v>
      </c>
      <c r="N110" s="94">
        <f ca="1"/>
        <v>9109861.2732915115</v>
      </c>
      <c r="O110" s="95">
        <f ca="1"/>
        <v>-1321613.5767084882</v>
      </c>
      <c r="P110" s="33"/>
      <c r="Q110" s="362">
        <f ca="1"/>
        <v>1</v>
      </c>
      <c r="R110" s="307">
        <f ca="1"/>
        <v>0</v>
      </c>
      <c r="S110" s="307">
        <f ca="1"/>
        <v>0</v>
      </c>
      <c r="T110" s="308">
        <f ca="1"/>
        <v>0</v>
      </c>
      <c r="U110" s="92">
        <f ca="1"/>
        <v>43878</v>
      </c>
      <c r="V110" s="306">
        <f ca="1"/>
        <v>100159.82196539067</v>
      </c>
      <c r="W110" s="87">
        <f ca="1"/>
        <v>0</v>
      </c>
      <c r="X110" s="88">
        <f ca="1"/>
        <v>0</v>
      </c>
      <c r="Y110" s="88">
        <f ca="1"/>
        <v>0</v>
      </c>
      <c r="Z110" s="88">
        <f ca="1"/>
        <v>0</v>
      </c>
      <c r="AA110" s="88">
        <f ca="1"/>
        <v>-114745.90445750466</v>
      </c>
      <c r="AB110" s="88">
        <f ca="1"/>
        <v>299297.15381741384</v>
      </c>
      <c r="AC110" s="88">
        <f ca="1"/>
        <v>505332.24830826541</v>
      </c>
      <c r="AD110" s="88">
        <f ca="1"/>
        <v>0</v>
      </c>
      <c r="AE110" s="88">
        <f ca="1"/>
        <v>0</v>
      </c>
      <c r="AF110" s="88">
        <f ca="1"/>
        <v>0</v>
      </c>
      <c r="AG110" s="88">
        <f ca="1"/>
        <v>810000</v>
      </c>
      <c r="AH110" s="88">
        <f ca="1"/>
        <v>6625610.5366000002</v>
      </c>
      <c r="AI110" s="88">
        <f ca="1"/>
        <v>0</v>
      </c>
      <c r="AJ110" s="88">
        <f ca="1"/>
        <v>0</v>
      </c>
      <c r="AK110" s="88">
        <f ca="1"/>
        <v>37786.801647545326</v>
      </c>
      <c r="AL110" s="88">
        <f ca="1"/>
        <v>0</v>
      </c>
      <c r="AM110" s="195">
        <f ca="1"/>
        <v>0</v>
      </c>
      <c r="AN110" s="195">
        <f ca="1"/>
        <v>0</v>
      </c>
      <c r="AO110" s="195">
        <f ca="1"/>
        <v>0</v>
      </c>
      <c r="AP110" s="443">
        <f ca="1"/>
        <v>0</v>
      </c>
      <c r="AQ110" s="195">
        <f ca="1"/>
        <v>107870.837724</v>
      </c>
      <c r="AR110" s="195">
        <f ca="1"/>
        <v>0</v>
      </c>
      <c r="AS110" s="195">
        <f ca="1"/>
        <v>190629.71990891366</v>
      </c>
      <c r="AT110" s="195">
        <f ca="1"/>
        <v>15361.56660063402</v>
      </c>
      <c r="AU110" s="195">
        <f ca="1"/>
        <v>97254.14232034079</v>
      </c>
      <c r="AV110" s="195">
        <f ca="1"/>
        <v>93637.633627999996</v>
      </c>
      <c r="AW110" s="195">
        <f ca="1"/>
        <v>0</v>
      </c>
      <c r="AX110" s="195">
        <f ca="1"/>
        <v>0</v>
      </c>
      <c r="AY110" s="195">
        <f ca="1"/>
        <v>0</v>
      </c>
      <c r="AZ110" s="195">
        <f ca="1"/>
        <v>0</v>
      </c>
      <c r="BA110" s="195">
        <f ca="1"/>
        <v>35139.001338150396</v>
      </c>
      <c r="BB110" s="195">
        <f ca="1"/>
        <v>277336.26120393997</v>
      </c>
      <c r="BC110" s="195">
        <f ca="1"/>
        <v>0</v>
      </c>
      <c r="BD110" s="195">
        <f ca="1"/>
        <v>29191.452686424</v>
      </c>
      <c r="BE110" s="195">
        <f ca="1"/>
        <v>0</v>
      </c>
    </row>
    <row r="111" spans="1:57" s="195" customFormat="1" x14ac:dyDescent="0.2">
      <c r="A111" s="34"/>
      <c r="B111" s="93">
        <v>60</v>
      </c>
      <c r="C111" s="166">
        <f ca="1"/>
        <v>26474131.344599999</v>
      </c>
      <c r="D111" s="177">
        <f ca="1"/>
        <v>0</v>
      </c>
      <c r="E111" s="177">
        <f ca="1"/>
        <v>0</v>
      </c>
      <c r="F111" s="167">
        <f ca="1"/>
        <v>0</v>
      </c>
      <c r="G111" s="33"/>
      <c r="H111" s="34"/>
      <c r="I111" s="33"/>
      <c r="J111" s="94">
        <f ca="1"/>
        <v>0</v>
      </c>
      <c r="K111" s="94">
        <f ca="1"/>
        <v>0</v>
      </c>
      <c r="L111" s="385"/>
      <c r="M111" s="94">
        <f ca="1"/>
        <v>8808837.7780000009</v>
      </c>
      <c r="N111" s="94">
        <f ca="1"/>
        <v>8073495.2823691806</v>
      </c>
      <c r="O111" s="95">
        <f ca="1"/>
        <v>-735342.49563082028</v>
      </c>
      <c r="P111" s="33"/>
      <c r="Q111" s="362">
        <f ca="1"/>
        <v>1</v>
      </c>
      <c r="R111" s="307">
        <f ca="1"/>
        <v>0</v>
      </c>
      <c r="S111" s="307">
        <f ca="1"/>
        <v>0</v>
      </c>
      <c r="T111" s="308">
        <f ca="1"/>
        <v>0</v>
      </c>
      <c r="U111" s="92">
        <f ca="1"/>
        <v>43885</v>
      </c>
      <c r="V111" s="306">
        <f ca="1"/>
        <v>100159.82196539067</v>
      </c>
      <c r="W111" s="87">
        <f ca="1"/>
        <v>0</v>
      </c>
      <c r="X111" s="88">
        <f ca="1"/>
        <v>0</v>
      </c>
      <c r="Y111" s="88">
        <f ca="1"/>
        <v>0</v>
      </c>
      <c r="Z111" s="88">
        <f ca="1"/>
        <v>0</v>
      </c>
      <c r="AA111" s="88">
        <f ca="1"/>
        <v>115865.30484466422</v>
      </c>
      <c r="AB111" s="88">
        <f ca="1"/>
        <v>101171.71990503756</v>
      </c>
      <c r="AC111" s="88">
        <f ca="1"/>
        <v>492975.69174461201</v>
      </c>
      <c r="AD111" s="88">
        <f ca="1"/>
        <v>0</v>
      </c>
      <c r="AE111" s="88">
        <f ca="1"/>
        <v>0</v>
      </c>
      <c r="AF111" s="88">
        <f ca="1"/>
        <v>0</v>
      </c>
      <c r="AG111" s="88">
        <f ca="1"/>
        <v>242999.9999999991</v>
      </c>
      <c r="AH111" s="88">
        <f ca="1"/>
        <v>6496125.8251999998</v>
      </c>
      <c r="AI111" s="88">
        <f ca="1"/>
        <v>0</v>
      </c>
      <c r="AJ111" s="88">
        <f ca="1"/>
        <v>0</v>
      </c>
      <c r="AK111" s="88">
        <f ca="1"/>
        <v>38258.028737981454</v>
      </c>
      <c r="AL111" s="88">
        <f ca="1"/>
        <v>0</v>
      </c>
      <c r="AM111" s="195">
        <f ca="1"/>
        <v>0</v>
      </c>
      <c r="AN111" s="195">
        <f ca="1"/>
        <v>0</v>
      </c>
      <c r="AO111" s="195">
        <f ca="1"/>
        <v>0</v>
      </c>
      <c r="AP111" s="443">
        <f ca="1"/>
        <v>0</v>
      </c>
      <c r="AQ111" s="195">
        <f ca="1"/>
        <v>0</v>
      </c>
      <c r="AR111" s="195">
        <f ca="1"/>
        <v>0</v>
      </c>
      <c r="AS111" s="195">
        <f ca="1"/>
        <v>190825.46208232857</v>
      </c>
      <c r="AT111" s="195">
        <f ca="1"/>
        <v>13803.393554127919</v>
      </c>
      <c r="AU111" s="195">
        <f ca="1"/>
        <v>98278.042867680007</v>
      </c>
      <c r="AV111" s="195">
        <f ca="1"/>
        <v>99731.48939599999</v>
      </c>
      <c r="AW111" s="195">
        <f ca="1"/>
        <v>0</v>
      </c>
      <c r="AX111" s="195">
        <f ca="1"/>
        <v>0</v>
      </c>
      <c r="AY111" s="195">
        <f ca="1"/>
        <v>0</v>
      </c>
      <c r="AZ111" s="195">
        <f ca="1"/>
        <v>0</v>
      </c>
      <c r="BA111" s="195">
        <f ca="1"/>
        <v>35779.390247660798</v>
      </c>
      <c r="BB111" s="195">
        <f ca="1"/>
        <v>37546.687676292</v>
      </c>
      <c r="BC111" s="195">
        <f ca="1"/>
        <v>0</v>
      </c>
      <c r="BD111" s="195">
        <f ca="1"/>
        <v>9974.4241474068003</v>
      </c>
      <c r="BE111" s="195">
        <f ca="1"/>
        <v>0</v>
      </c>
    </row>
    <row r="112" spans="1:57" s="195" customFormat="1" x14ac:dyDescent="0.2">
      <c r="A112" s="34"/>
      <c r="B112" s="93">
        <v>61</v>
      </c>
      <c r="C112" s="166">
        <f ca="1"/>
        <v>26474131.344599999</v>
      </c>
      <c r="D112" s="177">
        <f ca="1"/>
        <v>0</v>
      </c>
      <c r="E112" s="177">
        <f ca="1"/>
        <v>0</v>
      </c>
      <c r="F112" s="167">
        <f ca="1"/>
        <v>0</v>
      </c>
      <c r="G112" s="33"/>
      <c r="H112" s="34"/>
      <c r="I112" s="33"/>
      <c r="J112" s="94">
        <f ca="1"/>
        <v>0</v>
      </c>
      <c r="K112" s="94">
        <f ca="1"/>
        <v>0</v>
      </c>
      <c r="L112" s="385"/>
      <c r="M112" s="94">
        <f ca="1"/>
        <v>10497654.6</v>
      </c>
      <c r="N112" s="94">
        <f ca="1"/>
        <v>9009442.5206748452</v>
      </c>
      <c r="O112" s="95">
        <f ca="1"/>
        <v>-1488212.0793251544</v>
      </c>
      <c r="P112" s="33"/>
      <c r="Q112" s="362">
        <f ca="1"/>
        <v>1</v>
      </c>
      <c r="R112" s="307">
        <f ca="1"/>
        <v>0</v>
      </c>
      <c r="S112" s="307">
        <f ca="1"/>
        <v>0</v>
      </c>
      <c r="T112" s="308">
        <f ca="1"/>
        <v>0</v>
      </c>
      <c r="U112" s="92">
        <f ca="1"/>
        <v>43892</v>
      </c>
      <c r="V112" s="306">
        <f ca="1"/>
        <v>100159.82196539067</v>
      </c>
      <c r="W112" s="87">
        <f ca="1"/>
        <v>0</v>
      </c>
      <c r="X112" s="88">
        <f ca="1"/>
        <v>0</v>
      </c>
      <c r="Y112" s="88">
        <f ca="1"/>
        <v>0</v>
      </c>
      <c r="Z112" s="88">
        <f ca="1"/>
        <v>0</v>
      </c>
      <c r="AA112" s="88">
        <f ca="1"/>
        <v>129161.86695726836</v>
      </c>
      <c r="AB112" s="88">
        <f ca="1"/>
        <v>1429937.0873607213</v>
      </c>
      <c r="AC112" s="88">
        <f ca="1"/>
        <v>490484.29398758867</v>
      </c>
      <c r="AD112" s="88">
        <f ca="1"/>
        <v>0</v>
      </c>
      <c r="AE112" s="88">
        <f ca="1"/>
        <v>0</v>
      </c>
      <c r="AF112" s="88">
        <f ca="1"/>
        <v>0</v>
      </c>
      <c r="AG112" s="88">
        <f ca="1"/>
        <v>0</v>
      </c>
      <c r="AH112" s="88">
        <f ca="1"/>
        <v>6480627.6457999991</v>
      </c>
      <c r="AI112" s="88">
        <f ca="1"/>
        <v>0</v>
      </c>
      <c r="AJ112" s="88">
        <f ca="1"/>
        <v>0</v>
      </c>
      <c r="AK112" s="88">
        <f ca="1"/>
        <v>50544.829256636316</v>
      </c>
      <c r="AL112" s="88">
        <f ca="1"/>
        <v>0</v>
      </c>
      <c r="AM112" s="195">
        <f ca="1"/>
        <v>0</v>
      </c>
      <c r="AN112" s="195">
        <f ca="1"/>
        <v>0</v>
      </c>
      <c r="AO112" s="195">
        <f ca="1"/>
        <v>0</v>
      </c>
      <c r="AP112" s="443">
        <f ca="1"/>
        <v>0</v>
      </c>
      <c r="AQ112" s="195">
        <f ca="1"/>
        <v>0</v>
      </c>
      <c r="AR112" s="195">
        <f ca="1"/>
        <v>0</v>
      </c>
      <c r="AS112" s="195">
        <f ca="1"/>
        <v>8680.7453260033235</v>
      </c>
      <c r="AT112" s="195">
        <f ca="1"/>
        <v>13046.616967470371</v>
      </c>
      <c r="AU112" s="195">
        <f ca="1"/>
        <v>80779.451382456013</v>
      </c>
      <c r="AV112" s="195">
        <f ca="1"/>
        <v>69913.145170000003</v>
      </c>
      <c r="AW112" s="195">
        <f ca="1"/>
        <v>0</v>
      </c>
      <c r="AX112" s="195">
        <f ca="1"/>
        <v>0</v>
      </c>
      <c r="AY112" s="195">
        <f ca="1"/>
        <v>0</v>
      </c>
      <c r="AZ112" s="195">
        <f ca="1"/>
        <v>0</v>
      </c>
      <c r="BA112" s="195">
        <f ca="1"/>
        <v>45968.0466202112</v>
      </c>
      <c r="BB112" s="195">
        <f ca="1"/>
        <v>91718.783916040004</v>
      </c>
      <c r="BC112" s="195">
        <f ca="1"/>
        <v>0</v>
      </c>
      <c r="BD112" s="195">
        <f ca="1"/>
        <v>18420.185965062003</v>
      </c>
      <c r="BE112" s="195">
        <f ca="1"/>
        <v>0</v>
      </c>
    </row>
    <row r="113" spans="1:57" s="195" customFormat="1" x14ac:dyDescent="0.2">
      <c r="A113" s="34"/>
      <c r="B113" s="93">
        <v>62</v>
      </c>
      <c r="C113" s="166">
        <f ca="1"/>
        <v>26474131.344599999</v>
      </c>
      <c r="D113" s="177">
        <f ca="1"/>
        <v>0</v>
      </c>
      <c r="E113" s="177">
        <f ca="1"/>
        <v>0</v>
      </c>
      <c r="F113" s="167">
        <f ca="1"/>
        <v>0</v>
      </c>
      <c r="G113" s="33"/>
      <c r="H113" s="34"/>
      <c r="I113" s="33"/>
      <c r="J113" s="94">
        <f ca="1"/>
        <v>0</v>
      </c>
      <c r="K113" s="94">
        <f ca="1"/>
        <v>0</v>
      </c>
      <c r="L113" s="385"/>
      <c r="M113" s="94">
        <f ca="1"/>
        <v>6525614.6840000004</v>
      </c>
      <c r="N113" s="94">
        <f ca="1"/>
        <v>8050522.0300483946</v>
      </c>
      <c r="O113" s="95">
        <f ca="1"/>
        <v>1524907.3460483942</v>
      </c>
      <c r="P113" s="33"/>
      <c r="Q113" s="362">
        <f ca="1"/>
        <v>1</v>
      </c>
      <c r="R113" s="307">
        <f ca="1"/>
        <v>0</v>
      </c>
      <c r="S113" s="307">
        <f ca="1"/>
        <v>0</v>
      </c>
      <c r="T113" s="308">
        <f ca="1"/>
        <v>0</v>
      </c>
      <c r="U113" s="92">
        <f ca="1"/>
        <v>43899</v>
      </c>
      <c r="V113" s="306">
        <f ca="1"/>
        <v>100159.82196539067</v>
      </c>
      <c r="W113" s="87">
        <f ca="1"/>
        <v>0</v>
      </c>
      <c r="X113" s="88">
        <f ca="1"/>
        <v>0</v>
      </c>
      <c r="Y113" s="88">
        <f ca="1"/>
        <v>0</v>
      </c>
      <c r="Z113" s="88">
        <f ca="1"/>
        <v>0</v>
      </c>
      <c r="AA113" s="88">
        <f ca="1"/>
        <v>-103446.78288934012</v>
      </c>
      <c r="AB113" s="88">
        <f ca="1"/>
        <v>964224.35160810675</v>
      </c>
      <c r="AC113" s="88">
        <f ca="1"/>
        <v>618618.10285145009</v>
      </c>
      <c r="AD113" s="88">
        <f ca="1"/>
        <v>0</v>
      </c>
      <c r="AE113" s="88">
        <f ca="1"/>
        <v>0</v>
      </c>
      <c r="AF113" s="88">
        <f ca="1"/>
        <v>0</v>
      </c>
      <c r="AG113" s="88">
        <f ca="1"/>
        <v>0</v>
      </c>
      <c r="AH113" s="88">
        <f ca="1"/>
        <v>6070286.409</v>
      </c>
      <c r="AI113" s="88">
        <f ca="1"/>
        <v>0</v>
      </c>
      <c r="AJ113" s="88">
        <f ca="1"/>
        <v>0</v>
      </c>
      <c r="AK113" s="88">
        <f ca="1"/>
        <v>71006.620670381802</v>
      </c>
      <c r="AL113" s="88">
        <f ca="1"/>
        <v>0</v>
      </c>
      <c r="AM113" s="195">
        <f ca="1"/>
        <v>0</v>
      </c>
      <c r="AN113" s="195">
        <f ca="1"/>
        <v>0</v>
      </c>
      <c r="AO113" s="195">
        <f ca="1"/>
        <v>0</v>
      </c>
      <c r="AP113" s="443">
        <f ca="1"/>
        <v>0</v>
      </c>
      <c r="AQ113" s="195">
        <f ca="1"/>
        <v>0</v>
      </c>
      <c r="AR113" s="195">
        <f ca="1"/>
        <v>0</v>
      </c>
      <c r="AS113" s="195">
        <f ca="1"/>
        <v>8680.7224845795372</v>
      </c>
      <c r="AT113" s="195">
        <f ca="1"/>
        <v>12056.173136033831</v>
      </c>
      <c r="AU113" s="195">
        <f ca="1"/>
        <v>78949.613685624005</v>
      </c>
      <c r="AV113" s="195">
        <f ca="1"/>
        <v>77184.223071999993</v>
      </c>
      <c r="AW113" s="195">
        <f ca="1"/>
        <v>0</v>
      </c>
      <c r="AX113" s="195">
        <f ca="1"/>
        <v>0</v>
      </c>
      <c r="AY113" s="195">
        <f ca="1"/>
        <v>0</v>
      </c>
      <c r="AZ113" s="195">
        <f ca="1"/>
        <v>0</v>
      </c>
      <c r="BA113" s="195">
        <f ca="1"/>
        <v>26795.345458695359</v>
      </c>
      <c r="BB113" s="195">
        <f ca="1"/>
        <v>107371.62243796</v>
      </c>
      <c r="BC113" s="195">
        <f ca="1"/>
        <v>0</v>
      </c>
      <c r="BD113" s="195">
        <f ca="1"/>
        <v>18635.806567512001</v>
      </c>
      <c r="BE113" s="195">
        <f ca="1"/>
        <v>0</v>
      </c>
    </row>
    <row r="114" spans="1:57" s="195" customFormat="1" x14ac:dyDescent="0.2">
      <c r="A114" s="34"/>
      <c r="B114" s="93">
        <v>63</v>
      </c>
      <c r="C114" s="166">
        <f ca="1"/>
        <v>26474131.344599999</v>
      </c>
      <c r="D114" s="177">
        <f ca="1"/>
        <v>0</v>
      </c>
      <c r="E114" s="177">
        <f ca="1"/>
        <v>0</v>
      </c>
      <c r="F114" s="167">
        <f ca="1"/>
        <v>0</v>
      </c>
      <c r="G114" s="33"/>
      <c r="H114" s="34"/>
      <c r="I114" s="33"/>
      <c r="J114" s="94">
        <f ca="1"/>
        <v>0</v>
      </c>
      <c r="K114" s="94">
        <f ca="1"/>
        <v>0</v>
      </c>
      <c r="L114" s="385"/>
      <c r="M114" s="94">
        <f ca="1"/>
        <v>4232459.3459999999</v>
      </c>
      <c r="N114" s="94">
        <f ca="1"/>
        <v>4101304.6292157341</v>
      </c>
      <c r="O114" s="95">
        <f ca="1"/>
        <v>-131154.71678426582</v>
      </c>
      <c r="P114" s="33"/>
      <c r="Q114" s="362">
        <f ca="1"/>
        <v>1</v>
      </c>
      <c r="R114" s="307">
        <f ca="1"/>
        <v>0</v>
      </c>
      <c r="S114" s="307">
        <f ca="1"/>
        <v>0</v>
      </c>
      <c r="T114" s="308">
        <f ca="1"/>
        <v>0</v>
      </c>
      <c r="U114" s="92">
        <f ca="1"/>
        <v>43906</v>
      </c>
      <c r="V114" s="306">
        <f ca="1"/>
        <v>100159.82196539067</v>
      </c>
      <c r="W114" s="87">
        <f ca="1"/>
        <v>0</v>
      </c>
      <c r="X114" s="88">
        <f ca="1"/>
        <v>0</v>
      </c>
      <c r="Y114" s="88">
        <f ca="1"/>
        <v>0</v>
      </c>
      <c r="Z114" s="88">
        <f ca="1"/>
        <v>0</v>
      </c>
      <c r="AA114" s="88">
        <f ca="1"/>
        <v>-1298130.1267035028</v>
      </c>
      <c r="AB114" s="88">
        <f ca="1"/>
        <v>456665.31450751639</v>
      </c>
      <c r="AC114" s="88">
        <f ca="1"/>
        <v>711549.06878463982</v>
      </c>
      <c r="AD114" s="88">
        <f ca="1"/>
        <v>0</v>
      </c>
      <c r="AE114" s="88">
        <f ca="1"/>
        <v>0</v>
      </c>
      <c r="AF114" s="88">
        <f ca="1"/>
        <v>0</v>
      </c>
      <c r="AG114" s="88">
        <f ca="1"/>
        <v>0</v>
      </c>
      <c r="AH114" s="88">
        <f ca="1"/>
        <v>3755808.4057999998</v>
      </c>
      <c r="AI114" s="88">
        <f ca="1"/>
        <v>0</v>
      </c>
      <c r="AJ114" s="88">
        <f ca="1"/>
        <v>0</v>
      </c>
      <c r="AK114" s="88">
        <f ca="1"/>
        <v>60345.468735322051</v>
      </c>
      <c r="AL114" s="88">
        <f ca="1"/>
        <v>0</v>
      </c>
      <c r="AM114" s="195">
        <f ca="1"/>
        <v>0</v>
      </c>
      <c r="AN114" s="195">
        <f ca="1"/>
        <v>0</v>
      </c>
      <c r="AO114" s="195">
        <f ca="1"/>
        <v>0</v>
      </c>
      <c r="AP114" s="443">
        <f ca="1"/>
        <v>0</v>
      </c>
      <c r="AQ114" s="195">
        <f ca="1"/>
        <v>0</v>
      </c>
      <c r="AR114" s="195">
        <f ca="1"/>
        <v>0</v>
      </c>
      <c r="AS114" s="195">
        <f ca="1"/>
        <v>8680.6961550565502</v>
      </c>
      <c r="AT114" s="195">
        <f ca="1"/>
        <v>11036.961226312163</v>
      </c>
      <c r="AU114" s="195">
        <f ca="1"/>
        <v>80828.961872764805</v>
      </c>
      <c r="AV114" s="195">
        <f ca="1"/>
        <v>50080.414603999998</v>
      </c>
      <c r="AW114" s="195">
        <f ca="1"/>
        <v>0</v>
      </c>
      <c r="AX114" s="195">
        <f ca="1"/>
        <v>0</v>
      </c>
      <c r="AY114" s="195">
        <f ca="1"/>
        <v>0</v>
      </c>
      <c r="AZ114" s="195">
        <f ca="1"/>
        <v>0</v>
      </c>
      <c r="BA114" s="195">
        <f ca="1"/>
        <v>23806.533257925119</v>
      </c>
      <c r="BB114" s="195">
        <f ca="1"/>
        <v>124136.25741739999</v>
      </c>
      <c r="BC114" s="195">
        <f ca="1"/>
        <v>0</v>
      </c>
      <c r="BD114" s="195">
        <f ca="1"/>
        <v>16336.8515929104</v>
      </c>
      <c r="BE114" s="195">
        <f ca="1"/>
        <v>0</v>
      </c>
    </row>
    <row r="115" spans="1:57" s="195" customFormat="1" x14ac:dyDescent="0.2">
      <c r="A115" s="34"/>
      <c r="B115" s="93">
        <v>64</v>
      </c>
      <c r="C115" s="166">
        <f ca="1"/>
        <v>26474131.344599999</v>
      </c>
      <c r="D115" s="177">
        <f ca="1"/>
        <v>0</v>
      </c>
      <c r="E115" s="177">
        <f ca="1"/>
        <v>0</v>
      </c>
      <c r="F115" s="167">
        <f ca="1"/>
        <v>0</v>
      </c>
      <c r="G115" s="33"/>
      <c r="H115" s="34"/>
      <c r="I115" s="33"/>
      <c r="J115" s="94">
        <f ca="1"/>
        <v>0</v>
      </c>
      <c r="K115" s="94">
        <f ca="1"/>
        <v>0</v>
      </c>
      <c r="L115" s="385"/>
      <c r="M115" s="94">
        <f ca="1"/>
        <v>1984181.811</v>
      </c>
      <c r="N115" s="94">
        <f ca="1"/>
        <v>2714578.7029835195</v>
      </c>
      <c r="O115" s="95">
        <f ca="1"/>
        <v>730396.89198351954</v>
      </c>
      <c r="P115" s="33"/>
      <c r="Q115" s="362">
        <f ca="1"/>
        <v>1</v>
      </c>
      <c r="R115" s="307">
        <f ca="1"/>
        <v>0</v>
      </c>
      <c r="S115" s="307">
        <f ca="1"/>
        <v>0</v>
      </c>
      <c r="T115" s="308">
        <f ca="1"/>
        <v>0</v>
      </c>
      <c r="U115" s="92">
        <f ca="1"/>
        <v>43913</v>
      </c>
      <c r="V115" s="306">
        <f ca="1"/>
        <v>100159.82196539067</v>
      </c>
      <c r="W115" s="87">
        <f ca="1"/>
        <v>0</v>
      </c>
      <c r="X115" s="88">
        <f ca="1"/>
        <v>0</v>
      </c>
      <c r="Y115" s="88">
        <f ca="1"/>
        <v>0</v>
      </c>
      <c r="Z115" s="88">
        <f ca="1"/>
        <v>0</v>
      </c>
      <c r="AA115" s="88">
        <f ca="1"/>
        <v>-1994138.2507823727</v>
      </c>
      <c r="AB115" s="88">
        <f ca="1"/>
        <v>565840.02445651672</v>
      </c>
      <c r="AC115" s="88">
        <f ca="1"/>
        <v>562825.83021618368</v>
      </c>
      <c r="AD115" s="88">
        <f ca="1"/>
        <v>0</v>
      </c>
      <c r="AE115" s="88">
        <f ca="1"/>
        <v>0</v>
      </c>
      <c r="AF115" s="88">
        <f ca="1"/>
        <v>0</v>
      </c>
      <c r="AG115" s="88">
        <f ca="1"/>
        <v>0</v>
      </c>
      <c r="AH115" s="88">
        <f ca="1"/>
        <v>2939304.6957999999</v>
      </c>
      <c r="AI115" s="88">
        <f ca="1"/>
        <v>0</v>
      </c>
      <c r="AJ115" s="88">
        <f ca="1"/>
        <v>0</v>
      </c>
      <c r="AK115" s="88">
        <f ca="1"/>
        <v>47973.89518363247</v>
      </c>
      <c r="AL115" s="88">
        <f ca="1"/>
        <v>0</v>
      </c>
      <c r="AM115" s="195">
        <f ca="1"/>
        <v>0</v>
      </c>
      <c r="AN115" s="195">
        <f ca="1"/>
        <v>0</v>
      </c>
      <c r="AO115" s="195">
        <f ca="1"/>
        <v>0</v>
      </c>
      <c r="AP115" s="443">
        <f ca="1"/>
        <v>0</v>
      </c>
      <c r="AQ115" s="195">
        <f ca="1"/>
        <v>331104.06147000002</v>
      </c>
      <c r="AR115" s="195">
        <f ca="1"/>
        <v>0</v>
      </c>
      <c r="AS115" s="195">
        <f ca="1"/>
        <v>8680.6827219797342</v>
      </c>
      <c r="AT115" s="195">
        <f ca="1"/>
        <v>8353.4572907634411</v>
      </c>
      <c r="AU115" s="195">
        <f ca="1"/>
        <v>42097.984290537606</v>
      </c>
      <c r="AV115" s="195">
        <f ca="1"/>
        <v>54969.348896000003</v>
      </c>
      <c r="AW115" s="195">
        <f ca="1"/>
        <v>0</v>
      </c>
      <c r="AX115" s="195">
        <f ca="1"/>
        <v>0</v>
      </c>
      <c r="AY115" s="195">
        <f ca="1"/>
        <v>0</v>
      </c>
      <c r="AZ115" s="195">
        <f ca="1"/>
        <v>0</v>
      </c>
      <c r="BA115" s="195">
        <f ca="1"/>
        <v>3319.3188573177599</v>
      </c>
      <c r="BB115" s="195">
        <f ca="1"/>
        <v>42363.022052287997</v>
      </c>
      <c r="BC115" s="195">
        <f ca="1"/>
        <v>0</v>
      </c>
      <c r="BD115" s="195">
        <f ca="1"/>
        <v>1724.81056528152</v>
      </c>
      <c r="BE115" s="195">
        <f ca="1"/>
        <v>0</v>
      </c>
    </row>
    <row r="116" spans="1:57" s="195" customFormat="1" x14ac:dyDescent="0.2">
      <c r="A116" s="34"/>
      <c r="B116" s="93">
        <v>65</v>
      </c>
      <c r="C116" s="166">
        <f ca="1"/>
        <v>26474131.344599999</v>
      </c>
      <c r="D116" s="177">
        <f ca="1"/>
        <v>0</v>
      </c>
      <c r="E116" s="177">
        <f ca="1"/>
        <v>0</v>
      </c>
      <c r="F116" s="167">
        <f ca="1"/>
        <v>0</v>
      </c>
      <c r="G116" s="33"/>
      <c r="H116" s="34"/>
      <c r="I116" s="33"/>
      <c r="J116" s="94">
        <f ca="1"/>
        <v>0</v>
      </c>
      <c r="K116" s="94">
        <f ca="1"/>
        <v>0</v>
      </c>
      <c r="L116" s="385"/>
      <c r="M116" s="94">
        <f ca="1"/>
        <v>1334901.0049999999</v>
      </c>
      <c r="N116" s="94">
        <f ca="1"/>
        <v>1411374.3837309116</v>
      </c>
      <c r="O116" s="95">
        <f ca="1"/>
        <v>76473.378730911762</v>
      </c>
      <c r="P116" s="33"/>
      <c r="Q116" s="362">
        <f ca="1"/>
        <v>1</v>
      </c>
      <c r="R116" s="307">
        <f ca="1"/>
        <v>0</v>
      </c>
      <c r="S116" s="307">
        <f ca="1"/>
        <v>0</v>
      </c>
      <c r="T116" s="308">
        <f ca="1"/>
        <v>0</v>
      </c>
      <c r="U116" s="92">
        <f ca="1"/>
        <v>43920</v>
      </c>
      <c r="V116" s="306">
        <f ca="1"/>
        <v>100159.82196539067</v>
      </c>
      <c r="W116" s="87">
        <f ca="1"/>
        <v>0</v>
      </c>
      <c r="X116" s="88">
        <f ca="1"/>
        <v>0</v>
      </c>
      <c r="Y116" s="88">
        <f ca="1"/>
        <v>0</v>
      </c>
      <c r="Z116" s="88">
        <f ca="1"/>
        <v>0</v>
      </c>
      <c r="AA116" s="88">
        <f ca="1"/>
        <v>-2207295.5450372952</v>
      </c>
      <c r="AB116" s="88">
        <f ca="1"/>
        <v>23029.276401897467</v>
      </c>
      <c r="AC116" s="88">
        <f ca="1"/>
        <v>408643.54486954689</v>
      </c>
      <c r="AD116" s="88">
        <f ca="1"/>
        <v>0</v>
      </c>
      <c r="AE116" s="88">
        <f ca="1"/>
        <v>0</v>
      </c>
      <c r="AF116" s="88">
        <f ca="1"/>
        <v>0</v>
      </c>
      <c r="AG116" s="88">
        <f ca="1"/>
        <v>0</v>
      </c>
      <c r="AH116" s="88">
        <f ca="1"/>
        <v>2845948.5934000001</v>
      </c>
      <c r="AI116" s="88">
        <f ca="1"/>
        <v>0</v>
      </c>
      <c r="AJ116" s="88">
        <f ca="1"/>
        <v>0</v>
      </c>
      <c r="AK116" s="88">
        <f ca="1"/>
        <v>79671.439711064639</v>
      </c>
      <c r="AL116" s="88">
        <f ca="1"/>
        <v>0</v>
      </c>
      <c r="AM116" s="195">
        <f ca="1"/>
        <v>0</v>
      </c>
      <c r="AN116" s="195">
        <f ca="1"/>
        <v>0</v>
      </c>
      <c r="AO116" s="195">
        <f ca="1"/>
        <v>0</v>
      </c>
      <c r="AP116" s="443">
        <f ca="1"/>
        <v>0</v>
      </c>
      <c r="AQ116" s="195">
        <f ca="1"/>
        <v>102878.73593400001</v>
      </c>
      <c r="AR116" s="195">
        <f ca="1"/>
        <v>0</v>
      </c>
      <c r="AS116" s="195">
        <f ca="1"/>
        <v>8680.6842193523444</v>
      </c>
      <c r="AT116" s="195">
        <f ca="1"/>
        <v>11084.22306920916</v>
      </c>
      <c r="AU116" s="195">
        <f ca="1"/>
        <v>11206.656969745922</v>
      </c>
      <c r="AV116" s="195">
        <f ca="1"/>
        <v>27366.952227999998</v>
      </c>
      <c r="AW116" s="195">
        <f ca="1"/>
        <v>0</v>
      </c>
      <c r="AX116" s="195">
        <f ca="1"/>
        <v>0</v>
      </c>
      <c r="AY116" s="195">
        <f ca="1"/>
        <v>0</v>
      </c>
      <c r="AZ116" s="195">
        <f ca="1"/>
        <v>0</v>
      </c>
      <c r="BA116" s="195">
        <f ca="1"/>
        <v>0</v>
      </c>
      <c r="BB116" s="195">
        <f ca="1"/>
        <v>0</v>
      </c>
      <c r="BC116" s="195">
        <f ca="1"/>
        <v>0</v>
      </c>
      <c r="BD116" s="195">
        <f ca="1"/>
        <v>0</v>
      </c>
      <c r="BE116" s="195">
        <f ca="1"/>
        <v>0</v>
      </c>
    </row>
    <row r="117" spans="1:57" s="195" customFormat="1" x14ac:dyDescent="0.2">
      <c r="A117" s="34"/>
      <c r="B117" s="93">
        <v>66</v>
      </c>
      <c r="C117" s="166">
        <f ca="1"/>
        <v>26474131.344599999</v>
      </c>
      <c r="D117" s="177">
        <f ca="1"/>
        <v>0</v>
      </c>
      <c r="E117" s="177">
        <f ca="1"/>
        <v>0</v>
      </c>
      <c r="F117" s="167">
        <f ca="1"/>
        <v>0</v>
      </c>
      <c r="G117" s="33"/>
      <c r="H117" s="34"/>
      <c r="I117" s="33"/>
      <c r="J117" s="94">
        <f ca="1"/>
        <v>0</v>
      </c>
      <c r="K117" s="94">
        <f ca="1"/>
        <v>0</v>
      </c>
      <c r="L117" s="385"/>
      <c r="M117" s="94">
        <f ca="1"/>
        <v>1732695.2050000001</v>
      </c>
      <c r="N117" s="94">
        <f ca="1"/>
        <v>1007222.4757466217</v>
      </c>
      <c r="O117" s="95">
        <f ca="1"/>
        <v>-725472.72925337835</v>
      </c>
      <c r="P117" s="33"/>
      <c r="Q117" s="362">
        <f ca="1"/>
        <v>1</v>
      </c>
      <c r="R117" s="307">
        <f ca="1"/>
        <v>0</v>
      </c>
      <c r="S117" s="307">
        <f ca="1"/>
        <v>0</v>
      </c>
      <c r="T117" s="308">
        <f ca="1"/>
        <v>0</v>
      </c>
      <c r="U117" s="92">
        <f ca="1"/>
        <v>43927</v>
      </c>
      <c r="V117" s="306">
        <f ca="1"/>
        <v>100159.82196539067</v>
      </c>
      <c r="W117" s="87">
        <f ca="1"/>
        <v>0</v>
      </c>
      <c r="X117" s="88">
        <f ca="1"/>
        <v>0</v>
      </c>
      <c r="Y117" s="88">
        <f ca="1"/>
        <v>0</v>
      </c>
      <c r="Z117" s="88">
        <f ca="1"/>
        <v>0</v>
      </c>
      <c r="AA117" s="88">
        <f ca="1"/>
        <v>-2394782.3664883533</v>
      </c>
      <c r="AB117" s="88">
        <f ca="1"/>
        <v>0</v>
      </c>
      <c r="AC117" s="88">
        <f ca="1"/>
        <v>355005.76177952433</v>
      </c>
      <c r="AD117" s="88">
        <f ca="1"/>
        <v>0</v>
      </c>
      <c r="AE117" s="88">
        <f ca="1"/>
        <v>0</v>
      </c>
      <c r="AF117" s="88">
        <f ca="1"/>
        <v>0</v>
      </c>
      <c r="AG117" s="88">
        <f ca="1"/>
        <v>0</v>
      </c>
      <c r="AH117" s="88">
        <f ca="1"/>
        <v>2633538.281</v>
      </c>
      <c r="AI117" s="88">
        <f ca="1"/>
        <v>0</v>
      </c>
      <c r="AJ117" s="88">
        <f ca="1"/>
        <v>0</v>
      </c>
      <c r="AK117" s="88">
        <f ca="1"/>
        <v>80272.996369325439</v>
      </c>
      <c r="AL117" s="88">
        <f ca="1"/>
        <v>0</v>
      </c>
      <c r="AM117" s="195">
        <f ca="1"/>
        <v>0</v>
      </c>
      <c r="AN117" s="195">
        <f ca="1"/>
        <v>0</v>
      </c>
      <c r="AO117" s="195">
        <f ca="1"/>
        <v>0</v>
      </c>
      <c r="AP117" s="443">
        <f ca="1"/>
        <v>0</v>
      </c>
      <c r="AQ117" s="195">
        <f ca="1"/>
        <v>0</v>
      </c>
      <c r="AR117" s="195">
        <f ca="1"/>
        <v>0</v>
      </c>
      <c r="AS117" s="195">
        <f ca="1"/>
        <v>8680.6842193523444</v>
      </c>
      <c r="AT117" s="195">
        <f ca="1"/>
        <v>11203.992211457447</v>
      </c>
      <c r="AU117" s="195">
        <f ca="1"/>
        <v>10026.607971904801</v>
      </c>
      <c r="AV117" s="195">
        <f ca="1"/>
        <v>7077.1824859999997</v>
      </c>
      <c r="AW117" s="195">
        <f ca="1"/>
        <v>0</v>
      </c>
      <c r="AX117" s="195">
        <f ca="1"/>
        <v>0</v>
      </c>
      <c r="AY117" s="195">
        <f ca="1"/>
        <v>0</v>
      </c>
      <c r="AZ117" s="195">
        <f ca="1"/>
        <v>0</v>
      </c>
      <c r="BA117" s="195">
        <f ca="1"/>
        <v>0</v>
      </c>
      <c r="BB117" s="195">
        <f ca="1"/>
        <v>196039.51423202001</v>
      </c>
      <c r="BC117" s="195">
        <f ca="1"/>
        <v>0</v>
      </c>
      <c r="BD117" s="195">
        <f ca="1"/>
        <v>0</v>
      </c>
      <c r="BE117" s="195">
        <f ca="1"/>
        <v>0</v>
      </c>
    </row>
    <row r="118" spans="1:57" s="195" customFormat="1" x14ac:dyDescent="0.2">
      <c r="A118" s="34"/>
      <c r="B118" s="93">
        <v>67</v>
      </c>
      <c r="C118" s="166">
        <f ca="1"/>
        <v>26474131.344599999</v>
      </c>
      <c r="D118" s="177">
        <f ca="1"/>
        <v>0</v>
      </c>
      <c r="E118" s="177">
        <f ca="1"/>
        <v>0</v>
      </c>
      <c r="F118" s="167">
        <f ca="1"/>
        <v>0</v>
      </c>
      <c r="G118" s="33"/>
      <c r="H118" s="34"/>
      <c r="I118" s="33"/>
      <c r="J118" s="94">
        <f ca="1"/>
        <v>0</v>
      </c>
      <c r="K118" s="94">
        <f ca="1"/>
        <v>0</v>
      </c>
      <c r="L118" s="385"/>
      <c r="M118" s="94">
        <f ca="1"/>
        <v>1222968.2169999999</v>
      </c>
      <c r="N118" s="94">
        <f ca="1"/>
        <v>1522474.7160117754</v>
      </c>
      <c r="O118" s="95">
        <f ca="1"/>
        <v>299506.49901177548</v>
      </c>
      <c r="P118" s="33"/>
      <c r="Q118" s="362">
        <f ca="1"/>
        <v>1</v>
      </c>
      <c r="R118" s="307">
        <f ca="1"/>
        <v>0</v>
      </c>
      <c r="S118" s="307">
        <f ca="1"/>
        <v>0</v>
      </c>
      <c r="T118" s="308">
        <f ca="1"/>
        <v>0</v>
      </c>
      <c r="U118" s="92">
        <f ca="1"/>
        <v>43934</v>
      </c>
      <c r="V118" s="306">
        <f ca="1"/>
        <v>100159.82196539067</v>
      </c>
      <c r="W118" s="87">
        <f ca="1"/>
        <v>0</v>
      </c>
      <c r="X118" s="88">
        <f ca="1"/>
        <v>0</v>
      </c>
      <c r="Y118" s="88">
        <f ca="1"/>
        <v>0</v>
      </c>
      <c r="Z118" s="88">
        <f ca="1"/>
        <v>0</v>
      </c>
      <c r="AA118" s="88">
        <f ca="1"/>
        <v>-2178607.4075415963</v>
      </c>
      <c r="AB118" s="88">
        <f ca="1"/>
        <v>0</v>
      </c>
      <c r="AC118" s="88">
        <f ca="1"/>
        <v>581878.53634105134</v>
      </c>
      <c r="AD118" s="88">
        <f ca="1"/>
        <v>0</v>
      </c>
      <c r="AE118" s="88">
        <f ca="1"/>
        <v>0</v>
      </c>
      <c r="AF118" s="88">
        <f ca="1"/>
        <v>0</v>
      </c>
      <c r="AG118" s="88">
        <f ca="1"/>
        <v>0</v>
      </c>
      <c r="AH118" s="88">
        <f ca="1"/>
        <v>2664963.0875999997</v>
      </c>
      <c r="AI118" s="88">
        <f ca="1"/>
        <v>0</v>
      </c>
      <c r="AJ118" s="88">
        <f ca="1"/>
        <v>0</v>
      </c>
      <c r="AK118" s="88">
        <f ca="1"/>
        <v>59382.476876800887</v>
      </c>
      <c r="AL118" s="88">
        <f ca="1"/>
        <v>0</v>
      </c>
      <c r="AM118" s="195">
        <f ca="1"/>
        <v>0</v>
      </c>
      <c r="AN118" s="195">
        <f ca="1"/>
        <v>0</v>
      </c>
      <c r="AO118" s="195">
        <f ca="1"/>
        <v>0</v>
      </c>
      <c r="AP118" s="443">
        <f ca="1"/>
        <v>0</v>
      </c>
      <c r="AQ118" s="195">
        <f ca="1"/>
        <v>0</v>
      </c>
      <c r="AR118" s="195">
        <f ca="1"/>
        <v>0</v>
      </c>
      <c r="AS118" s="195">
        <f ca="1"/>
        <v>8680.6842193523444</v>
      </c>
      <c r="AT118" s="195">
        <f ca="1"/>
        <v>15331.624315071947</v>
      </c>
      <c r="AU118" s="195">
        <f ca="1"/>
        <v>7330.7760804048003</v>
      </c>
      <c r="AV118" s="195">
        <f ca="1"/>
        <v>3102.3265680000004</v>
      </c>
      <c r="AW118" s="195">
        <f ca="1"/>
        <v>0</v>
      </c>
      <c r="AX118" s="195">
        <f ca="1"/>
        <v>0</v>
      </c>
      <c r="AY118" s="195">
        <f ca="1"/>
        <v>0</v>
      </c>
      <c r="AZ118" s="195">
        <f ca="1"/>
        <v>0</v>
      </c>
      <c r="BA118" s="195">
        <f ca="1"/>
        <v>0</v>
      </c>
      <c r="BB118" s="195">
        <f ca="1"/>
        <v>260252.78958729998</v>
      </c>
      <c r="BC118" s="195">
        <f ca="1"/>
        <v>0</v>
      </c>
      <c r="BD118" s="195">
        <f ca="1"/>
        <v>0</v>
      </c>
      <c r="BE118" s="195">
        <f ca="1"/>
        <v>0</v>
      </c>
    </row>
    <row r="119" spans="1:57" s="195" customFormat="1" x14ac:dyDescent="0.2">
      <c r="A119" s="34"/>
      <c r="B119" s="93">
        <v>68</v>
      </c>
      <c r="C119" s="166">
        <f ca="1"/>
        <v>26474131.344599999</v>
      </c>
      <c r="D119" s="177">
        <f ca="1"/>
        <v>0</v>
      </c>
      <c r="E119" s="177">
        <f ca="1"/>
        <v>0</v>
      </c>
      <c r="F119" s="167">
        <f ca="1"/>
        <v>0</v>
      </c>
      <c r="G119" s="33"/>
      <c r="H119" s="34"/>
      <c r="I119" s="33"/>
      <c r="J119" s="94">
        <f ca="1"/>
        <v>0</v>
      </c>
      <c r="K119" s="94">
        <f ca="1"/>
        <v>0</v>
      </c>
      <c r="L119" s="385"/>
      <c r="M119" s="94">
        <f ca="1"/>
        <v>2260663.6329999999</v>
      </c>
      <c r="N119" s="94">
        <f ca="1"/>
        <v>2522396.4691558317</v>
      </c>
      <c r="O119" s="95">
        <f ca="1"/>
        <v>261732.83615583181</v>
      </c>
      <c r="P119" s="33"/>
      <c r="Q119" s="362">
        <f ca="1"/>
        <v>1</v>
      </c>
      <c r="R119" s="307">
        <f ca="1"/>
        <v>0</v>
      </c>
      <c r="S119" s="307">
        <f ca="1"/>
        <v>0</v>
      </c>
      <c r="T119" s="308">
        <f ca="1"/>
        <v>0</v>
      </c>
      <c r="U119" s="92">
        <f ca="1"/>
        <v>43941</v>
      </c>
      <c r="V119" s="306">
        <f ca="1"/>
        <v>100159.82196539067</v>
      </c>
      <c r="W119" s="87">
        <f ca="1"/>
        <v>0</v>
      </c>
      <c r="X119" s="88">
        <f ca="1"/>
        <v>0</v>
      </c>
      <c r="Y119" s="88">
        <f ca="1"/>
        <v>0</v>
      </c>
      <c r="Z119" s="88">
        <f ca="1"/>
        <v>0</v>
      </c>
      <c r="AA119" s="88">
        <f ca="1"/>
        <v>-2120348.498051805</v>
      </c>
      <c r="AB119" s="88">
        <f ca="1"/>
        <v>139761.00714919658</v>
      </c>
      <c r="AC119" s="88">
        <f ca="1"/>
        <v>625082.23647197895</v>
      </c>
      <c r="AD119" s="88">
        <f ca="1"/>
        <v>0</v>
      </c>
      <c r="AE119" s="88">
        <f ca="1"/>
        <v>0</v>
      </c>
      <c r="AF119" s="88">
        <f ca="1"/>
        <v>0</v>
      </c>
      <c r="AG119" s="88">
        <f ca="1"/>
        <v>0</v>
      </c>
      <c r="AH119" s="88">
        <f ca="1"/>
        <v>3442677.2291999995</v>
      </c>
      <c r="AI119" s="88">
        <f ca="1"/>
        <v>0</v>
      </c>
      <c r="AJ119" s="88">
        <f ca="1"/>
        <v>0</v>
      </c>
      <c r="AK119" s="88">
        <f ca="1"/>
        <v>62609.503778629674</v>
      </c>
      <c r="AL119" s="88">
        <f ca="1"/>
        <v>0</v>
      </c>
      <c r="AM119" s="195">
        <f ca="1"/>
        <v>0</v>
      </c>
      <c r="AN119" s="195">
        <f ca="1"/>
        <v>0</v>
      </c>
      <c r="AO119" s="195">
        <f ca="1"/>
        <v>0</v>
      </c>
      <c r="AP119" s="443">
        <f ca="1"/>
        <v>0</v>
      </c>
      <c r="AQ119" s="195">
        <f ca="1"/>
        <v>0</v>
      </c>
      <c r="AR119" s="195">
        <f ca="1"/>
        <v>39766.145879999996</v>
      </c>
      <c r="AS119" s="195">
        <f ca="1"/>
        <v>8680.6857167249527</v>
      </c>
      <c r="AT119" s="195">
        <f ca="1"/>
        <v>10153.517032987145</v>
      </c>
      <c r="AU119" s="195">
        <f ca="1"/>
        <v>3790.6290888771359</v>
      </c>
      <c r="AV119" s="195">
        <f ca="1"/>
        <v>484.73852635999998</v>
      </c>
      <c r="AW119" s="195">
        <f ca="1"/>
        <v>0</v>
      </c>
      <c r="AX119" s="195">
        <f ca="1"/>
        <v>0</v>
      </c>
      <c r="AY119" s="195">
        <f ca="1"/>
        <v>0</v>
      </c>
      <c r="AZ119" s="195">
        <f ca="1"/>
        <v>0</v>
      </c>
      <c r="BA119" s="195">
        <f ca="1"/>
        <v>0</v>
      </c>
      <c r="BB119" s="195">
        <f ca="1"/>
        <v>185040.04393406</v>
      </c>
      <c r="BC119" s="195">
        <f ca="1"/>
        <v>0</v>
      </c>
      <c r="BD119" s="195">
        <f ca="1"/>
        <v>24539.408463432002</v>
      </c>
      <c r="BE119" s="195">
        <f ca="1"/>
        <v>0</v>
      </c>
    </row>
    <row r="120" spans="1:57" s="195" customFormat="1" x14ac:dyDescent="0.2">
      <c r="A120" s="34"/>
      <c r="B120" s="93">
        <v>69</v>
      </c>
      <c r="C120" s="166">
        <f ca="1"/>
        <v>26474131.344599999</v>
      </c>
      <c r="D120" s="177">
        <f ca="1"/>
        <v>0</v>
      </c>
      <c r="E120" s="177">
        <f ca="1"/>
        <v>0</v>
      </c>
      <c r="F120" s="167">
        <f ca="1"/>
        <v>0</v>
      </c>
      <c r="G120" s="33"/>
      <c r="H120" s="34"/>
      <c r="I120" s="33"/>
      <c r="J120" s="94">
        <f ca="1"/>
        <v>0</v>
      </c>
      <c r="K120" s="94">
        <f ca="1"/>
        <v>0</v>
      </c>
      <c r="L120" s="385"/>
      <c r="M120" s="94">
        <f ca="1"/>
        <v>3381277.1889999998</v>
      </c>
      <c r="N120" s="94">
        <f ca="1"/>
        <v>3477627.8116820576</v>
      </c>
      <c r="O120" s="95">
        <f ca="1"/>
        <v>96350.622682057787</v>
      </c>
      <c r="P120" s="33"/>
      <c r="Q120" s="362">
        <f ca="1"/>
        <v>1</v>
      </c>
      <c r="R120" s="307">
        <f ca="1"/>
        <v>0</v>
      </c>
      <c r="S120" s="307">
        <f ca="1"/>
        <v>0</v>
      </c>
      <c r="T120" s="308">
        <f ca="1"/>
        <v>0</v>
      </c>
      <c r="U120" s="92">
        <f ca="1"/>
        <v>43948</v>
      </c>
      <c r="V120" s="306">
        <f ca="1"/>
        <v>100159.82196539067</v>
      </c>
      <c r="W120" s="87">
        <f ca="1"/>
        <v>0</v>
      </c>
      <c r="X120" s="88">
        <f ca="1"/>
        <v>0</v>
      </c>
      <c r="Y120" s="88">
        <f ca="1"/>
        <v>0</v>
      </c>
      <c r="Z120" s="88">
        <f ca="1"/>
        <v>0</v>
      </c>
      <c r="AA120" s="88">
        <f ca="1"/>
        <v>-1986976.296538553</v>
      </c>
      <c r="AB120" s="88">
        <f ca="1"/>
        <v>205433.5750993852</v>
      </c>
      <c r="AC120" s="88">
        <f ca="1"/>
        <v>585247.37385704892</v>
      </c>
      <c r="AD120" s="88">
        <f ca="1"/>
        <v>0</v>
      </c>
      <c r="AE120" s="88">
        <f ca="1"/>
        <v>0</v>
      </c>
      <c r="AF120" s="88">
        <f ca="1"/>
        <v>0</v>
      </c>
      <c r="AG120" s="88">
        <f ca="1"/>
        <v>0</v>
      </c>
      <c r="AH120" s="88">
        <f ca="1"/>
        <v>3714192.9593999996</v>
      </c>
      <c r="AI120" s="88">
        <f ca="1"/>
        <v>0</v>
      </c>
      <c r="AJ120" s="88">
        <f ca="1"/>
        <v>0</v>
      </c>
      <c r="AK120" s="88">
        <f ca="1"/>
        <v>48239.08420727765</v>
      </c>
      <c r="AL120" s="88">
        <f ca="1"/>
        <v>0</v>
      </c>
      <c r="AM120" s="195">
        <f ca="1"/>
        <v>0</v>
      </c>
      <c r="AN120" s="195">
        <f ca="1"/>
        <v>0</v>
      </c>
      <c r="AO120" s="195">
        <f ca="1"/>
        <v>0</v>
      </c>
      <c r="AP120" s="443">
        <f ca="1"/>
        <v>0</v>
      </c>
      <c r="AQ120" s="195">
        <f ca="1"/>
        <v>0</v>
      </c>
      <c r="AR120" s="195">
        <f ca="1"/>
        <v>599357.93319999997</v>
      </c>
      <c r="AS120" s="195">
        <f ca="1"/>
        <v>3467.9541477330913</v>
      </c>
      <c r="AT120" s="195">
        <f ca="1"/>
        <v>10507.834075472136</v>
      </c>
      <c r="AU120" s="195">
        <f ca="1"/>
        <v>6275.5286889576964</v>
      </c>
      <c r="AV120" s="195">
        <f ca="1"/>
        <v>19957.377616000002</v>
      </c>
      <c r="AW120" s="195">
        <f ca="1"/>
        <v>0.50277286537830002</v>
      </c>
      <c r="AX120" s="195">
        <f ca="1"/>
        <v>4349.8095346035398</v>
      </c>
      <c r="AY120" s="195">
        <f ca="1"/>
        <v>0</v>
      </c>
      <c r="AZ120" s="195">
        <f ca="1"/>
        <v>0</v>
      </c>
      <c r="BA120" s="195">
        <f ca="1"/>
        <v>0</v>
      </c>
      <c r="BB120" s="195">
        <f ca="1"/>
        <v>81494.665728799999</v>
      </c>
      <c r="BC120" s="195">
        <f ca="1"/>
        <v>0</v>
      </c>
      <c r="BD120" s="195">
        <f ca="1"/>
        <v>85919.687927076011</v>
      </c>
      <c r="BE120" s="195">
        <f ca="1"/>
        <v>0</v>
      </c>
    </row>
    <row r="121" spans="1:57" s="195" customFormat="1" x14ac:dyDescent="0.2">
      <c r="A121" s="34"/>
      <c r="B121" s="93">
        <v>70</v>
      </c>
      <c r="C121" s="166">
        <f ca="1"/>
        <v>26474131.344599999</v>
      </c>
      <c r="D121" s="177">
        <f ca="1"/>
        <v>0</v>
      </c>
      <c r="E121" s="177">
        <f ca="1"/>
        <v>0</v>
      </c>
      <c r="F121" s="167">
        <f ca="1"/>
        <v>0</v>
      </c>
      <c r="G121" s="33"/>
      <c r="H121" s="34"/>
      <c r="I121" s="33"/>
      <c r="J121" s="94">
        <f ca="1"/>
        <v>0</v>
      </c>
      <c r="K121" s="94">
        <f ca="1"/>
        <v>0</v>
      </c>
      <c r="L121" s="385"/>
      <c r="M121" s="94">
        <f ca="1"/>
        <v>4270501.9040000001</v>
      </c>
      <c r="N121" s="94">
        <f ca="1"/>
        <v>4531592.3100206945</v>
      </c>
      <c r="O121" s="95">
        <f ca="1"/>
        <v>261090.40602069441</v>
      </c>
      <c r="P121" s="33"/>
      <c r="Q121" s="362">
        <f ca="1"/>
        <v>1</v>
      </c>
      <c r="R121" s="307">
        <f ca="1"/>
        <v>0</v>
      </c>
      <c r="S121" s="307">
        <f ca="1"/>
        <v>0</v>
      </c>
      <c r="T121" s="308">
        <f ca="1"/>
        <v>0</v>
      </c>
      <c r="U121" s="92">
        <f ca="1"/>
        <v>43955</v>
      </c>
      <c r="V121" s="306">
        <f ca="1"/>
        <v>100159.82196539067</v>
      </c>
      <c r="W121" s="87">
        <f ca="1"/>
        <v>0</v>
      </c>
      <c r="X121" s="88">
        <f ca="1"/>
        <v>0</v>
      </c>
      <c r="Y121" s="88">
        <f ca="1"/>
        <v>0</v>
      </c>
      <c r="Z121" s="88">
        <f ca="1"/>
        <v>0</v>
      </c>
      <c r="AA121" s="88">
        <f ca="1"/>
        <v>-1827533.156033766</v>
      </c>
      <c r="AB121" s="88">
        <f ca="1"/>
        <v>308931.52813422465</v>
      </c>
      <c r="AC121" s="88">
        <f ca="1"/>
        <v>499580.40164580592</v>
      </c>
      <c r="AD121" s="88">
        <f ca="1"/>
        <v>0</v>
      </c>
      <c r="AE121" s="88">
        <f ca="1"/>
        <v>0</v>
      </c>
      <c r="AF121" s="88">
        <f ca="1"/>
        <v>0</v>
      </c>
      <c r="AG121" s="88">
        <f ca="1"/>
        <v>0</v>
      </c>
      <c r="AH121" s="88">
        <f ca="1"/>
        <v>4610018.7033999991</v>
      </c>
      <c r="AI121" s="88">
        <f ca="1"/>
        <v>0</v>
      </c>
      <c r="AJ121" s="88">
        <f ca="1"/>
        <v>0</v>
      </c>
      <c r="AK121" s="88">
        <f ca="1"/>
        <v>47475.318968633481</v>
      </c>
      <c r="AL121" s="88">
        <f ca="1"/>
        <v>0</v>
      </c>
      <c r="AM121" s="195">
        <f ca="1"/>
        <v>0</v>
      </c>
      <c r="AN121" s="195">
        <f ca="1"/>
        <v>0</v>
      </c>
      <c r="AO121" s="195">
        <f ca="1"/>
        <v>991552.27725000004</v>
      </c>
      <c r="AP121" s="443">
        <f ca="1"/>
        <v>-550862.37624999997</v>
      </c>
      <c r="AQ121" s="195">
        <f ca="1"/>
        <v>0</v>
      </c>
      <c r="AR121" s="195">
        <f ca="1"/>
        <v>54192.627959999998</v>
      </c>
      <c r="AS121" s="195">
        <f ca="1"/>
        <v>1382.8621180467503</v>
      </c>
      <c r="AT121" s="195">
        <f ca="1"/>
        <v>15717.938505853661</v>
      </c>
      <c r="AU121" s="195">
        <f ca="1"/>
        <v>8780.6426319556813</v>
      </c>
      <c r="AV121" s="195">
        <f ca="1"/>
        <v>36660.082272</v>
      </c>
      <c r="AW121" s="195">
        <f ca="1"/>
        <v>1.7597050288240503</v>
      </c>
      <c r="AX121" s="195">
        <f ca="1"/>
        <v>10303.80531474511</v>
      </c>
      <c r="AY121" s="195">
        <f ca="1"/>
        <v>0</v>
      </c>
      <c r="AZ121" s="195">
        <f ca="1"/>
        <v>0</v>
      </c>
      <c r="BA121" s="195">
        <f ca="1"/>
        <v>0</v>
      </c>
      <c r="BB121" s="195">
        <f ca="1"/>
        <v>65907.498401139994</v>
      </c>
      <c r="BC121" s="195">
        <f ca="1"/>
        <v>0</v>
      </c>
      <c r="BD121" s="195">
        <f ca="1"/>
        <v>159322.574031636</v>
      </c>
      <c r="BE121" s="195">
        <f ca="1"/>
        <v>0</v>
      </c>
    </row>
    <row r="122" spans="1:57" s="195" customFormat="1" x14ac:dyDescent="0.2">
      <c r="A122" s="34"/>
      <c r="B122" s="93">
        <v>71</v>
      </c>
      <c r="C122" s="166">
        <f ca="1"/>
        <v>26474131.344599999</v>
      </c>
      <c r="D122" s="177">
        <f ca="1"/>
        <v>0</v>
      </c>
      <c r="E122" s="177">
        <f ca="1"/>
        <v>0</v>
      </c>
      <c r="F122" s="167">
        <f ca="1"/>
        <v>0</v>
      </c>
      <c r="G122" s="33"/>
      <c r="H122" s="34"/>
      <c r="I122" s="33"/>
      <c r="J122" s="94">
        <f ca="1"/>
        <v>0</v>
      </c>
      <c r="K122" s="94">
        <f ca="1"/>
        <v>0</v>
      </c>
      <c r="L122" s="385"/>
      <c r="M122" s="94">
        <f ca="1"/>
        <v>3224891.537</v>
      </c>
      <c r="N122" s="94">
        <f ca="1"/>
        <v>3454360.3550937544</v>
      </c>
      <c r="O122" s="95">
        <f ca="1"/>
        <v>229468.81809375435</v>
      </c>
      <c r="P122" s="33"/>
      <c r="Q122" s="362">
        <f ca="1"/>
        <v>1</v>
      </c>
      <c r="R122" s="307">
        <f ca="1"/>
        <v>0</v>
      </c>
      <c r="S122" s="307">
        <f ca="1"/>
        <v>0</v>
      </c>
      <c r="T122" s="308">
        <f ca="1"/>
        <v>0</v>
      </c>
      <c r="U122" s="92">
        <f ca="1"/>
        <v>43962</v>
      </c>
      <c r="V122" s="306">
        <f ca="1"/>
        <v>100159.82196539067</v>
      </c>
      <c r="W122" s="87">
        <f ca="1"/>
        <v>0</v>
      </c>
      <c r="X122" s="88">
        <f ca="1"/>
        <v>0</v>
      </c>
      <c r="Y122" s="88">
        <f ca="1"/>
        <v>0</v>
      </c>
      <c r="Z122" s="88">
        <f ca="1"/>
        <v>0</v>
      </c>
      <c r="AA122" s="88">
        <f ca="1"/>
        <v>-1717639.4807536008</v>
      </c>
      <c r="AB122" s="88">
        <f ca="1"/>
        <v>0</v>
      </c>
      <c r="AC122" s="88">
        <f ca="1"/>
        <v>464230.65294056089</v>
      </c>
      <c r="AD122" s="88">
        <f ca="1"/>
        <v>0</v>
      </c>
      <c r="AE122" s="88">
        <f ca="1"/>
        <v>0</v>
      </c>
      <c r="AF122" s="88">
        <f ca="1"/>
        <v>0</v>
      </c>
      <c r="AG122" s="88">
        <f ca="1"/>
        <v>0</v>
      </c>
      <c r="AH122" s="88">
        <f ca="1"/>
        <v>3840096.0268000001</v>
      </c>
      <c r="AI122" s="88">
        <f ca="1"/>
        <v>0</v>
      </c>
      <c r="AJ122" s="88">
        <f ca="1"/>
        <v>0</v>
      </c>
      <c r="AK122" s="88">
        <f ca="1"/>
        <v>55639.390648347631</v>
      </c>
      <c r="AL122" s="88">
        <f ca="1"/>
        <v>0</v>
      </c>
      <c r="AM122" s="195">
        <f ca="1"/>
        <v>0</v>
      </c>
      <c r="AN122" s="195">
        <f ca="1"/>
        <v>0</v>
      </c>
      <c r="AO122" s="195">
        <f ca="1"/>
        <v>991552.27725000004</v>
      </c>
      <c r="AP122" s="443">
        <f ca="1"/>
        <v>-550862.37624999997</v>
      </c>
      <c r="AQ122" s="195">
        <f ca="1"/>
        <v>0</v>
      </c>
      <c r="AR122" s="195">
        <f ca="1"/>
        <v>0</v>
      </c>
      <c r="AS122" s="195">
        <f ca="1"/>
        <v>1382.8621180467503</v>
      </c>
      <c r="AT122" s="195">
        <f ca="1"/>
        <v>16684.164312203233</v>
      </c>
      <c r="AU122" s="195">
        <f ca="1"/>
        <v>7108.418286360481</v>
      </c>
      <c r="AV122" s="195">
        <f ca="1"/>
        <v>44789.839842000001</v>
      </c>
      <c r="AW122" s="195">
        <f ca="1"/>
        <v>0.41897738781525001</v>
      </c>
      <c r="AX122" s="195">
        <f ca="1"/>
        <v>11934.983888560933</v>
      </c>
      <c r="AY122" s="195">
        <f ca="1"/>
        <v>0</v>
      </c>
      <c r="AZ122" s="195">
        <f ca="1"/>
        <v>0</v>
      </c>
      <c r="BA122" s="195">
        <f ca="1"/>
        <v>0</v>
      </c>
      <c r="BB122" s="195">
        <f ca="1"/>
        <v>47148.754661539999</v>
      </c>
      <c r="BC122" s="195">
        <f ca="1"/>
        <v>0</v>
      </c>
      <c r="BD122" s="195">
        <f ca="1"/>
        <v>142134.60040695601</v>
      </c>
      <c r="BE122" s="195">
        <f ca="1"/>
        <v>0</v>
      </c>
    </row>
    <row r="123" spans="1:57" s="195" customFormat="1" x14ac:dyDescent="0.2">
      <c r="A123" s="34"/>
      <c r="B123" s="93">
        <v>72</v>
      </c>
      <c r="C123" s="166">
        <f ca="1"/>
        <v>26474131.344599999</v>
      </c>
      <c r="D123" s="177">
        <f ca="1"/>
        <v>0</v>
      </c>
      <c r="E123" s="177">
        <f ca="1"/>
        <v>0</v>
      </c>
      <c r="F123" s="167">
        <f ca="1"/>
        <v>0</v>
      </c>
      <c r="G123" s="33"/>
      <c r="H123" s="34"/>
      <c r="I123" s="33"/>
      <c r="J123" s="94">
        <f ca="1"/>
        <v>0</v>
      </c>
      <c r="K123" s="94">
        <f ca="1"/>
        <v>0</v>
      </c>
      <c r="L123" s="385"/>
      <c r="M123" s="94">
        <f ca="1"/>
        <v>4463840.9529999997</v>
      </c>
      <c r="N123" s="94">
        <f ca="1"/>
        <v>3488174.3061666801</v>
      </c>
      <c r="O123" s="95">
        <f ca="1"/>
        <v>-975666.64683331968</v>
      </c>
      <c r="P123" s="33"/>
      <c r="Q123" s="362">
        <f ca="1"/>
        <v>1</v>
      </c>
      <c r="R123" s="307">
        <f ca="1"/>
        <v>0</v>
      </c>
      <c r="S123" s="307">
        <f ca="1"/>
        <v>0</v>
      </c>
      <c r="T123" s="308">
        <f ca="1"/>
        <v>0</v>
      </c>
      <c r="U123" s="92">
        <f ca="1"/>
        <v>43969</v>
      </c>
      <c r="V123" s="306">
        <f ca="1"/>
        <v>100159.82196539067</v>
      </c>
      <c r="W123" s="87">
        <f ca="1"/>
        <v>0</v>
      </c>
      <c r="X123" s="88">
        <f ca="1"/>
        <v>0</v>
      </c>
      <c r="Y123" s="88">
        <f ca="1"/>
        <v>0</v>
      </c>
      <c r="Z123" s="88">
        <f ca="1"/>
        <v>0</v>
      </c>
      <c r="AA123" s="88">
        <f ca="1"/>
        <v>-1639075.4479816565</v>
      </c>
      <c r="AB123" s="88">
        <f ca="1"/>
        <v>3164.9430337440299</v>
      </c>
      <c r="AC123" s="88">
        <f ca="1"/>
        <v>331160.6762507963</v>
      </c>
      <c r="AD123" s="88">
        <f ca="1"/>
        <v>0</v>
      </c>
      <c r="AE123" s="88">
        <f ca="1"/>
        <v>0</v>
      </c>
      <c r="AF123" s="88">
        <f ca="1"/>
        <v>0</v>
      </c>
      <c r="AG123" s="88">
        <f ca="1"/>
        <v>0</v>
      </c>
      <c r="AH123" s="88">
        <f ca="1"/>
        <v>4336842.4330000002</v>
      </c>
      <c r="AI123" s="88">
        <f ca="1"/>
        <v>0</v>
      </c>
      <c r="AJ123" s="88">
        <f ca="1"/>
        <v>0</v>
      </c>
      <c r="AK123" s="88">
        <f ca="1"/>
        <v>64188.843582588452</v>
      </c>
      <c r="AL123" s="88">
        <f ca="1"/>
        <v>0</v>
      </c>
      <c r="AM123" s="195">
        <f ca="1"/>
        <v>0</v>
      </c>
      <c r="AN123" s="195">
        <f ca="1"/>
        <v>0</v>
      </c>
      <c r="AO123" s="195">
        <f ca="1"/>
        <v>0</v>
      </c>
      <c r="AP123" s="443">
        <f ca="1"/>
        <v>0</v>
      </c>
      <c r="AQ123" s="195">
        <f ca="1"/>
        <v>0</v>
      </c>
      <c r="AR123" s="195">
        <f ca="1"/>
        <v>0</v>
      </c>
      <c r="AS123" s="195">
        <f ca="1"/>
        <v>1382.857608618257</v>
      </c>
      <c r="AT123" s="195">
        <f ca="1"/>
        <v>17333.500933020401</v>
      </c>
      <c r="AU123" s="195">
        <f ca="1"/>
        <v>6739.8726935966406</v>
      </c>
      <c r="AV123" s="195">
        <f ca="1"/>
        <v>40108.650648000003</v>
      </c>
      <c r="AW123" s="195">
        <f ca="1"/>
        <v>1.4245231184025633</v>
      </c>
      <c r="AX123" s="195">
        <f ca="1"/>
        <v>69966.856027003581</v>
      </c>
      <c r="AY123" s="195">
        <f ca="1"/>
        <v>0</v>
      </c>
      <c r="AZ123" s="195">
        <f ca="1"/>
        <v>0</v>
      </c>
      <c r="BA123" s="195">
        <f ca="1"/>
        <v>0</v>
      </c>
      <c r="BB123" s="195">
        <f ca="1"/>
        <v>39300.741864164003</v>
      </c>
      <c r="BC123" s="195">
        <f ca="1"/>
        <v>0</v>
      </c>
      <c r="BD123" s="195">
        <f ca="1"/>
        <v>116899.13201829602</v>
      </c>
      <c r="BE123" s="195">
        <f ca="1"/>
        <v>0</v>
      </c>
    </row>
    <row r="124" spans="1:57" s="195" customFormat="1" x14ac:dyDescent="0.2">
      <c r="A124" s="34"/>
      <c r="B124" s="93">
        <v>73</v>
      </c>
      <c r="C124" s="166">
        <f ca="1"/>
        <v>26474131.344599999</v>
      </c>
      <c r="D124" s="177">
        <f ca="1"/>
        <v>0</v>
      </c>
      <c r="E124" s="177">
        <f ca="1"/>
        <v>0</v>
      </c>
      <c r="F124" s="167">
        <f ca="1"/>
        <v>0</v>
      </c>
      <c r="G124" s="33"/>
      <c r="H124" s="34"/>
      <c r="I124" s="33"/>
      <c r="J124" s="94">
        <f ca="1"/>
        <v>0</v>
      </c>
      <c r="K124" s="94">
        <f ca="1"/>
        <v>0</v>
      </c>
      <c r="L124" s="385"/>
      <c r="M124" s="94">
        <f ca="1"/>
        <v>4432625.5870000003</v>
      </c>
      <c r="N124" s="94">
        <f ca="1"/>
        <v>3191244.9951110841</v>
      </c>
      <c r="O124" s="95">
        <f ca="1"/>
        <v>-1241380.5918889162</v>
      </c>
      <c r="P124" s="33"/>
      <c r="Q124" s="362">
        <f ca="1"/>
        <v>1</v>
      </c>
      <c r="R124" s="307">
        <f ca="1"/>
        <v>0</v>
      </c>
      <c r="S124" s="307">
        <f ca="1"/>
        <v>0</v>
      </c>
      <c r="T124" s="308">
        <f ca="1"/>
        <v>0</v>
      </c>
      <c r="U124" s="92">
        <f ca="1"/>
        <v>43976</v>
      </c>
      <c r="V124" s="306">
        <f ca="1"/>
        <v>100159.82196539067</v>
      </c>
      <c r="W124" s="87">
        <f ca="1"/>
        <v>0</v>
      </c>
      <c r="X124" s="88">
        <f ca="1"/>
        <v>0</v>
      </c>
      <c r="Y124" s="88">
        <f ca="1"/>
        <v>0</v>
      </c>
      <c r="Z124" s="88">
        <f ca="1"/>
        <v>0</v>
      </c>
      <c r="AA124" s="88">
        <f ca="1"/>
        <v>-1703651.2478564354</v>
      </c>
      <c r="AB124" s="88">
        <f ca="1"/>
        <v>157500.51285333186</v>
      </c>
      <c r="AC124" s="88">
        <f ca="1"/>
        <v>246538.73597512484</v>
      </c>
      <c r="AD124" s="88">
        <f ca="1"/>
        <v>0</v>
      </c>
      <c r="AE124" s="88">
        <f ca="1"/>
        <v>0</v>
      </c>
      <c r="AF124" s="88">
        <f ca="1"/>
        <v>0</v>
      </c>
      <c r="AG124" s="88">
        <f ca="1"/>
        <v>0</v>
      </c>
      <c r="AH124" s="88">
        <f ca="1"/>
        <v>3873136.7135999999</v>
      </c>
      <c r="AI124" s="88">
        <f ca="1"/>
        <v>0</v>
      </c>
      <c r="AJ124" s="88">
        <f ca="1"/>
        <v>0</v>
      </c>
      <c r="AK124" s="88">
        <f ca="1"/>
        <v>69393.173727439222</v>
      </c>
      <c r="AL124" s="88">
        <f ca="1"/>
        <v>0</v>
      </c>
      <c r="AM124" s="195">
        <f ca="1"/>
        <v>0</v>
      </c>
      <c r="AN124" s="195">
        <f ca="1"/>
        <v>0</v>
      </c>
      <c r="AO124" s="195">
        <f ca="1"/>
        <v>0</v>
      </c>
      <c r="AP124" s="443">
        <f ca="1"/>
        <v>0</v>
      </c>
      <c r="AQ124" s="195">
        <f ca="1"/>
        <v>0</v>
      </c>
      <c r="AR124" s="195">
        <f ca="1"/>
        <v>214987.4486</v>
      </c>
      <c r="AS124" s="195">
        <f ca="1"/>
        <v>1382.8561008592485</v>
      </c>
      <c r="AT124" s="195">
        <f ca="1"/>
        <v>17587.716805145912</v>
      </c>
      <c r="AU124" s="195">
        <f ca="1"/>
        <v>14253.16380126048</v>
      </c>
      <c r="AV124" s="195">
        <f ca="1"/>
        <v>31549.553221999999</v>
      </c>
      <c r="AW124" s="195">
        <f ca="1"/>
        <v>0.92175025319355008</v>
      </c>
      <c r="AX124" s="195">
        <f ca="1"/>
        <v>67008.417430572095</v>
      </c>
      <c r="AY124" s="195">
        <f ca="1"/>
        <v>0</v>
      </c>
      <c r="AZ124" s="195">
        <f ca="1"/>
        <v>0</v>
      </c>
      <c r="BA124" s="195">
        <f ca="1"/>
        <v>0</v>
      </c>
      <c r="BB124" s="195">
        <f ca="1"/>
        <v>19784.750114414001</v>
      </c>
      <c r="BC124" s="195">
        <f ca="1"/>
        <v>0</v>
      </c>
      <c r="BD124" s="195">
        <f ca="1"/>
        <v>81612.457021728012</v>
      </c>
      <c r="BE124" s="195">
        <f ca="1"/>
        <v>0</v>
      </c>
    </row>
    <row r="125" spans="1:57" s="195" customFormat="1" x14ac:dyDescent="0.2">
      <c r="A125" s="34"/>
      <c r="B125" s="93">
        <v>74</v>
      </c>
      <c r="C125" s="166">
        <f ca="1"/>
        <v>26474131.344599999</v>
      </c>
      <c r="D125" s="177">
        <f ca="1"/>
        <v>0</v>
      </c>
      <c r="E125" s="177">
        <f ca="1"/>
        <v>0</v>
      </c>
      <c r="F125" s="167">
        <f ca="1"/>
        <v>0</v>
      </c>
      <c r="G125" s="33"/>
      <c r="H125" s="34"/>
      <c r="I125" s="33"/>
      <c r="J125" s="94">
        <f ca="1"/>
        <v>0</v>
      </c>
      <c r="K125" s="94">
        <f ca="1"/>
        <v>0</v>
      </c>
      <c r="L125" s="385"/>
      <c r="M125" s="94">
        <f ca="1"/>
        <v>4855216.2949999999</v>
      </c>
      <c r="N125" s="94">
        <f ca="1"/>
        <v>3773925.600801487</v>
      </c>
      <c r="O125" s="95">
        <f ca="1"/>
        <v>-1081290.6941985129</v>
      </c>
      <c r="P125" s="33"/>
      <c r="Q125" s="362">
        <f ca="1"/>
        <v>1</v>
      </c>
      <c r="R125" s="307">
        <f ca="1"/>
        <v>0</v>
      </c>
      <c r="S125" s="307">
        <f ca="1"/>
        <v>0</v>
      </c>
      <c r="T125" s="308">
        <f ca="1"/>
        <v>0</v>
      </c>
      <c r="U125" s="92">
        <f ca="1"/>
        <v>43983</v>
      </c>
      <c r="V125" s="306">
        <f ca="1"/>
        <v>100159.82196539067</v>
      </c>
      <c r="W125" s="87">
        <f ca="1"/>
        <v>0</v>
      </c>
      <c r="X125" s="88">
        <f ca="1"/>
        <v>0</v>
      </c>
      <c r="Y125" s="88">
        <f ca="1"/>
        <v>0</v>
      </c>
      <c r="Z125" s="88">
        <f ca="1"/>
        <v>0</v>
      </c>
      <c r="AA125" s="88">
        <f ca="1"/>
        <v>-1368525.6232938748</v>
      </c>
      <c r="AB125" s="88">
        <f ca="1"/>
        <v>267581.54739835887</v>
      </c>
      <c r="AC125" s="88">
        <f ca="1"/>
        <v>240700.05895578006</v>
      </c>
      <c r="AD125" s="88">
        <f ca="1"/>
        <v>0</v>
      </c>
      <c r="AE125" s="88">
        <f ca="1"/>
        <v>0</v>
      </c>
      <c r="AF125" s="88">
        <f ca="1"/>
        <v>0</v>
      </c>
      <c r="AG125" s="88">
        <f ca="1"/>
        <v>0</v>
      </c>
      <c r="AH125" s="88">
        <f ca="1"/>
        <v>4249700.4153999994</v>
      </c>
      <c r="AI125" s="88">
        <f ca="1"/>
        <v>0</v>
      </c>
      <c r="AJ125" s="88">
        <f ca="1"/>
        <v>0</v>
      </c>
      <c r="AK125" s="88">
        <f ca="1"/>
        <v>77084.066258170991</v>
      </c>
      <c r="AL125" s="88">
        <f ca="1"/>
        <v>0</v>
      </c>
      <c r="AM125" s="195">
        <f ca="1"/>
        <v>0</v>
      </c>
      <c r="AN125" s="195">
        <f ca="1"/>
        <v>0</v>
      </c>
      <c r="AO125" s="195">
        <f ca="1"/>
        <v>0</v>
      </c>
      <c r="AP125" s="443">
        <f ca="1"/>
        <v>0</v>
      </c>
      <c r="AQ125" s="195">
        <f ca="1"/>
        <v>0</v>
      </c>
      <c r="AR125" s="195">
        <f ca="1"/>
        <v>0</v>
      </c>
      <c r="AS125" s="195">
        <f ca="1"/>
        <v>1382.8530792824984</v>
      </c>
      <c r="AT125" s="195">
        <f ca="1"/>
        <v>16861.029283292919</v>
      </c>
      <c r="AU125" s="195">
        <f ca="1"/>
        <v>20275.866699374401</v>
      </c>
      <c r="AV125" s="195">
        <f ca="1"/>
        <v>57905.479390000008</v>
      </c>
      <c r="AW125" s="195">
        <f ca="1"/>
        <v>0</v>
      </c>
      <c r="AX125" s="195">
        <f ca="1"/>
        <v>0</v>
      </c>
      <c r="AY125" s="195">
        <f ca="1"/>
        <v>0</v>
      </c>
      <c r="AZ125" s="195">
        <f ca="1"/>
        <v>0</v>
      </c>
      <c r="BA125" s="195">
        <f ca="1"/>
        <v>0</v>
      </c>
      <c r="BB125" s="195">
        <f ca="1"/>
        <v>38439.161663612002</v>
      </c>
      <c r="BC125" s="195">
        <f ca="1"/>
        <v>0</v>
      </c>
      <c r="BD125" s="195">
        <f ca="1"/>
        <v>72360.924002100001</v>
      </c>
      <c r="BE125" s="195">
        <f ca="1"/>
        <v>0</v>
      </c>
    </row>
    <row r="126" spans="1:57" s="195" customFormat="1" x14ac:dyDescent="0.2">
      <c r="A126" s="34"/>
      <c r="B126" s="93">
        <v>75</v>
      </c>
      <c r="C126" s="166">
        <f ca="1"/>
        <v>26474131.344599999</v>
      </c>
      <c r="D126" s="177">
        <f ca="1"/>
        <v>0</v>
      </c>
      <c r="E126" s="177">
        <f ca="1"/>
        <v>0</v>
      </c>
      <c r="F126" s="167">
        <f ca="1"/>
        <v>0</v>
      </c>
      <c r="G126" s="33"/>
      <c r="H126" s="34"/>
      <c r="I126" s="33"/>
      <c r="J126" s="94">
        <f ca="1"/>
        <v>0</v>
      </c>
      <c r="K126" s="94">
        <f ca="1"/>
        <v>0</v>
      </c>
      <c r="L126" s="385"/>
      <c r="M126" s="94">
        <f ca="1"/>
        <v>6452035.4610000001</v>
      </c>
      <c r="N126" s="94">
        <f ca="1"/>
        <v>6723914.1877151271</v>
      </c>
      <c r="O126" s="95">
        <f ca="1"/>
        <v>271878.72671512701</v>
      </c>
      <c r="P126" s="33"/>
      <c r="Q126" s="362">
        <f ca="1"/>
        <v>1</v>
      </c>
      <c r="R126" s="307">
        <f ca="1"/>
        <v>0</v>
      </c>
      <c r="S126" s="307">
        <f ca="1"/>
        <v>0</v>
      </c>
      <c r="T126" s="308">
        <f ca="1"/>
        <v>0</v>
      </c>
      <c r="U126" s="92">
        <f ca="1"/>
        <v>43990</v>
      </c>
      <c r="V126" s="306">
        <f ca="1"/>
        <v>100159.82196539067</v>
      </c>
      <c r="W126" s="87">
        <f ca="1"/>
        <v>0</v>
      </c>
      <c r="X126" s="88">
        <f ca="1"/>
        <v>0</v>
      </c>
      <c r="Y126" s="88">
        <f ca="1"/>
        <v>0</v>
      </c>
      <c r="Z126" s="88">
        <f ca="1"/>
        <v>2561008.4365313901</v>
      </c>
      <c r="AA126" s="88">
        <f ca="1"/>
        <v>-1313707.4563575641</v>
      </c>
      <c r="AB126" s="88">
        <f ca="1"/>
        <v>74439.460153659587</v>
      </c>
      <c r="AC126" s="88">
        <f ca="1"/>
        <v>229786.5803893627</v>
      </c>
      <c r="AD126" s="88">
        <f ca="1"/>
        <v>0</v>
      </c>
      <c r="AE126" s="88">
        <f ca="1"/>
        <v>0</v>
      </c>
      <c r="AF126" s="88">
        <f ca="1"/>
        <v>0</v>
      </c>
      <c r="AG126" s="88">
        <f ca="1"/>
        <v>0</v>
      </c>
      <c r="AH126" s="88">
        <f ca="1"/>
        <v>4745424.9611999998</v>
      </c>
      <c r="AI126" s="88">
        <f ca="1"/>
        <v>0</v>
      </c>
      <c r="AJ126" s="88">
        <f ca="1"/>
        <v>0</v>
      </c>
      <c r="AK126" s="88">
        <f ca="1"/>
        <v>62009.026445359959</v>
      </c>
      <c r="AL126" s="88">
        <f ca="1"/>
        <v>0</v>
      </c>
      <c r="AM126" s="195">
        <f ca="1"/>
        <v>0</v>
      </c>
      <c r="AN126" s="195">
        <f ca="1"/>
        <v>0</v>
      </c>
      <c r="AO126" s="195">
        <f ca="1"/>
        <v>0</v>
      </c>
      <c r="AP126" s="443">
        <f ca="1"/>
        <v>0</v>
      </c>
      <c r="AQ126" s="195">
        <f ca="1"/>
        <v>0</v>
      </c>
      <c r="AR126" s="195">
        <f ca="1"/>
        <v>0</v>
      </c>
      <c r="AS126" s="195">
        <f ca="1"/>
        <v>395.1004473251038</v>
      </c>
      <c r="AT126" s="195">
        <f ca="1"/>
        <v>55053.148150632056</v>
      </c>
      <c r="AU126" s="195">
        <f ca="1"/>
        <v>27768.650500604643</v>
      </c>
      <c r="AV126" s="195">
        <f ca="1"/>
        <v>80258.850298000005</v>
      </c>
      <c r="AW126" s="195">
        <f ca="1"/>
        <v>0</v>
      </c>
      <c r="AX126" s="195">
        <f ca="1"/>
        <v>0</v>
      </c>
      <c r="AY126" s="195">
        <f ca="1"/>
        <v>0</v>
      </c>
      <c r="AZ126" s="195">
        <f ca="1"/>
        <v>0</v>
      </c>
      <c r="BA126" s="195">
        <f ca="1"/>
        <v>0</v>
      </c>
      <c r="BB126" s="195">
        <f ca="1"/>
        <v>41130.453692386</v>
      </c>
      <c r="BC126" s="195">
        <f ca="1"/>
        <v>268.99199853280004</v>
      </c>
      <c r="BD126" s="195">
        <f ca="1"/>
        <v>59840.283963444002</v>
      </c>
      <c r="BE126" s="195">
        <f ca="1"/>
        <v>77.878336603665005</v>
      </c>
    </row>
    <row r="127" spans="1:57" s="195" customFormat="1" x14ac:dyDescent="0.2">
      <c r="A127" s="34"/>
      <c r="B127" s="93">
        <v>76</v>
      </c>
      <c r="C127" s="166">
        <f ca="1"/>
        <v>26474131.344599999</v>
      </c>
      <c r="D127" s="177">
        <f ca="1"/>
        <v>0</v>
      </c>
      <c r="E127" s="177">
        <f ca="1"/>
        <v>0</v>
      </c>
      <c r="F127" s="167">
        <f ca="1"/>
        <v>0</v>
      </c>
      <c r="G127" s="33"/>
      <c r="H127" s="34"/>
      <c r="I127" s="33"/>
      <c r="J127" s="94">
        <f ca="1"/>
        <v>0</v>
      </c>
      <c r="K127" s="94">
        <f ca="1"/>
        <v>0</v>
      </c>
      <c r="L127" s="385"/>
      <c r="M127" s="94">
        <f ca="1"/>
        <v>6185776.523</v>
      </c>
      <c r="N127" s="94">
        <f ca="1"/>
        <v>5649810.8847017959</v>
      </c>
      <c r="O127" s="95">
        <f ca="1"/>
        <v>-535965.63829820417</v>
      </c>
      <c r="P127" s="33"/>
      <c r="Q127" s="362">
        <f ca="1"/>
        <v>1</v>
      </c>
      <c r="R127" s="307">
        <f ca="1"/>
        <v>0</v>
      </c>
      <c r="S127" s="307">
        <f ca="1"/>
        <v>0</v>
      </c>
      <c r="T127" s="308">
        <f ca="1"/>
        <v>0</v>
      </c>
      <c r="U127" s="92">
        <f ca="1"/>
        <v>43997</v>
      </c>
      <c r="V127" s="306">
        <f ca="1"/>
        <v>100159.82196539067</v>
      </c>
      <c r="W127" s="87">
        <f ca="1"/>
        <v>0</v>
      </c>
      <c r="X127" s="88">
        <f ca="1"/>
        <v>0</v>
      </c>
      <c r="Y127" s="88">
        <f ca="1"/>
        <v>0</v>
      </c>
      <c r="Z127" s="88">
        <f ca="1"/>
        <v>0</v>
      </c>
      <c r="AA127" s="88">
        <f ca="1"/>
        <v>-1316652.0439916407</v>
      </c>
      <c r="AB127" s="88">
        <f ca="1"/>
        <v>99684.196679177869</v>
      </c>
      <c r="AC127" s="88">
        <f ca="1"/>
        <v>237111.29484751876</v>
      </c>
      <c r="AD127" s="88">
        <f ca="1"/>
        <v>0</v>
      </c>
      <c r="AE127" s="88">
        <f ca="1"/>
        <v>0</v>
      </c>
      <c r="AF127" s="88">
        <f ca="1"/>
        <v>0</v>
      </c>
      <c r="AG127" s="88">
        <f ca="1"/>
        <v>0</v>
      </c>
      <c r="AH127" s="88">
        <f ca="1"/>
        <v>5892788.8271999992</v>
      </c>
      <c r="AI127" s="88">
        <f ca="1"/>
        <v>0</v>
      </c>
      <c r="AJ127" s="88">
        <f ca="1"/>
        <v>0</v>
      </c>
      <c r="AK127" s="88">
        <f ca="1"/>
        <v>63226.882976858506</v>
      </c>
      <c r="AL127" s="88">
        <f ca="1"/>
        <v>0</v>
      </c>
      <c r="AM127" s="195">
        <f ca="1"/>
        <v>0</v>
      </c>
      <c r="AN127" s="195">
        <f ca="1"/>
        <v>0</v>
      </c>
      <c r="AO127" s="195">
        <f ca="1"/>
        <v>0</v>
      </c>
      <c r="AP127" s="443">
        <f ca="1"/>
        <v>0</v>
      </c>
      <c r="AQ127" s="195">
        <f ca="1"/>
        <v>0</v>
      </c>
      <c r="AR127" s="195">
        <f ca="1"/>
        <v>0</v>
      </c>
      <c r="AS127" s="195">
        <f ca="1"/>
        <v>0</v>
      </c>
      <c r="AT127" s="195">
        <f ca="1"/>
        <v>254932.43378936578</v>
      </c>
      <c r="AU127" s="195">
        <f ca="1"/>
        <v>37348.199192256958</v>
      </c>
      <c r="AV127" s="195">
        <f ca="1"/>
        <v>118359.298486</v>
      </c>
      <c r="AW127" s="195">
        <f ca="1"/>
        <v>0</v>
      </c>
      <c r="AX127" s="195">
        <f ca="1"/>
        <v>0</v>
      </c>
      <c r="AY127" s="195">
        <f ca="1"/>
        <v>0</v>
      </c>
      <c r="AZ127" s="195">
        <f ca="1"/>
        <v>0</v>
      </c>
      <c r="BA127" s="195">
        <f ca="1"/>
        <v>0</v>
      </c>
      <c r="BB127" s="195">
        <f ca="1"/>
        <v>124399.93493056</v>
      </c>
      <c r="BC127" s="195">
        <f ca="1"/>
        <v>268.99199853280004</v>
      </c>
      <c r="BD127" s="195">
        <f ca="1"/>
        <v>38105.168291172005</v>
      </c>
      <c r="BE127" s="195">
        <f ca="1"/>
        <v>77.878336603665005</v>
      </c>
    </row>
    <row r="128" spans="1:57" s="195" customFormat="1" x14ac:dyDescent="0.2">
      <c r="A128" s="34"/>
      <c r="B128" s="93">
        <v>77</v>
      </c>
      <c r="C128" s="166">
        <f ca="1"/>
        <v>26474131.344599999</v>
      </c>
      <c r="D128" s="177">
        <f ca="1"/>
        <v>0</v>
      </c>
      <c r="E128" s="177">
        <f ca="1"/>
        <v>0</v>
      </c>
      <c r="F128" s="167">
        <f ca="1"/>
        <v>0</v>
      </c>
      <c r="G128" s="33"/>
      <c r="H128" s="34"/>
      <c r="I128" s="33"/>
      <c r="J128" s="94">
        <f ca="1"/>
        <v>0</v>
      </c>
      <c r="K128" s="94">
        <f ca="1"/>
        <v>0</v>
      </c>
      <c r="L128" s="385"/>
      <c r="M128" s="94">
        <f ca="1"/>
        <v>4558502.4340000004</v>
      </c>
      <c r="N128" s="94">
        <f ca="1"/>
        <v>4818292.1851520818</v>
      </c>
      <c r="O128" s="95">
        <f ca="1"/>
        <v>259789.75115208142</v>
      </c>
      <c r="P128" s="33"/>
      <c r="Q128" s="362">
        <f ca="1"/>
        <v>1</v>
      </c>
      <c r="R128" s="307">
        <f ca="1"/>
        <v>0</v>
      </c>
      <c r="S128" s="307">
        <f ca="1"/>
        <v>0</v>
      </c>
      <c r="T128" s="308">
        <f ca="1"/>
        <v>0</v>
      </c>
      <c r="U128" s="92">
        <f ca="1"/>
        <v>44004</v>
      </c>
      <c r="V128" s="306">
        <f ca="1"/>
        <v>100159.82196539067</v>
      </c>
      <c r="W128" s="87">
        <f ca="1"/>
        <v>0</v>
      </c>
      <c r="X128" s="88">
        <f ca="1"/>
        <v>0</v>
      </c>
      <c r="Y128" s="88">
        <f ca="1"/>
        <v>0</v>
      </c>
      <c r="Z128" s="88">
        <f ca="1"/>
        <v>0</v>
      </c>
      <c r="AA128" s="88">
        <f ca="1"/>
        <v>-1366262.065141794</v>
      </c>
      <c r="AB128" s="88">
        <f ca="1"/>
        <v>22520.008295558655</v>
      </c>
      <c r="AC128" s="88">
        <f ca="1"/>
        <v>301373.78440982598</v>
      </c>
      <c r="AD128" s="88">
        <f ca="1"/>
        <v>0</v>
      </c>
      <c r="AE128" s="88">
        <f ca="1"/>
        <v>0</v>
      </c>
      <c r="AF128" s="88">
        <f ca="1"/>
        <v>0</v>
      </c>
      <c r="AG128" s="88">
        <f ca="1"/>
        <v>0</v>
      </c>
      <c r="AH128" s="88">
        <f ca="1"/>
        <v>4919696.7093999991</v>
      </c>
      <c r="AI128" s="88">
        <f ca="1"/>
        <v>0</v>
      </c>
      <c r="AJ128" s="88">
        <f ca="1"/>
        <v>0</v>
      </c>
      <c r="AK128" s="88">
        <f ca="1"/>
        <v>65616.575230391551</v>
      </c>
      <c r="AL128" s="88">
        <f ca="1"/>
        <v>0</v>
      </c>
      <c r="AM128" s="195">
        <f ca="1"/>
        <v>0</v>
      </c>
      <c r="AN128" s="195">
        <f ca="1"/>
        <v>0</v>
      </c>
      <c r="AO128" s="195">
        <f ca="1"/>
        <v>0</v>
      </c>
      <c r="AP128" s="443">
        <f ca="1"/>
        <v>0</v>
      </c>
      <c r="AQ128" s="195">
        <f ca="1"/>
        <v>0</v>
      </c>
      <c r="AR128" s="195">
        <f ca="1"/>
        <v>0</v>
      </c>
      <c r="AS128" s="195">
        <f ca="1"/>
        <v>0</v>
      </c>
      <c r="AT128" s="195">
        <f ca="1"/>
        <v>431834.53796102875</v>
      </c>
      <c r="AU128" s="195">
        <f ca="1"/>
        <v>9982.956705353281</v>
      </c>
      <c r="AV128" s="195">
        <f ca="1"/>
        <v>132998.40197599999</v>
      </c>
      <c r="AW128" s="195">
        <f ca="1"/>
        <v>0</v>
      </c>
      <c r="AX128" s="195">
        <f ca="1"/>
        <v>0</v>
      </c>
      <c r="AY128" s="195">
        <f ca="1"/>
        <v>0</v>
      </c>
      <c r="AZ128" s="195">
        <f ca="1"/>
        <v>0</v>
      </c>
      <c r="BA128" s="195">
        <f ca="1"/>
        <v>0</v>
      </c>
      <c r="BB128" s="195">
        <f ca="1"/>
        <v>114134.00209862001</v>
      </c>
      <c r="BC128" s="195">
        <f ca="1"/>
        <v>0</v>
      </c>
      <c r="BD128" s="195">
        <f ca="1"/>
        <v>86237.452251708004</v>
      </c>
      <c r="BE128" s="195">
        <f ca="1"/>
        <v>0</v>
      </c>
    </row>
    <row r="129" spans="1:57" s="195" customFormat="1" x14ac:dyDescent="0.2">
      <c r="A129" s="34"/>
      <c r="B129" s="93">
        <v>78</v>
      </c>
      <c r="C129" s="166">
        <f ca="1"/>
        <v>26474131.344599999</v>
      </c>
      <c r="D129" s="177">
        <f ca="1"/>
        <v>0</v>
      </c>
      <c r="E129" s="177">
        <f ca="1"/>
        <v>0</v>
      </c>
      <c r="F129" s="167">
        <f ca="1"/>
        <v>0</v>
      </c>
      <c r="G129" s="33"/>
      <c r="H129" s="34"/>
      <c r="I129" s="33"/>
      <c r="J129" s="94">
        <f ca="1"/>
        <v>0</v>
      </c>
      <c r="K129" s="94">
        <f ca="1"/>
        <v>0</v>
      </c>
      <c r="L129" s="385"/>
      <c r="M129" s="94">
        <f ca="1"/>
        <v>4176359.0189999999</v>
      </c>
      <c r="N129" s="94">
        <f ca="1"/>
        <v>4255200.4321604697</v>
      </c>
      <c r="O129" s="95">
        <f ca="1"/>
        <v>78841.413160469849</v>
      </c>
      <c r="P129" s="33"/>
      <c r="Q129" s="362">
        <f ca="1"/>
        <v>1</v>
      </c>
      <c r="R129" s="307">
        <f ca="1"/>
        <v>0</v>
      </c>
      <c r="S129" s="307">
        <f ca="1"/>
        <v>0</v>
      </c>
      <c r="T129" s="308">
        <f ca="1"/>
        <v>0</v>
      </c>
      <c r="U129" s="92">
        <f ca="1"/>
        <v>44011</v>
      </c>
      <c r="V129" s="306">
        <f ca="1"/>
        <v>100159.82196539067</v>
      </c>
      <c r="W129" s="87">
        <f ca="1"/>
        <v>0</v>
      </c>
      <c r="X129" s="88">
        <f ca="1"/>
        <v>0</v>
      </c>
      <c r="Y129" s="88">
        <f ca="1"/>
        <v>0</v>
      </c>
      <c r="Z129" s="88">
        <f ca="1"/>
        <v>0</v>
      </c>
      <c r="AA129" s="88">
        <f ca="1"/>
        <v>-1757826.8347533257</v>
      </c>
      <c r="AB129" s="88">
        <f ca="1"/>
        <v>220800.81213868235</v>
      </c>
      <c r="AC129" s="88">
        <f ca="1"/>
        <v>335748.43956072646</v>
      </c>
      <c r="AD129" s="88">
        <f ca="1"/>
        <v>0</v>
      </c>
      <c r="AE129" s="88">
        <f ca="1"/>
        <v>0</v>
      </c>
      <c r="AF129" s="88">
        <f ca="1"/>
        <v>0</v>
      </c>
      <c r="AG129" s="88">
        <f ca="1"/>
        <v>0</v>
      </c>
      <c r="AH129" s="88">
        <f ca="1"/>
        <v>4834358.6896000002</v>
      </c>
      <c r="AI129" s="88">
        <f ca="1"/>
        <v>0</v>
      </c>
      <c r="AJ129" s="88">
        <f ca="1"/>
        <v>0</v>
      </c>
      <c r="AK129" s="88">
        <f ca="1"/>
        <v>70774.461258856827</v>
      </c>
      <c r="AL129" s="88">
        <f ca="1"/>
        <v>0</v>
      </c>
      <c r="AM129" s="195">
        <f ca="1"/>
        <v>0</v>
      </c>
      <c r="AN129" s="195">
        <f ca="1"/>
        <v>0</v>
      </c>
      <c r="AO129" s="195">
        <f ca="1"/>
        <v>0</v>
      </c>
      <c r="AP129" s="443">
        <f ca="1"/>
        <v>0</v>
      </c>
      <c r="AQ129" s="195">
        <f ca="1"/>
        <v>0</v>
      </c>
      <c r="AR129" s="195">
        <f ca="1"/>
        <v>0</v>
      </c>
      <c r="AS129" s="195">
        <f ca="1"/>
        <v>0</v>
      </c>
      <c r="AT129" s="195">
        <f ca="1"/>
        <v>283829.96823347086</v>
      </c>
      <c r="AU129" s="195">
        <f ca="1"/>
        <v>20757.49543904352</v>
      </c>
      <c r="AV129" s="195">
        <f ca="1"/>
        <v>28253.331259999999</v>
      </c>
      <c r="AW129" s="195">
        <f ca="1"/>
        <v>0</v>
      </c>
      <c r="AX129" s="195">
        <f ca="1"/>
        <v>0</v>
      </c>
      <c r="AY129" s="195">
        <f ca="1"/>
        <v>0</v>
      </c>
      <c r="AZ129" s="195">
        <f ca="1"/>
        <v>0</v>
      </c>
      <c r="BA129" s="195">
        <f ca="1"/>
        <v>0</v>
      </c>
      <c r="BB129" s="195">
        <f ca="1"/>
        <v>74771.881466959996</v>
      </c>
      <c r="BC129" s="195">
        <f ca="1"/>
        <v>0</v>
      </c>
      <c r="BD129" s="195">
        <f ca="1"/>
        <v>43572.365990663995</v>
      </c>
      <c r="BE129" s="195">
        <f ca="1"/>
        <v>0</v>
      </c>
    </row>
    <row r="130" spans="1:57" s="195" customFormat="1" x14ac:dyDescent="0.2">
      <c r="A130" s="34"/>
      <c r="B130" s="93">
        <v>79</v>
      </c>
      <c r="C130" s="166">
        <f ca="1"/>
        <v>26474131.344599999</v>
      </c>
      <c r="D130" s="177">
        <f ca="1"/>
        <v>0</v>
      </c>
      <c r="E130" s="177">
        <f ca="1"/>
        <v>0</v>
      </c>
      <c r="F130" s="167">
        <f ca="1"/>
        <v>0</v>
      </c>
      <c r="G130" s="33"/>
      <c r="H130" s="34"/>
      <c r="I130" s="33"/>
      <c r="J130" s="94">
        <f ca="1"/>
        <v>0</v>
      </c>
      <c r="K130" s="94">
        <f ca="1"/>
        <v>0</v>
      </c>
      <c r="L130" s="385"/>
      <c r="M130" s="94">
        <f ca="1"/>
        <v>6637140.6370000001</v>
      </c>
      <c r="N130" s="94">
        <f ca="1"/>
        <v>6829225.6861091116</v>
      </c>
      <c r="O130" s="95">
        <f ca="1"/>
        <v>192085.04910911154</v>
      </c>
      <c r="P130" s="33"/>
      <c r="Q130" s="362">
        <f ca="1"/>
        <v>1</v>
      </c>
      <c r="R130" s="307">
        <f ca="1"/>
        <v>0</v>
      </c>
      <c r="S130" s="307">
        <f ca="1"/>
        <v>0</v>
      </c>
      <c r="T130" s="308">
        <f ca="1"/>
        <v>0</v>
      </c>
      <c r="U130" s="92">
        <f ca="1"/>
        <v>44018</v>
      </c>
      <c r="V130" s="306">
        <f ca="1"/>
        <v>100159.82196539067</v>
      </c>
      <c r="W130" s="87">
        <f ca="1"/>
        <v>0</v>
      </c>
      <c r="X130" s="88">
        <f ca="1"/>
        <v>2258006.4562911298</v>
      </c>
      <c r="Y130" s="88">
        <f ca="1"/>
        <v>0</v>
      </c>
      <c r="Z130" s="88">
        <f ca="1"/>
        <v>0</v>
      </c>
      <c r="AA130" s="88">
        <f ca="1"/>
        <v>-1472979.3558179429</v>
      </c>
      <c r="AB130" s="88">
        <f ca="1"/>
        <v>433188.63024948514</v>
      </c>
      <c r="AC130" s="88">
        <f ca="1"/>
        <v>285659.74502884794</v>
      </c>
      <c r="AD130" s="88">
        <f ca="1"/>
        <v>0</v>
      </c>
      <c r="AE130" s="88">
        <f ca="1"/>
        <v>0</v>
      </c>
      <c r="AF130" s="88">
        <f ca="1"/>
        <v>0</v>
      </c>
      <c r="AG130" s="88">
        <f ca="1"/>
        <v>0</v>
      </c>
      <c r="AH130" s="88">
        <f ca="1"/>
        <v>4881038.8285999997</v>
      </c>
      <c r="AI130" s="88">
        <f ca="1"/>
        <v>0</v>
      </c>
      <c r="AJ130" s="88">
        <f ca="1"/>
        <v>0</v>
      </c>
      <c r="AK130" s="88">
        <f ca="1"/>
        <v>104682.8404685104</v>
      </c>
      <c r="AL130" s="88">
        <f ca="1"/>
        <v>0</v>
      </c>
      <c r="AM130" s="195">
        <f ca="1"/>
        <v>0</v>
      </c>
      <c r="AN130" s="195">
        <f ca="1"/>
        <v>0</v>
      </c>
      <c r="AO130" s="195">
        <f ca="1"/>
        <v>0</v>
      </c>
      <c r="AP130" s="443">
        <f ca="1"/>
        <v>0</v>
      </c>
      <c r="AQ130" s="195">
        <f ca="1"/>
        <v>0</v>
      </c>
      <c r="AR130" s="195">
        <f ca="1"/>
        <v>0</v>
      </c>
      <c r="AS130" s="195">
        <f ca="1"/>
        <v>0</v>
      </c>
      <c r="AT130" s="195">
        <f ca="1"/>
        <v>59727.520500909297</v>
      </c>
      <c r="AU130" s="195">
        <f ca="1"/>
        <v>67165.236624100799</v>
      </c>
      <c r="AV130" s="195">
        <f ca="1"/>
        <v>0</v>
      </c>
      <c r="AW130" s="195">
        <f ca="1"/>
        <v>0</v>
      </c>
      <c r="AX130" s="195">
        <f ca="1"/>
        <v>0</v>
      </c>
      <c r="AY130" s="195">
        <f ca="1"/>
        <v>0</v>
      </c>
      <c r="AZ130" s="195">
        <f ca="1"/>
        <v>0</v>
      </c>
      <c r="BA130" s="195">
        <f ca="1"/>
        <v>0</v>
      </c>
      <c r="BB130" s="195">
        <f ca="1"/>
        <v>59309.252899300001</v>
      </c>
      <c r="BC130" s="195">
        <f ca="1"/>
        <v>0</v>
      </c>
      <c r="BD130" s="195">
        <f ca="1"/>
        <v>53266.709299380003</v>
      </c>
      <c r="BE130" s="195">
        <f ca="1"/>
        <v>0</v>
      </c>
    </row>
    <row r="131" spans="1:57" s="195" customFormat="1" x14ac:dyDescent="0.2">
      <c r="A131" s="34"/>
      <c r="B131" s="93">
        <v>80</v>
      </c>
      <c r="C131" s="166">
        <f ca="1"/>
        <v>26474131.344599999</v>
      </c>
      <c r="D131" s="177">
        <f ca="1"/>
        <v>0</v>
      </c>
      <c r="E131" s="177">
        <f ca="1"/>
        <v>0</v>
      </c>
      <c r="F131" s="167">
        <f ca="1"/>
        <v>0</v>
      </c>
      <c r="G131" s="33"/>
      <c r="H131" s="34"/>
      <c r="I131" s="33"/>
      <c r="J131" s="94">
        <f ca="1"/>
        <v>0</v>
      </c>
      <c r="K131" s="94">
        <f ca="1"/>
        <v>0</v>
      </c>
      <c r="L131" s="385"/>
      <c r="M131" s="94">
        <f ca="1"/>
        <v>5108492.5549999997</v>
      </c>
      <c r="N131" s="94">
        <f ca="1"/>
        <v>4223990.0228554988</v>
      </c>
      <c r="O131" s="95">
        <f ca="1"/>
        <v>-884502.53214450087</v>
      </c>
      <c r="P131" s="33"/>
      <c r="Q131" s="362">
        <f ca="1"/>
        <v>1</v>
      </c>
      <c r="R131" s="307">
        <f ca="1"/>
        <v>0</v>
      </c>
      <c r="S131" s="307">
        <f ca="1"/>
        <v>0</v>
      </c>
      <c r="T131" s="308">
        <f ca="1"/>
        <v>0</v>
      </c>
      <c r="U131" s="92">
        <f ca="1"/>
        <v>44025</v>
      </c>
      <c r="V131" s="306">
        <f ca="1"/>
        <v>100159.82196539067</v>
      </c>
      <c r="W131" s="87">
        <f ca="1"/>
        <v>0</v>
      </c>
      <c r="X131" s="88">
        <f ca="1"/>
        <v>0</v>
      </c>
      <c r="Y131" s="88">
        <f ca="1"/>
        <v>0</v>
      </c>
      <c r="Z131" s="88">
        <f ca="1"/>
        <v>0</v>
      </c>
      <c r="AA131" s="88">
        <f ca="1"/>
        <v>-1444248.2807071337</v>
      </c>
      <c r="AB131" s="88">
        <f ca="1"/>
        <v>192783.87323769828</v>
      </c>
      <c r="AC131" s="88">
        <f ca="1"/>
        <v>179254.15020687273</v>
      </c>
      <c r="AD131" s="88">
        <f ca="1"/>
        <v>0</v>
      </c>
      <c r="AE131" s="88">
        <f ca="1"/>
        <v>0</v>
      </c>
      <c r="AF131" s="88">
        <f ca="1"/>
        <v>0</v>
      </c>
      <c r="AG131" s="88">
        <f ca="1"/>
        <v>0</v>
      </c>
      <c r="AH131" s="88">
        <f ca="1"/>
        <v>4870293.5137999998</v>
      </c>
      <c r="AI131" s="88">
        <f ca="1"/>
        <v>0</v>
      </c>
      <c r="AJ131" s="88">
        <f ca="1"/>
        <v>0</v>
      </c>
      <c r="AK131" s="88">
        <f ca="1"/>
        <v>67555.533515653951</v>
      </c>
      <c r="AL131" s="88">
        <f ca="1"/>
        <v>0</v>
      </c>
      <c r="AM131" s="195">
        <f ca="1"/>
        <v>0</v>
      </c>
      <c r="AN131" s="195">
        <f ca="1"/>
        <v>0</v>
      </c>
      <c r="AO131" s="195">
        <f ca="1"/>
        <v>0</v>
      </c>
      <c r="AP131" s="443">
        <f ca="1"/>
        <v>0</v>
      </c>
      <c r="AQ131" s="195">
        <f ca="1"/>
        <v>0</v>
      </c>
      <c r="AR131" s="195">
        <f ca="1"/>
        <v>0</v>
      </c>
      <c r="AS131" s="195">
        <f ca="1"/>
        <v>0</v>
      </c>
      <c r="AT131" s="195">
        <f ca="1"/>
        <v>32324.018034140117</v>
      </c>
      <c r="AU131" s="195">
        <f ca="1"/>
        <v>71448.9199233408</v>
      </c>
      <c r="AV131" s="195">
        <f ca="1"/>
        <v>51922.421011999992</v>
      </c>
      <c r="AW131" s="195">
        <f ca="1"/>
        <v>0</v>
      </c>
      <c r="AX131" s="195">
        <f ca="1"/>
        <v>0</v>
      </c>
      <c r="AY131" s="195">
        <f ca="1"/>
        <v>0</v>
      </c>
      <c r="AZ131" s="195">
        <f ca="1"/>
        <v>0</v>
      </c>
      <c r="BA131" s="195">
        <f ca="1"/>
        <v>0</v>
      </c>
      <c r="BB131" s="195">
        <f ca="1"/>
        <v>54866.447094659998</v>
      </c>
      <c r="BC131" s="195">
        <f ca="1"/>
        <v>0</v>
      </c>
      <c r="BD131" s="195">
        <f ca="1"/>
        <v>47629.604772876002</v>
      </c>
      <c r="BE131" s="195">
        <f ca="1"/>
        <v>0</v>
      </c>
    </row>
    <row r="132" spans="1:57" s="195" customFormat="1" x14ac:dyDescent="0.2">
      <c r="A132" s="34"/>
      <c r="B132" s="93">
        <v>81</v>
      </c>
      <c r="C132" s="166">
        <f ca="1"/>
        <v>26474131.344599999</v>
      </c>
      <c r="D132" s="177">
        <f ca="1"/>
        <v>0</v>
      </c>
      <c r="E132" s="177">
        <f ca="1"/>
        <v>0</v>
      </c>
      <c r="F132" s="167">
        <f ca="1"/>
        <v>0</v>
      </c>
      <c r="G132" s="33"/>
      <c r="H132" s="34"/>
      <c r="I132" s="33"/>
      <c r="J132" s="94">
        <f ca="1"/>
        <v>0</v>
      </c>
      <c r="K132" s="94">
        <f ca="1"/>
        <v>0</v>
      </c>
      <c r="L132" s="385"/>
      <c r="M132" s="94">
        <f ca="1"/>
        <v>4614863.0949999997</v>
      </c>
      <c r="N132" s="94">
        <f ca="1"/>
        <v>4976977.4308808586</v>
      </c>
      <c r="O132" s="95">
        <f ca="1"/>
        <v>362114.33588085882</v>
      </c>
      <c r="P132" s="33"/>
      <c r="Q132" s="362">
        <f ca="1"/>
        <v>1</v>
      </c>
      <c r="R132" s="307">
        <f ca="1"/>
        <v>0</v>
      </c>
      <c r="S132" s="307">
        <f ca="1"/>
        <v>0</v>
      </c>
      <c r="T132" s="308">
        <f ca="1"/>
        <v>0</v>
      </c>
      <c r="U132" s="92">
        <f ca="1"/>
        <v>44032</v>
      </c>
      <c r="V132" s="306">
        <f ca="1"/>
        <v>100159.82196539067</v>
      </c>
      <c r="W132" s="87">
        <f ca="1"/>
        <v>0</v>
      </c>
      <c r="X132" s="88">
        <f ca="1"/>
        <v>0</v>
      </c>
      <c r="Y132" s="88">
        <f ca="1"/>
        <v>0</v>
      </c>
      <c r="Z132" s="88">
        <f ca="1"/>
        <v>0</v>
      </c>
      <c r="AA132" s="88">
        <f ca="1"/>
        <v>-1448169.9723528696</v>
      </c>
      <c r="AB132" s="88">
        <f ca="1"/>
        <v>930686.02572370914</v>
      </c>
      <c r="AC132" s="88">
        <f ca="1"/>
        <v>149275.45722832353</v>
      </c>
      <c r="AD132" s="88">
        <f ca="1"/>
        <v>0</v>
      </c>
      <c r="AE132" s="88">
        <f ca="1"/>
        <v>0</v>
      </c>
      <c r="AF132" s="88">
        <f ca="1"/>
        <v>0</v>
      </c>
      <c r="AG132" s="88">
        <f ca="1"/>
        <v>0</v>
      </c>
      <c r="AH132" s="88">
        <f ca="1"/>
        <v>4788101.2035999997</v>
      </c>
      <c r="AI132" s="88">
        <f ca="1"/>
        <v>0</v>
      </c>
      <c r="AJ132" s="88">
        <f ca="1"/>
        <v>0</v>
      </c>
      <c r="AK132" s="88">
        <f ca="1"/>
        <v>66371.943241751185</v>
      </c>
      <c r="AL132" s="88">
        <f ca="1"/>
        <v>0</v>
      </c>
      <c r="AM132" s="195">
        <f ca="1"/>
        <v>0</v>
      </c>
      <c r="AN132" s="195">
        <f ca="1"/>
        <v>0</v>
      </c>
      <c r="AO132" s="195">
        <f ca="1"/>
        <v>0</v>
      </c>
      <c r="AP132" s="443">
        <f ca="1"/>
        <v>0</v>
      </c>
      <c r="AQ132" s="195">
        <f ca="1"/>
        <v>0</v>
      </c>
      <c r="AR132" s="195">
        <f ca="1"/>
        <v>0</v>
      </c>
      <c r="AS132" s="195">
        <f ca="1"/>
        <v>0</v>
      </c>
      <c r="AT132" s="195">
        <f ca="1"/>
        <v>30886.788337159243</v>
      </c>
      <c r="AU132" s="195">
        <f ca="1"/>
        <v>62185.476738895683</v>
      </c>
      <c r="AV132" s="195">
        <f ca="1"/>
        <v>62351.224166</v>
      </c>
      <c r="AW132" s="195">
        <f ca="1"/>
        <v>0</v>
      </c>
      <c r="AX132" s="195">
        <f ca="1"/>
        <v>0</v>
      </c>
      <c r="AY132" s="195">
        <f ca="1"/>
        <v>0</v>
      </c>
      <c r="AZ132" s="195">
        <f ca="1"/>
        <v>0</v>
      </c>
      <c r="BA132" s="195">
        <f ca="1"/>
        <v>0</v>
      </c>
      <c r="BB132" s="195">
        <f ca="1"/>
        <v>154595.21710486</v>
      </c>
      <c r="BC132" s="195">
        <f ca="1"/>
        <v>0</v>
      </c>
      <c r="BD132" s="195">
        <f ca="1"/>
        <v>80534.24512764001</v>
      </c>
      <c r="BE132" s="195">
        <f ca="1"/>
        <v>0</v>
      </c>
    </row>
    <row r="133" spans="1:57" s="195" customFormat="1" x14ac:dyDescent="0.2">
      <c r="A133" s="34"/>
      <c r="B133" s="93">
        <v>82</v>
      </c>
      <c r="C133" s="166">
        <f ca="1"/>
        <v>26474131.344599999</v>
      </c>
      <c r="D133" s="177">
        <f ca="1"/>
        <v>0</v>
      </c>
      <c r="E133" s="177">
        <f ca="1"/>
        <v>0</v>
      </c>
      <c r="F133" s="167">
        <f ca="1"/>
        <v>0</v>
      </c>
      <c r="G133" s="33"/>
      <c r="H133" s="34"/>
      <c r="I133" s="33"/>
      <c r="J133" s="94">
        <f ca="1"/>
        <v>0</v>
      </c>
      <c r="K133" s="94">
        <f ca="1"/>
        <v>0</v>
      </c>
      <c r="L133" s="385"/>
      <c r="M133" s="94">
        <f ca="1"/>
        <v>4186855.895</v>
      </c>
      <c r="N133" s="94">
        <f ca="1"/>
        <v>6217132.5832293304</v>
      </c>
      <c r="O133" s="95">
        <f ca="1"/>
        <v>2030276.6882293303</v>
      </c>
      <c r="P133" s="33"/>
      <c r="Q133" s="362">
        <f ca="1"/>
        <v>1</v>
      </c>
      <c r="R133" s="307">
        <f ca="1"/>
        <v>0</v>
      </c>
      <c r="S133" s="307">
        <f ca="1"/>
        <v>0</v>
      </c>
      <c r="T133" s="308">
        <f ca="1"/>
        <v>0</v>
      </c>
      <c r="U133" s="92">
        <f ca="1"/>
        <v>44039</v>
      </c>
      <c r="V133" s="306">
        <f ca="1"/>
        <v>100159.82196539067</v>
      </c>
      <c r="W133" s="87">
        <f ca="1"/>
        <v>0</v>
      </c>
      <c r="X133" s="88">
        <f ca="1"/>
        <v>0</v>
      </c>
      <c r="Y133" s="88">
        <f ca="1"/>
        <v>0</v>
      </c>
      <c r="Z133" s="88">
        <f ca="1"/>
        <v>0</v>
      </c>
      <c r="AA133" s="88">
        <f ca="1"/>
        <v>-1459859.0199650577</v>
      </c>
      <c r="AB133" s="88">
        <f ca="1"/>
        <v>1778240.5068347219</v>
      </c>
      <c r="AC133" s="88">
        <f ca="1"/>
        <v>252716.11444984659</v>
      </c>
      <c r="AD133" s="88">
        <f ca="1"/>
        <v>0</v>
      </c>
      <c r="AE133" s="88">
        <f ca="1"/>
        <v>0</v>
      </c>
      <c r="AF133" s="88">
        <f ca="1"/>
        <v>0</v>
      </c>
      <c r="AG133" s="88">
        <f ca="1"/>
        <v>0</v>
      </c>
      <c r="AH133" s="88">
        <f ca="1"/>
        <v>4881828.3777999999</v>
      </c>
      <c r="AI133" s="88">
        <f ca="1"/>
        <v>0</v>
      </c>
      <c r="AJ133" s="88">
        <f ca="1"/>
        <v>0</v>
      </c>
      <c r="AK133" s="88">
        <f ca="1"/>
        <v>88270.294541330411</v>
      </c>
      <c r="AL133" s="88">
        <f ca="1"/>
        <v>0</v>
      </c>
      <c r="AM133" s="195">
        <f ca="1"/>
        <v>0</v>
      </c>
      <c r="AN133" s="195">
        <f ca="1"/>
        <v>0</v>
      </c>
      <c r="AO133" s="195">
        <f ca="1"/>
        <v>0</v>
      </c>
      <c r="AP133" s="443">
        <f ca="1"/>
        <v>0</v>
      </c>
      <c r="AQ133" s="195">
        <f ca="1"/>
        <v>0</v>
      </c>
      <c r="AR133" s="195">
        <f ca="1"/>
        <v>98534.568899999998</v>
      </c>
      <c r="AS133" s="195">
        <f ca="1"/>
        <v>0</v>
      </c>
      <c r="AT133" s="195">
        <f ca="1"/>
        <v>50305.681370702157</v>
      </c>
      <c r="AU133" s="195">
        <f ca="1"/>
        <v>36774.580541809439</v>
      </c>
      <c r="AV133" s="195">
        <f ca="1"/>
        <v>56852.904305999997</v>
      </c>
      <c r="AW133" s="195">
        <f ca="1"/>
        <v>0</v>
      </c>
      <c r="AX133" s="195">
        <f ca="1"/>
        <v>0</v>
      </c>
      <c r="AY133" s="195">
        <f ca="1"/>
        <v>0</v>
      </c>
      <c r="AZ133" s="195">
        <f ca="1"/>
        <v>0</v>
      </c>
      <c r="BA133" s="195">
        <f ca="1"/>
        <v>2931.7350638872322</v>
      </c>
      <c r="BB133" s="195">
        <f ca="1"/>
        <v>233355.54977414</v>
      </c>
      <c r="BC133" s="195">
        <f ca="1"/>
        <v>0</v>
      </c>
      <c r="BD133" s="195">
        <f ca="1"/>
        <v>97021.467646559991</v>
      </c>
      <c r="BE133" s="195">
        <f ca="1"/>
        <v>0</v>
      </c>
    </row>
    <row r="134" spans="1:57" s="195" customFormat="1" x14ac:dyDescent="0.2">
      <c r="A134" s="34"/>
      <c r="B134" s="93">
        <v>83</v>
      </c>
      <c r="C134" s="166">
        <f ca="1"/>
        <v>26474131.344599999</v>
      </c>
      <c r="D134" s="177">
        <f ca="1"/>
        <v>26474131.344599999</v>
      </c>
      <c r="E134" s="177">
        <f ca="1"/>
        <v>0</v>
      </c>
      <c r="F134" s="167">
        <f ca="1"/>
        <v>0</v>
      </c>
      <c r="G134" s="33"/>
      <c r="H134" s="34"/>
      <c r="I134" s="37">
        <f ca="1">M134</f>
        <v>11887165.029999999</v>
      </c>
      <c r="J134" s="94">
        <f ca="1"/>
        <v>0</v>
      </c>
      <c r="K134" s="94">
        <f ca="1"/>
        <v>0</v>
      </c>
      <c r="L134" s="385"/>
      <c r="M134" s="94">
        <f ca="1"/>
        <v>11887165.029999999</v>
      </c>
      <c r="N134" s="94">
        <f ca="1"/>
        <v>10935270.88386783</v>
      </c>
      <c r="O134" s="95">
        <f ca="1"/>
        <v>-951894.14613216929</v>
      </c>
      <c r="P134" s="33"/>
      <c r="Q134" s="362">
        <f ca="1"/>
        <v>1</v>
      </c>
      <c r="R134" s="307">
        <f ca="1"/>
        <v>1</v>
      </c>
      <c r="S134" s="307">
        <f ca="1"/>
        <v>0</v>
      </c>
      <c r="T134" s="308">
        <f ca="1"/>
        <v>0</v>
      </c>
      <c r="U134" s="92">
        <f ca="1"/>
        <v>44046</v>
      </c>
      <c r="V134" s="306">
        <f ca="1"/>
        <v>100159.82196539067</v>
      </c>
      <c r="W134" s="87">
        <f ca="1"/>
        <v>0</v>
      </c>
      <c r="X134" s="88">
        <f ca="1"/>
        <v>0</v>
      </c>
      <c r="Y134" s="88">
        <f ca="1"/>
        <v>0</v>
      </c>
      <c r="Z134" s="88">
        <f ca="1"/>
        <v>0</v>
      </c>
      <c r="AA134" s="88">
        <f ca="1"/>
        <v>-1440324.006370398</v>
      </c>
      <c r="AB134" s="88">
        <f ca="1"/>
        <v>244004.16040743576</v>
      </c>
      <c r="AC134" s="88">
        <f ca="1"/>
        <v>387206.5969727771</v>
      </c>
      <c r="AD134" s="88">
        <f ca="1"/>
        <v>693475.4666895296</v>
      </c>
      <c r="AE134" s="88">
        <f ca="1"/>
        <v>0</v>
      </c>
      <c r="AF134" s="88">
        <f ca="1"/>
        <v>0</v>
      </c>
      <c r="AG134" s="88">
        <f ca="1"/>
        <v>0</v>
      </c>
      <c r="AH134" s="88">
        <f ca="1"/>
        <v>5570129.8377999999</v>
      </c>
      <c r="AI134" s="88">
        <f ca="1"/>
        <v>0</v>
      </c>
      <c r="AJ134" s="88">
        <f ca="1"/>
        <v>0</v>
      </c>
      <c r="AK134" s="88">
        <f ca="1"/>
        <v>100478.44302720395</v>
      </c>
      <c r="AL134" s="88">
        <f ca="1"/>
        <v>0</v>
      </c>
      <c r="AM134" s="195">
        <f ca="1"/>
        <v>4000000</v>
      </c>
      <c r="AN134" s="195">
        <f ca="1"/>
        <v>0</v>
      </c>
      <c r="AO134" s="195">
        <f ca="1"/>
        <v>0</v>
      </c>
      <c r="AP134" s="443">
        <f ca="1"/>
        <v>0</v>
      </c>
      <c r="AQ134" s="195">
        <f ca="1"/>
        <v>0</v>
      </c>
      <c r="AR134" s="195">
        <f ca="1"/>
        <v>0</v>
      </c>
      <c r="AS134" s="195">
        <f ca="1"/>
        <v>0</v>
      </c>
      <c r="AT134" s="195">
        <f ca="1"/>
        <v>90003.867853297328</v>
      </c>
      <c r="AU134" s="195">
        <f ca="1"/>
        <v>63696.279286706405</v>
      </c>
      <c r="AV134" s="195">
        <f ca="1"/>
        <v>56451.263813999998</v>
      </c>
      <c r="AW134" s="195">
        <f ca="1"/>
        <v>0</v>
      </c>
      <c r="AX134" s="195">
        <f ca="1"/>
        <v>0</v>
      </c>
      <c r="AY134" s="195">
        <f ca="1"/>
        <v>0</v>
      </c>
      <c r="AZ134" s="195">
        <f ca="1"/>
        <v>0</v>
      </c>
      <c r="BA134" s="195">
        <f ca="1"/>
        <v>3652.896075184</v>
      </c>
      <c r="BB134" s="195">
        <f ca="1"/>
        <v>938674.19984720007</v>
      </c>
      <c r="BC134" s="195">
        <f ca="1"/>
        <v>1665.0652829639998</v>
      </c>
      <c r="BD134" s="195">
        <f ca="1"/>
        <v>125996.99121654</v>
      </c>
      <c r="BE134" s="195">
        <f ca="1"/>
        <v>0</v>
      </c>
    </row>
    <row r="135" spans="1:57" s="195" customFormat="1" x14ac:dyDescent="0.2">
      <c r="A135" s="34"/>
      <c r="B135" s="93">
        <v>84</v>
      </c>
      <c r="C135" s="166">
        <f ca="1"/>
        <v>26474131.344599999</v>
      </c>
      <c r="D135" s="177">
        <f ca="1"/>
        <v>26474131.344599999</v>
      </c>
      <c r="E135" s="177">
        <f ca="1"/>
        <v>0</v>
      </c>
      <c r="F135" s="167">
        <f ca="1"/>
        <v>0</v>
      </c>
      <c r="G135" s="33"/>
      <c r="H135" s="34"/>
      <c r="I135" s="37">
        <f t="shared" ref="I135:I136" ca="1" si="0">M135</f>
        <v>6924504.2340000002</v>
      </c>
      <c r="J135" s="94">
        <f ca="1"/>
        <v>0</v>
      </c>
      <c r="K135" s="94">
        <f ca="1"/>
        <v>0</v>
      </c>
      <c r="L135" s="385"/>
      <c r="M135" s="94">
        <f ca="1"/>
        <v>6924504.2340000002</v>
      </c>
      <c r="N135" s="94">
        <f ca="1"/>
        <v>6528702.0812265528</v>
      </c>
      <c r="O135" s="95">
        <f ca="1"/>
        <v>-395802.15277344733</v>
      </c>
      <c r="P135" s="33"/>
      <c r="Q135" s="362">
        <f ca="1"/>
        <v>1</v>
      </c>
      <c r="R135" s="307">
        <f ca="1"/>
        <v>1</v>
      </c>
      <c r="S135" s="307">
        <f ca="1"/>
        <v>0</v>
      </c>
      <c r="T135" s="308">
        <f ca="1"/>
        <v>0</v>
      </c>
      <c r="U135" s="92">
        <f ca="1"/>
        <v>44053</v>
      </c>
      <c r="V135" s="306">
        <f ca="1"/>
        <v>100159.82196539067</v>
      </c>
      <c r="W135" s="87">
        <f ca="1"/>
        <v>0</v>
      </c>
      <c r="X135" s="88">
        <f ca="1"/>
        <v>0</v>
      </c>
      <c r="Y135" s="88">
        <f ca="1"/>
        <v>0</v>
      </c>
      <c r="Z135" s="88">
        <f ca="1"/>
        <v>0</v>
      </c>
      <c r="AA135" s="88">
        <f ca="1"/>
        <v>-1447233.9143569763</v>
      </c>
      <c r="AB135" s="88">
        <f ca="1"/>
        <v>180624.73754624167</v>
      </c>
      <c r="AC135" s="88">
        <f ca="1"/>
        <v>554449.797604691</v>
      </c>
      <c r="AD135" s="88">
        <f ca="1"/>
        <v>832170.56002743554</v>
      </c>
      <c r="AE135" s="88">
        <f ca="1"/>
        <v>0</v>
      </c>
      <c r="AF135" s="88">
        <f ca="1"/>
        <v>0</v>
      </c>
      <c r="AG135" s="88">
        <f ca="1"/>
        <v>0</v>
      </c>
      <c r="AH135" s="88">
        <f ca="1"/>
        <v>5434480.8165999996</v>
      </c>
      <c r="AI135" s="88">
        <f ca="1"/>
        <v>0</v>
      </c>
      <c r="AJ135" s="88">
        <f ca="1"/>
        <v>0</v>
      </c>
      <c r="AK135" s="88">
        <f ca="1"/>
        <v>83209.720978761194</v>
      </c>
      <c r="AL135" s="88">
        <f ca="1"/>
        <v>0</v>
      </c>
      <c r="AM135" s="195">
        <f ca="1"/>
        <v>0</v>
      </c>
      <c r="AN135" s="195">
        <f ca="1"/>
        <v>0</v>
      </c>
      <c r="AO135" s="195">
        <f ca="1"/>
        <v>0</v>
      </c>
      <c r="AP135" s="443">
        <f ca="1"/>
        <v>0</v>
      </c>
      <c r="AQ135" s="195">
        <f ca="1"/>
        <v>0</v>
      </c>
      <c r="AR135" s="195">
        <f ca="1"/>
        <v>0</v>
      </c>
      <c r="AS135" s="195">
        <f ca="1"/>
        <v>0</v>
      </c>
      <c r="AT135" s="195">
        <f ca="1"/>
        <v>145030.44956095563</v>
      </c>
      <c r="AU135" s="195">
        <f ca="1"/>
        <v>76548.501090379214</v>
      </c>
      <c r="AV135" s="195">
        <f ca="1"/>
        <v>63514.596640000003</v>
      </c>
      <c r="AW135" s="195">
        <f ca="1"/>
        <v>0</v>
      </c>
      <c r="AX135" s="195">
        <f ca="1"/>
        <v>0</v>
      </c>
      <c r="AY135" s="195">
        <f ca="1"/>
        <v>0</v>
      </c>
      <c r="AZ135" s="195">
        <f ca="1"/>
        <v>0</v>
      </c>
      <c r="BA135" s="195">
        <f ca="1"/>
        <v>8374.1712857388793</v>
      </c>
      <c r="BB135" s="195">
        <f ca="1"/>
        <v>359749.11753251997</v>
      </c>
      <c r="BC135" s="195">
        <f ca="1"/>
        <v>1665.0652829639998</v>
      </c>
      <c r="BD135" s="195">
        <f ca="1"/>
        <v>135958.63946845199</v>
      </c>
      <c r="BE135" s="195">
        <f ca="1"/>
        <v>0</v>
      </c>
    </row>
    <row r="136" spans="1:57" s="195" customFormat="1" x14ac:dyDescent="0.2">
      <c r="A136" s="34"/>
      <c r="B136" s="93">
        <v>85</v>
      </c>
      <c r="C136" s="166">
        <f ca="1"/>
        <v>26474131.344599999</v>
      </c>
      <c r="D136" s="177">
        <f ca="1"/>
        <v>26474131.344599999</v>
      </c>
      <c r="E136" s="177">
        <f ca="1"/>
        <v>0</v>
      </c>
      <c r="F136" s="167">
        <f ca="1"/>
        <v>0</v>
      </c>
      <c r="G136" s="33"/>
      <c r="H136" s="34"/>
      <c r="I136" s="37">
        <f t="shared" ca="1" si="0"/>
        <v>6052938.5219999999</v>
      </c>
      <c r="J136" s="94">
        <f ca="1"/>
        <v>0</v>
      </c>
      <c r="K136" s="94">
        <f ca="1"/>
        <v>0</v>
      </c>
      <c r="L136" s="385"/>
      <c r="M136" s="94">
        <f ca="1"/>
        <v>6052938.5219999999</v>
      </c>
      <c r="N136" s="94">
        <f ca="1"/>
        <v>7943241.8660616027</v>
      </c>
      <c r="O136" s="95">
        <f ca="1"/>
        <v>1890303.3440616028</v>
      </c>
      <c r="P136" s="33"/>
      <c r="Q136" s="362">
        <f ca="1"/>
        <v>1</v>
      </c>
      <c r="R136" s="307">
        <f ca="1"/>
        <v>1</v>
      </c>
      <c r="S136" s="307">
        <f ca="1"/>
        <v>0</v>
      </c>
      <c r="T136" s="308">
        <f ca="1"/>
        <v>0</v>
      </c>
      <c r="U136" s="92">
        <f ca="1"/>
        <v>44060</v>
      </c>
      <c r="V136" s="306">
        <f ca="1"/>
        <v>100159.82196539067</v>
      </c>
      <c r="W136" s="87">
        <f ca="1"/>
        <v>0</v>
      </c>
      <c r="X136" s="88">
        <f ca="1"/>
        <v>0</v>
      </c>
      <c r="Y136" s="88">
        <f ca="1"/>
        <v>0</v>
      </c>
      <c r="Z136" s="88">
        <f ca="1"/>
        <v>0</v>
      </c>
      <c r="AA136" s="88">
        <f ca="1"/>
        <v>-1088683.3216557188</v>
      </c>
      <c r="AB136" s="88">
        <f ca="1"/>
        <v>602556.24086888728</v>
      </c>
      <c r="AC136" s="88">
        <f ca="1"/>
        <v>662447.94793282333</v>
      </c>
      <c r="AD136" s="88">
        <f ca="1"/>
        <v>859909.5786950168</v>
      </c>
      <c r="AE136" s="88">
        <f ca="1"/>
        <v>0</v>
      </c>
      <c r="AF136" s="88">
        <f ca="1"/>
        <v>0</v>
      </c>
      <c r="AG136" s="88">
        <f ca="1"/>
        <v>0</v>
      </c>
      <c r="AH136" s="88">
        <f ca="1"/>
        <v>5744805.6401999993</v>
      </c>
      <c r="AI136" s="88">
        <f ca="1"/>
        <v>0</v>
      </c>
      <c r="AJ136" s="88">
        <f ca="1"/>
        <v>0</v>
      </c>
      <c r="AK136" s="88">
        <f ca="1"/>
        <v>74801.353567452767</v>
      </c>
      <c r="AL136" s="88">
        <f ca="1"/>
        <v>0</v>
      </c>
      <c r="AM136" s="195">
        <f ca="1"/>
        <v>0</v>
      </c>
      <c r="AN136" s="195">
        <f ca="1"/>
        <v>0</v>
      </c>
      <c r="AO136" s="195">
        <f ca="1"/>
        <v>0</v>
      </c>
      <c r="AP136" s="443">
        <f ca="1"/>
        <v>0</v>
      </c>
      <c r="AQ136" s="195">
        <f ca="1"/>
        <v>0</v>
      </c>
      <c r="AR136" s="195">
        <f ca="1"/>
        <v>0</v>
      </c>
      <c r="AS136" s="195">
        <f ca="1"/>
        <v>0</v>
      </c>
      <c r="AT136" s="195">
        <f ca="1"/>
        <v>203142.4076346982</v>
      </c>
      <c r="AU136" s="195">
        <f ca="1"/>
        <v>71046.683802287997</v>
      </c>
      <c r="AV136" s="195">
        <f ca="1"/>
        <v>81796.163921999992</v>
      </c>
      <c r="AW136" s="195">
        <f ca="1"/>
        <v>0</v>
      </c>
      <c r="AX136" s="195">
        <f ca="1"/>
        <v>0</v>
      </c>
      <c r="AY136" s="195">
        <f ca="1"/>
        <v>0</v>
      </c>
      <c r="AZ136" s="195">
        <f ca="1"/>
        <v>0</v>
      </c>
      <c r="BA136" s="195">
        <f ca="1"/>
        <v>8060.6885897568</v>
      </c>
      <c r="BB136" s="195">
        <f ca="1"/>
        <v>417244.84424826002</v>
      </c>
      <c r="BC136" s="195">
        <f ca="1"/>
        <v>0</v>
      </c>
      <c r="BD136" s="195">
        <f ca="1"/>
        <v>205953.81629074801</v>
      </c>
      <c r="BE136" s="195">
        <f ca="1"/>
        <v>0</v>
      </c>
    </row>
    <row r="137" spans="1:57" s="195" customFormat="1" x14ac:dyDescent="0.2">
      <c r="A137" s="34"/>
      <c r="B137" s="93">
        <v>86</v>
      </c>
      <c r="C137" s="166">
        <f ca="1"/>
        <v>26474131.344599999</v>
      </c>
      <c r="D137" s="177">
        <f ca="1"/>
        <v>26474131.344599999</v>
      </c>
      <c r="E137" s="177">
        <f ca="1"/>
        <v>0</v>
      </c>
      <c r="F137" s="167">
        <f ca="1"/>
        <v>0</v>
      </c>
      <c r="G137" s="33"/>
      <c r="H137" s="34"/>
      <c r="I137" s="33"/>
      <c r="J137" s="94">
        <f ca="1"/>
        <v>0</v>
      </c>
      <c r="K137" s="94">
        <f ca="1"/>
        <v>0</v>
      </c>
      <c r="L137" s="385"/>
      <c r="M137" s="94">
        <f ca="1"/>
        <v>8866605.5690000001</v>
      </c>
      <c r="N137" s="94">
        <f ca="1"/>
        <v>8558263.0145086031</v>
      </c>
      <c r="O137" s="95">
        <f ca="1"/>
        <v>-308342.55449139699</v>
      </c>
      <c r="P137" s="33"/>
      <c r="Q137" s="362">
        <f ca="1"/>
        <v>1</v>
      </c>
      <c r="R137" s="307">
        <f ca="1"/>
        <v>1</v>
      </c>
      <c r="S137" s="307">
        <f ca="1"/>
        <v>0</v>
      </c>
      <c r="T137" s="308">
        <f ca="1"/>
        <v>0</v>
      </c>
      <c r="U137" s="92">
        <f ca="1"/>
        <v>44067</v>
      </c>
      <c r="V137" s="306">
        <f ca="1"/>
        <v>100159.82196539067</v>
      </c>
      <c r="W137" s="87">
        <f ca="1"/>
        <v>0</v>
      </c>
      <c r="X137" s="88">
        <f ca="1"/>
        <v>0</v>
      </c>
      <c r="Y137" s="88">
        <f ca="1"/>
        <v>0</v>
      </c>
      <c r="Z137" s="88">
        <f ca="1"/>
        <v>0</v>
      </c>
      <c r="AA137" s="88">
        <f ca="1"/>
        <v>-1061111.7601249933</v>
      </c>
      <c r="AB137" s="88">
        <f ca="1"/>
        <v>176887.22754548394</v>
      </c>
      <c r="AC137" s="88">
        <f ca="1"/>
        <v>761761.19070942723</v>
      </c>
      <c r="AD137" s="88">
        <f ca="1"/>
        <v>865457.38242853293</v>
      </c>
      <c r="AE137" s="88">
        <f ca="1"/>
        <v>0</v>
      </c>
      <c r="AF137" s="88">
        <f ca="1"/>
        <v>0</v>
      </c>
      <c r="AG137" s="88">
        <f ca="1"/>
        <v>0</v>
      </c>
      <c r="AH137" s="88">
        <f ca="1"/>
        <v>5629434.5800000001</v>
      </c>
      <c r="AI137" s="88">
        <f ca="1"/>
        <v>0</v>
      </c>
      <c r="AJ137" s="88">
        <f ca="1"/>
        <v>0</v>
      </c>
      <c r="AK137" s="88">
        <f ca="1"/>
        <v>87553.772534526084</v>
      </c>
      <c r="AL137" s="88">
        <f ca="1"/>
        <v>12071.11232</v>
      </c>
      <c r="AM137" s="195">
        <f ca="1"/>
        <v>0</v>
      </c>
      <c r="AN137" s="195">
        <f ca="1"/>
        <v>0</v>
      </c>
      <c r="AO137" s="195">
        <f ca="1"/>
        <v>0</v>
      </c>
      <c r="AP137" s="443">
        <f ca="1"/>
        <v>0</v>
      </c>
      <c r="AQ137" s="195">
        <f ca="1"/>
        <v>0</v>
      </c>
      <c r="AR137" s="195">
        <f ca="1"/>
        <v>552813.27659999998</v>
      </c>
      <c r="AS137" s="195">
        <f ca="1"/>
        <v>0</v>
      </c>
      <c r="AT137" s="195">
        <f ca="1"/>
        <v>582073.33052480035</v>
      </c>
      <c r="AU137" s="195">
        <f ca="1"/>
        <v>45458.838833527203</v>
      </c>
      <c r="AV137" s="195">
        <f ca="1"/>
        <v>48695.447394000003</v>
      </c>
      <c r="AW137" s="195">
        <f ca="1"/>
        <v>0</v>
      </c>
      <c r="AX137" s="195">
        <f ca="1"/>
        <v>0</v>
      </c>
      <c r="AY137" s="195">
        <f ca="1"/>
        <v>0</v>
      </c>
      <c r="AZ137" s="195">
        <f ca="1"/>
        <v>0</v>
      </c>
      <c r="BA137" s="195">
        <f ca="1"/>
        <v>9618.6186514265592</v>
      </c>
      <c r="BB137" s="195">
        <f ca="1"/>
        <v>529237.80219399999</v>
      </c>
      <c r="BC137" s="195">
        <f ca="1"/>
        <v>0</v>
      </c>
      <c r="BD137" s="195">
        <f ca="1"/>
        <v>218152.37293247998</v>
      </c>
      <c r="BE137" s="195">
        <f ca="1"/>
        <v>0</v>
      </c>
    </row>
    <row r="138" spans="1:57" s="195" customFormat="1" x14ac:dyDescent="0.2">
      <c r="A138" s="34"/>
      <c r="B138" s="93">
        <v>87</v>
      </c>
      <c r="C138" s="166">
        <f ca="1"/>
        <v>26474131.344599999</v>
      </c>
      <c r="D138" s="177">
        <f ca="1"/>
        <v>26474131.344599999</v>
      </c>
      <c r="E138" s="177">
        <f ca="1"/>
        <v>0</v>
      </c>
      <c r="F138" s="167">
        <f ca="1"/>
        <v>0</v>
      </c>
      <c r="G138" s="33"/>
      <c r="H138" s="34"/>
      <c r="I138" s="33"/>
      <c r="J138" s="94">
        <f ca="1"/>
        <v>0</v>
      </c>
      <c r="K138" s="94">
        <f ca="1"/>
        <v>0</v>
      </c>
      <c r="L138" s="385"/>
      <c r="M138" s="94">
        <f ca="1"/>
        <v>7204538.9910000004</v>
      </c>
      <c r="N138" s="94">
        <f ca="1"/>
        <v>6714004.6786351893</v>
      </c>
      <c r="O138" s="95">
        <f ca="1"/>
        <v>-490534.31236481108</v>
      </c>
      <c r="P138" s="33"/>
      <c r="Q138" s="362">
        <f ca="1"/>
        <v>1</v>
      </c>
      <c r="R138" s="307">
        <f ca="1"/>
        <v>1</v>
      </c>
      <c r="S138" s="307">
        <f ca="1"/>
        <v>0</v>
      </c>
      <c r="T138" s="308">
        <f ca="1"/>
        <v>0</v>
      </c>
      <c r="U138" s="92">
        <f ca="1"/>
        <v>44074</v>
      </c>
      <c r="V138" s="306">
        <f ca="1"/>
        <v>100159.82196539067</v>
      </c>
      <c r="W138" s="87">
        <f ca="1"/>
        <v>0</v>
      </c>
      <c r="X138" s="88">
        <f ca="1"/>
        <v>0</v>
      </c>
      <c r="Y138" s="88">
        <f ca="1"/>
        <v>0</v>
      </c>
      <c r="Z138" s="88">
        <f ca="1"/>
        <v>0</v>
      </c>
      <c r="AA138" s="88">
        <f ca="1"/>
        <v>-1082635.3347322121</v>
      </c>
      <c r="AB138" s="88">
        <f ca="1"/>
        <v>332038.48950149585</v>
      </c>
      <c r="AC138" s="88">
        <f ca="1"/>
        <v>851748.53721246368</v>
      </c>
      <c r="AD138" s="88">
        <f ca="1"/>
        <v>171981.91573900334</v>
      </c>
      <c r="AE138" s="88">
        <f ca="1"/>
        <v>0</v>
      </c>
      <c r="AF138" s="88">
        <f ca="1"/>
        <v>0</v>
      </c>
      <c r="AG138" s="88">
        <f ca="1"/>
        <v>0</v>
      </c>
      <c r="AH138" s="88">
        <f ca="1"/>
        <v>5521200.3329999996</v>
      </c>
      <c r="AI138" s="88">
        <f ca="1"/>
        <v>0</v>
      </c>
      <c r="AJ138" s="88">
        <f ca="1"/>
        <v>0</v>
      </c>
      <c r="AK138" s="88">
        <f ca="1"/>
        <v>78089.030498723354</v>
      </c>
      <c r="AL138" s="88">
        <f ca="1"/>
        <v>15312.790064000001</v>
      </c>
      <c r="AM138" s="195">
        <f ca="1"/>
        <v>0</v>
      </c>
      <c r="AN138" s="195">
        <f ca="1"/>
        <v>0</v>
      </c>
      <c r="AO138" s="195">
        <f ca="1"/>
        <v>0</v>
      </c>
      <c r="AP138" s="443">
        <f ca="1"/>
        <v>0</v>
      </c>
      <c r="AQ138" s="195">
        <f ca="1"/>
        <v>0</v>
      </c>
      <c r="AR138" s="195">
        <f ca="1"/>
        <v>0</v>
      </c>
      <c r="AS138" s="195">
        <f ca="1"/>
        <v>0</v>
      </c>
      <c r="AT138" s="195">
        <f ca="1"/>
        <v>262051.79923539393</v>
      </c>
      <c r="AU138" s="195">
        <f ca="1"/>
        <v>55008.798418263359</v>
      </c>
      <c r="AV138" s="195">
        <f ca="1"/>
        <v>47615.172967999999</v>
      </c>
      <c r="AW138" s="195">
        <f ca="1"/>
        <v>0</v>
      </c>
      <c r="AX138" s="195">
        <f ca="1"/>
        <v>0</v>
      </c>
      <c r="AY138" s="195">
        <f ca="1"/>
        <v>0</v>
      </c>
      <c r="AZ138" s="195">
        <f ca="1"/>
        <v>0</v>
      </c>
      <c r="BA138" s="195">
        <f ca="1"/>
        <v>10497.3837602032</v>
      </c>
      <c r="BB138" s="195">
        <f ca="1"/>
        <v>162254.0127849</v>
      </c>
      <c r="BC138" s="195">
        <f ca="1"/>
        <v>0</v>
      </c>
      <c r="BD138" s="195">
        <f ca="1"/>
        <v>188681.92821956403</v>
      </c>
      <c r="BE138" s="195">
        <f ca="1"/>
        <v>0</v>
      </c>
    </row>
    <row r="139" spans="1:57" s="195" customFormat="1" x14ac:dyDescent="0.2">
      <c r="A139" s="34"/>
      <c r="B139" s="93">
        <v>88</v>
      </c>
      <c r="C139" s="166">
        <f ca="1"/>
        <v>26474131.344599999</v>
      </c>
      <c r="D139" s="177">
        <f ca="1"/>
        <v>26474131.344599999</v>
      </c>
      <c r="E139" s="177">
        <f ca="1"/>
        <v>0</v>
      </c>
      <c r="F139" s="167">
        <f ca="1"/>
        <v>0</v>
      </c>
      <c r="G139" s="33"/>
      <c r="H139" s="34"/>
      <c r="I139" s="33"/>
      <c r="J139" s="94">
        <f ca="1"/>
        <v>0</v>
      </c>
      <c r="K139" s="94">
        <f ca="1"/>
        <v>0</v>
      </c>
      <c r="L139" s="385"/>
      <c r="M139" s="94">
        <f ca="1"/>
        <v>4865201.1169999996</v>
      </c>
      <c r="N139" s="94">
        <f ca="1"/>
        <v>6614515.6246858379</v>
      </c>
      <c r="O139" s="95">
        <f ca="1"/>
        <v>1749314.5076858383</v>
      </c>
      <c r="P139" s="33"/>
      <c r="Q139" s="362">
        <f ca="1"/>
        <v>1</v>
      </c>
      <c r="R139" s="307">
        <f ca="1"/>
        <v>1</v>
      </c>
      <c r="S139" s="307">
        <f ca="1"/>
        <v>0</v>
      </c>
      <c r="T139" s="308">
        <f ca="1"/>
        <v>0</v>
      </c>
      <c r="U139" s="92">
        <f ca="1"/>
        <v>44081</v>
      </c>
      <c r="V139" s="306">
        <f ca="1"/>
        <v>100159.82196539067</v>
      </c>
      <c r="W139" s="87">
        <f ca="1"/>
        <v>0</v>
      </c>
      <c r="X139" s="88">
        <f ca="1"/>
        <v>0</v>
      </c>
      <c r="Y139" s="88">
        <f ca="1"/>
        <v>0</v>
      </c>
      <c r="Z139" s="88">
        <f ca="1"/>
        <v>0</v>
      </c>
      <c r="AA139" s="88">
        <f ca="1"/>
        <v>-1405607.4407504112</v>
      </c>
      <c r="AB139" s="88">
        <f ca="1"/>
        <v>241607.43536460958</v>
      </c>
      <c r="AC139" s="88">
        <f ca="1"/>
        <v>894354.30151203054</v>
      </c>
      <c r="AD139" s="88">
        <f ca="1"/>
        <v>33286.822401097423</v>
      </c>
      <c r="AE139" s="88">
        <f ca="1"/>
        <v>0</v>
      </c>
      <c r="AF139" s="88">
        <f ca="1"/>
        <v>0</v>
      </c>
      <c r="AG139" s="88">
        <f ca="1"/>
        <v>0</v>
      </c>
      <c r="AH139" s="88">
        <f ca="1"/>
        <v>5622365.2957999995</v>
      </c>
      <c r="AI139" s="88">
        <f ca="1"/>
        <v>0</v>
      </c>
      <c r="AJ139" s="88">
        <f ca="1"/>
        <v>0</v>
      </c>
      <c r="AK139" s="88">
        <f ca="1"/>
        <v>66841.437344020669</v>
      </c>
      <c r="AL139" s="88">
        <f ca="1"/>
        <v>75814.373184000011</v>
      </c>
      <c r="AM139" s="195">
        <f ca="1"/>
        <v>0</v>
      </c>
      <c r="AN139" s="195">
        <f ca="1"/>
        <v>0</v>
      </c>
      <c r="AO139" s="195">
        <f ca="1"/>
        <v>0</v>
      </c>
      <c r="AP139" s="443">
        <f ca="1"/>
        <v>0</v>
      </c>
      <c r="AQ139" s="195">
        <f ca="1"/>
        <v>0</v>
      </c>
      <c r="AR139" s="195">
        <f ca="1"/>
        <v>98534.568899999998</v>
      </c>
      <c r="AS139" s="195">
        <f ca="1"/>
        <v>0</v>
      </c>
      <c r="AT139" s="195">
        <f ca="1"/>
        <v>117624.01154599835</v>
      </c>
      <c r="AU139" s="195">
        <f ca="1"/>
        <v>57450.632671507206</v>
      </c>
      <c r="AV139" s="195">
        <f ca="1"/>
        <v>47975.264436000005</v>
      </c>
      <c r="AW139" s="195">
        <f ca="1"/>
        <v>0</v>
      </c>
      <c r="AX139" s="195">
        <f ca="1"/>
        <v>0</v>
      </c>
      <c r="AY139" s="195">
        <f ca="1"/>
        <v>0</v>
      </c>
      <c r="AZ139" s="195">
        <f ca="1"/>
        <v>0</v>
      </c>
      <c r="BA139" s="195">
        <f ca="1"/>
        <v>15789.32166006592</v>
      </c>
      <c r="BB139" s="195">
        <f ca="1"/>
        <v>412205.30378133996</v>
      </c>
      <c r="BC139" s="195">
        <f ca="1"/>
        <v>568.33473686880006</v>
      </c>
      <c r="BD139" s="195">
        <f ca="1"/>
        <v>235546.14013332</v>
      </c>
      <c r="BE139" s="195">
        <f ca="1"/>
        <v>0</v>
      </c>
    </row>
    <row r="140" spans="1:57" s="195" customFormat="1" x14ac:dyDescent="0.2">
      <c r="A140" s="34"/>
      <c r="B140" s="93">
        <v>89</v>
      </c>
      <c r="C140" s="166">
        <f ca="1"/>
        <v>26474131.344599999</v>
      </c>
      <c r="D140" s="177">
        <f ca="1"/>
        <v>26474131.344599999</v>
      </c>
      <c r="E140" s="177">
        <f ca="1"/>
        <v>0</v>
      </c>
      <c r="F140" s="167">
        <f ca="1"/>
        <v>0</v>
      </c>
      <c r="G140" s="33"/>
      <c r="H140" s="34"/>
      <c r="I140" s="33"/>
      <c r="J140" s="94">
        <f ca="1"/>
        <v>0</v>
      </c>
      <c r="K140" s="94">
        <f ca="1"/>
        <v>0</v>
      </c>
      <c r="L140" s="385"/>
      <c r="M140" s="94">
        <f ca="1"/>
        <v>5956462.568</v>
      </c>
      <c r="N140" s="94">
        <f ca="1"/>
        <v>6628375.9929427123</v>
      </c>
      <c r="O140" s="95">
        <f ca="1"/>
        <v>671913.4249427123</v>
      </c>
      <c r="P140" s="33"/>
      <c r="Q140" s="362">
        <f ca="1"/>
        <v>1</v>
      </c>
      <c r="R140" s="307">
        <f ca="1"/>
        <v>1</v>
      </c>
      <c r="S140" s="307">
        <f ca="1"/>
        <v>0</v>
      </c>
      <c r="T140" s="308">
        <f ca="1"/>
        <v>0</v>
      </c>
      <c r="U140" s="92">
        <f ca="1"/>
        <v>44088</v>
      </c>
      <c r="V140" s="306">
        <f ca="1"/>
        <v>100159.82196539067</v>
      </c>
      <c r="W140" s="87">
        <f ca="1"/>
        <v>0</v>
      </c>
      <c r="X140" s="88">
        <f ca="1"/>
        <v>0</v>
      </c>
      <c r="Y140" s="88">
        <f ca="1"/>
        <v>0</v>
      </c>
      <c r="Z140" s="88">
        <f ca="1"/>
        <v>0</v>
      </c>
      <c r="AA140" s="88">
        <f ca="1"/>
        <v>-1205231.782854673</v>
      </c>
      <c r="AB140" s="88">
        <f ca="1"/>
        <v>579272.33041382034</v>
      </c>
      <c r="AC140" s="88">
        <f ca="1"/>
        <v>759935.65660974383</v>
      </c>
      <c r="AD140" s="88">
        <f ca="1"/>
        <v>5547.8037335162371</v>
      </c>
      <c r="AE140" s="88">
        <f ca="1"/>
        <v>0</v>
      </c>
      <c r="AF140" s="88">
        <f ca="1"/>
        <v>0</v>
      </c>
      <c r="AG140" s="88">
        <f ca="1"/>
        <v>0</v>
      </c>
      <c r="AH140" s="88">
        <f ca="1"/>
        <v>5708311.6266000001</v>
      </c>
      <c r="AI140" s="88">
        <f ca="1"/>
        <v>0</v>
      </c>
      <c r="AJ140" s="88">
        <f ca="1"/>
        <v>0</v>
      </c>
      <c r="AK140" s="88">
        <f ca="1"/>
        <v>67544.23254912057</v>
      </c>
      <c r="AL140" s="88">
        <f ca="1"/>
        <v>0</v>
      </c>
      <c r="AM140" s="195">
        <f ca="1"/>
        <v>0</v>
      </c>
      <c r="AN140" s="195">
        <f ca="1"/>
        <v>0</v>
      </c>
      <c r="AO140" s="195">
        <f ca="1"/>
        <v>0</v>
      </c>
      <c r="AP140" s="443">
        <f ca="1"/>
        <v>0</v>
      </c>
      <c r="AQ140" s="195">
        <f ca="1"/>
        <v>0</v>
      </c>
      <c r="AR140" s="195">
        <f ca="1"/>
        <v>0</v>
      </c>
      <c r="AS140" s="195">
        <f ca="1"/>
        <v>0</v>
      </c>
      <c r="AT140" s="195">
        <f ca="1"/>
        <v>125821.88636923385</v>
      </c>
      <c r="AU140" s="195">
        <f ca="1"/>
        <v>68649.965596588809</v>
      </c>
      <c r="AV140" s="195">
        <f ca="1"/>
        <v>48072.212143999997</v>
      </c>
      <c r="AW140" s="195">
        <f ca="1"/>
        <v>0</v>
      </c>
      <c r="AX140" s="195">
        <f ca="1"/>
        <v>0</v>
      </c>
      <c r="AY140" s="195">
        <f ca="1"/>
        <v>0</v>
      </c>
      <c r="AZ140" s="195">
        <f ca="1"/>
        <v>0</v>
      </c>
      <c r="BA140" s="195">
        <f ca="1"/>
        <v>14496.832216480319</v>
      </c>
      <c r="BB140" s="195">
        <f ca="1"/>
        <v>175362.52375272001</v>
      </c>
      <c r="BC140" s="195">
        <f ca="1"/>
        <v>568.33473686880006</v>
      </c>
      <c r="BD140" s="195">
        <f ca="1"/>
        <v>179864.54910989999</v>
      </c>
      <c r="BE140" s="195">
        <f ca="1"/>
        <v>0</v>
      </c>
    </row>
    <row r="141" spans="1:57" s="195" customFormat="1" x14ac:dyDescent="0.2">
      <c r="A141" s="34"/>
      <c r="B141" s="93">
        <v>90</v>
      </c>
      <c r="C141" s="166">
        <f ca="1"/>
        <v>26474131.344599999</v>
      </c>
      <c r="D141" s="177">
        <f ca="1"/>
        <v>26474131.344599999</v>
      </c>
      <c r="E141" s="177">
        <f ca="1"/>
        <v>0</v>
      </c>
      <c r="F141" s="167">
        <f ca="1"/>
        <v>0</v>
      </c>
      <c r="G141" s="33"/>
      <c r="H141" s="34"/>
      <c r="I141" s="33"/>
      <c r="J141" s="94">
        <f ca="1"/>
        <v>0</v>
      </c>
      <c r="K141" s="94">
        <f ca="1"/>
        <v>0</v>
      </c>
      <c r="L141" s="385"/>
      <c r="M141" s="94">
        <f ca="1"/>
        <v>6710774.4939999999</v>
      </c>
      <c r="N141" s="94">
        <f ca="1"/>
        <v>7004035.6071968097</v>
      </c>
      <c r="O141" s="95">
        <f ca="1"/>
        <v>293261.11319680978</v>
      </c>
      <c r="P141" s="33"/>
      <c r="Q141" s="362">
        <f ca="1"/>
        <v>1</v>
      </c>
      <c r="R141" s="307">
        <f ca="1"/>
        <v>1</v>
      </c>
      <c r="S141" s="307">
        <f ca="1"/>
        <v>0</v>
      </c>
      <c r="T141" s="308">
        <f ca="1"/>
        <v>0</v>
      </c>
      <c r="U141" s="92">
        <f ca="1"/>
        <v>44095</v>
      </c>
      <c r="V141" s="306">
        <f ca="1"/>
        <v>100159.82196539067</v>
      </c>
      <c r="W141" s="87">
        <f ca="1"/>
        <v>0</v>
      </c>
      <c r="X141" s="88">
        <f ca="1"/>
        <v>0</v>
      </c>
      <c r="Y141" s="88">
        <f ca="1"/>
        <v>0</v>
      </c>
      <c r="Z141" s="88">
        <f ca="1"/>
        <v>0</v>
      </c>
      <c r="AA141" s="88">
        <f ca="1"/>
        <v>-1153915.0725336303</v>
      </c>
      <c r="AB141" s="88">
        <f ca="1"/>
        <v>602665.57526459836</v>
      </c>
      <c r="AC141" s="88">
        <f ca="1"/>
        <v>794084.39895418426</v>
      </c>
      <c r="AD141" s="88">
        <f ca="1"/>
        <v>0</v>
      </c>
      <c r="AE141" s="88">
        <f ca="1"/>
        <v>0</v>
      </c>
      <c r="AF141" s="88">
        <f ca="1"/>
        <v>0</v>
      </c>
      <c r="AG141" s="88">
        <f ca="1"/>
        <v>0</v>
      </c>
      <c r="AH141" s="88">
        <f ca="1"/>
        <v>5871138.1475999998</v>
      </c>
      <c r="AI141" s="88">
        <f ca="1"/>
        <v>0</v>
      </c>
      <c r="AJ141" s="88">
        <f ca="1"/>
        <v>0</v>
      </c>
      <c r="AK141" s="88">
        <f ca="1"/>
        <v>74275.444254798102</v>
      </c>
      <c r="AL141" s="88">
        <f ca="1"/>
        <v>19391.657856000002</v>
      </c>
      <c r="AM141" s="195">
        <f ca="1"/>
        <v>0</v>
      </c>
      <c r="AN141" s="195">
        <f ca="1"/>
        <v>0</v>
      </c>
      <c r="AO141" s="195">
        <f ca="1"/>
        <v>0</v>
      </c>
      <c r="AP141" s="443">
        <f ca="1"/>
        <v>0</v>
      </c>
      <c r="AQ141" s="195">
        <f ca="1"/>
        <v>0</v>
      </c>
      <c r="AR141" s="195">
        <f ca="1"/>
        <v>0</v>
      </c>
      <c r="AS141" s="195">
        <f ca="1"/>
        <v>0</v>
      </c>
      <c r="AT141" s="195">
        <f ca="1"/>
        <v>207648.86836436964</v>
      </c>
      <c r="AU141" s="195">
        <f ca="1"/>
        <v>88673.00648383201</v>
      </c>
      <c r="AV141" s="195">
        <f ca="1"/>
        <v>43848.062125999997</v>
      </c>
      <c r="AW141" s="195">
        <f ca="1"/>
        <v>0</v>
      </c>
      <c r="AX141" s="195">
        <f ca="1"/>
        <v>0</v>
      </c>
      <c r="AY141" s="195">
        <f ca="1"/>
        <v>0</v>
      </c>
      <c r="AZ141" s="195">
        <f ca="1"/>
        <v>0</v>
      </c>
      <c r="BA141" s="195">
        <f ca="1"/>
        <v>30825.879966647357</v>
      </c>
      <c r="BB141" s="195">
        <f ca="1"/>
        <v>74690.50061078</v>
      </c>
      <c r="BC141" s="195">
        <f ca="1"/>
        <v>0</v>
      </c>
      <c r="BD141" s="195">
        <f ca="1"/>
        <v>250549.31628384002</v>
      </c>
      <c r="BE141" s="195">
        <f ca="1"/>
        <v>0</v>
      </c>
    </row>
    <row r="142" spans="1:57" s="195" customFormat="1" x14ac:dyDescent="0.2">
      <c r="A142" s="34"/>
      <c r="B142" s="93">
        <v>91</v>
      </c>
      <c r="C142" s="166">
        <f ca="1"/>
        <v>26474131.344599999</v>
      </c>
      <c r="D142" s="177">
        <f ca="1"/>
        <v>26474131.344599999</v>
      </c>
      <c r="E142" s="177">
        <f ca="1"/>
        <v>0</v>
      </c>
      <c r="F142" s="167">
        <f ca="1"/>
        <v>0</v>
      </c>
      <c r="G142" s="33"/>
      <c r="H142" s="34"/>
      <c r="I142" s="33"/>
      <c r="J142" s="94">
        <f ca="1"/>
        <v>0</v>
      </c>
      <c r="K142" s="94">
        <f ca="1"/>
        <v>0</v>
      </c>
      <c r="L142" s="385"/>
      <c r="M142" s="94">
        <f ca="1"/>
        <v>7833490.9129999997</v>
      </c>
      <c r="N142" s="94">
        <f ca="1"/>
        <v>6437217.2475569462</v>
      </c>
      <c r="O142" s="95">
        <f ca="1"/>
        <v>-1396273.6654430535</v>
      </c>
      <c r="P142" s="33"/>
      <c r="Q142" s="362">
        <f ca="1"/>
        <v>1</v>
      </c>
      <c r="R142" s="307">
        <f ca="1"/>
        <v>1</v>
      </c>
      <c r="S142" s="307">
        <f ca="1"/>
        <v>0</v>
      </c>
      <c r="T142" s="308">
        <f ca="1"/>
        <v>0</v>
      </c>
      <c r="U142" s="92">
        <f ca="1"/>
        <v>44102</v>
      </c>
      <c r="V142" s="306">
        <f ca="1"/>
        <v>100159.82196539067</v>
      </c>
      <c r="W142" s="87">
        <f ca="1"/>
        <v>0</v>
      </c>
      <c r="X142" s="88">
        <f ca="1"/>
        <v>0</v>
      </c>
      <c r="Y142" s="88">
        <f ca="1"/>
        <v>0</v>
      </c>
      <c r="Z142" s="88">
        <f ca="1"/>
        <v>0</v>
      </c>
      <c r="AA142" s="88">
        <f ca="1"/>
        <v>-1135609.1265183014</v>
      </c>
      <c r="AB142" s="88">
        <f ca="1"/>
        <v>311949.73290004052</v>
      </c>
      <c r="AC142" s="88">
        <f ca="1"/>
        <v>620982.12398035091</v>
      </c>
      <c r="AD142" s="88">
        <f ca="1"/>
        <v>0</v>
      </c>
      <c r="AE142" s="88">
        <f ca="1"/>
        <v>0</v>
      </c>
      <c r="AF142" s="88">
        <f ca="1"/>
        <v>0</v>
      </c>
      <c r="AG142" s="88">
        <f ca="1"/>
        <v>0</v>
      </c>
      <c r="AH142" s="88">
        <f ca="1"/>
        <v>5842583.4389999993</v>
      </c>
      <c r="AI142" s="88">
        <f ca="1"/>
        <v>0</v>
      </c>
      <c r="AJ142" s="88">
        <f ca="1"/>
        <v>0</v>
      </c>
      <c r="AK142" s="88">
        <f ca="1"/>
        <v>61885.710805474358</v>
      </c>
      <c r="AL142" s="88">
        <f ca="1"/>
        <v>0</v>
      </c>
      <c r="AM142" s="195">
        <f ca="1"/>
        <v>0</v>
      </c>
      <c r="AN142" s="195">
        <f ca="1"/>
        <v>0</v>
      </c>
      <c r="AO142" s="195">
        <f ca="1"/>
        <v>0</v>
      </c>
      <c r="AP142" s="443">
        <f ca="1"/>
        <v>0</v>
      </c>
      <c r="AQ142" s="195">
        <f ca="1"/>
        <v>0</v>
      </c>
      <c r="AR142" s="195">
        <f ca="1"/>
        <v>0</v>
      </c>
      <c r="AS142" s="195">
        <f ca="1"/>
        <v>0</v>
      </c>
      <c r="AT142" s="195">
        <f ca="1"/>
        <v>158410.83494023164</v>
      </c>
      <c r="AU142" s="195">
        <f ca="1"/>
        <v>77359.711533936003</v>
      </c>
      <c r="AV142" s="195">
        <f ca="1"/>
        <v>48335.355925999997</v>
      </c>
      <c r="AW142" s="195">
        <f ca="1"/>
        <v>0</v>
      </c>
      <c r="AX142" s="195">
        <f ca="1"/>
        <v>0</v>
      </c>
      <c r="AY142" s="195">
        <f ca="1"/>
        <v>0</v>
      </c>
      <c r="AZ142" s="195">
        <f ca="1"/>
        <v>0</v>
      </c>
      <c r="BA142" s="195">
        <f ca="1"/>
        <v>10143.834299184</v>
      </c>
      <c r="BB142" s="195">
        <f ca="1"/>
        <v>120131.4249236</v>
      </c>
      <c r="BC142" s="195">
        <f ca="1"/>
        <v>0</v>
      </c>
      <c r="BD142" s="195">
        <f ca="1"/>
        <v>220884.38380104001</v>
      </c>
      <c r="BE142" s="195">
        <f ca="1"/>
        <v>0</v>
      </c>
    </row>
    <row r="143" spans="1:57" s="195" customFormat="1" x14ac:dyDescent="0.2">
      <c r="A143" s="34"/>
      <c r="B143" s="93">
        <v>92</v>
      </c>
      <c r="C143" s="166">
        <f ca="1"/>
        <v>26474131.344599999</v>
      </c>
      <c r="D143" s="177">
        <f ca="1"/>
        <v>26474131.344599999</v>
      </c>
      <c r="E143" s="177">
        <f ca="1"/>
        <v>0</v>
      </c>
      <c r="F143" s="167">
        <f ca="1"/>
        <v>0</v>
      </c>
      <c r="G143" s="33"/>
      <c r="H143" s="34"/>
      <c r="I143" s="33"/>
      <c r="J143" s="94">
        <f ca="1"/>
        <v>0</v>
      </c>
      <c r="K143" s="94">
        <f ca="1"/>
        <v>0</v>
      </c>
      <c r="L143" s="385"/>
      <c r="M143" s="94">
        <f ca="1"/>
        <v>6215606.9249999998</v>
      </c>
      <c r="N143" s="94">
        <f ca="1"/>
        <v>6847310.7707425198</v>
      </c>
      <c r="O143" s="95">
        <f ca="1"/>
        <v>631703.84574251994</v>
      </c>
      <c r="P143" s="33"/>
      <c r="Q143" s="362">
        <f ca="1"/>
        <v>1</v>
      </c>
      <c r="R143" s="307">
        <f ca="1"/>
        <v>1</v>
      </c>
      <c r="S143" s="307">
        <f ca="1"/>
        <v>0</v>
      </c>
      <c r="T143" s="308">
        <f ca="1"/>
        <v>0</v>
      </c>
      <c r="U143" s="92">
        <f ca="1"/>
        <v>44109</v>
      </c>
      <c r="V143" s="306">
        <f ca="1"/>
        <v>100159.82196539067</v>
      </c>
      <c r="W143" s="87">
        <f ca="1"/>
        <v>0</v>
      </c>
      <c r="X143" s="88">
        <f ca="1"/>
        <v>0</v>
      </c>
      <c r="Y143" s="88">
        <f ca="1"/>
        <v>0</v>
      </c>
      <c r="Z143" s="88">
        <f ca="1"/>
        <v>0</v>
      </c>
      <c r="AA143" s="88">
        <f ca="1"/>
        <v>-1153031.8398939001</v>
      </c>
      <c r="AB143" s="88">
        <f ca="1"/>
        <v>628648.31896116701</v>
      </c>
      <c r="AC143" s="88">
        <f ca="1"/>
        <v>460979.77208084561</v>
      </c>
      <c r="AD143" s="88">
        <f ca="1"/>
        <v>0</v>
      </c>
      <c r="AE143" s="88">
        <f ca="1"/>
        <v>0</v>
      </c>
      <c r="AF143" s="88">
        <f ca="1"/>
        <v>0</v>
      </c>
      <c r="AG143" s="88">
        <f ca="1"/>
        <v>0</v>
      </c>
      <c r="AH143" s="88">
        <f ca="1"/>
        <v>5989321.0057999995</v>
      </c>
      <c r="AI143" s="88">
        <f ca="1"/>
        <v>0</v>
      </c>
      <c r="AJ143" s="88">
        <f ca="1"/>
        <v>0</v>
      </c>
      <c r="AK143" s="88">
        <f ca="1"/>
        <v>60305.31717413562</v>
      </c>
      <c r="AL143" s="88">
        <f ca="1"/>
        <v>0</v>
      </c>
      <c r="AM143" s="195">
        <f ca="1"/>
        <v>0</v>
      </c>
      <c r="AN143" s="195">
        <f ca="1"/>
        <v>0</v>
      </c>
      <c r="AO143" s="195">
        <f ca="1"/>
        <v>0</v>
      </c>
      <c r="AP143" s="443">
        <f ca="1"/>
        <v>0</v>
      </c>
      <c r="AQ143" s="195">
        <f ca="1"/>
        <v>0</v>
      </c>
      <c r="AR143" s="195">
        <f ca="1"/>
        <v>0</v>
      </c>
      <c r="AS143" s="195">
        <f ca="1"/>
        <v>0</v>
      </c>
      <c r="AT143" s="195">
        <f ca="1"/>
        <v>170075.85027380064</v>
      </c>
      <c r="AU143" s="195">
        <f ca="1"/>
        <v>84621.641690289616</v>
      </c>
      <c r="AV143" s="195">
        <f ca="1"/>
        <v>66506.125818</v>
      </c>
      <c r="AW143" s="195">
        <f ca="1"/>
        <v>0</v>
      </c>
      <c r="AX143" s="195">
        <f ca="1"/>
        <v>0</v>
      </c>
      <c r="AY143" s="195">
        <f ca="1"/>
        <v>0</v>
      </c>
      <c r="AZ143" s="195">
        <f ca="1"/>
        <v>0</v>
      </c>
      <c r="BA143" s="195">
        <f ca="1"/>
        <v>7201.7462747500795</v>
      </c>
      <c r="BB143" s="195">
        <f ca="1"/>
        <v>171822.20759174001</v>
      </c>
      <c r="BC143" s="195">
        <f ca="1"/>
        <v>1085.7669002612001</v>
      </c>
      <c r="BD143" s="195">
        <f ca="1"/>
        <v>259615.03610604</v>
      </c>
      <c r="BE143" s="195">
        <f ca="1"/>
        <v>0</v>
      </c>
    </row>
    <row r="144" spans="1:57" s="195" customFormat="1" x14ac:dyDescent="0.2">
      <c r="A144" s="34"/>
      <c r="B144" s="93">
        <v>93</v>
      </c>
      <c r="C144" s="166">
        <f ca="1"/>
        <v>26474131.344599999</v>
      </c>
      <c r="D144" s="177">
        <f ca="1"/>
        <v>26474131.344599999</v>
      </c>
      <c r="E144" s="177">
        <f ca="1"/>
        <v>0</v>
      </c>
      <c r="F144" s="167">
        <f ca="1"/>
        <v>0</v>
      </c>
      <c r="G144" s="33"/>
      <c r="H144" s="34"/>
      <c r="I144" s="33"/>
      <c r="J144" s="94">
        <f ca="1"/>
        <v>0</v>
      </c>
      <c r="K144" s="94">
        <f ca="1"/>
        <v>0</v>
      </c>
      <c r="L144" s="385"/>
      <c r="M144" s="94">
        <f ca="1"/>
        <v>6647592.642</v>
      </c>
      <c r="N144" s="94">
        <f ca="1"/>
        <v>6487454.4122910984</v>
      </c>
      <c r="O144" s="95">
        <f ca="1"/>
        <v>-160138.22970890161</v>
      </c>
      <c r="P144" s="33"/>
      <c r="Q144" s="362">
        <f ca="1"/>
        <v>1</v>
      </c>
      <c r="R144" s="307">
        <f ca="1"/>
        <v>1</v>
      </c>
      <c r="S144" s="307">
        <f ca="1"/>
        <v>0</v>
      </c>
      <c r="T144" s="308">
        <f ca="1"/>
        <v>0</v>
      </c>
      <c r="U144" s="92">
        <f ca="1"/>
        <v>44116</v>
      </c>
      <c r="V144" s="306">
        <f ca="1"/>
        <v>100159.82196539067</v>
      </c>
      <c r="W144" s="87">
        <f ca="1"/>
        <v>0</v>
      </c>
      <c r="X144" s="88">
        <f ca="1"/>
        <v>0</v>
      </c>
      <c r="Y144" s="88">
        <f ca="1"/>
        <v>0</v>
      </c>
      <c r="Z144" s="88">
        <f ca="1"/>
        <v>0</v>
      </c>
      <c r="AA144" s="88">
        <f ca="1"/>
        <v>-1193199.1003282862</v>
      </c>
      <c r="AB144" s="88">
        <f ca="1"/>
        <v>415672.10916818184</v>
      </c>
      <c r="AC144" s="88">
        <f ca="1"/>
        <v>346177.19151613215</v>
      </c>
      <c r="AD144" s="88">
        <f ca="1"/>
        <v>0</v>
      </c>
      <c r="AE144" s="88">
        <f ca="1"/>
        <v>0</v>
      </c>
      <c r="AF144" s="88">
        <f ca="1"/>
        <v>0</v>
      </c>
      <c r="AG144" s="88">
        <f ca="1"/>
        <v>0</v>
      </c>
      <c r="AH144" s="88">
        <f ca="1"/>
        <v>5735638.8363999994</v>
      </c>
      <c r="AI144" s="88">
        <f ca="1"/>
        <v>0</v>
      </c>
      <c r="AJ144" s="88">
        <f ca="1"/>
        <v>0</v>
      </c>
      <c r="AK144" s="88">
        <f ca="1"/>
        <v>64483.355173702403</v>
      </c>
      <c r="AL144" s="88">
        <f ca="1"/>
        <v>0</v>
      </c>
      <c r="AM144" s="195">
        <f ca="1"/>
        <v>0</v>
      </c>
      <c r="AN144" s="195">
        <f ca="1"/>
        <v>0</v>
      </c>
      <c r="AO144" s="195">
        <f ca="1"/>
        <v>0</v>
      </c>
      <c r="AP144" s="443">
        <f ca="1"/>
        <v>0</v>
      </c>
      <c r="AQ144" s="195">
        <f ca="1"/>
        <v>0</v>
      </c>
      <c r="AR144" s="195">
        <f ca="1"/>
        <v>209219.24979999999</v>
      </c>
      <c r="AS144" s="195">
        <f ca="1"/>
        <v>0</v>
      </c>
      <c r="AT144" s="195">
        <f ca="1"/>
        <v>233378.68515376191</v>
      </c>
      <c r="AU144" s="195">
        <f ca="1"/>
        <v>93568.100522880006</v>
      </c>
      <c r="AV144" s="195">
        <f ca="1"/>
        <v>55634.133148000001</v>
      </c>
      <c r="AW144" s="195">
        <f ca="1"/>
        <v>0</v>
      </c>
      <c r="AX144" s="195">
        <f ca="1"/>
        <v>0</v>
      </c>
      <c r="AY144" s="195">
        <f ca="1"/>
        <v>0</v>
      </c>
      <c r="AZ144" s="195">
        <f ca="1"/>
        <v>0</v>
      </c>
      <c r="BA144" s="195">
        <f ca="1"/>
        <v>5448.3599626147197</v>
      </c>
      <c r="BB144" s="195">
        <f ca="1"/>
        <v>156111.43591134</v>
      </c>
      <c r="BC144" s="195">
        <f ca="1"/>
        <v>1085.7669002612001</v>
      </c>
      <c r="BD144" s="195">
        <f ca="1"/>
        <v>264076.46699712001</v>
      </c>
      <c r="BE144" s="195">
        <f ca="1"/>
        <v>0</v>
      </c>
    </row>
    <row r="145" spans="1:57" s="195" customFormat="1" x14ac:dyDescent="0.2">
      <c r="A145" s="34"/>
      <c r="B145" s="93">
        <v>94</v>
      </c>
      <c r="C145" s="166">
        <f ca="1"/>
        <v>26474131.344599999</v>
      </c>
      <c r="D145" s="177">
        <f ca="1"/>
        <v>26474131.344599999</v>
      </c>
      <c r="E145" s="177">
        <f ca="1"/>
        <v>0</v>
      </c>
      <c r="F145" s="167">
        <f ca="1"/>
        <v>0</v>
      </c>
      <c r="G145" s="33"/>
      <c r="H145" s="34"/>
      <c r="I145" s="33"/>
      <c r="J145" s="94">
        <f ca="1"/>
        <v>0</v>
      </c>
      <c r="K145" s="94">
        <f ca="1"/>
        <v>0</v>
      </c>
      <c r="L145" s="385"/>
      <c r="M145" s="94">
        <f ca="1"/>
        <v>6008982.1279999996</v>
      </c>
      <c r="N145" s="94">
        <f ca="1"/>
        <v>6160723.7968787989</v>
      </c>
      <c r="O145" s="95">
        <f ca="1"/>
        <v>151741.6688787993</v>
      </c>
      <c r="P145" s="33"/>
      <c r="Q145" s="362">
        <f ca="1"/>
        <v>1</v>
      </c>
      <c r="R145" s="307">
        <f ca="1"/>
        <v>1</v>
      </c>
      <c r="S145" s="307">
        <f ca="1"/>
        <v>0</v>
      </c>
      <c r="T145" s="308">
        <f ca="1"/>
        <v>0</v>
      </c>
      <c r="U145" s="92">
        <f ca="1"/>
        <v>44123</v>
      </c>
      <c r="V145" s="306">
        <f ca="1"/>
        <v>100159.82196539067</v>
      </c>
      <c r="W145" s="87">
        <f ca="1"/>
        <v>0</v>
      </c>
      <c r="X145" s="88">
        <f ca="1"/>
        <v>0</v>
      </c>
      <c r="Y145" s="88">
        <f ca="1"/>
        <v>0</v>
      </c>
      <c r="Z145" s="88">
        <f ca="1"/>
        <v>0</v>
      </c>
      <c r="AA145" s="88">
        <f ca="1"/>
        <v>-1116664.7307170024</v>
      </c>
      <c r="AB145" s="88">
        <f ca="1"/>
        <v>344368.81983886857</v>
      </c>
      <c r="AC145" s="88">
        <f ca="1"/>
        <v>480714.51022689691</v>
      </c>
      <c r="AD145" s="88">
        <f ca="1"/>
        <v>0</v>
      </c>
      <c r="AE145" s="88">
        <f ca="1"/>
        <v>0</v>
      </c>
      <c r="AF145" s="88">
        <f ca="1"/>
        <v>0</v>
      </c>
      <c r="AG145" s="88">
        <f ca="1"/>
        <v>0</v>
      </c>
      <c r="AH145" s="88">
        <f ca="1"/>
        <v>5539033.1348000001</v>
      </c>
      <c r="AI145" s="88">
        <f ca="1"/>
        <v>0</v>
      </c>
      <c r="AJ145" s="88">
        <f ca="1"/>
        <v>0</v>
      </c>
      <c r="AK145" s="88">
        <f ca="1"/>
        <v>57977.11029789818</v>
      </c>
      <c r="AL145" s="88">
        <f ca="1"/>
        <v>77.878144000000006</v>
      </c>
      <c r="AM145" s="195">
        <f ca="1"/>
        <v>0</v>
      </c>
      <c r="AN145" s="195">
        <f ca="1"/>
        <v>0</v>
      </c>
      <c r="AO145" s="195">
        <f ca="1"/>
        <v>0</v>
      </c>
      <c r="AP145" s="443">
        <f ca="1"/>
        <v>0</v>
      </c>
      <c r="AQ145" s="195">
        <f ca="1"/>
        <v>0</v>
      </c>
      <c r="AR145" s="195">
        <f ca="1"/>
        <v>0</v>
      </c>
      <c r="AS145" s="195">
        <f ca="1"/>
        <v>0</v>
      </c>
      <c r="AT145" s="195">
        <f ca="1"/>
        <v>213906.51244169762</v>
      </c>
      <c r="AU145" s="195">
        <f ca="1"/>
        <v>106701.85838764801</v>
      </c>
      <c r="AV145" s="195">
        <f ca="1"/>
        <v>56423.564471999998</v>
      </c>
      <c r="AW145" s="195">
        <f ca="1"/>
        <v>0</v>
      </c>
      <c r="AX145" s="195">
        <f ca="1"/>
        <v>0</v>
      </c>
      <c r="AY145" s="195">
        <f ca="1"/>
        <v>0</v>
      </c>
      <c r="AZ145" s="195">
        <f ca="1"/>
        <v>0</v>
      </c>
      <c r="BA145" s="195">
        <f ca="1"/>
        <v>4562.9102688019202</v>
      </c>
      <c r="BB145" s="195">
        <f ca="1"/>
        <v>150155.15614732</v>
      </c>
      <c r="BC145" s="195">
        <f ca="1"/>
        <v>0</v>
      </c>
      <c r="BD145" s="195">
        <f ca="1"/>
        <v>223307.25060528002</v>
      </c>
      <c r="BE145" s="195">
        <f ca="1"/>
        <v>0</v>
      </c>
    </row>
    <row r="146" spans="1:57" s="195" customFormat="1" x14ac:dyDescent="0.2">
      <c r="A146" s="34"/>
      <c r="B146" s="93">
        <v>95</v>
      </c>
      <c r="C146" s="166">
        <f ca="1"/>
        <v>26474131.344599999</v>
      </c>
      <c r="D146" s="177">
        <f ca="1"/>
        <v>26474131.344599999</v>
      </c>
      <c r="E146" s="177">
        <f ca="1"/>
        <v>0</v>
      </c>
      <c r="F146" s="167">
        <f ca="1"/>
        <v>0</v>
      </c>
      <c r="G146" s="33"/>
      <c r="H146" s="34"/>
      <c r="I146" s="33"/>
      <c r="J146" s="94">
        <f ca="1"/>
        <v>0</v>
      </c>
      <c r="K146" s="94">
        <f ca="1"/>
        <v>0</v>
      </c>
      <c r="L146" s="385"/>
      <c r="M146" s="94">
        <f ca="1"/>
        <v>8869583.0580000002</v>
      </c>
      <c r="N146" s="94">
        <f ca="1"/>
        <v>7314951.0989504503</v>
      </c>
      <c r="O146" s="95">
        <f ca="1"/>
        <v>-1554631.9590495499</v>
      </c>
      <c r="P146" s="33"/>
      <c r="Q146" s="362">
        <f ca="1"/>
        <v>1</v>
      </c>
      <c r="R146" s="307">
        <f ca="1"/>
        <v>1</v>
      </c>
      <c r="S146" s="307">
        <f ca="1"/>
        <v>0</v>
      </c>
      <c r="T146" s="308">
        <f ca="1"/>
        <v>0</v>
      </c>
      <c r="U146" s="92">
        <f ca="1"/>
        <v>44130</v>
      </c>
      <c r="V146" s="306">
        <f ca="1"/>
        <v>100159.82196539067</v>
      </c>
      <c r="W146" s="87">
        <f ca="1"/>
        <v>0</v>
      </c>
      <c r="X146" s="88">
        <f ca="1"/>
        <v>0</v>
      </c>
      <c r="Y146" s="88">
        <f ca="1"/>
        <v>0</v>
      </c>
      <c r="Z146" s="88">
        <f ca="1"/>
        <v>0</v>
      </c>
      <c r="AA146" s="88">
        <f ca="1"/>
        <v>-1134663.689593815</v>
      </c>
      <c r="AB146" s="88">
        <f ca="1"/>
        <v>741108.81522338162</v>
      </c>
      <c r="AC146" s="88">
        <f ca="1"/>
        <v>720260.36088976823</v>
      </c>
      <c r="AD146" s="88">
        <f ca="1"/>
        <v>0</v>
      </c>
      <c r="AE146" s="88">
        <f ca="1"/>
        <v>0</v>
      </c>
      <c r="AF146" s="88">
        <f ca="1"/>
        <v>0</v>
      </c>
      <c r="AG146" s="88">
        <f ca="1"/>
        <v>0</v>
      </c>
      <c r="AH146" s="88">
        <f ca="1"/>
        <v>5952041.0356000001</v>
      </c>
      <c r="AI146" s="88">
        <f ca="1"/>
        <v>0</v>
      </c>
      <c r="AJ146" s="88">
        <f ca="1"/>
        <v>0</v>
      </c>
      <c r="AK146" s="88">
        <f ca="1"/>
        <v>50962.453464047947</v>
      </c>
      <c r="AL146" s="88">
        <f ca="1"/>
        <v>0</v>
      </c>
      <c r="AM146" s="195">
        <f ca="1"/>
        <v>0</v>
      </c>
      <c r="AN146" s="195">
        <f ca="1"/>
        <v>0</v>
      </c>
      <c r="AO146" s="195">
        <f ca="1"/>
        <v>0</v>
      </c>
      <c r="AP146" s="443">
        <f ca="1"/>
        <v>0</v>
      </c>
      <c r="AQ146" s="195">
        <f ca="1"/>
        <v>0</v>
      </c>
      <c r="AR146" s="195">
        <f ca="1"/>
        <v>0</v>
      </c>
      <c r="AS146" s="195">
        <f ca="1"/>
        <v>0</v>
      </c>
      <c r="AT146" s="195">
        <f ca="1"/>
        <v>327785.97700818448</v>
      </c>
      <c r="AU146" s="195">
        <f ca="1"/>
        <v>82724.715811920003</v>
      </c>
      <c r="AV146" s="195">
        <f ca="1"/>
        <v>51174.538712000001</v>
      </c>
      <c r="AW146" s="195">
        <f ca="1"/>
        <v>0</v>
      </c>
      <c r="AX146" s="195">
        <f ca="1"/>
        <v>0</v>
      </c>
      <c r="AY146" s="195">
        <f ca="1"/>
        <v>45710.649840000005</v>
      </c>
      <c r="AZ146" s="195">
        <f ca="1"/>
        <v>57833.083013999996</v>
      </c>
      <c r="BA146" s="195">
        <f ca="1"/>
        <v>4857.6299251596793</v>
      </c>
      <c r="BB146" s="195">
        <f ca="1"/>
        <v>148318.90347286002</v>
      </c>
      <c r="BC146" s="195">
        <f ca="1"/>
        <v>0</v>
      </c>
      <c r="BD146" s="195">
        <f ca="1"/>
        <v>166676.80361755201</v>
      </c>
      <c r="BE146" s="195">
        <f ca="1"/>
        <v>0</v>
      </c>
    </row>
    <row r="147" spans="1:57" s="195" customFormat="1" x14ac:dyDescent="0.2">
      <c r="A147" s="34"/>
      <c r="B147" s="93">
        <v>96</v>
      </c>
      <c r="C147" s="166">
        <f ca="1"/>
        <v>26474131.344599999</v>
      </c>
      <c r="D147" s="177">
        <f ca="1"/>
        <v>26474131.344599999</v>
      </c>
      <c r="E147" s="177">
        <f ca="1"/>
        <v>0</v>
      </c>
      <c r="F147" s="167">
        <f ca="1"/>
        <v>0</v>
      </c>
      <c r="G147" s="33"/>
      <c r="H147" s="34"/>
      <c r="I147" s="33"/>
      <c r="J147" s="94">
        <f ca="1"/>
        <v>0</v>
      </c>
      <c r="K147" s="94">
        <f ca="1"/>
        <v>0</v>
      </c>
      <c r="L147" s="385"/>
      <c r="M147" s="94">
        <f ca="1"/>
        <v>6830886.6129999999</v>
      </c>
      <c r="N147" s="94">
        <f ca="1"/>
        <v>7884628.9040706037</v>
      </c>
      <c r="O147" s="95">
        <f ca="1"/>
        <v>1053742.2910706038</v>
      </c>
      <c r="P147" s="33"/>
      <c r="Q147" s="362">
        <f ca="1"/>
        <v>1</v>
      </c>
      <c r="R147" s="307">
        <f ca="1"/>
        <v>1</v>
      </c>
      <c r="S147" s="307">
        <f ca="1"/>
        <v>0</v>
      </c>
      <c r="T147" s="308">
        <f ca="1"/>
        <v>0</v>
      </c>
      <c r="U147" s="92">
        <f ca="1"/>
        <v>44137</v>
      </c>
      <c r="V147" s="306">
        <f ca="1"/>
        <v>100159.82196539067</v>
      </c>
      <c r="W147" s="87">
        <f ca="1"/>
        <v>0</v>
      </c>
      <c r="X147" s="88">
        <f ca="1"/>
        <v>0</v>
      </c>
      <c r="Y147" s="88">
        <f ca="1"/>
        <v>0</v>
      </c>
      <c r="Z147" s="88">
        <f ca="1"/>
        <v>0</v>
      </c>
      <c r="AA147" s="88">
        <f ca="1"/>
        <v>-1109651.45473307</v>
      </c>
      <c r="AB147" s="88">
        <f ca="1"/>
        <v>626012.78458034014</v>
      </c>
      <c r="AC147" s="88">
        <f ca="1"/>
        <v>878785.45166133728</v>
      </c>
      <c r="AD147" s="88">
        <f ca="1"/>
        <v>0</v>
      </c>
      <c r="AE147" s="88">
        <f ca="1"/>
        <v>0</v>
      </c>
      <c r="AF147" s="88">
        <f ca="1"/>
        <v>0</v>
      </c>
      <c r="AG147" s="88">
        <f ca="1"/>
        <v>0</v>
      </c>
      <c r="AH147" s="88">
        <f ca="1"/>
        <v>7155584.9309999999</v>
      </c>
      <c r="AI147" s="88">
        <f ca="1"/>
        <v>-1149319</v>
      </c>
      <c r="AJ147" s="88">
        <f ca="1"/>
        <v>0</v>
      </c>
      <c r="AK147" s="88">
        <f ca="1"/>
        <v>48669.531619253015</v>
      </c>
      <c r="AL147" s="88">
        <f ca="1"/>
        <v>0</v>
      </c>
      <c r="AM147" s="195">
        <f ca="1"/>
        <v>0</v>
      </c>
      <c r="AN147" s="195">
        <f ca="1"/>
        <v>0</v>
      </c>
      <c r="AO147" s="195">
        <f ca="1"/>
        <v>0</v>
      </c>
      <c r="AP147" s="443">
        <f ca="1"/>
        <v>0</v>
      </c>
      <c r="AQ147" s="195">
        <f ca="1"/>
        <v>0</v>
      </c>
      <c r="AR147" s="195">
        <f ca="1"/>
        <v>169187.79972000001</v>
      </c>
      <c r="AS147" s="195">
        <f ca="1"/>
        <v>0</v>
      </c>
      <c r="AT147" s="195">
        <f ca="1"/>
        <v>455550.00212016352</v>
      </c>
      <c r="AU147" s="195">
        <f ca="1"/>
        <v>99252.139890014398</v>
      </c>
      <c r="AV147" s="195">
        <f ca="1"/>
        <v>61409.446450000003</v>
      </c>
      <c r="AW147" s="195">
        <f ca="1"/>
        <v>0</v>
      </c>
      <c r="AX147" s="195">
        <f ca="1"/>
        <v>0</v>
      </c>
      <c r="AY147" s="195">
        <f ca="1"/>
        <v>97353.067640000008</v>
      </c>
      <c r="AZ147" s="195">
        <f ca="1"/>
        <v>105129.30906</v>
      </c>
      <c r="BA147" s="195">
        <f ca="1"/>
        <v>1330.314424068416</v>
      </c>
      <c r="BB147" s="195">
        <f ca="1"/>
        <v>242924.91253278</v>
      </c>
      <c r="BC147" s="195">
        <f ca="1"/>
        <v>349.33514023039999</v>
      </c>
      <c r="BD147" s="195">
        <f ca="1"/>
        <v>101900.511000096</v>
      </c>
      <c r="BE147" s="195">
        <f ca="1"/>
        <v>0</v>
      </c>
    </row>
    <row r="148" spans="1:57" s="195" customFormat="1" x14ac:dyDescent="0.2">
      <c r="A148" s="34"/>
      <c r="B148" s="93">
        <v>97</v>
      </c>
      <c r="C148" s="166">
        <f ca="1"/>
        <v>26474131.344599999</v>
      </c>
      <c r="D148" s="177">
        <f ca="1"/>
        <v>26474131.344599999</v>
      </c>
      <c r="E148" s="177">
        <f ca="1"/>
        <v>0</v>
      </c>
      <c r="F148" s="167">
        <f ca="1"/>
        <v>0</v>
      </c>
      <c r="G148" s="33"/>
      <c r="H148" s="34"/>
      <c r="I148" s="33"/>
      <c r="J148" s="94">
        <f ca="1"/>
        <v>0</v>
      </c>
      <c r="K148" s="94">
        <f ca="1"/>
        <v>0</v>
      </c>
      <c r="L148" s="385"/>
      <c r="M148" s="94">
        <f ca="1"/>
        <v>9528321.3900000006</v>
      </c>
      <c r="N148" s="94">
        <f ca="1"/>
        <v>9893323.206721846</v>
      </c>
      <c r="O148" s="95">
        <f ca="1"/>
        <v>365001.81672184542</v>
      </c>
      <c r="P148" s="33"/>
      <c r="Q148" s="362">
        <f ca="1"/>
        <v>1</v>
      </c>
      <c r="R148" s="307">
        <f ca="1"/>
        <v>1</v>
      </c>
      <c r="S148" s="307">
        <f ca="1"/>
        <v>0</v>
      </c>
      <c r="T148" s="308">
        <f ca="1"/>
        <v>0</v>
      </c>
      <c r="U148" s="92">
        <f ca="1"/>
        <v>44144</v>
      </c>
      <c r="V148" s="306">
        <f ca="1"/>
        <v>100159.82196539067</v>
      </c>
      <c r="W148" s="87">
        <f ca="1"/>
        <v>0</v>
      </c>
      <c r="X148" s="88">
        <f ca="1"/>
        <v>0</v>
      </c>
      <c r="Y148" s="88">
        <f ca="1"/>
        <v>0</v>
      </c>
      <c r="Z148" s="88">
        <f ca="1"/>
        <v>0</v>
      </c>
      <c r="AA148" s="88">
        <f ca="1"/>
        <v>-1219441.9889595166</v>
      </c>
      <c r="AB148" s="88">
        <f ca="1"/>
        <v>579104.01298884396</v>
      </c>
      <c r="AC148" s="88">
        <f ca="1"/>
        <v>1215192.137283647</v>
      </c>
      <c r="AD148" s="88">
        <f ca="1"/>
        <v>0</v>
      </c>
      <c r="AE148" s="88">
        <f ca="1"/>
        <v>0</v>
      </c>
      <c r="AF148" s="88">
        <f ca="1"/>
        <v>0</v>
      </c>
      <c r="AG148" s="88">
        <f ca="1"/>
        <v>0</v>
      </c>
      <c r="AH148" s="88">
        <f ca="1"/>
        <v>7863181.6141999997</v>
      </c>
      <c r="AI148" s="88">
        <f ca="1"/>
        <v>-1149319</v>
      </c>
      <c r="AJ148" s="88">
        <f ca="1"/>
        <v>0</v>
      </c>
      <c r="AK148" s="88">
        <f ca="1"/>
        <v>45834.85773054602</v>
      </c>
      <c r="AL148" s="88">
        <f ca="1"/>
        <v>0</v>
      </c>
      <c r="AM148" s="195">
        <f ca="1"/>
        <v>0</v>
      </c>
      <c r="AN148" s="195">
        <f ca="1"/>
        <v>0</v>
      </c>
      <c r="AO148" s="195">
        <f ca="1"/>
        <v>2629051.3386000004</v>
      </c>
      <c r="AP148" s="443">
        <f ca="1"/>
        <v>-1460584.077</v>
      </c>
      <c r="AQ148" s="195">
        <f ca="1"/>
        <v>0</v>
      </c>
      <c r="AR148" s="195">
        <f ca="1"/>
        <v>0</v>
      </c>
      <c r="AS148" s="195">
        <f ca="1"/>
        <v>0</v>
      </c>
      <c r="AT148" s="195">
        <f ca="1"/>
        <v>506591.76479425014</v>
      </c>
      <c r="AU148" s="195">
        <f ca="1"/>
        <v>95830.642365504013</v>
      </c>
      <c r="AV148" s="195">
        <f ca="1"/>
        <v>73707.955353999991</v>
      </c>
      <c r="AW148" s="195">
        <f ca="1"/>
        <v>0</v>
      </c>
      <c r="AX148" s="195">
        <f ca="1"/>
        <v>0</v>
      </c>
      <c r="AY148" s="195">
        <f ca="1"/>
        <v>64799.375880000007</v>
      </c>
      <c r="AZ148" s="195">
        <f ca="1"/>
        <v>75039.021899999992</v>
      </c>
      <c r="BA148" s="195">
        <f ca="1"/>
        <v>27.893207432281919</v>
      </c>
      <c r="BB148" s="195">
        <f ca="1"/>
        <v>313966.03438577999</v>
      </c>
      <c r="BC148" s="195">
        <f ca="1"/>
        <v>349.33514023039999</v>
      </c>
      <c r="BD148" s="195">
        <f ca="1"/>
        <v>159832.46688573601</v>
      </c>
      <c r="BE148" s="195">
        <f ca="1"/>
        <v>0</v>
      </c>
    </row>
    <row r="149" spans="1:57" s="195" customFormat="1" x14ac:dyDescent="0.2">
      <c r="A149" s="34"/>
      <c r="B149" s="93">
        <v>98</v>
      </c>
      <c r="C149" s="166">
        <f ca="1"/>
        <v>26474131.344599999</v>
      </c>
      <c r="D149" s="177">
        <f ca="1"/>
        <v>26474131.344599999</v>
      </c>
      <c r="E149" s="177">
        <f ca="1"/>
        <v>0</v>
      </c>
      <c r="F149" s="167">
        <f ca="1"/>
        <v>0</v>
      </c>
      <c r="G149" s="33"/>
      <c r="H149" s="34"/>
      <c r="I149" s="33"/>
      <c r="J149" s="94">
        <f ca="1"/>
        <v>0</v>
      </c>
      <c r="K149" s="94">
        <f ca="1"/>
        <v>0</v>
      </c>
      <c r="L149" s="385"/>
      <c r="M149" s="94">
        <f ca="1"/>
        <v>9021896.3000000007</v>
      </c>
      <c r="N149" s="94">
        <f ca="1"/>
        <v>10027474.206315799</v>
      </c>
      <c r="O149" s="95">
        <f ca="1"/>
        <v>1005577.9063157979</v>
      </c>
      <c r="P149" s="33"/>
      <c r="Q149" s="362">
        <f ca="1"/>
        <v>1</v>
      </c>
      <c r="R149" s="307">
        <f ca="1"/>
        <v>1</v>
      </c>
      <c r="S149" s="307">
        <f ca="1"/>
        <v>0</v>
      </c>
      <c r="T149" s="308">
        <f ca="1"/>
        <v>0</v>
      </c>
      <c r="U149" s="92">
        <f ca="1"/>
        <v>44151</v>
      </c>
      <c r="V149" s="306">
        <f ca="1"/>
        <v>100159.82196539067</v>
      </c>
      <c r="W149" s="87">
        <f ca="1"/>
        <v>0</v>
      </c>
      <c r="X149" s="88">
        <f ca="1"/>
        <v>0</v>
      </c>
      <c r="Y149" s="88">
        <f ca="1"/>
        <v>0</v>
      </c>
      <c r="Z149" s="88">
        <f ca="1"/>
        <v>0</v>
      </c>
      <c r="AA149" s="88">
        <f ca="1"/>
        <v>-1166665.5174215585</v>
      </c>
      <c r="AB149" s="88">
        <f ca="1"/>
        <v>219616.83572196812</v>
      </c>
      <c r="AC149" s="88">
        <f ca="1"/>
        <v>1410142.0742706843</v>
      </c>
      <c r="AD149" s="88">
        <f ca="1"/>
        <v>0</v>
      </c>
      <c r="AE149" s="88">
        <f ca="1"/>
        <v>0</v>
      </c>
      <c r="AF149" s="88">
        <f ca="1"/>
        <v>0</v>
      </c>
      <c r="AG149" s="88">
        <f ca="1"/>
        <v>0</v>
      </c>
      <c r="AH149" s="88">
        <f ca="1"/>
        <v>7234803.2966</v>
      </c>
      <c r="AI149" s="88">
        <f ca="1"/>
        <v>-1149319</v>
      </c>
      <c r="AJ149" s="88">
        <f ca="1"/>
        <v>0</v>
      </c>
      <c r="AK149" s="88">
        <f ca="1"/>
        <v>38191.875156106194</v>
      </c>
      <c r="AL149" s="88">
        <f ca="1"/>
        <v>0</v>
      </c>
      <c r="AM149" s="195">
        <f ca="1"/>
        <v>0</v>
      </c>
      <c r="AN149" s="195">
        <f ca="1"/>
        <v>0</v>
      </c>
      <c r="AO149" s="195">
        <f ca="1"/>
        <v>2629051.3386000004</v>
      </c>
      <c r="AP149" s="443">
        <f ca="1"/>
        <v>-1460584.077</v>
      </c>
      <c r="AQ149" s="195">
        <f ca="1"/>
        <v>0</v>
      </c>
      <c r="AR149" s="195">
        <f ca="1"/>
        <v>0</v>
      </c>
      <c r="AS149" s="195">
        <f ca="1"/>
        <v>0</v>
      </c>
      <c r="AT149" s="195">
        <f ca="1"/>
        <v>1192277.5851077442</v>
      </c>
      <c r="AU149" s="195">
        <f ca="1"/>
        <v>93511.265961297599</v>
      </c>
      <c r="AV149" s="195">
        <f ca="1"/>
        <v>222176.44108000002</v>
      </c>
      <c r="AW149" s="195">
        <f ca="1"/>
        <v>0</v>
      </c>
      <c r="AX149" s="195">
        <f ca="1"/>
        <v>0</v>
      </c>
      <c r="AY149" s="195">
        <f ca="1"/>
        <v>45128.994760000001</v>
      </c>
      <c r="AZ149" s="195">
        <f ca="1"/>
        <v>69250.894499999995</v>
      </c>
      <c r="BA149" s="195">
        <f ca="1"/>
        <v>6006.9577872879991</v>
      </c>
      <c r="BB149" s="195">
        <f ca="1"/>
        <v>356227.43984786002</v>
      </c>
      <c r="BC149" s="195">
        <f ca="1"/>
        <v>0</v>
      </c>
      <c r="BD149" s="195">
        <f ca="1"/>
        <v>187497.979379016</v>
      </c>
      <c r="BE149" s="195">
        <f ca="1"/>
        <v>0</v>
      </c>
    </row>
    <row r="150" spans="1:57" s="195" customFormat="1" x14ac:dyDescent="0.2">
      <c r="A150" s="34"/>
      <c r="B150" s="93">
        <v>99</v>
      </c>
      <c r="C150" s="166">
        <f ca="1"/>
        <v>26474131.344599999</v>
      </c>
      <c r="D150" s="177">
        <f ca="1"/>
        <v>26474131.344599999</v>
      </c>
      <c r="E150" s="177">
        <f ca="1"/>
        <v>0</v>
      </c>
      <c r="F150" s="167">
        <f ca="1"/>
        <v>0</v>
      </c>
      <c r="G150" s="33"/>
      <c r="H150" s="34"/>
      <c r="I150" s="33"/>
      <c r="J150" s="94">
        <f ca="1"/>
        <v>0</v>
      </c>
      <c r="K150" s="94">
        <f ca="1"/>
        <v>0</v>
      </c>
      <c r="L150" s="385"/>
      <c r="M150" s="94">
        <f ca="1"/>
        <v>11920200.32</v>
      </c>
      <c r="N150" s="94">
        <f ca="1"/>
        <v>12462285.992871461</v>
      </c>
      <c r="O150" s="95">
        <f ca="1"/>
        <v>542085.67287146114</v>
      </c>
      <c r="P150" s="33"/>
      <c r="Q150" s="362">
        <f ca="1"/>
        <v>1</v>
      </c>
      <c r="R150" s="307">
        <f ca="1"/>
        <v>1</v>
      </c>
      <c r="S150" s="307">
        <f ca="1"/>
        <v>0</v>
      </c>
      <c r="T150" s="308">
        <f ca="1"/>
        <v>0</v>
      </c>
      <c r="U150" s="92">
        <f ca="1"/>
        <v>44158</v>
      </c>
      <c r="V150" s="306">
        <f ca="1"/>
        <v>100159.82196539067</v>
      </c>
      <c r="W150" s="87">
        <f ca="1"/>
        <v>0</v>
      </c>
      <c r="X150" s="88">
        <f ca="1"/>
        <v>0</v>
      </c>
      <c r="Y150" s="88">
        <f ca="1"/>
        <v>0</v>
      </c>
      <c r="Z150" s="88">
        <f ca="1"/>
        <v>0</v>
      </c>
      <c r="AA150" s="88">
        <f ca="1"/>
        <v>-2090080.1453832411</v>
      </c>
      <c r="AB150" s="88">
        <f ca="1"/>
        <v>301724.08968010754</v>
      </c>
      <c r="AC150" s="88">
        <f ca="1"/>
        <v>1518066.7917748417</v>
      </c>
      <c r="AD150" s="88">
        <f ca="1"/>
        <v>0</v>
      </c>
      <c r="AE150" s="88">
        <f ca="1"/>
        <v>0</v>
      </c>
      <c r="AF150" s="88">
        <f ca="1"/>
        <v>0</v>
      </c>
      <c r="AG150" s="88">
        <f ca="1"/>
        <v>0</v>
      </c>
      <c r="AH150" s="88">
        <f ca="1"/>
        <v>9389151.1449999996</v>
      </c>
      <c r="AI150" s="88">
        <f ca="1"/>
        <v>-1149319</v>
      </c>
      <c r="AJ150" s="88">
        <f ca="1"/>
        <v>0</v>
      </c>
      <c r="AK150" s="88">
        <f ca="1"/>
        <v>41322.660639396934</v>
      </c>
      <c r="AL150" s="88">
        <f ca="1"/>
        <v>0</v>
      </c>
      <c r="AM150" s="195">
        <f ca="1"/>
        <v>0</v>
      </c>
      <c r="AN150" s="195">
        <f ca="1"/>
        <v>0</v>
      </c>
      <c r="AO150" s="195">
        <f ca="1"/>
        <v>0</v>
      </c>
      <c r="AP150" s="443">
        <f ca="1"/>
        <v>0</v>
      </c>
      <c r="AQ150" s="195">
        <f ca="1"/>
        <v>0</v>
      </c>
      <c r="AR150" s="195">
        <f ca="1"/>
        <v>0</v>
      </c>
      <c r="AS150" s="195">
        <f ca="1"/>
        <v>0</v>
      </c>
      <c r="AT150" s="195">
        <f ca="1"/>
        <v>3468779.415226242</v>
      </c>
      <c r="AU150" s="195">
        <f ca="1"/>
        <v>107572.24700512321</v>
      </c>
      <c r="AV150" s="195">
        <f ca="1"/>
        <v>134397.218868</v>
      </c>
      <c r="AW150" s="195">
        <f ca="1"/>
        <v>0</v>
      </c>
      <c r="AX150" s="195">
        <f ca="1"/>
        <v>0</v>
      </c>
      <c r="AY150" s="195">
        <f ca="1"/>
        <v>50399.774359999996</v>
      </c>
      <c r="AZ150" s="195">
        <f ca="1"/>
        <v>155861.16690000001</v>
      </c>
      <c r="BA150" s="195">
        <f ca="1"/>
        <v>11642.71716938176</v>
      </c>
      <c r="BB150" s="195">
        <f ca="1"/>
        <v>269090.77575112</v>
      </c>
      <c r="BC150" s="195">
        <f ca="1"/>
        <v>0</v>
      </c>
      <c r="BD150" s="195">
        <f ca="1"/>
        <v>153517.31391510001</v>
      </c>
      <c r="BE150" s="195">
        <f ca="1"/>
        <v>0</v>
      </c>
    </row>
    <row r="151" spans="1:57" s="195" customFormat="1" x14ac:dyDescent="0.2">
      <c r="A151" s="34"/>
      <c r="B151" s="93">
        <v>100</v>
      </c>
      <c r="C151" s="166">
        <f ca="1"/>
        <v>26474131.344599999</v>
      </c>
      <c r="D151" s="177">
        <f ca="1"/>
        <v>26474131.344599999</v>
      </c>
      <c r="E151" s="177">
        <f ca="1"/>
        <v>0</v>
      </c>
      <c r="F151" s="167">
        <f ca="1"/>
        <v>0</v>
      </c>
      <c r="G151" s="33"/>
      <c r="H151" s="34"/>
      <c r="I151" s="33"/>
      <c r="J151" s="94">
        <f ca="1"/>
        <v>0</v>
      </c>
      <c r="K151" s="94">
        <f ca="1"/>
        <v>0</v>
      </c>
      <c r="L151" s="385"/>
      <c r="M151" s="94">
        <f ca="1"/>
        <v>14622121.83</v>
      </c>
      <c r="N151" s="94">
        <f ca="1"/>
        <v>12114792.030415427</v>
      </c>
      <c r="O151" s="95">
        <f ca="1"/>
        <v>-2507329.7995845731</v>
      </c>
      <c r="P151" s="33"/>
      <c r="Q151" s="362">
        <f ca="1"/>
        <v>1</v>
      </c>
      <c r="R151" s="307">
        <f ca="1"/>
        <v>1</v>
      </c>
      <c r="S151" s="307">
        <f ca="1"/>
        <v>0</v>
      </c>
      <c r="T151" s="308">
        <f ca="1"/>
        <v>0</v>
      </c>
      <c r="U151" s="92">
        <f ca="1"/>
        <v>44165</v>
      </c>
      <c r="V151" s="306">
        <f ca="1"/>
        <v>100159.82196539067</v>
      </c>
      <c r="W151" s="87">
        <f ca="1"/>
        <v>0</v>
      </c>
      <c r="X151" s="88">
        <f ca="1"/>
        <v>0</v>
      </c>
      <c r="Y151" s="88">
        <f ca="1"/>
        <v>0</v>
      </c>
      <c r="Z151" s="88">
        <f ca="1"/>
        <v>0</v>
      </c>
      <c r="AA151" s="88">
        <f ca="1"/>
        <v>-1174469.4233847866</v>
      </c>
      <c r="AB151" s="88">
        <f ca="1"/>
        <v>172928.17153236415</v>
      </c>
      <c r="AC151" s="88">
        <f ca="1"/>
        <v>1574659.2644911371</v>
      </c>
      <c r="AD151" s="88">
        <f ca="1"/>
        <v>0</v>
      </c>
      <c r="AE151" s="88">
        <f ca="1"/>
        <v>0</v>
      </c>
      <c r="AF151" s="88">
        <f ca="1"/>
        <v>0</v>
      </c>
      <c r="AG151" s="88">
        <f ca="1"/>
        <v>0</v>
      </c>
      <c r="AH151" s="88">
        <f ca="1"/>
        <v>10532085.918199999</v>
      </c>
      <c r="AI151" s="88">
        <f ca="1"/>
        <v>-1149319</v>
      </c>
      <c r="AJ151" s="88">
        <f ca="1"/>
        <v>0</v>
      </c>
      <c r="AK151" s="88">
        <f ca="1"/>
        <v>50806.138487614058</v>
      </c>
      <c r="AL151" s="88">
        <f ca="1"/>
        <v>0</v>
      </c>
      <c r="AM151" s="195">
        <f ca="1"/>
        <v>0</v>
      </c>
      <c r="AN151" s="195">
        <f ca="1"/>
        <v>0</v>
      </c>
      <c r="AO151" s="195">
        <f ca="1"/>
        <v>0</v>
      </c>
      <c r="AP151" s="443">
        <f ca="1"/>
        <v>0</v>
      </c>
      <c r="AQ151" s="195">
        <f ca="1"/>
        <v>0</v>
      </c>
      <c r="AR151" s="195">
        <f ca="1"/>
        <v>0</v>
      </c>
      <c r="AS151" s="195">
        <f ca="1"/>
        <v>48528.034731114436</v>
      </c>
      <c r="AT151" s="195">
        <f ca="1"/>
        <v>1364474.787646581</v>
      </c>
      <c r="AU151" s="195">
        <f ca="1"/>
        <v>71921.466875832004</v>
      </c>
      <c r="AV151" s="195">
        <f ca="1"/>
        <v>62143.479090000001</v>
      </c>
      <c r="AW151" s="195">
        <f ca="1"/>
        <v>127.95569422184869</v>
      </c>
      <c r="AX151" s="195">
        <f ca="1"/>
        <v>29623.364599999997</v>
      </c>
      <c r="AY151" s="195">
        <f ca="1"/>
        <v>18631.981544000002</v>
      </c>
      <c r="AZ151" s="195">
        <f ca="1"/>
        <v>27912.705768</v>
      </c>
      <c r="BA151" s="195">
        <f ca="1"/>
        <v>7892.0250361651197</v>
      </c>
      <c r="BB151" s="195">
        <f ca="1"/>
        <v>243881.51009803999</v>
      </c>
      <c r="BC151" s="195">
        <f ca="1"/>
        <v>536.73524032160003</v>
      </c>
      <c r="BD151" s="195">
        <f ca="1"/>
        <v>132267.09279943199</v>
      </c>
      <c r="BE151" s="195">
        <f ca="1"/>
        <v>0</v>
      </c>
    </row>
    <row r="152" spans="1:57" s="195" customFormat="1" x14ac:dyDescent="0.2">
      <c r="A152" s="34"/>
      <c r="B152" s="93">
        <v>101</v>
      </c>
      <c r="C152" s="166">
        <f ca="1"/>
        <v>26474131.344599999</v>
      </c>
      <c r="D152" s="177">
        <f ca="1"/>
        <v>26474131.344599999</v>
      </c>
      <c r="E152" s="177">
        <f ca="1"/>
        <v>0</v>
      </c>
      <c r="F152" s="167">
        <f ca="1"/>
        <v>0</v>
      </c>
      <c r="G152" s="33"/>
      <c r="H152" s="34"/>
      <c r="I152" s="33"/>
      <c r="J152" s="94">
        <f ca="1"/>
        <v>0</v>
      </c>
      <c r="K152" s="94">
        <f ca="1"/>
        <v>0</v>
      </c>
      <c r="L152" s="385"/>
      <c r="M152" s="94">
        <f ca="1"/>
        <v>12472911.68</v>
      </c>
      <c r="N152" s="94">
        <f ca="1"/>
        <v>13287745.955758167</v>
      </c>
      <c r="O152" s="95">
        <f ca="1"/>
        <v>814834.27575816773</v>
      </c>
      <c r="P152" s="33"/>
      <c r="Q152" s="362">
        <f ca="1"/>
        <v>1</v>
      </c>
      <c r="R152" s="307">
        <f ca="1"/>
        <v>1</v>
      </c>
      <c r="S152" s="307">
        <f ca="1"/>
        <v>0</v>
      </c>
      <c r="T152" s="308">
        <f ca="1"/>
        <v>0</v>
      </c>
      <c r="U152" s="92">
        <f ca="1"/>
        <v>44172</v>
      </c>
      <c r="V152" s="306">
        <f ca="1"/>
        <v>100159.82196539067</v>
      </c>
      <c r="W152" s="87">
        <f ca="1"/>
        <v>0</v>
      </c>
      <c r="X152" s="88">
        <f ca="1"/>
        <v>0</v>
      </c>
      <c r="Y152" s="88">
        <f ca="1"/>
        <v>0</v>
      </c>
      <c r="Z152" s="88">
        <f ca="1"/>
        <v>0</v>
      </c>
      <c r="AA152" s="88">
        <f ca="1"/>
        <v>-1162173.7107706331</v>
      </c>
      <c r="AB152" s="88">
        <f ca="1"/>
        <v>100173.32423893831</v>
      </c>
      <c r="AC152" s="88">
        <f ca="1"/>
        <v>1663434.7061842161</v>
      </c>
      <c r="AD152" s="88">
        <f ca="1"/>
        <v>0</v>
      </c>
      <c r="AE152" s="88">
        <f ca="1"/>
        <v>0</v>
      </c>
      <c r="AF152" s="88">
        <f ca="1"/>
        <v>0</v>
      </c>
      <c r="AG152" s="88">
        <f ca="1"/>
        <v>0</v>
      </c>
      <c r="AH152" s="88">
        <f ca="1"/>
        <v>12269230.769400001</v>
      </c>
      <c r="AI152" s="88">
        <f ca="1"/>
        <v>-1149319</v>
      </c>
      <c r="AJ152" s="88">
        <f ca="1"/>
        <v>0</v>
      </c>
      <c r="AK152" s="88">
        <f ca="1"/>
        <v>54211.895890276683</v>
      </c>
      <c r="AL152" s="88">
        <f ca="1"/>
        <v>26050.239168000004</v>
      </c>
      <c r="AM152" s="195">
        <f ca="1"/>
        <v>0</v>
      </c>
      <c r="AN152" s="195">
        <f ca="1"/>
        <v>0</v>
      </c>
      <c r="AO152" s="195">
        <f ca="1"/>
        <v>0</v>
      </c>
      <c r="AP152" s="443">
        <f ca="1"/>
        <v>0</v>
      </c>
      <c r="AQ152" s="195">
        <f ca="1"/>
        <v>0</v>
      </c>
      <c r="AR152" s="195">
        <f ca="1"/>
        <v>0</v>
      </c>
      <c r="AS152" s="195">
        <f ca="1"/>
        <v>291168.20843861857</v>
      </c>
      <c r="AT152" s="195">
        <f ca="1"/>
        <v>356538.64363949519</v>
      </c>
      <c r="AU152" s="195">
        <f ca="1"/>
        <v>115442.36525138401</v>
      </c>
      <c r="AV152" s="195">
        <f ca="1"/>
        <v>55301.741022000002</v>
      </c>
      <c r="AW152" s="195">
        <f ca="1"/>
        <v>107.5095976964645</v>
      </c>
      <c r="AX152" s="195">
        <f ca="1"/>
        <v>30420.405799999997</v>
      </c>
      <c r="AY152" s="195">
        <f ca="1"/>
        <v>51459.189400000003</v>
      </c>
      <c r="AZ152" s="195">
        <f ca="1"/>
        <v>77171.80098</v>
      </c>
      <c r="BA152" s="195">
        <f ca="1"/>
        <v>2951.0415652932479</v>
      </c>
      <c r="BB152" s="195">
        <f ca="1"/>
        <v>253347.88388415999</v>
      </c>
      <c r="BC152" s="195">
        <f ca="1"/>
        <v>536.73524032160003</v>
      </c>
      <c r="BD152" s="195">
        <f ca="1"/>
        <v>151532.38486300799</v>
      </c>
      <c r="BE152" s="195">
        <f ca="1"/>
        <v>0</v>
      </c>
    </row>
    <row r="153" spans="1:57" s="195" customFormat="1" x14ac:dyDescent="0.2">
      <c r="A153" s="34"/>
      <c r="B153" s="93">
        <v>102</v>
      </c>
      <c r="C153" s="166">
        <f ca="1"/>
        <v>26474131.344599999</v>
      </c>
      <c r="D153" s="177">
        <f ca="1"/>
        <v>26474131.344599999</v>
      </c>
      <c r="E153" s="177">
        <f ca="1"/>
        <v>0</v>
      </c>
      <c r="F153" s="167">
        <f ca="1"/>
        <v>0</v>
      </c>
      <c r="G153" s="33"/>
      <c r="H153" s="34"/>
      <c r="I153" s="33"/>
      <c r="J153" s="94">
        <f ca="1"/>
        <v>0</v>
      </c>
      <c r="K153" s="94">
        <f ca="1"/>
        <v>0</v>
      </c>
      <c r="L153" s="385"/>
      <c r="M153" s="94">
        <f ca="1"/>
        <v>12530145.32</v>
      </c>
      <c r="N153" s="94">
        <f ca="1"/>
        <v>13764851.832397426</v>
      </c>
      <c r="O153" s="95">
        <f ca="1"/>
        <v>1234706.5123974252</v>
      </c>
      <c r="P153" s="33"/>
      <c r="Q153" s="362">
        <f ca="1"/>
        <v>1</v>
      </c>
      <c r="R153" s="307">
        <f ca="1"/>
        <v>1</v>
      </c>
      <c r="S153" s="307">
        <f ca="1"/>
        <v>0</v>
      </c>
      <c r="T153" s="308">
        <f ca="1"/>
        <v>0</v>
      </c>
      <c r="U153" s="92">
        <f ca="1"/>
        <v>44179</v>
      </c>
      <c r="V153" s="306">
        <f ca="1"/>
        <v>100159.82196539067</v>
      </c>
      <c r="W153" s="87">
        <f ca="1"/>
        <v>0</v>
      </c>
      <c r="X153" s="88">
        <f ca="1"/>
        <v>0</v>
      </c>
      <c r="Y153" s="88">
        <f ca="1"/>
        <v>0</v>
      </c>
      <c r="Z153" s="88">
        <f ca="1"/>
        <v>0</v>
      </c>
      <c r="AA153" s="88">
        <f ca="1"/>
        <v>-1202691.2363740986</v>
      </c>
      <c r="AB153" s="88">
        <f ca="1"/>
        <v>118271.04395007463</v>
      </c>
      <c r="AC153" s="88">
        <f ca="1"/>
        <v>1660053.85824202</v>
      </c>
      <c r="AD153" s="88">
        <f ca="1"/>
        <v>0</v>
      </c>
      <c r="AE153" s="88">
        <f ca="1"/>
        <v>0</v>
      </c>
      <c r="AF153" s="88">
        <f ca="1"/>
        <v>0</v>
      </c>
      <c r="AG153" s="88">
        <f ca="1"/>
        <v>0</v>
      </c>
      <c r="AH153" s="88">
        <f ca="1"/>
        <v>13750000</v>
      </c>
      <c r="AI153" s="88">
        <f ca="1"/>
        <v>-1149319</v>
      </c>
      <c r="AJ153" s="88">
        <f ca="1"/>
        <v>-1732296</v>
      </c>
      <c r="AK153" s="88">
        <f ca="1"/>
        <v>56145.195685920262</v>
      </c>
      <c r="AL153" s="88">
        <f ca="1"/>
        <v>13726.02288</v>
      </c>
      <c r="AM153" s="195">
        <f ca="1"/>
        <v>0</v>
      </c>
      <c r="AN153" s="195">
        <f ca="1"/>
        <v>788502.80366000009</v>
      </c>
      <c r="AO153" s="195">
        <f ca="1"/>
        <v>0</v>
      </c>
      <c r="AP153" s="443">
        <f ca="1"/>
        <v>0</v>
      </c>
      <c r="AQ153" s="195">
        <f ca="1"/>
        <v>0</v>
      </c>
      <c r="AR153" s="195">
        <f ca="1"/>
        <v>0</v>
      </c>
      <c r="AS153" s="195">
        <f ca="1"/>
        <v>0</v>
      </c>
      <c r="AT153" s="195">
        <f ca="1"/>
        <v>460982.61883952457</v>
      </c>
      <c r="AU153" s="195">
        <f ca="1"/>
        <v>124766.1585755712</v>
      </c>
      <c r="AV153" s="195">
        <f ca="1"/>
        <v>42684.689674000001</v>
      </c>
      <c r="AW153" s="195">
        <f ca="1"/>
        <v>90.163933857841812</v>
      </c>
      <c r="AX153" s="195">
        <f ca="1"/>
        <v>33542.150499999996</v>
      </c>
      <c r="AY153" s="195">
        <f ca="1"/>
        <v>79100.520040000003</v>
      </c>
      <c r="AZ153" s="195">
        <f ca="1"/>
        <v>118642.03236</v>
      </c>
      <c r="BA153" s="195">
        <f ca="1"/>
        <v>1629.694270803712</v>
      </c>
      <c r="BB153" s="195">
        <f ca="1"/>
        <v>197259.78931044001</v>
      </c>
      <c r="BC153" s="195">
        <f ca="1"/>
        <v>536.73524032160003</v>
      </c>
      <c r="BD153" s="195">
        <f ca="1"/>
        <v>303064.76964360004</v>
      </c>
      <c r="BE153" s="195">
        <f ca="1"/>
        <v>0</v>
      </c>
    </row>
    <row r="154" spans="1:57" s="195" customFormat="1" x14ac:dyDescent="0.2">
      <c r="A154" s="34"/>
      <c r="B154" s="93">
        <v>103</v>
      </c>
      <c r="C154" s="166">
        <f ca="1"/>
        <v>26474131.344599999</v>
      </c>
      <c r="D154" s="177">
        <f ca="1"/>
        <v>26474131.344599999</v>
      </c>
      <c r="E154" s="177">
        <f ca="1"/>
        <v>0</v>
      </c>
      <c r="F154" s="167">
        <f ca="1"/>
        <v>0</v>
      </c>
      <c r="G154" s="33"/>
      <c r="H154" s="34"/>
      <c r="I154" s="33"/>
      <c r="J154" s="94">
        <f ca="1"/>
        <v>0</v>
      </c>
      <c r="K154" s="94">
        <f ca="1"/>
        <v>0</v>
      </c>
      <c r="L154" s="385"/>
      <c r="M154" s="94">
        <f ca="1"/>
        <v>13188094.560000001</v>
      </c>
      <c r="N154" s="94">
        <f ca="1"/>
        <v>13007074.379694374</v>
      </c>
      <c r="O154" s="95">
        <f ca="1"/>
        <v>-181020.18030562624</v>
      </c>
      <c r="P154" s="33"/>
      <c r="Q154" s="362">
        <f ca="1"/>
        <v>1</v>
      </c>
      <c r="R154" s="307">
        <f ca="1"/>
        <v>1</v>
      </c>
      <c r="S154" s="307">
        <f ca="1"/>
        <v>0</v>
      </c>
      <c r="T154" s="308">
        <f ca="1"/>
        <v>0</v>
      </c>
      <c r="U154" s="92">
        <f ca="1"/>
        <v>44186</v>
      </c>
      <c r="V154" s="306">
        <f ca="1"/>
        <v>100159.82196539067</v>
      </c>
      <c r="W154" s="87">
        <f ca="1"/>
        <v>0</v>
      </c>
      <c r="X154" s="88">
        <f ca="1"/>
        <v>0</v>
      </c>
      <c r="Y154" s="88">
        <f ca="1"/>
        <v>-1294895.2282124299</v>
      </c>
      <c r="Z154" s="88">
        <f ca="1"/>
        <v>0</v>
      </c>
      <c r="AA154" s="88">
        <f ca="1"/>
        <v>-2202866.944603133</v>
      </c>
      <c r="AB154" s="88">
        <f ca="1"/>
        <v>542938.7843864389</v>
      </c>
      <c r="AC154" s="88">
        <f ca="1"/>
        <v>1580830.4534831506</v>
      </c>
      <c r="AD154" s="88">
        <f ca="1"/>
        <v>0</v>
      </c>
      <c r="AE154" s="88">
        <f ca="1"/>
        <v>0</v>
      </c>
      <c r="AF154" s="88">
        <f ca="1"/>
        <v>0</v>
      </c>
      <c r="AG154" s="88">
        <f ca="1"/>
        <v>0</v>
      </c>
      <c r="AH154" s="88">
        <f ca="1"/>
        <v>14807692.3082</v>
      </c>
      <c r="AI154" s="88">
        <f ca="1"/>
        <v>-1149319</v>
      </c>
      <c r="AJ154" s="88">
        <f ca="1"/>
        <v>-1732296</v>
      </c>
      <c r="AK154" s="88">
        <f ca="1"/>
        <v>67938.473521682099</v>
      </c>
      <c r="AL154" s="88">
        <f ca="1"/>
        <v>2745.2045760000001</v>
      </c>
      <c r="AM154" s="195">
        <f ca="1"/>
        <v>0</v>
      </c>
      <c r="AN154" s="195">
        <f ca="1"/>
        <v>707934.94101000007</v>
      </c>
      <c r="AO154" s="195">
        <f ca="1"/>
        <v>0</v>
      </c>
      <c r="AP154" s="443">
        <f ca="1"/>
        <v>0</v>
      </c>
      <c r="AQ154" s="195">
        <f ca="1"/>
        <v>0</v>
      </c>
      <c r="AR154" s="195">
        <f ca="1"/>
        <v>0</v>
      </c>
      <c r="AS154" s="195">
        <f ca="1"/>
        <v>0</v>
      </c>
      <c r="AT154" s="195">
        <f ca="1"/>
        <v>721462.00784516812</v>
      </c>
      <c r="AU154" s="195">
        <f ca="1"/>
        <v>120905.5116719904</v>
      </c>
      <c r="AV154" s="195">
        <f ca="1"/>
        <v>44277.401959999996</v>
      </c>
      <c r="AW154" s="195">
        <f ca="1"/>
        <v>86.393137367504551</v>
      </c>
      <c r="AX154" s="195">
        <f ca="1"/>
        <v>34538.451999999997</v>
      </c>
      <c r="AY154" s="195">
        <f ca="1"/>
        <v>38877.397888</v>
      </c>
      <c r="AZ154" s="195">
        <f ca="1"/>
        <v>58304.472665999994</v>
      </c>
      <c r="BA154" s="195">
        <f ca="1"/>
        <v>10661.128978469438</v>
      </c>
      <c r="BB154" s="195">
        <f ca="1"/>
        <v>178702.70195675999</v>
      </c>
      <c r="BC154" s="195">
        <f ca="1"/>
        <v>0</v>
      </c>
      <c r="BD154" s="195">
        <f ca="1"/>
        <v>368396.09726352</v>
      </c>
      <c r="BE154" s="195">
        <f ca="1"/>
        <v>0</v>
      </c>
    </row>
    <row r="155" spans="1:57" s="195" customFormat="1" x14ac:dyDescent="0.2">
      <c r="A155" s="34"/>
      <c r="B155" s="93">
        <v>104</v>
      </c>
      <c r="C155" s="166">
        <f ca="1"/>
        <v>26474131.344599999</v>
      </c>
      <c r="D155" s="177">
        <f ca="1"/>
        <v>26474131.344599999</v>
      </c>
      <c r="E155" s="177">
        <f ca="1"/>
        <v>0</v>
      </c>
      <c r="F155" s="167">
        <f ca="1"/>
        <v>0</v>
      </c>
      <c r="G155" s="33"/>
      <c r="H155" s="34"/>
      <c r="I155" s="33"/>
      <c r="J155" s="94">
        <f ca="1"/>
        <v>0</v>
      </c>
      <c r="K155" s="94">
        <f ca="1"/>
        <v>0</v>
      </c>
      <c r="L155" s="385"/>
      <c r="M155" s="94">
        <f ca="1"/>
        <v>5481824.1730000004</v>
      </c>
      <c r="N155" s="94">
        <f ca="1"/>
        <v>7072379.225291363</v>
      </c>
      <c r="O155" s="95">
        <f ca="1"/>
        <v>1590555.0522913625</v>
      </c>
      <c r="P155" s="33"/>
      <c r="Q155" s="362">
        <f ca="1"/>
        <v>1</v>
      </c>
      <c r="R155" s="307">
        <f ca="1"/>
        <v>1</v>
      </c>
      <c r="S155" s="307">
        <f ca="1"/>
        <v>0</v>
      </c>
      <c r="T155" s="308">
        <f ca="1"/>
        <v>0</v>
      </c>
      <c r="U155" s="92">
        <f ca="1"/>
        <v>44193</v>
      </c>
      <c r="V155" s="306">
        <f ca="1"/>
        <v>100159.82196539067</v>
      </c>
      <c r="W155" s="87">
        <f ca="1"/>
        <v>0</v>
      </c>
      <c r="X155" s="88">
        <f ca="1"/>
        <v>0</v>
      </c>
      <c r="Y155" s="88">
        <f ca="1"/>
        <v>0</v>
      </c>
      <c r="Z155" s="88">
        <f ca="1"/>
        <v>0</v>
      </c>
      <c r="AA155" s="88">
        <f ca="1"/>
        <v>-2131668.1466114377</v>
      </c>
      <c r="AB155" s="88">
        <f ca="1"/>
        <v>718252.17207787011</v>
      </c>
      <c r="AC155" s="88">
        <f ca="1"/>
        <v>1084299.0908373294</v>
      </c>
      <c r="AD155" s="88">
        <f ca="1"/>
        <v>0</v>
      </c>
      <c r="AE155" s="88">
        <f ca="1"/>
        <v>0</v>
      </c>
      <c r="AF155" s="88">
        <f ca="1"/>
        <v>0</v>
      </c>
      <c r="AG155" s="88">
        <f ca="1"/>
        <v>0</v>
      </c>
      <c r="AH155" s="88">
        <f ca="1"/>
        <v>6321390.977</v>
      </c>
      <c r="AI155" s="88">
        <f ca="1"/>
        <v>0</v>
      </c>
      <c r="AJ155" s="88">
        <f ca="1"/>
        <v>0</v>
      </c>
      <c r="AK155" s="88">
        <f ca="1"/>
        <v>83750.737435356496</v>
      </c>
      <c r="AL155" s="88">
        <f ca="1"/>
        <v>17639.399616000002</v>
      </c>
      <c r="AM155" s="195">
        <f ca="1"/>
        <v>0</v>
      </c>
      <c r="AN155" s="195">
        <f ca="1"/>
        <v>0</v>
      </c>
      <c r="AO155" s="195">
        <f ca="1"/>
        <v>0</v>
      </c>
      <c r="AP155" s="443">
        <f ca="1"/>
        <v>0</v>
      </c>
      <c r="AQ155" s="195">
        <f ca="1"/>
        <v>0</v>
      </c>
      <c r="AR155" s="195">
        <f ca="1"/>
        <v>70853.811459999997</v>
      </c>
      <c r="AS155" s="195">
        <f ca="1"/>
        <v>0</v>
      </c>
      <c r="AT155" s="195">
        <f ca="1"/>
        <v>391182.30799925938</v>
      </c>
      <c r="AU155" s="195">
        <f ca="1"/>
        <v>84485.121581832005</v>
      </c>
      <c r="AV155" s="195">
        <f ca="1"/>
        <v>36909.376371999999</v>
      </c>
      <c r="AW155" s="195">
        <f ca="1"/>
        <v>106.0012791003296</v>
      </c>
      <c r="AX155" s="195">
        <f ca="1"/>
        <v>25870.112806044908</v>
      </c>
      <c r="AY155" s="195">
        <f ca="1"/>
        <v>6.908828744</v>
      </c>
      <c r="AZ155" s="195">
        <f ca="1"/>
        <v>3.5069529941999997</v>
      </c>
      <c r="BA155" s="195">
        <f ca="1"/>
        <v>1838.628388757568</v>
      </c>
      <c r="BB155" s="195">
        <f ca="1"/>
        <v>88856.875284380003</v>
      </c>
      <c r="BC155" s="195">
        <f ca="1"/>
        <v>0</v>
      </c>
      <c r="BD155" s="195">
        <f ca="1"/>
        <v>178442.52201774</v>
      </c>
      <c r="BE155" s="195">
        <f ca="1"/>
        <v>0</v>
      </c>
    </row>
    <row r="156" spans="1:57" s="371" customFormat="1" x14ac:dyDescent="0.2">
      <c r="F156" s="372"/>
      <c r="W156" s="371" t="s">
        <v>65</v>
      </c>
    </row>
    <row r="157" spans="1:57" x14ac:dyDescent="0.2">
      <c r="W157"/>
      <c r="X157"/>
      <c r="Y157"/>
    </row>
    <row r="158" spans="1:57" x14ac:dyDescent="0.2">
      <c r="W158"/>
      <c r="X158"/>
      <c r="Y158"/>
    </row>
    <row r="159" spans="1:57" x14ac:dyDescent="0.2">
      <c r="W159"/>
      <c r="X159"/>
      <c r="Y159"/>
    </row>
    <row r="160" spans="1:57" x14ac:dyDescent="0.2">
      <c r="W160"/>
      <c r="X160"/>
      <c r="Y160"/>
    </row>
    <row r="161" spans="23:25" x14ac:dyDescent="0.2">
      <c r="W161"/>
      <c r="X161"/>
      <c r="Y161"/>
    </row>
    <row r="162" spans="23:25" x14ac:dyDescent="0.2">
      <c r="W162"/>
      <c r="X162"/>
      <c r="Y162"/>
    </row>
    <row r="163" spans="23:25" x14ac:dyDescent="0.2">
      <c r="W163"/>
      <c r="X163"/>
      <c r="Y163"/>
    </row>
    <row r="164" spans="23:25" x14ac:dyDescent="0.2">
      <c r="W164"/>
      <c r="X164"/>
      <c r="Y164"/>
    </row>
    <row r="165" spans="23:25" x14ac:dyDescent="0.2">
      <c r="W165"/>
      <c r="X165"/>
      <c r="Y165"/>
    </row>
    <row r="166" spans="23:25" x14ac:dyDescent="0.2">
      <c r="W166"/>
      <c r="X166"/>
      <c r="Y166"/>
    </row>
    <row r="167" spans="23:25" x14ac:dyDescent="0.2">
      <c r="W167"/>
      <c r="X167"/>
      <c r="Y167"/>
    </row>
    <row r="168" spans="23:25" x14ac:dyDescent="0.2">
      <c r="W168"/>
      <c r="X168"/>
      <c r="Y168"/>
    </row>
    <row r="169" spans="23:25" x14ac:dyDescent="0.2">
      <c r="W169"/>
      <c r="X169"/>
      <c r="Y169"/>
    </row>
    <row r="170" spans="23:25" x14ac:dyDescent="0.2">
      <c r="W170"/>
      <c r="X170"/>
      <c r="Y170"/>
    </row>
    <row r="171" spans="23:25" x14ac:dyDescent="0.2">
      <c r="W171"/>
      <c r="X171"/>
      <c r="Y171"/>
    </row>
    <row r="172" spans="23:25" x14ac:dyDescent="0.2">
      <c r="W172"/>
      <c r="X172"/>
      <c r="Y172"/>
    </row>
    <row r="173" spans="23:25" x14ac:dyDescent="0.2">
      <c r="W173"/>
      <c r="X173"/>
      <c r="Y173"/>
    </row>
    <row r="174" spans="23:25" x14ac:dyDescent="0.2">
      <c r="W174"/>
      <c r="X174"/>
      <c r="Y174"/>
    </row>
    <row r="175" spans="23:25" x14ac:dyDescent="0.2">
      <c r="W175"/>
      <c r="X175"/>
      <c r="Y175"/>
    </row>
    <row r="176" spans="23:25" x14ac:dyDescent="0.2">
      <c r="W176"/>
      <c r="X176"/>
      <c r="Y176"/>
    </row>
    <row r="177" spans="23:25" x14ac:dyDescent="0.2">
      <c r="W177"/>
      <c r="X177"/>
      <c r="Y177"/>
    </row>
    <row r="178" spans="23:25" x14ac:dyDescent="0.2">
      <c r="W178"/>
      <c r="X178"/>
      <c r="Y178"/>
    </row>
  </sheetData>
  <conditionalFormatting sqref="M52:M15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{2E956ED7-EC8B-4E2A-B7F6-68B3614FAFDD}</x14:id>
        </ext>
      </extLst>
    </cfRule>
  </conditionalFormatting>
  <conditionalFormatting sqref="V52:BD15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{32C77AA6-208D-4055-BA42-820FEEE0ECE2}</x14:id>
        </ext>
      </extLst>
    </cfRule>
  </conditionalFormatting>
  <conditionalFormatting sqref="BR51:CG15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{B6FDBB87-47E8-4D13-8EEA-4BFBAE3F1305}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4" name="Drop Down 1">
              <controlPr defaultSize="0" autoLine="0" autoPict="0">
                <anchor moveWithCells="1">
                  <from>
                    <xdr:col>18</xdr:col>
                    <xdr:colOff>76200</xdr:colOff>
                    <xdr:row>42</xdr:row>
                    <xdr:rowOff>63500</xdr:rowOff>
                  </from>
                  <to>
                    <xdr:col>20</xdr:col>
                    <xdr:colOff>520700</xdr:colOff>
                    <xdr:row>42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2" r:id="rId5" name="Drop Down 2">
              <controlPr defaultSize="0" autoLine="0" autoPict="0">
                <anchor moveWithCells="1">
                  <from>
                    <xdr:col>18</xdr:col>
                    <xdr:colOff>76200</xdr:colOff>
                    <xdr:row>43</xdr:row>
                    <xdr:rowOff>63500</xdr:rowOff>
                  </from>
                  <to>
                    <xdr:col>20</xdr:col>
                    <xdr:colOff>520700</xdr:colOff>
                    <xdr:row>43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1" r:id="rId6" name="Drop Down 11">
              <controlPr defaultSize="0" autoLine="0" autoPict="0">
                <anchor moveWithCells="1">
                  <from>
                    <xdr:col>9</xdr:col>
                    <xdr:colOff>596900</xdr:colOff>
                    <xdr:row>44</xdr:row>
                    <xdr:rowOff>139700</xdr:rowOff>
                  </from>
                  <to>
                    <xdr:col>10</xdr:col>
                    <xdr:colOff>1092200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2" r:id="rId7" name="Drop Down 12">
              <controlPr defaultSize="0" autoLine="0" autoPict="0">
                <anchor moveWithCells="1">
                  <from>
                    <xdr:col>18</xdr:col>
                    <xdr:colOff>63500</xdr:colOff>
                    <xdr:row>44</xdr:row>
                    <xdr:rowOff>63500</xdr:rowOff>
                  </from>
                  <to>
                    <xdr:col>20</xdr:col>
                    <xdr:colOff>520700</xdr:colOff>
                    <xdr:row>44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3" r:id="rId8" name="Drop Down 13">
              <controlPr defaultSize="0" autoLine="0" autoPict="0">
                <anchor moveWithCells="1">
                  <from>
                    <xdr:col>18</xdr:col>
                    <xdr:colOff>63500</xdr:colOff>
                    <xdr:row>45</xdr:row>
                    <xdr:rowOff>25400</xdr:rowOff>
                  </from>
                  <to>
                    <xdr:col>20</xdr:col>
                    <xdr:colOff>520700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4" r:id="rId9" name="Check Box 14">
              <controlPr defaultSize="0" autoFill="0" autoLine="0" autoPict="0">
                <anchor moveWithCells="1">
                  <from>
                    <xdr:col>26</xdr:col>
                    <xdr:colOff>38100</xdr:colOff>
                    <xdr:row>2</xdr:row>
                    <xdr:rowOff>63500</xdr:rowOff>
                  </from>
                  <to>
                    <xdr:col>26</xdr:col>
                    <xdr:colOff>304800</xdr:colOff>
                    <xdr:row>3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956ED7-EC8B-4E2A-B7F6-68B3614FA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M52:M155</xm:sqref>
        </x14:conditionalFormatting>
        <x14:conditionalFormatting xmlns:xm="http://schemas.microsoft.com/office/excel/2006/main">
          <x14:cfRule type="dataBar" id="{32C77AA6-208D-4055-BA42-820FEEE0E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V52:BD155</xm:sqref>
        </x14:conditionalFormatting>
        <x14:conditionalFormatting xmlns:xm="http://schemas.microsoft.com/office/excel/2006/main">
          <x14:cfRule type="dataBar" id="{B6FDBB87-47E8-4D13-8EEA-4BFBAE3F1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BR51:CG155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83BB-3CE2-46AF-8F33-8F7F790C6F7B}">
  <sheetPr>
    <tabColor rgb="FF00B050"/>
  </sheetPr>
  <dimension ref="A1:AO163"/>
  <sheetViews>
    <sheetView showGridLines="0" topLeftCell="I5" zoomScale="112" zoomScaleNormal="70" workbookViewId="0">
      <selection activeCell="I3" sqref="I3"/>
    </sheetView>
  </sheetViews>
  <sheetFormatPr baseColWidth="10" defaultColWidth="9.33203125" defaultRowHeight="15" outlineLevelCol="1" x14ac:dyDescent="0.2"/>
  <cols>
    <col min="1" max="1" width="3.33203125" customWidth="1" outlineLevel="1"/>
    <col min="2" max="2" width="40.6640625" style="281" customWidth="1" outlineLevel="1"/>
    <col min="3" max="3" width="3.33203125" customWidth="1" outlineLevel="1"/>
    <col min="4" max="4" width="40.6640625" style="281" customWidth="1" outlineLevel="1"/>
    <col min="5" max="5" width="18.5" customWidth="1"/>
    <col min="6" max="6" width="30.6640625" customWidth="1"/>
    <col min="8" max="8" width="4.6640625" customWidth="1"/>
    <col min="9" max="9" width="32" customWidth="1"/>
    <col min="10" max="11" width="9.5" customWidth="1"/>
    <col min="12" max="12" width="2.33203125" customWidth="1"/>
    <col min="13" max="13" width="13.33203125" customWidth="1"/>
    <col min="14" max="15" width="12.6640625" bestFit="1" customWidth="1"/>
    <col min="16" max="21" width="12.6640625" customWidth="1"/>
    <col min="22" max="22" width="12.6640625" bestFit="1" customWidth="1"/>
    <col min="23" max="23" width="11.6640625" bestFit="1" customWidth="1"/>
    <col min="24" max="24" width="13.5" bestFit="1" customWidth="1"/>
    <col min="25" max="25" width="11.6640625" bestFit="1" customWidth="1"/>
    <col min="42" max="42" width="10.33203125" bestFit="1" customWidth="1"/>
  </cols>
  <sheetData>
    <row r="1" spans="1:41" x14ac:dyDescent="0.2">
      <c r="A1" s="366"/>
      <c r="B1" s="367"/>
      <c r="C1" s="367"/>
      <c r="D1" s="367"/>
      <c r="E1" s="368" t="s">
        <v>66</v>
      </c>
      <c r="H1" s="318"/>
      <c r="I1" s="1"/>
      <c r="J1" s="317"/>
      <c r="K1" s="317"/>
      <c r="N1" s="1"/>
      <c r="O1" s="217"/>
      <c r="P1" s="1"/>
      <c r="Q1" s="1"/>
      <c r="R1" s="1"/>
      <c r="S1" s="1"/>
      <c r="T1" s="217"/>
      <c r="U1" s="21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">
      <c r="B2"/>
      <c r="D2"/>
      <c r="H2" s="318"/>
      <c r="I2" s="1"/>
      <c r="J2" s="317"/>
      <c r="K2" s="317"/>
      <c r="N2" s="1"/>
      <c r="O2" s="217"/>
      <c r="P2" s="1"/>
      <c r="Q2" s="1"/>
      <c r="R2" s="1"/>
      <c r="S2" s="1"/>
      <c r="T2" s="217"/>
      <c r="U2" s="21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">
      <c r="B3"/>
      <c r="D3"/>
      <c r="H3" s="364" t="str" cm="1">
        <f t="array" aca="1" ref="H3" ca="1">IF(F6="var",CELL("address",'Actual vs Predicted'!W51),CELL("address",'Actual vs Predicted'!W50))</f>
        <v>'[Analysis Workbook - Hope Street Cosmetics - Updated 04092025.xlsx]Actual vs Predicted'!$W$50</v>
      </c>
      <c r="I3" s="363" t="str">
        <f ca="1">"'"&amp;MID(H3,FIND("]",H3)+1,99)&amp;"#"</f>
        <v>'Actual vs Predicted'!$W$50#</v>
      </c>
      <c r="J3" s="317"/>
      <c r="N3" s="1"/>
      <c r="O3" s="217"/>
      <c r="P3" s="1"/>
      <c r="Q3" s="1"/>
      <c r="R3" s="1"/>
      <c r="S3" s="1"/>
      <c r="T3" s="217"/>
      <c r="U3" s="21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">
      <c r="B4"/>
      <c r="D4"/>
      <c r="H4" s="318"/>
      <c r="I4" s="1"/>
      <c r="J4" s="200"/>
      <c r="K4" s="200"/>
      <c r="N4" s="1"/>
      <c r="O4" s="217"/>
      <c r="P4" s="290" t="s">
        <v>67</v>
      </c>
      <c r="Q4" s="1"/>
      <c r="R4" s="1"/>
      <c r="S4" s="1"/>
      <c r="T4" s="217"/>
      <c r="U4" s="217"/>
      <c r="V4" s="290" t="s">
        <v>68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">
      <c r="B5" t="s">
        <v>69</v>
      </c>
      <c r="D5" s="157" t="s">
        <v>70</v>
      </c>
      <c r="F5" s="10" t="s">
        <v>71</v>
      </c>
      <c r="H5" s="321" t="s">
        <v>57</v>
      </c>
      <c r="I5" s="322" t="s">
        <v>44</v>
      </c>
      <c r="J5" s="320" t="s">
        <v>72</v>
      </c>
      <c r="K5" s="320" t="s">
        <v>73</v>
      </c>
      <c r="M5" s="283" t="s">
        <v>16</v>
      </c>
      <c r="N5" s="322" t="s">
        <v>43</v>
      </c>
      <c r="O5" s="323" t="s">
        <v>74</v>
      </c>
      <c r="P5" s="291" t="str" cm="1">
        <f t="array" aca="1" ref="P5" ca="1">IFERROR(TRANSPOSE(OFFSET(F38,1,0,F37,1)),"")</f>
        <v>Covid</v>
      </c>
      <c r="Q5" s="292"/>
      <c r="R5" s="292"/>
      <c r="S5" s="292"/>
      <c r="T5" s="323" t="s">
        <v>75</v>
      </c>
      <c r="U5" s="323" t="s">
        <v>76</v>
      </c>
      <c r="V5" s="291" t="str" cm="1">
        <f t="array" aca="1" ref="V5:Y5" ca="1">TRANSPOSE(OFFSET($F$10,0,0,$F$8,1))</f>
        <v>Macro</v>
      </c>
      <c r="W5" s="292" t="str">
        <f ca="1"/>
        <v>Promotion</v>
      </c>
      <c r="X5" s="292" t="str">
        <f ca="1"/>
        <v>Traditional Media</v>
      </c>
      <c r="Y5" s="292" t="str">
        <f ca="1"/>
        <v>Digital Media</v>
      </c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3"/>
    </row>
    <row r="6" spans="1:41" x14ac:dyDescent="0.2">
      <c r="B6" s="280" t="str" cm="1">
        <f t="array" aca="1" ref="B6:B40" ca="1">TRANSPOSE(_xlfn.UNIQUE(_xlfn.ANCHORARRAY('Actual vs Predicted'!W50)))</f>
        <v>Macro</v>
      </c>
      <c r="D6" s="281" t="str" cm="1">
        <f t="array" aca="1" ref="D6:D40" ca="1">TRANSPOSE(_xlfn.UNIQUE(_xlfn.ANCHORARRAY('Actual vs Predicted'!W51)))</f>
        <v>blackfriday_2019</v>
      </c>
      <c r="F6" s="149" t="s">
        <v>227</v>
      </c>
      <c r="H6" s="319" cm="1">
        <f t="array" ref="H6:H109">_xlfn.SEQUENCE('Actual vs Predicted'!E21)</f>
        <v>1</v>
      </c>
      <c r="I6" s="289" cm="1">
        <f t="array" aca="1" ref="I6:I109" ca="1">_xlfn.ANCHORARRAY('Actual vs Predicted'!N52)</f>
        <v>6561842.8596051121</v>
      </c>
      <c r="J6" s="316" cm="1">
        <f t="array" aca="1" ref="J6:J109" ca="1">IFERROR(MMULT(_xlfn.ANCHORARRAY(P6),_xlfn.SEQUENCE(F37,1,1,0)),0)</f>
        <v>0</v>
      </c>
      <c r="K6" s="316" cm="1">
        <f t="array" aca="1" ref="K6:K109" ca="1">_xlfn.ANCHORARRAY(I6)-SUMIF(OFFSET(_xlfn.ANCHORARRAY($V$5),_xlfn.ANCHORARRAY($H$6),0),"&lt;&gt;0")</f>
        <v>100159.82196539175</v>
      </c>
      <c r="L6" s="1"/>
      <c r="M6" s="374" cm="1">
        <f t="array" aca="1" ref="M6:M109" ca="1">_xlfn.ANCHORARRAY('Actual vs Predicted'!U52)</f>
        <v>43472</v>
      </c>
      <c r="N6" s="282" cm="1">
        <f t="array" aca="1" ref="N6:N109" ca="1">_xlfn.ANCHORARRAY('Actual vs Predicted'!M52)</f>
        <v>6096762.5070000002</v>
      </c>
      <c r="O6" s="324" cm="1">
        <f t="array" aca="1" ref="O6:O109" ca="1">_xlfn.ANCHORARRAY(K6)*(_xlfn.ANCHORARRAY(K6)&lt;0)</f>
        <v>0</v>
      </c>
      <c r="P6" s="284" cm="1">
        <f t="array" aca="1" ref="P6:P109" ca="1">SUMIFS(OFFSET(_xlfn.ANCHORARRAY('Actual vs Predicted'!$W$51),_xlfn.ANCHORARRAY($H$6),0),INDIRECT($I$3),_xlfn.ANCHORARRAY($P$5))</f>
        <v>0</v>
      </c>
      <c r="Q6" s="285"/>
      <c r="R6" s="285"/>
      <c r="S6" s="285"/>
      <c r="T6" s="324" cm="1">
        <f t="array" aca="1" ref="T6:T109" ca="1">(_xlfn.ANCHORARRAY(J6)+_xlfn.ANCHORARRAY(O6))*-1</f>
        <v>0</v>
      </c>
      <c r="U6" s="326" cm="1">
        <f t="array" aca="1" ref="U6:U109" ca="1">_xlfn.ANCHORARRAY(K6)*(_xlfn.ANCHORARRAY(K6)&gt;0)</f>
        <v>100159.82196539175</v>
      </c>
      <c r="V6" s="284" cm="1">
        <f t="array" aca="1" ref="V6:Y109" ca="1">SUMIFS(OFFSET(_xlfn.ANCHORARRAY('Actual vs Predicted'!$W$50),_xlfn.ANCHORARRAY($H$6)+1,0),INDIRECT($I$3),_xlfn.ANCHORARRAY($V$5))</f>
        <v>5381542.551</v>
      </c>
      <c r="W6" s="285">
        <f ca="1"/>
        <v>618749.97096438694</v>
      </c>
      <c r="X6" s="285">
        <f ca="1"/>
        <v>91831.938875333872</v>
      </c>
      <c r="Y6" s="285">
        <f ca="1"/>
        <v>369558.57679999986</v>
      </c>
      <c r="Z6" s="285"/>
      <c r="AA6" s="285"/>
      <c r="AB6" s="285"/>
      <c r="AC6" s="285"/>
      <c r="AD6" s="285"/>
      <c r="AE6" s="285"/>
      <c r="AF6" s="285"/>
      <c r="AG6" s="285"/>
      <c r="AH6" s="285"/>
      <c r="AI6" s="285"/>
      <c r="AJ6" s="285"/>
      <c r="AK6" s="285"/>
      <c r="AL6" s="285"/>
      <c r="AM6" s="285"/>
      <c r="AN6" s="285"/>
      <c r="AO6" s="286"/>
    </row>
    <row r="7" spans="1:41" x14ac:dyDescent="0.2">
      <c r="B7" s="281" t="str">
        <f ca="1"/>
        <v>Macro</v>
      </c>
      <c r="D7" s="281" t="str">
        <f ca="1"/>
        <v>july_promo</v>
      </c>
      <c r="H7" s="319">
        <v>2</v>
      </c>
      <c r="I7" s="289">
        <f ca="1"/>
        <v>6853079.861029298</v>
      </c>
      <c r="J7" s="316">
        <f ca="1"/>
        <v>0</v>
      </c>
      <c r="K7" s="316">
        <f ca="1"/>
        <v>100159.82196538989</v>
      </c>
      <c r="M7" s="374">
        <f ca="1"/>
        <v>43479</v>
      </c>
      <c r="N7" s="282">
        <f ca="1"/>
        <v>6089210.2319999998</v>
      </c>
      <c r="O7" s="325">
        <f ca="1"/>
        <v>0</v>
      </c>
      <c r="P7" s="287">
        <f ca="1"/>
        <v>0</v>
      </c>
      <c r="Q7" s="288"/>
      <c r="R7" s="288"/>
      <c r="S7" s="288"/>
      <c r="T7" s="325">
        <f ca="1"/>
        <v>0</v>
      </c>
      <c r="U7" s="327">
        <f ca="1"/>
        <v>100159.82196538989</v>
      </c>
      <c r="V7" s="287">
        <f ca="1"/>
        <v>5557037.8511999995</v>
      </c>
      <c r="W7" s="288">
        <f ca="1"/>
        <v>705773.83489399136</v>
      </c>
      <c r="X7" s="288">
        <f ca="1"/>
        <v>169030.48998728109</v>
      </c>
      <c r="Y7" s="288">
        <f ca="1"/>
        <v>321077.86298263585</v>
      </c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  <c r="AM7" s="288"/>
      <c r="AN7" s="288"/>
      <c r="AO7" s="282"/>
    </row>
    <row r="8" spans="1:41" x14ac:dyDescent="0.2">
      <c r="B8" s="281" t="str">
        <f ca="1"/>
        <v>Macro</v>
      </c>
      <c r="D8" s="281" t="str">
        <f ca="1"/>
        <v>xmas_dummy</v>
      </c>
      <c r="F8" s="148">
        <f>COUNTA(F10:F34)</f>
        <v>4</v>
      </c>
      <c r="H8" s="319">
        <v>3</v>
      </c>
      <c r="I8" s="289">
        <f ca="1"/>
        <v>6585670.1593386289</v>
      </c>
      <c r="J8" s="316">
        <f ca="1"/>
        <v>0</v>
      </c>
      <c r="K8" s="316">
        <f ca="1"/>
        <v>100159.82196539082</v>
      </c>
      <c r="M8" s="374">
        <f ca="1"/>
        <v>43486</v>
      </c>
      <c r="N8" s="282">
        <f ca="1"/>
        <v>6508506.8210000005</v>
      </c>
      <c r="O8" s="325">
        <f ca="1"/>
        <v>0</v>
      </c>
      <c r="P8" s="287">
        <f ca="1"/>
        <v>0</v>
      </c>
      <c r="Q8" s="288"/>
      <c r="R8" s="288"/>
      <c r="S8" s="288"/>
      <c r="T8" s="325">
        <f ca="1"/>
        <v>0</v>
      </c>
      <c r="U8" s="327">
        <f ca="1"/>
        <v>100159.82196539082</v>
      </c>
      <c r="V8" s="287">
        <f ca="1"/>
        <v>5622796.5309999995</v>
      </c>
      <c r="W8" s="288">
        <f ca="1"/>
        <v>436641.12617757951</v>
      </c>
      <c r="X8" s="288">
        <f ca="1"/>
        <v>183059.03867819256</v>
      </c>
      <c r="Y8" s="288">
        <f ca="1"/>
        <v>243013.64151746687</v>
      </c>
      <c r="Z8" s="288"/>
      <c r="AA8" s="288"/>
      <c r="AB8" s="288"/>
      <c r="AC8" s="288"/>
      <c r="AD8" s="288"/>
      <c r="AE8" s="288"/>
      <c r="AF8" s="288"/>
      <c r="AG8" s="288"/>
      <c r="AH8" s="288"/>
      <c r="AI8" s="288"/>
      <c r="AJ8" s="288"/>
      <c r="AK8" s="288"/>
      <c r="AL8" s="288"/>
      <c r="AM8" s="288"/>
      <c r="AN8" s="288"/>
      <c r="AO8" s="282"/>
    </row>
    <row r="9" spans="1:41" x14ac:dyDescent="0.2">
      <c r="B9" s="281" t="str">
        <f ca="1"/>
        <v>Promotion</v>
      </c>
      <c r="D9" s="281" t="str">
        <f ca="1"/>
        <v>flash_sale_promo</v>
      </c>
      <c r="F9" s="10" t="s">
        <v>77</v>
      </c>
      <c r="H9" s="319">
        <v>4</v>
      </c>
      <c r="I9" s="289">
        <f ca="1"/>
        <v>6498984.2108471934</v>
      </c>
      <c r="J9" s="316">
        <f ca="1"/>
        <v>0</v>
      </c>
      <c r="K9" s="316">
        <f ca="1"/>
        <v>100159.82196538989</v>
      </c>
      <c r="M9" s="374">
        <f ca="1"/>
        <v>43493</v>
      </c>
      <c r="N9" s="282">
        <f ca="1"/>
        <v>7022937.0590000004</v>
      </c>
      <c r="O9" s="325">
        <f ca="1"/>
        <v>0</v>
      </c>
      <c r="P9" s="287">
        <f ca="1"/>
        <v>0</v>
      </c>
      <c r="Q9" s="288"/>
      <c r="R9" s="288"/>
      <c r="S9" s="288"/>
      <c r="T9" s="325">
        <f ca="1"/>
        <v>0</v>
      </c>
      <c r="U9" s="327">
        <f ca="1"/>
        <v>100159.82196538989</v>
      </c>
      <c r="V9" s="287">
        <f ca="1"/>
        <v>5448730.5466</v>
      </c>
      <c r="W9" s="288">
        <f ca="1"/>
        <v>534228.90699801082</v>
      </c>
      <c r="X9" s="288">
        <f ca="1"/>
        <v>119766.70997316293</v>
      </c>
      <c r="Y9" s="288">
        <f ca="1"/>
        <v>296098.225310629</v>
      </c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288"/>
      <c r="AO9" s="282"/>
    </row>
    <row r="10" spans="1:41" x14ac:dyDescent="0.2">
      <c r="B10" s="281" t="str">
        <f ca="1"/>
        <v>Covid</v>
      </c>
      <c r="D10" s="281" t="str">
        <f ca="1"/>
        <v>covid_trend</v>
      </c>
      <c r="F10" s="145" t="s">
        <v>111</v>
      </c>
      <c r="H10" s="319">
        <v>5</v>
      </c>
      <c r="I10" s="289">
        <f ca="1"/>
        <v>18162465.660204906</v>
      </c>
      <c r="J10" s="316">
        <f ca="1"/>
        <v>0</v>
      </c>
      <c r="K10" s="316">
        <f ca="1"/>
        <v>100159.82196538523</v>
      </c>
      <c r="M10" s="374">
        <f ca="1"/>
        <v>43500</v>
      </c>
      <c r="N10" s="282">
        <f ca="1"/>
        <v>19633182.66</v>
      </c>
      <c r="O10" s="325">
        <f ca="1"/>
        <v>0</v>
      </c>
      <c r="P10" s="287">
        <f ca="1"/>
        <v>0</v>
      </c>
      <c r="Q10" s="288"/>
      <c r="R10" s="288"/>
      <c r="S10" s="288"/>
      <c r="T10" s="325">
        <f ca="1"/>
        <v>0</v>
      </c>
      <c r="U10" s="327">
        <f ca="1"/>
        <v>100159.82196538523</v>
      </c>
      <c r="V10" s="287">
        <f ca="1"/>
        <v>15645046.9932</v>
      </c>
      <c r="W10" s="288">
        <f ca="1"/>
        <v>674191.9489295719</v>
      </c>
      <c r="X10" s="288">
        <f ca="1"/>
        <v>1272803.4108045918</v>
      </c>
      <c r="Y10" s="288">
        <f ca="1"/>
        <v>470263.48530535673</v>
      </c>
      <c r="Z10" s="288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  <c r="AM10" s="288"/>
      <c r="AN10" s="288"/>
      <c r="AO10" s="282"/>
    </row>
    <row r="11" spans="1:41" x14ac:dyDescent="0.2">
      <c r="B11" s="281" t="str">
        <f ca="1"/>
        <v>Promotion</v>
      </c>
      <c r="D11" s="281" t="str">
        <f ca="1"/>
        <v>samples_quantity_distributed</v>
      </c>
      <c r="F11" s="146" t="s">
        <v>191</v>
      </c>
      <c r="H11" s="319">
        <v>6</v>
      </c>
      <c r="I11" s="289">
        <f ca="1"/>
        <v>12386321.084644195</v>
      </c>
      <c r="J11" s="316">
        <f ca="1"/>
        <v>0</v>
      </c>
      <c r="K11" s="316">
        <f ca="1"/>
        <v>100159.82196539268</v>
      </c>
      <c r="M11" s="374">
        <f ca="1"/>
        <v>43507</v>
      </c>
      <c r="N11" s="282">
        <f ca="1"/>
        <v>12143474.27</v>
      </c>
      <c r="O11" s="325">
        <f ca="1"/>
        <v>0</v>
      </c>
      <c r="P11" s="287">
        <f ca="1"/>
        <v>0</v>
      </c>
      <c r="Q11" s="288"/>
      <c r="R11" s="288"/>
      <c r="S11" s="288"/>
      <c r="T11" s="325">
        <f ca="1"/>
        <v>0</v>
      </c>
      <c r="U11" s="327">
        <f ca="1"/>
        <v>100159.82196539268</v>
      </c>
      <c r="V11" s="287">
        <f ca="1"/>
        <v>10280827.669799998</v>
      </c>
      <c r="W11" s="288">
        <f ca="1"/>
        <v>299833.95830129454</v>
      </c>
      <c r="X11" s="288">
        <f ca="1"/>
        <v>1126991.296977574</v>
      </c>
      <c r="Y11" s="288">
        <f ca="1"/>
        <v>578508.33759993454</v>
      </c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2"/>
    </row>
    <row r="12" spans="1:41" x14ac:dyDescent="0.2">
      <c r="B12" s="281" t="str">
        <f ca="1"/>
        <v>Digital Media</v>
      </c>
      <c r="D12" s="281" t="str">
        <f ca="1"/>
        <v>fbig_imp +A60</v>
      </c>
      <c r="F12" s="146" t="s">
        <v>133</v>
      </c>
      <c r="H12" s="319">
        <v>7</v>
      </c>
      <c r="I12" s="289">
        <f ca="1"/>
        <v>10182404.848940557</v>
      </c>
      <c r="J12" s="316">
        <f ca="1"/>
        <v>0</v>
      </c>
      <c r="K12" s="316">
        <f ca="1"/>
        <v>100159.82196539082</v>
      </c>
      <c r="M12" s="374">
        <f ca="1"/>
        <v>43514</v>
      </c>
      <c r="N12" s="282">
        <f ca="1"/>
        <v>9691781.5439999998</v>
      </c>
      <c r="O12" s="325">
        <f ca="1"/>
        <v>0</v>
      </c>
      <c r="P12" s="287">
        <f ca="1"/>
        <v>0</v>
      </c>
      <c r="Q12" s="288"/>
      <c r="R12" s="288"/>
      <c r="S12" s="288"/>
      <c r="T12" s="325">
        <f ca="1"/>
        <v>0</v>
      </c>
      <c r="U12" s="327">
        <f ca="1"/>
        <v>100159.82196539082</v>
      </c>
      <c r="V12" s="287">
        <f ca="1"/>
        <v>7313364.9647999993</v>
      </c>
      <c r="W12" s="288">
        <f ca="1"/>
        <v>1193210.3269766388</v>
      </c>
      <c r="X12" s="288">
        <f ca="1"/>
        <v>1196236.6474504832</v>
      </c>
      <c r="Y12" s="288">
        <f ca="1"/>
        <v>379433.08774804487</v>
      </c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288"/>
      <c r="AN12" s="288"/>
      <c r="AO12" s="282"/>
    </row>
    <row r="13" spans="1:41" x14ac:dyDescent="0.2">
      <c r="B13" s="281" t="str">
        <f ca="1"/>
        <v>Traditional Media</v>
      </c>
      <c r="D13" s="281" t="str">
        <f ca="1"/>
        <v>outdoor_impressions +A20</v>
      </c>
      <c r="F13" s="146" t="s">
        <v>131</v>
      </c>
      <c r="H13" s="319">
        <v>8</v>
      </c>
      <c r="I13" s="289">
        <f ca="1"/>
        <v>8225917.183384886</v>
      </c>
      <c r="J13" s="316">
        <f ca="1"/>
        <v>0</v>
      </c>
      <c r="K13" s="316">
        <f ca="1"/>
        <v>100159.82196539082</v>
      </c>
      <c r="M13" s="374">
        <f ca="1"/>
        <v>43521</v>
      </c>
      <c r="N13" s="282">
        <f ca="1"/>
        <v>7689159.5630000001</v>
      </c>
      <c r="O13" s="325">
        <f ca="1"/>
        <v>0</v>
      </c>
      <c r="P13" s="287">
        <f ca="1"/>
        <v>0</v>
      </c>
      <c r="Q13" s="288"/>
      <c r="R13" s="288"/>
      <c r="S13" s="288"/>
      <c r="T13" s="325">
        <f ca="1"/>
        <v>0</v>
      </c>
      <c r="U13" s="327">
        <f ca="1"/>
        <v>100159.82196539082</v>
      </c>
      <c r="V13" s="287">
        <f ca="1"/>
        <v>6654373.0009999983</v>
      </c>
      <c r="W13" s="288">
        <f ca="1"/>
        <v>1026359.9840759669</v>
      </c>
      <c r="X13" s="288">
        <f ca="1"/>
        <v>114621.50191736799</v>
      </c>
      <c r="Y13" s="288">
        <f ca="1"/>
        <v>330402.87442616187</v>
      </c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2"/>
    </row>
    <row r="14" spans="1:41" x14ac:dyDescent="0.2">
      <c r="B14" s="281" t="e">
        <f ca="1"/>
        <v>#N/A</v>
      </c>
      <c r="D14" s="281" t="str">
        <f ca="1"/>
        <v>new_year</v>
      </c>
      <c r="F14" s="146"/>
      <c r="H14" s="319">
        <v>9</v>
      </c>
      <c r="I14" s="289">
        <f ca="1"/>
        <v>10918332.832351711</v>
      </c>
      <c r="J14" s="316">
        <f ca="1"/>
        <v>0</v>
      </c>
      <c r="K14" s="316">
        <f ca="1"/>
        <v>100159.82196539082</v>
      </c>
      <c r="M14" s="374">
        <f ca="1"/>
        <v>43528</v>
      </c>
      <c r="N14" s="282">
        <f ca="1"/>
        <v>10234521.560000001</v>
      </c>
      <c r="O14" s="325">
        <f ca="1"/>
        <v>0</v>
      </c>
      <c r="P14" s="287">
        <f ca="1"/>
        <v>0</v>
      </c>
      <c r="Q14" s="288"/>
      <c r="R14" s="288"/>
      <c r="S14" s="288"/>
      <c r="T14" s="325">
        <f ca="1"/>
        <v>0</v>
      </c>
      <c r="U14" s="327">
        <f ca="1"/>
        <v>100159.82196539082</v>
      </c>
      <c r="V14" s="287">
        <f ca="1"/>
        <v>7291484.1692000004</v>
      </c>
      <c r="W14" s="288">
        <f ca="1"/>
        <v>2786318.7937218081</v>
      </c>
      <c r="X14" s="288">
        <f ca="1"/>
        <v>401496.70497488446</v>
      </c>
      <c r="Y14" s="288">
        <f ca="1"/>
        <v>338873.34248962614</v>
      </c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8"/>
      <c r="AN14" s="288"/>
      <c r="AO14" s="282"/>
    </row>
    <row r="15" spans="1:41" x14ac:dyDescent="0.2">
      <c r="B15" s="281" t="str">
        <f ca="1"/>
        <v>Macro</v>
      </c>
      <c r="D15" s="281" t="str">
        <f ca="1"/>
        <v>mothersday_2019</v>
      </c>
      <c r="F15" s="146"/>
      <c r="H15" s="319">
        <v>10</v>
      </c>
      <c r="I15" s="289">
        <f ca="1"/>
        <v>9317723.8841522522</v>
      </c>
      <c r="J15" s="316">
        <f ca="1"/>
        <v>0</v>
      </c>
      <c r="K15" s="316">
        <f ca="1"/>
        <v>100159.82196539454</v>
      </c>
      <c r="M15" s="374">
        <f ca="1"/>
        <v>43535</v>
      </c>
      <c r="N15" s="282">
        <f ca="1"/>
        <v>9309029.1699999999</v>
      </c>
      <c r="O15" s="325">
        <f ca="1"/>
        <v>0</v>
      </c>
      <c r="P15" s="287">
        <f ca="1"/>
        <v>0</v>
      </c>
      <c r="Q15" s="288"/>
      <c r="R15" s="288"/>
      <c r="S15" s="288"/>
      <c r="T15" s="325">
        <f ca="1"/>
        <v>0</v>
      </c>
      <c r="U15" s="327">
        <f ca="1"/>
        <v>100159.82196539454</v>
      </c>
      <c r="V15" s="287">
        <f ca="1"/>
        <v>6886546.8826000001</v>
      </c>
      <c r="W15" s="288">
        <f ca="1"/>
        <v>1374925.8613416357</v>
      </c>
      <c r="X15" s="288">
        <f ca="1"/>
        <v>565514.92858936265</v>
      </c>
      <c r="Y15" s="288">
        <f ca="1"/>
        <v>390576.38965586101</v>
      </c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2"/>
    </row>
    <row r="16" spans="1:41" x14ac:dyDescent="0.2">
      <c r="B16" s="281" t="str">
        <f ca="1"/>
        <v>Macro</v>
      </c>
      <c r="D16" s="281" t="str">
        <f ca="1"/>
        <v>week_before_vday +A30</v>
      </c>
      <c r="F16" s="146"/>
      <c r="H16" s="319">
        <v>11</v>
      </c>
      <c r="I16" s="289">
        <f ca="1"/>
        <v>12273697.455023894</v>
      </c>
      <c r="J16" s="316">
        <f ca="1"/>
        <v>0</v>
      </c>
      <c r="K16" s="316">
        <f ca="1"/>
        <v>100159.82196539268</v>
      </c>
      <c r="M16" s="374">
        <f ca="1"/>
        <v>43542</v>
      </c>
      <c r="N16" s="282">
        <f ca="1"/>
        <v>12102722.800000001</v>
      </c>
      <c r="O16" s="325">
        <f ca="1"/>
        <v>0</v>
      </c>
      <c r="P16" s="287">
        <f ca="1"/>
        <v>0</v>
      </c>
      <c r="Q16" s="288"/>
      <c r="R16" s="288"/>
      <c r="S16" s="288"/>
      <c r="T16" s="325">
        <f ca="1"/>
        <v>0</v>
      </c>
      <c r="U16" s="327">
        <f ca="1"/>
        <v>100159.82196539268</v>
      </c>
      <c r="V16" s="287">
        <f ca="1"/>
        <v>8320821.9093999993</v>
      </c>
      <c r="W16" s="288">
        <f ca="1"/>
        <v>3284132.0053933724</v>
      </c>
      <c r="X16" s="288">
        <f ca="1"/>
        <v>141541.79225808778</v>
      </c>
      <c r="Y16" s="288">
        <f ca="1"/>
        <v>427041.92600704153</v>
      </c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2"/>
    </row>
    <row r="17" spans="2:41" x14ac:dyDescent="0.2">
      <c r="B17" s="281" t="str">
        <f ca="1"/>
        <v>Macro</v>
      </c>
      <c r="D17" s="281" t="str">
        <f ca="1"/>
        <v>market_sales</v>
      </c>
      <c r="F17" s="146"/>
      <c r="H17" s="319">
        <v>12</v>
      </c>
      <c r="I17" s="289">
        <f ca="1"/>
        <v>9730017.0453157797</v>
      </c>
      <c r="J17" s="316">
        <f ca="1"/>
        <v>0</v>
      </c>
      <c r="K17" s="316">
        <f ca="1"/>
        <v>100159.82196539268</v>
      </c>
      <c r="M17" s="374">
        <f ca="1"/>
        <v>43549</v>
      </c>
      <c r="N17" s="282">
        <f ca="1"/>
        <v>9283960.8220000006</v>
      </c>
      <c r="O17" s="325">
        <f ca="1"/>
        <v>0</v>
      </c>
      <c r="P17" s="287">
        <f ca="1"/>
        <v>0</v>
      </c>
      <c r="Q17" s="288"/>
      <c r="R17" s="288"/>
      <c r="S17" s="288"/>
      <c r="T17" s="325">
        <f ca="1"/>
        <v>0</v>
      </c>
      <c r="U17" s="327">
        <f ca="1"/>
        <v>100159.82196539268</v>
      </c>
      <c r="V17" s="287">
        <f ca="1"/>
        <v>7827736.6397999991</v>
      </c>
      <c r="W17" s="288">
        <f ca="1"/>
        <v>945706.00438813551</v>
      </c>
      <c r="X17" s="288">
        <f ca="1"/>
        <v>454853.99307402346</v>
      </c>
      <c r="Y17" s="288">
        <f ca="1"/>
        <v>401560.58608822885</v>
      </c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2"/>
    </row>
    <row r="18" spans="2:41" x14ac:dyDescent="0.2">
      <c r="B18" s="281" t="str">
        <f ca="1"/>
        <v>Macro</v>
      </c>
      <c r="D18" s="281" t="str">
        <f ca="1"/>
        <v>covid_holiday_period</v>
      </c>
      <c r="F18" s="146"/>
      <c r="H18" s="319">
        <v>13</v>
      </c>
      <c r="I18" s="289">
        <f ca="1"/>
        <v>8105263.5159569094</v>
      </c>
      <c r="J18" s="316">
        <f ca="1"/>
        <v>0</v>
      </c>
      <c r="K18" s="316">
        <f ca="1"/>
        <v>100159.82196539082</v>
      </c>
      <c r="M18" s="374">
        <f ca="1"/>
        <v>43556</v>
      </c>
      <c r="N18" s="282">
        <f ca="1"/>
        <v>8030813.165</v>
      </c>
      <c r="O18" s="325">
        <f ca="1"/>
        <v>0</v>
      </c>
      <c r="P18" s="287">
        <f ca="1"/>
        <v>0</v>
      </c>
      <c r="Q18" s="288"/>
      <c r="R18" s="288"/>
      <c r="S18" s="288"/>
      <c r="T18" s="325">
        <f ca="1"/>
        <v>0</v>
      </c>
      <c r="U18" s="327">
        <f ca="1"/>
        <v>100159.82196539082</v>
      </c>
      <c r="V18" s="287">
        <f ca="1"/>
        <v>6716757.4363999991</v>
      </c>
      <c r="W18" s="288">
        <f ca="1"/>
        <v>598720.70691554691</v>
      </c>
      <c r="X18" s="288">
        <f ca="1"/>
        <v>372772.74143560539</v>
      </c>
      <c r="Y18" s="288">
        <f ca="1"/>
        <v>316852.80924036697</v>
      </c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288"/>
      <c r="AN18" s="288"/>
      <c r="AO18" s="282"/>
    </row>
    <row r="19" spans="2:41" x14ac:dyDescent="0.2">
      <c r="B19" s="281" t="str">
        <f ca="1"/>
        <v>Macro</v>
      </c>
      <c r="D19" s="281" t="str">
        <f ca="1"/>
        <v>covid_xmas</v>
      </c>
      <c r="F19" s="146"/>
      <c r="H19" s="319">
        <v>14</v>
      </c>
      <c r="I19" s="289">
        <f ca="1"/>
        <v>8249649.2140894812</v>
      </c>
      <c r="J19" s="316">
        <f ca="1"/>
        <v>0</v>
      </c>
      <c r="K19" s="316">
        <f ca="1"/>
        <v>100159.82196538989</v>
      </c>
      <c r="M19" s="374">
        <f ca="1"/>
        <v>43563</v>
      </c>
      <c r="N19" s="282">
        <f ca="1"/>
        <v>7843202.9270000001</v>
      </c>
      <c r="O19" s="325">
        <f ca="1"/>
        <v>0</v>
      </c>
      <c r="P19" s="287">
        <f ca="1"/>
        <v>0</v>
      </c>
      <c r="Q19" s="288"/>
      <c r="R19" s="288"/>
      <c r="S19" s="288"/>
      <c r="T19" s="325">
        <f ca="1"/>
        <v>0</v>
      </c>
      <c r="U19" s="327">
        <f ca="1"/>
        <v>100159.82196538989</v>
      </c>
      <c r="V19" s="287">
        <f ca="1"/>
        <v>6468326.1587999994</v>
      </c>
      <c r="W19" s="288">
        <f ca="1"/>
        <v>841232.90669791994</v>
      </c>
      <c r="X19" s="288">
        <f ca="1"/>
        <v>537056.03705407877</v>
      </c>
      <c r="Y19" s="288">
        <f ca="1"/>
        <v>302874.2895720934</v>
      </c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288"/>
      <c r="AN19" s="288"/>
      <c r="AO19" s="282"/>
    </row>
    <row r="20" spans="2:41" x14ac:dyDescent="0.2">
      <c r="B20" s="281" t="str">
        <f ca="1"/>
        <v>Promotion</v>
      </c>
      <c r="D20" s="281" t="str">
        <f ca="1"/>
        <v>total_product_launch</v>
      </c>
      <c r="F20" s="146"/>
      <c r="H20" s="319">
        <v>15</v>
      </c>
      <c r="I20" s="289">
        <f ca="1"/>
        <v>10839163.573249122</v>
      </c>
      <c r="J20" s="316">
        <f ca="1"/>
        <v>0</v>
      </c>
      <c r="K20" s="316">
        <f ca="1"/>
        <v>100159.82196538709</v>
      </c>
      <c r="M20" s="374">
        <f ca="1"/>
        <v>43570</v>
      </c>
      <c r="N20" s="282">
        <f ca="1"/>
        <v>10981537.49</v>
      </c>
      <c r="O20" s="325">
        <f ca="1"/>
        <v>0</v>
      </c>
      <c r="P20" s="287">
        <f ca="1"/>
        <v>0</v>
      </c>
      <c r="Q20" s="288"/>
      <c r="R20" s="288"/>
      <c r="S20" s="288"/>
      <c r="T20" s="325">
        <f ca="1"/>
        <v>0</v>
      </c>
      <c r="U20" s="327">
        <f ca="1"/>
        <v>100159.82196538709</v>
      </c>
      <c r="V20" s="287">
        <f ca="1"/>
        <v>6793924.9773999993</v>
      </c>
      <c r="W20" s="288">
        <f ca="1"/>
        <v>2969057.6894983645</v>
      </c>
      <c r="X20" s="288">
        <f ca="1"/>
        <v>525507.76767935744</v>
      </c>
      <c r="Y20" s="288">
        <f ca="1"/>
        <v>450513.31670601293</v>
      </c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288"/>
      <c r="AL20" s="288"/>
      <c r="AM20" s="288"/>
      <c r="AN20" s="288"/>
      <c r="AO20" s="282"/>
    </row>
    <row r="21" spans="2:41" x14ac:dyDescent="0.2">
      <c r="B21" s="281" t="str">
        <f ca="1"/>
        <v>Promotion</v>
      </c>
      <c r="D21" s="281" t="str">
        <f ca="1"/>
        <v>gwp_units_distributed</v>
      </c>
      <c r="F21" s="146"/>
      <c r="H21" s="319">
        <v>16</v>
      </c>
      <c r="I21" s="289">
        <f ca="1"/>
        <v>8737689.7177103981</v>
      </c>
      <c r="J21" s="316">
        <f ca="1"/>
        <v>0</v>
      </c>
      <c r="K21" s="316">
        <f ca="1"/>
        <v>100159.82196539082</v>
      </c>
      <c r="M21" s="374">
        <f ca="1"/>
        <v>43577</v>
      </c>
      <c r="N21" s="282">
        <f ca="1"/>
        <v>8798635.0580000002</v>
      </c>
      <c r="O21" s="325">
        <f ca="1"/>
        <v>0</v>
      </c>
      <c r="P21" s="287">
        <f ca="1"/>
        <v>0</v>
      </c>
      <c r="Q21" s="288"/>
      <c r="R21" s="288"/>
      <c r="S21" s="288"/>
      <c r="T21" s="325">
        <f ca="1"/>
        <v>0</v>
      </c>
      <c r="U21" s="327">
        <f ca="1"/>
        <v>100159.82196539082</v>
      </c>
      <c r="V21" s="287">
        <f ca="1"/>
        <v>6906256.4582000002</v>
      </c>
      <c r="W21" s="288">
        <f ca="1"/>
        <v>433692.10402436025</v>
      </c>
      <c r="X21" s="288">
        <f ca="1"/>
        <v>662439.94841516577</v>
      </c>
      <c r="Y21" s="288">
        <f ca="1"/>
        <v>635141.38510548219</v>
      </c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2"/>
    </row>
    <row r="22" spans="2:41" x14ac:dyDescent="0.2">
      <c r="B22" s="281" t="str">
        <f ca="1"/>
        <v>Promotion</v>
      </c>
      <c r="D22" s="281" t="str">
        <f ca="1"/>
        <v>friends_and_family_august_promo</v>
      </c>
      <c r="F22" s="146"/>
      <c r="H22" s="319">
        <v>17</v>
      </c>
      <c r="I22" s="289">
        <f ca="1"/>
        <v>10106190.725575844</v>
      </c>
      <c r="J22" s="316">
        <f ca="1"/>
        <v>0</v>
      </c>
      <c r="K22" s="316">
        <f ca="1"/>
        <v>100159.82196539082</v>
      </c>
      <c r="M22" s="374">
        <f ca="1"/>
        <v>43584</v>
      </c>
      <c r="N22" s="282">
        <f ca="1"/>
        <v>9088033.0690000001</v>
      </c>
      <c r="O22" s="325">
        <f ca="1"/>
        <v>0</v>
      </c>
      <c r="P22" s="287">
        <f ca="1"/>
        <v>0</v>
      </c>
      <c r="Q22" s="288"/>
      <c r="R22" s="288"/>
      <c r="S22" s="288"/>
      <c r="T22" s="325">
        <f ca="1"/>
        <v>0</v>
      </c>
      <c r="U22" s="327">
        <f ca="1"/>
        <v>100159.82196539082</v>
      </c>
      <c r="V22" s="287">
        <f ca="1"/>
        <v>8811287.900799999</v>
      </c>
      <c r="W22" s="288">
        <f ca="1"/>
        <v>450047.90874276601</v>
      </c>
      <c r="X22" s="288">
        <f ca="1"/>
        <v>236544.42377361111</v>
      </c>
      <c r="Y22" s="288">
        <f ca="1"/>
        <v>508150.67029407679</v>
      </c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2"/>
    </row>
    <row r="23" spans="2:41" x14ac:dyDescent="0.2">
      <c r="B23" s="281" t="str">
        <f ca="1"/>
        <v>Traditional Media</v>
      </c>
      <c r="D23" s="281" t="str">
        <f ca="1"/>
        <v>tv_pure_spend +L1</v>
      </c>
      <c r="F23" s="146"/>
      <c r="H23" s="319">
        <v>18</v>
      </c>
      <c r="I23" s="289">
        <f ca="1"/>
        <v>24820218.880741764</v>
      </c>
      <c r="J23" s="316">
        <f ca="1"/>
        <v>0</v>
      </c>
      <c r="K23" s="316">
        <f ca="1"/>
        <v>100159.82196539268</v>
      </c>
      <c r="M23" s="374">
        <f ca="1"/>
        <v>43591</v>
      </c>
      <c r="N23" s="282">
        <f ca="1"/>
        <v>25955030.73</v>
      </c>
      <c r="O23" s="325">
        <f ca="1"/>
        <v>0</v>
      </c>
      <c r="P23" s="287">
        <f ca="1"/>
        <v>0</v>
      </c>
      <c r="Q23" s="288"/>
      <c r="R23" s="288"/>
      <c r="S23" s="288"/>
      <c r="T23" s="325">
        <f ca="1"/>
        <v>0</v>
      </c>
      <c r="U23" s="327">
        <f ca="1"/>
        <v>100159.82196539268</v>
      </c>
      <c r="V23" s="287">
        <f ca="1"/>
        <v>22169625.829</v>
      </c>
      <c r="W23" s="288">
        <f ca="1"/>
        <v>1273185.762737745</v>
      </c>
      <c r="X23" s="288">
        <f ca="1"/>
        <v>994243.31172172027</v>
      </c>
      <c r="Y23" s="288">
        <f ca="1"/>
        <v>283004.15531690838</v>
      </c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2"/>
    </row>
    <row r="24" spans="2:41" x14ac:dyDescent="0.2">
      <c r="B24" s="281" t="str">
        <f ca="1"/>
        <v>Traditional Media</v>
      </c>
      <c r="D24" s="281" t="str">
        <f ca="1"/>
        <v>tv_coop_spend</v>
      </c>
      <c r="F24" s="146"/>
      <c r="H24" s="319">
        <v>19</v>
      </c>
      <c r="I24" s="289">
        <f ca="1"/>
        <v>8806138.8074397799</v>
      </c>
      <c r="J24" s="316">
        <f ca="1"/>
        <v>0</v>
      </c>
      <c r="K24" s="316">
        <f ca="1"/>
        <v>100159.82196539082</v>
      </c>
      <c r="M24" s="374">
        <f ca="1"/>
        <v>43598</v>
      </c>
      <c r="N24" s="282">
        <f ca="1"/>
        <v>9793229.7449999992</v>
      </c>
      <c r="O24" s="325">
        <f ca="1"/>
        <v>0</v>
      </c>
      <c r="P24" s="287">
        <f ca="1"/>
        <v>0</v>
      </c>
      <c r="Q24" s="288"/>
      <c r="R24" s="288"/>
      <c r="S24" s="288"/>
      <c r="T24" s="325">
        <f ca="1"/>
        <v>0</v>
      </c>
      <c r="U24" s="327">
        <f ca="1"/>
        <v>100159.82196539082</v>
      </c>
      <c r="V24" s="287">
        <f ca="1"/>
        <v>6500088.735799999</v>
      </c>
      <c r="W24" s="288">
        <f ca="1"/>
        <v>781440.37402003095</v>
      </c>
      <c r="X24" s="288">
        <f ca="1"/>
        <v>1156864.0113666393</v>
      </c>
      <c r="Y24" s="288">
        <f ca="1"/>
        <v>267585.86428771878</v>
      </c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2"/>
    </row>
    <row r="25" spans="2:41" x14ac:dyDescent="0.2">
      <c r="B25" s="281" t="str">
        <f ca="1"/>
        <v>Traditional Media</v>
      </c>
      <c r="D25" s="281" t="str">
        <f ca="1"/>
        <v>tv_coop_spend_after_2020-04-13</v>
      </c>
      <c r="F25" s="146"/>
      <c r="H25" s="319">
        <v>20</v>
      </c>
      <c r="I25" s="289">
        <f ca="1"/>
        <v>8314114.5264927819</v>
      </c>
      <c r="J25" s="316">
        <f ca="1"/>
        <v>0</v>
      </c>
      <c r="K25" s="316">
        <f ca="1"/>
        <v>100159.82196538989</v>
      </c>
      <c r="M25" s="374">
        <f ca="1"/>
        <v>43605</v>
      </c>
      <c r="N25" s="282">
        <f ca="1"/>
        <v>9953995.2880000006</v>
      </c>
      <c r="O25" s="325">
        <f ca="1"/>
        <v>0</v>
      </c>
      <c r="P25" s="287">
        <f ca="1"/>
        <v>0</v>
      </c>
      <c r="Q25" s="288"/>
      <c r="R25" s="288"/>
      <c r="S25" s="288"/>
      <c r="T25" s="325">
        <f ca="1"/>
        <v>0</v>
      </c>
      <c r="U25" s="327">
        <f ca="1"/>
        <v>100159.82196538989</v>
      </c>
      <c r="V25" s="287">
        <f ca="1"/>
        <v>6358660.1187999994</v>
      </c>
      <c r="W25" s="288">
        <f ca="1"/>
        <v>670168.46787300217</v>
      </c>
      <c r="X25" s="288">
        <f ca="1"/>
        <v>936966.18272772327</v>
      </c>
      <c r="Y25" s="288">
        <f ca="1"/>
        <v>248159.93512666668</v>
      </c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2"/>
    </row>
    <row r="26" spans="2:41" x14ac:dyDescent="0.2">
      <c r="B26" s="281" t="str">
        <f ca="1"/>
        <v>Traditional Media</v>
      </c>
      <c r="D26" s="281" t="str">
        <f ca="1"/>
        <v>print_pure_spend_before_2020-04-13</v>
      </c>
      <c r="F26" s="146"/>
      <c r="H26" s="319">
        <v>21</v>
      </c>
      <c r="I26" s="289">
        <f ca="1"/>
        <v>7657457.2995677656</v>
      </c>
      <c r="J26" s="316">
        <f ca="1"/>
        <v>0</v>
      </c>
      <c r="K26" s="316">
        <f ca="1"/>
        <v>100159.82196539175</v>
      </c>
      <c r="M26" s="374">
        <f ca="1"/>
        <v>43612</v>
      </c>
      <c r="N26" s="282">
        <f ca="1"/>
        <v>7779670.7589999996</v>
      </c>
      <c r="O26" s="325">
        <f ca="1"/>
        <v>0</v>
      </c>
      <c r="P26" s="287">
        <f ca="1"/>
        <v>0</v>
      </c>
      <c r="Q26" s="288"/>
      <c r="R26" s="288"/>
      <c r="S26" s="288"/>
      <c r="T26" s="325">
        <f ca="1"/>
        <v>0</v>
      </c>
      <c r="U26" s="327">
        <f ca="1"/>
        <v>100159.82196539175</v>
      </c>
      <c r="V26" s="287">
        <f ca="1"/>
        <v>5874930.699</v>
      </c>
      <c r="W26" s="288">
        <f ca="1"/>
        <v>1261723.1811400466</v>
      </c>
      <c r="X26" s="288">
        <f ca="1"/>
        <v>142089.65646338378</v>
      </c>
      <c r="Y26" s="288">
        <f ca="1"/>
        <v>278553.94099894335</v>
      </c>
      <c r="Z26" s="288"/>
      <c r="AA26" s="288"/>
      <c r="AB26" s="288"/>
      <c r="AC26" s="288"/>
      <c r="AD26" s="288"/>
      <c r="AE26" s="288"/>
      <c r="AF26" s="288"/>
      <c r="AG26" s="288"/>
      <c r="AH26" s="288"/>
      <c r="AI26" s="288"/>
      <c r="AJ26" s="288"/>
      <c r="AK26" s="288"/>
      <c r="AL26" s="288"/>
      <c r="AM26" s="288"/>
      <c r="AN26" s="288"/>
      <c r="AO26" s="282"/>
    </row>
    <row r="27" spans="2:41" x14ac:dyDescent="0.2">
      <c r="B27" s="281" t="str">
        <f ca="1"/>
        <v>Traditional Media</v>
      </c>
      <c r="D27" s="281" t="str">
        <f ca="1"/>
        <v>print_pure_spend_after_2020-04-13 +L1</v>
      </c>
      <c r="F27" s="146"/>
      <c r="H27" s="319">
        <v>22</v>
      </c>
      <c r="I27" s="289">
        <f ca="1"/>
        <v>7733081.3710952485</v>
      </c>
      <c r="J27" s="316">
        <f ca="1"/>
        <v>0</v>
      </c>
      <c r="K27" s="316">
        <f ca="1"/>
        <v>100159.82196539175</v>
      </c>
      <c r="M27" s="374">
        <f ca="1"/>
        <v>43619</v>
      </c>
      <c r="N27" s="282">
        <f ca="1"/>
        <v>9289882.693</v>
      </c>
      <c r="O27" s="325">
        <f ca="1"/>
        <v>0</v>
      </c>
      <c r="P27" s="287">
        <f ca="1"/>
        <v>0</v>
      </c>
      <c r="Q27" s="288"/>
      <c r="R27" s="288"/>
      <c r="S27" s="288"/>
      <c r="T27" s="325">
        <f ca="1"/>
        <v>0</v>
      </c>
      <c r="U27" s="327">
        <f ca="1"/>
        <v>100159.82196539175</v>
      </c>
      <c r="V27" s="287">
        <f ca="1"/>
        <v>6723154.9307999993</v>
      </c>
      <c r="W27" s="288">
        <f ca="1"/>
        <v>396977.25857337157</v>
      </c>
      <c r="X27" s="288">
        <f ca="1"/>
        <v>230409.97157014051</v>
      </c>
      <c r="Y27" s="288">
        <f ca="1"/>
        <v>282379.38818634453</v>
      </c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2"/>
    </row>
    <row r="28" spans="2:41" x14ac:dyDescent="0.2">
      <c r="B28" s="281" t="str">
        <f ca="1"/>
        <v>Traditional Media</v>
      </c>
      <c r="D28" s="281" t="str">
        <f ca="1"/>
        <v>print_coop_spend</v>
      </c>
      <c r="F28" s="146"/>
      <c r="H28" s="319">
        <v>23</v>
      </c>
      <c r="I28" s="289">
        <f ca="1"/>
        <v>8871545.2190345842</v>
      </c>
      <c r="J28" s="316">
        <f ca="1"/>
        <v>0</v>
      </c>
      <c r="K28" s="316">
        <f ca="1"/>
        <v>100159.82196539268</v>
      </c>
      <c r="M28" s="374">
        <f ca="1"/>
        <v>43626</v>
      </c>
      <c r="N28" s="282">
        <f ca="1"/>
        <v>7877616.6009999998</v>
      </c>
      <c r="O28" s="325">
        <f ca="1"/>
        <v>0</v>
      </c>
      <c r="P28" s="287">
        <f ca="1"/>
        <v>0</v>
      </c>
      <c r="Q28" s="288"/>
      <c r="R28" s="288"/>
      <c r="S28" s="288"/>
      <c r="T28" s="325">
        <f ca="1"/>
        <v>0</v>
      </c>
      <c r="U28" s="327">
        <f ca="1"/>
        <v>100159.82196539268</v>
      </c>
      <c r="V28" s="287">
        <f ca="1"/>
        <v>7277097.627799999</v>
      </c>
      <c r="W28" s="288">
        <f ca="1"/>
        <v>931212.17547852942</v>
      </c>
      <c r="X28" s="288">
        <f ca="1"/>
        <v>230409.68049129174</v>
      </c>
      <c r="Y28" s="288">
        <f ca="1"/>
        <v>332665.91329937329</v>
      </c>
      <c r="Z28" s="288"/>
      <c r="AA28" s="288"/>
      <c r="AB28" s="288"/>
      <c r="AC28" s="288"/>
      <c r="AD28" s="288"/>
      <c r="AE28" s="288"/>
      <c r="AF28" s="288"/>
      <c r="AG28" s="288"/>
      <c r="AH28" s="288"/>
      <c r="AI28" s="288"/>
      <c r="AJ28" s="288"/>
      <c r="AK28" s="288"/>
      <c r="AL28" s="288"/>
      <c r="AM28" s="288"/>
      <c r="AN28" s="288"/>
      <c r="AO28" s="282"/>
    </row>
    <row r="29" spans="2:41" x14ac:dyDescent="0.2">
      <c r="B29" s="281" t="str">
        <f ca="1"/>
        <v>Digital Media</v>
      </c>
      <c r="D29" s="281" t="str">
        <f ca="1"/>
        <v>google_brand_search_imp</v>
      </c>
      <c r="F29" s="146"/>
      <c r="H29" s="319">
        <v>24</v>
      </c>
      <c r="I29" s="289">
        <f ca="1"/>
        <v>7576127.669281764</v>
      </c>
      <c r="J29" s="316">
        <f ca="1"/>
        <v>0</v>
      </c>
      <c r="K29" s="316">
        <f ca="1"/>
        <v>100159.82196538989</v>
      </c>
      <c r="M29" s="374">
        <f ca="1"/>
        <v>43633</v>
      </c>
      <c r="N29" s="282">
        <f ca="1"/>
        <v>6779537.8909999998</v>
      </c>
      <c r="O29" s="325">
        <f ca="1"/>
        <v>0</v>
      </c>
      <c r="P29" s="287">
        <f ca="1"/>
        <v>0</v>
      </c>
      <c r="Q29" s="288"/>
      <c r="R29" s="288"/>
      <c r="S29" s="288"/>
      <c r="T29" s="325">
        <f ca="1"/>
        <v>0</v>
      </c>
      <c r="U29" s="327">
        <f ca="1"/>
        <v>100159.82196538989</v>
      </c>
      <c r="V29" s="287">
        <f ca="1"/>
        <v>6154522.0307999989</v>
      </c>
      <c r="W29" s="288">
        <f ca="1"/>
        <v>831039.79461074865</v>
      </c>
      <c r="X29" s="288">
        <f ca="1"/>
        <v>165299.90614716627</v>
      </c>
      <c r="Y29" s="288">
        <f ca="1"/>
        <v>325106.1157584599</v>
      </c>
      <c r="Z29" s="288"/>
      <c r="AA29" s="288"/>
      <c r="AB29" s="288"/>
      <c r="AC29" s="288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2"/>
    </row>
    <row r="30" spans="2:41" x14ac:dyDescent="0.2">
      <c r="B30" s="281" t="str">
        <f ca="1"/>
        <v>Digital Media</v>
      </c>
      <c r="D30" s="281" t="str">
        <f ca="1"/>
        <v>google_nonbrand_search_imp</v>
      </c>
      <c r="F30" s="146"/>
      <c r="H30" s="319">
        <v>25</v>
      </c>
      <c r="I30" s="289">
        <f ca="1"/>
        <v>7245142.545848378</v>
      </c>
      <c r="J30" s="316">
        <f ca="1"/>
        <v>0</v>
      </c>
      <c r="K30" s="316">
        <f ca="1"/>
        <v>100159.82196538989</v>
      </c>
      <c r="M30" s="374">
        <f ca="1"/>
        <v>43640</v>
      </c>
      <c r="N30" s="282">
        <f ca="1"/>
        <v>8152210.6619999995</v>
      </c>
      <c r="O30" s="325">
        <f ca="1"/>
        <v>0</v>
      </c>
      <c r="P30" s="287">
        <f ca="1"/>
        <v>0</v>
      </c>
      <c r="Q30" s="288"/>
      <c r="R30" s="288"/>
      <c r="S30" s="288"/>
      <c r="T30" s="325">
        <f ca="1"/>
        <v>0</v>
      </c>
      <c r="U30" s="327">
        <f ca="1"/>
        <v>100159.82196538989</v>
      </c>
      <c r="V30" s="287">
        <f ca="1"/>
        <v>6097746.534</v>
      </c>
      <c r="W30" s="288">
        <f ca="1"/>
        <v>729966.85475989664</v>
      </c>
      <c r="X30" s="288">
        <f ca="1"/>
        <v>2524.7427204262235</v>
      </c>
      <c r="Y30" s="288">
        <f ca="1"/>
        <v>314744.59240266588</v>
      </c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  <c r="AN30" s="288"/>
      <c r="AO30" s="282"/>
    </row>
    <row r="31" spans="2:41" x14ac:dyDescent="0.2">
      <c r="B31" s="281" t="str">
        <f ca="1"/>
        <v>Digital Media</v>
      </c>
      <c r="D31" s="281" t="str">
        <f ca="1"/>
        <v>bing_brand_search_clicks</v>
      </c>
      <c r="F31" s="146"/>
      <c r="H31" s="319">
        <v>26</v>
      </c>
      <c r="I31" s="289">
        <f ca="1"/>
        <v>6447376.7501151245</v>
      </c>
      <c r="J31" s="316">
        <f ca="1"/>
        <v>0</v>
      </c>
      <c r="K31" s="316">
        <f ca="1"/>
        <v>100159.82196539082</v>
      </c>
      <c r="M31" s="374">
        <f ca="1"/>
        <v>43647</v>
      </c>
      <c r="N31" s="282">
        <f ca="1"/>
        <v>6559549.4809999997</v>
      </c>
      <c r="O31" s="325">
        <f ca="1"/>
        <v>0</v>
      </c>
      <c r="P31" s="287">
        <f ca="1"/>
        <v>0</v>
      </c>
      <c r="Q31" s="288"/>
      <c r="R31" s="288"/>
      <c r="S31" s="288"/>
      <c r="T31" s="325">
        <f ca="1"/>
        <v>0</v>
      </c>
      <c r="U31" s="327">
        <f ca="1"/>
        <v>100159.82196539082</v>
      </c>
      <c r="V31" s="287">
        <f ca="1"/>
        <v>5503570.6549999993</v>
      </c>
      <c r="W31" s="288">
        <f ca="1"/>
        <v>437569.62786811276</v>
      </c>
      <c r="X31" s="288">
        <f ca="1"/>
        <v>115440.75959745432</v>
      </c>
      <c r="Y31" s="288">
        <f ca="1"/>
        <v>290635.8856841668</v>
      </c>
      <c r="Z31" s="288"/>
      <c r="AA31" s="288"/>
      <c r="AB31" s="288"/>
      <c r="AC31" s="288"/>
      <c r="AD31" s="288"/>
      <c r="AE31" s="288"/>
      <c r="AF31" s="288"/>
      <c r="AG31" s="288"/>
      <c r="AH31" s="288"/>
      <c r="AI31" s="288"/>
      <c r="AJ31" s="288"/>
      <c r="AK31" s="288"/>
      <c r="AL31" s="288"/>
      <c r="AM31" s="288"/>
      <c r="AN31" s="288"/>
      <c r="AO31" s="282"/>
    </row>
    <row r="32" spans="2:41" x14ac:dyDescent="0.2">
      <c r="B32" s="281" t="str">
        <f ca="1"/>
        <v>Digital Media</v>
      </c>
      <c r="D32" s="281" t="str">
        <f ca="1"/>
        <v>pinterest_awareness_imp</v>
      </c>
      <c r="F32" s="146"/>
      <c r="H32" s="319">
        <v>27</v>
      </c>
      <c r="I32" s="289">
        <f ca="1"/>
        <v>9817670.6281187385</v>
      </c>
      <c r="J32" s="316">
        <f ca="1"/>
        <v>0</v>
      </c>
      <c r="K32" s="316">
        <f ca="1"/>
        <v>100159.82196539454</v>
      </c>
      <c r="M32" s="374">
        <f ca="1"/>
        <v>43654</v>
      </c>
      <c r="N32" s="282">
        <f ca="1"/>
        <v>9809436.0380000006</v>
      </c>
      <c r="O32" s="325">
        <f ca="1"/>
        <v>0</v>
      </c>
      <c r="P32" s="287">
        <f ca="1"/>
        <v>0</v>
      </c>
      <c r="Q32" s="288"/>
      <c r="R32" s="288"/>
      <c r="S32" s="288"/>
      <c r="T32" s="325">
        <f ca="1"/>
        <v>0</v>
      </c>
      <c r="U32" s="327">
        <f ca="1"/>
        <v>100159.82196539454</v>
      </c>
      <c r="V32" s="287">
        <f ca="1"/>
        <v>8563758.3020911291</v>
      </c>
      <c r="W32" s="288">
        <f ca="1"/>
        <v>775159.00697091583</v>
      </c>
      <c r="X32" s="288">
        <f ca="1"/>
        <v>66571.499882154705</v>
      </c>
      <c r="Y32" s="288">
        <f ca="1"/>
        <v>312021.9972091447</v>
      </c>
      <c r="Z32" s="288"/>
      <c r="AA32" s="288"/>
      <c r="AB32" s="288"/>
      <c r="AC32" s="288"/>
      <c r="AD32" s="288"/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2"/>
    </row>
    <row r="33" spans="2:41" x14ac:dyDescent="0.2">
      <c r="B33" s="281" t="str">
        <f ca="1"/>
        <v>Digital Media</v>
      </c>
      <c r="D33" s="281" t="str">
        <f ca="1"/>
        <v>pinterest_conversion_imp</v>
      </c>
      <c r="F33" s="146"/>
      <c r="H33" s="319">
        <v>28</v>
      </c>
      <c r="I33" s="289">
        <f ca="1"/>
        <v>7493206.5892001959</v>
      </c>
      <c r="J33" s="316">
        <f ca="1"/>
        <v>0</v>
      </c>
      <c r="K33" s="316">
        <f ca="1"/>
        <v>100159.82196539082</v>
      </c>
      <c r="M33" s="374">
        <f ca="1"/>
        <v>43661</v>
      </c>
      <c r="N33" s="282">
        <f ca="1"/>
        <v>8647284.5350000001</v>
      </c>
      <c r="O33" s="325">
        <f ca="1"/>
        <v>0</v>
      </c>
      <c r="P33" s="287">
        <f ca="1"/>
        <v>0</v>
      </c>
      <c r="Q33" s="288"/>
      <c r="R33" s="288"/>
      <c r="S33" s="288"/>
      <c r="T33" s="325">
        <f ca="1"/>
        <v>0</v>
      </c>
      <c r="U33" s="327">
        <f ca="1"/>
        <v>100159.82196539082</v>
      </c>
      <c r="V33" s="287">
        <f ca="1"/>
        <v>6366056.6551999999</v>
      </c>
      <c r="W33" s="288">
        <f ca="1"/>
        <v>461428.25660221768</v>
      </c>
      <c r="X33" s="288">
        <f ca="1"/>
        <v>2524.7490881547119</v>
      </c>
      <c r="Y33" s="288">
        <f ca="1"/>
        <v>563037.10634443245</v>
      </c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282"/>
    </row>
    <row r="34" spans="2:41" x14ac:dyDescent="0.2">
      <c r="B34" s="281" t="str">
        <f ca="1"/>
        <v>Digital Media</v>
      </c>
      <c r="D34" s="281" t="str">
        <f ca="1"/>
        <v>snap_awareness_imp</v>
      </c>
      <c r="F34" s="147"/>
      <c r="H34" s="319">
        <v>29</v>
      </c>
      <c r="I34" s="289">
        <f ca="1"/>
        <v>7271449.863601598</v>
      </c>
      <c r="J34" s="316">
        <f ca="1"/>
        <v>0</v>
      </c>
      <c r="K34" s="316">
        <f ca="1"/>
        <v>100159.82196538989</v>
      </c>
      <c r="M34" s="374">
        <f ca="1"/>
        <v>43668</v>
      </c>
      <c r="N34" s="282">
        <f ca="1"/>
        <v>7670843.8949999996</v>
      </c>
      <c r="O34" s="325">
        <f ca="1"/>
        <v>0</v>
      </c>
      <c r="P34" s="287">
        <f ca="1"/>
        <v>0</v>
      </c>
      <c r="Q34" s="288"/>
      <c r="R34" s="288"/>
      <c r="S34" s="288"/>
      <c r="T34" s="325">
        <f ca="1"/>
        <v>0</v>
      </c>
      <c r="U34" s="327">
        <f ca="1"/>
        <v>100159.82196538989</v>
      </c>
      <c r="V34" s="287">
        <f ca="1"/>
        <v>6176321.8175999997</v>
      </c>
      <c r="W34" s="288">
        <f ca="1"/>
        <v>445407.99875798333</v>
      </c>
      <c r="X34" s="288">
        <f ca="1"/>
        <v>30039.774691154715</v>
      </c>
      <c r="Y34" s="288">
        <f ca="1"/>
        <v>519520.45058706927</v>
      </c>
      <c r="Z34" s="288"/>
      <c r="AA34" s="288"/>
      <c r="AB34" s="288"/>
      <c r="AC34" s="288"/>
      <c r="AD34" s="288"/>
      <c r="AE34" s="288"/>
      <c r="AF34" s="288"/>
      <c r="AG34" s="288"/>
      <c r="AH34" s="288"/>
      <c r="AI34" s="288"/>
      <c r="AJ34" s="288"/>
      <c r="AK34" s="288"/>
      <c r="AL34" s="288"/>
      <c r="AM34" s="288"/>
      <c r="AN34" s="288"/>
      <c r="AO34" s="282"/>
    </row>
    <row r="35" spans="2:41" x14ac:dyDescent="0.2">
      <c r="B35" s="281" t="str">
        <f ca="1"/>
        <v>Digital Media</v>
      </c>
      <c r="D35" s="281" t="str">
        <f ca="1"/>
        <v>snap_conversion_imp</v>
      </c>
      <c r="H35" s="319">
        <v>30</v>
      </c>
      <c r="I35" s="289">
        <f ca="1"/>
        <v>7952909.6802862072</v>
      </c>
      <c r="J35" s="316">
        <f ca="1"/>
        <v>0</v>
      </c>
      <c r="K35" s="316">
        <f ca="1"/>
        <v>100159.82196538989</v>
      </c>
      <c r="M35" s="374">
        <f ca="1"/>
        <v>43675</v>
      </c>
      <c r="N35" s="282">
        <f ca="1"/>
        <v>7169139.9129999997</v>
      </c>
      <c r="O35" s="325">
        <f ca="1"/>
        <v>0</v>
      </c>
      <c r="P35" s="287">
        <f ca="1"/>
        <v>0</v>
      </c>
      <c r="Q35" s="288"/>
      <c r="R35" s="288"/>
      <c r="S35" s="288"/>
      <c r="T35" s="325">
        <f ca="1"/>
        <v>0</v>
      </c>
      <c r="U35" s="327">
        <f ca="1"/>
        <v>100159.82196538989</v>
      </c>
      <c r="V35" s="287">
        <f ca="1"/>
        <v>6396540.3149999995</v>
      </c>
      <c r="W35" s="288">
        <f ca="1"/>
        <v>447383.86447214277</v>
      </c>
      <c r="X35" s="288">
        <f ca="1"/>
        <v>131442.4805892772</v>
      </c>
      <c r="Y35" s="288">
        <f ca="1"/>
        <v>877383.19825939822</v>
      </c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2"/>
    </row>
    <row r="36" spans="2:41" x14ac:dyDescent="0.2">
      <c r="B36" s="281" t="str">
        <f ca="1"/>
        <v>Digital Media</v>
      </c>
      <c r="D36" s="281" t="str">
        <f ca="1"/>
        <v>google_video_imp</v>
      </c>
      <c r="H36" s="319">
        <v>31</v>
      </c>
      <c r="I36" s="289">
        <f ca="1"/>
        <v>15375528.324779663</v>
      </c>
      <c r="J36" s="316">
        <f ca="1"/>
        <v>0</v>
      </c>
      <c r="K36" s="316">
        <f ca="1"/>
        <v>100159.82196539454</v>
      </c>
      <c r="M36" s="374">
        <f ca="1"/>
        <v>43682</v>
      </c>
      <c r="N36" s="282">
        <f ca="1"/>
        <v>16286039.140000001</v>
      </c>
      <c r="O36" s="325">
        <f ca="1"/>
        <v>0</v>
      </c>
      <c r="P36" s="287">
        <f ca="1"/>
        <v>0</v>
      </c>
      <c r="Q36" s="288"/>
      <c r="R36" s="288"/>
      <c r="S36" s="288"/>
      <c r="T36" s="325">
        <f ca="1"/>
        <v>0</v>
      </c>
      <c r="U36" s="327">
        <f ca="1"/>
        <v>100159.82196539454</v>
      </c>
      <c r="V36" s="287">
        <f ca="1"/>
        <v>6535250.7747999988</v>
      </c>
      <c r="W36" s="288">
        <f ca="1"/>
        <v>6544022.3136286307</v>
      </c>
      <c r="X36" s="288">
        <f ca="1"/>
        <v>1113619.2171864016</v>
      </c>
      <c r="Y36" s="288">
        <f ca="1"/>
        <v>1082476.197199238</v>
      </c>
      <c r="Z36" s="288"/>
      <c r="AA36" s="288"/>
      <c r="AB36" s="288"/>
      <c r="AC36" s="288"/>
      <c r="AD36" s="288"/>
      <c r="AE36" s="288"/>
      <c r="AF36" s="288"/>
      <c r="AG36" s="288"/>
      <c r="AH36" s="288"/>
      <c r="AI36" s="288"/>
      <c r="AJ36" s="288"/>
      <c r="AK36" s="288"/>
      <c r="AL36" s="288"/>
      <c r="AM36" s="288"/>
      <c r="AN36" s="288"/>
      <c r="AO36" s="282"/>
    </row>
    <row r="37" spans="2:41" x14ac:dyDescent="0.2">
      <c r="B37" s="281" t="str">
        <f ca="1"/>
        <v>Digital Media</v>
      </c>
      <c r="D37" s="281" t="str">
        <f ca="1"/>
        <v>youtube_video_imp</v>
      </c>
      <c r="F37" s="148">
        <f>COUNTA($F$39:$F$42)</f>
        <v>1</v>
      </c>
      <c r="H37" s="319">
        <v>32</v>
      </c>
      <c r="I37" s="289">
        <f ca="1"/>
        <v>8958124.3014601171</v>
      </c>
      <c r="J37" s="316">
        <f ca="1"/>
        <v>0</v>
      </c>
      <c r="K37" s="316">
        <f ca="1"/>
        <v>100159.82196539082</v>
      </c>
      <c r="M37" s="374">
        <f ca="1"/>
        <v>43689</v>
      </c>
      <c r="N37" s="282">
        <f ca="1"/>
        <v>9260269.5020000003</v>
      </c>
      <c r="O37" s="325">
        <f ca="1"/>
        <v>0</v>
      </c>
      <c r="P37" s="287">
        <f ca="1"/>
        <v>0</v>
      </c>
      <c r="Q37" s="288"/>
      <c r="R37" s="288"/>
      <c r="S37" s="288"/>
      <c r="T37" s="325">
        <f ca="1"/>
        <v>0</v>
      </c>
      <c r="U37" s="327">
        <f ca="1"/>
        <v>100159.82196539082</v>
      </c>
      <c r="V37" s="287">
        <f ca="1"/>
        <v>5968985.2926000003</v>
      </c>
      <c r="W37" s="288">
        <f ca="1"/>
        <v>822729.73522291577</v>
      </c>
      <c r="X37" s="288">
        <f ca="1"/>
        <v>845437.18886887492</v>
      </c>
      <c r="Y37" s="288">
        <f ca="1"/>
        <v>1220812.2628029359</v>
      </c>
      <c r="Z37" s="288"/>
      <c r="AA37" s="288"/>
      <c r="AB37" s="288"/>
      <c r="AC37" s="288"/>
      <c r="AD37" s="288"/>
      <c r="AE37" s="288"/>
      <c r="AF37" s="288"/>
      <c r="AG37" s="288"/>
      <c r="AH37" s="288"/>
      <c r="AI37" s="288"/>
      <c r="AJ37" s="288"/>
      <c r="AK37" s="288"/>
      <c r="AL37" s="288"/>
      <c r="AM37" s="288"/>
      <c r="AN37" s="288"/>
      <c r="AO37" s="282"/>
    </row>
    <row r="38" spans="2:41" x14ac:dyDescent="0.2">
      <c r="B38" s="281" t="str">
        <f ca="1"/>
        <v>Digital Media</v>
      </c>
      <c r="D38" s="281" t="str">
        <f ca="1"/>
        <v>nongoogle_video_spend</v>
      </c>
      <c r="F38" s="10" t="s">
        <v>78</v>
      </c>
      <c r="H38" s="319">
        <v>33</v>
      </c>
      <c r="I38" s="289">
        <f ca="1"/>
        <v>10843317.17014616</v>
      </c>
      <c r="J38" s="316">
        <f ca="1"/>
        <v>0</v>
      </c>
      <c r="K38" s="316">
        <f ca="1"/>
        <v>100159.82196539082</v>
      </c>
      <c r="M38" s="374">
        <f ca="1"/>
        <v>43696</v>
      </c>
      <c r="N38" s="282">
        <f ca="1"/>
        <v>8989828.5419999994</v>
      </c>
      <c r="O38" s="325">
        <f ca="1"/>
        <v>0</v>
      </c>
      <c r="P38" s="287">
        <f ca="1"/>
        <v>0</v>
      </c>
      <c r="Q38" s="288"/>
      <c r="R38" s="288"/>
      <c r="S38" s="288"/>
      <c r="T38" s="325">
        <f ca="1"/>
        <v>0</v>
      </c>
      <c r="U38" s="327">
        <f ca="1"/>
        <v>100159.82196539082</v>
      </c>
      <c r="V38" s="287">
        <f ca="1"/>
        <v>7745044.0099999998</v>
      </c>
      <c r="W38" s="288">
        <f ca="1"/>
        <v>561771.45435398666</v>
      </c>
      <c r="X38" s="288">
        <f ca="1"/>
        <v>1089526.2895499424</v>
      </c>
      <c r="Y38" s="288">
        <f ca="1"/>
        <v>1346815.5942768401</v>
      </c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2"/>
    </row>
    <row r="39" spans="2:41" x14ac:dyDescent="0.2">
      <c r="B39" s="281" t="str">
        <f ca="1"/>
        <v>Digital Media</v>
      </c>
      <c r="D39" s="281" t="str">
        <f ca="1"/>
        <v>google_display_imp</v>
      </c>
      <c r="F39" s="145" t="s">
        <v>179</v>
      </c>
      <c r="H39" s="319">
        <v>34</v>
      </c>
      <c r="I39" s="289">
        <f ca="1"/>
        <v>10841299.967122471</v>
      </c>
      <c r="J39" s="316">
        <f ca="1"/>
        <v>0</v>
      </c>
      <c r="K39" s="316">
        <f ca="1"/>
        <v>100159.82196539454</v>
      </c>
      <c r="M39" s="374">
        <f ca="1"/>
        <v>43703</v>
      </c>
      <c r="N39" s="282">
        <f ca="1"/>
        <v>11458412.84</v>
      </c>
      <c r="O39" s="325">
        <f ca="1"/>
        <v>0</v>
      </c>
      <c r="P39" s="287">
        <f ca="1"/>
        <v>0</v>
      </c>
      <c r="Q39" s="288"/>
      <c r="R39" s="288"/>
      <c r="S39" s="288"/>
      <c r="T39" s="325">
        <f ca="1"/>
        <v>0</v>
      </c>
      <c r="U39" s="327">
        <f ca="1"/>
        <v>100159.82196539454</v>
      </c>
      <c r="V39" s="287">
        <f ca="1"/>
        <v>7905234.2511999998</v>
      </c>
      <c r="W39" s="288">
        <f ca="1"/>
        <v>1217231.4546782319</v>
      </c>
      <c r="X39" s="288">
        <f ca="1"/>
        <v>211210.74549575982</v>
      </c>
      <c r="Y39" s="288">
        <f ca="1"/>
        <v>1407463.6937830865</v>
      </c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2"/>
    </row>
    <row r="40" spans="2:41" x14ac:dyDescent="0.2">
      <c r="B40" s="281" t="str">
        <f ca="1"/>
        <v>Digital Media</v>
      </c>
      <c r="D40" s="281" t="str">
        <f ca="1"/>
        <v>nongoogle_display_spend</v>
      </c>
      <c r="F40" s="146"/>
      <c r="H40" s="319">
        <v>35</v>
      </c>
      <c r="I40" s="289">
        <f ca="1"/>
        <v>8917034.6319649406</v>
      </c>
      <c r="J40" s="316">
        <f ca="1"/>
        <v>0</v>
      </c>
      <c r="K40" s="316">
        <f ca="1"/>
        <v>100159.82196539082</v>
      </c>
      <c r="M40" s="374">
        <f ca="1"/>
        <v>43710</v>
      </c>
      <c r="N40" s="282">
        <f ca="1"/>
        <v>8988057.9379999992</v>
      </c>
      <c r="O40" s="325">
        <f ca="1"/>
        <v>0</v>
      </c>
      <c r="P40" s="287">
        <f ca="1"/>
        <v>0</v>
      </c>
      <c r="Q40" s="288"/>
      <c r="R40" s="288"/>
      <c r="S40" s="288"/>
      <c r="T40" s="325">
        <f ca="1"/>
        <v>0</v>
      </c>
      <c r="U40" s="327">
        <f ca="1"/>
        <v>100159.82196539082</v>
      </c>
      <c r="V40" s="287">
        <f ca="1"/>
        <v>6084629.4432000006</v>
      </c>
      <c r="W40" s="288">
        <f ca="1"/>
        <v>428164.84101600072</v>
      </c>
      <c r="X40" s="288">
        <f ca="1"/>
        <v>759086.06287033006</v>
      </c>
      <c r="Y40" s="288">
        <f ca="1"/>
        <v>1544994.4629132187</v>
      </c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2"/>
    </row>
    <row r="41" spans="2:41" x14ac:dyDescent="0.2">
      <c r="F41" s="146"/>
      <c r="H41" s="319">
        <v>36</v>
      </c>
      <c r="I41" s="289">
        <f ca="1"/>
        <v>9725309.0656938311</v>
      </c>
      <c r="J41" s="316">
        <f ca="1"/>
        <v>0</v>
      </c>
      <c r="K41" s="316">
        <f ca="1"/>
        <v>100159.82196539082</v>
      </c>
      <c r="M41" s="374">
        <f ca="1"/>
        <v>43717</v>
      </c>
      <c r="N41" s="282">
        <f ca="1"/>
        <v>9665573.1909999996</v>
      </c>
      <c r="O41" s="325">
        <f ca="1"/>
        <v>0</v>
      </c>
      <c r="P41" s="287">
        <f ca="1"/>
        <v>0</v>
      </c>
      <c r="Q41" s="288"/>
      <c r="R41" s="288"/>
      <c r="S41" s="288"/>
      <c r="T41" s="325">
        <f ca="1"/>
        <v>0</v>
      </c>
      <c r="U41" s="327">
        <f ca="1"/>
        <v>100159.82196539082</v>
      </c>
      <c r="V41" s="287">
        <f ca="1"/>
        <v>6611878.1563999997</v>
      </c>
      <c r="W41" s="288">
        <f ca="1"/>
        <v>395770.84533951327</v>
      </c>
      <c r="X41" s="288">
        <f ca="1"/>
        <v>878719.94423850521</v>
      </c>
      <c r="Y41" s="288">
        <f ca="1"/>
        <v>1738780.2977504218</v>
      </c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288"/>
      <c r="AL41" s="288"/>
      <c r="AM41" s="288"/>
      <c r="AN41" s="288"/>
      <c r="AO41" s="282"/>
    </row>
    <row r="42" spans="2:41" x14ac:dyDescent="0.2">
      <c r="F42" s="147"/>
      <c r="H42" s="319">
        <v>37</v>
      </c>
      <c r="I42" s="289">
        <f ca="1"/>
        <v>10033215.261337308</v>
      </c>
      <c r="J42" s="316">
        <f ca="1"/>
        <v>0</v>
      </c>
      <c r="K42" s="316">
        <f ca="1"/>
        <v>100159.82196539268</v>
      </c>
      <c r="M42" s="374">
        <f ca="1"/>
        <v>43724</v>
      </c>
      <c r="N42" s="282">
        <f ca="1"/>
        <v>9216226.3289999999</v>
      </c>
      <c r="O42" s="325">
        <f ca="1"/>
        <v>0</v>
      </c>
      <c r="P42" s="287">
        <f ca="1"/>
        <v>0</v>
      </c>
      <c r="Q42" s="288"/>
      <c r="R42" s="288"/>
      <c r="S42" s="288"/>
      <c r="T42" s="325">
        <f ca="1"/>
        <v>0</v>
      </c>
      <c r="U42" s="327">
        <f ca="1"/>
        <v>100159.82196539268</v>
      </c>
      <c r="V42" s="287">
        <f ca="1"/>
        <v>6945501.7675999999</v>
      </c>
      <c r="W42" s="288">
        <f ca="1"/>
        <v>634123.05503340159</v>
      </c>
      <c r="X42" s="288">
        <f ca="1"/>
        <v>660197.95347693993</v>
      </c>
      <c r="Y42" s="288">
        <f ca="1"/>
        <v>1693232.6632615738</v>
      </c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288"/>
      <c r="AL42" s="288"/>
      <c r="AM42" s="288"/>
      <c r="AN42" s="288"/>
      <c r="AO42" s="282"/>
    </row>
    <row r="43" spans="2:41" x14ac:dyDescent="0.2">
      <c r="H43" s="319">
        <v>38</v>
      </c>
      <c r="I43" s="289">
        <f ca="1"/>
        <v>9814554.0243380964</v>
      </c>
      <c r="J43" s="316">
        <f ca="1"/>
        <v>0</v>
      </c>
      <c r="K43" s="316">
        <f ca="1"/>
        <v>100159.82196539082</v>
      </c>
      <c r="M43" s="374">
        <f ca="1"/>
        <v>43731</v>
      </c>
      <c r="N43" s="282">
        <f ca="1"/>
        <v>7296708.9639999997</v>
      </c>
      <c r="O43" s="325">
        <f ca="1"/>
        <v>0</v>
      </c>
      <c r="P43" s="287">
        <f ca="1"/>
        <v>0</v>
      </c>
      <c r="Q43" s="288"/>
      <c r="R43" s="288"/>
      <c r="S43" s="288"/>
      <c r="T43" s="325">
        <f ca="1"/>
        <v>0</v>
      </c>
      <c r="U43" s="327">
        <f ca="1"/>
        <v>100159.82196539082</v>
      </c>
      <c r="V43" s="287">
        <f ca="1"/>
        <v>6981180.7801999999</v>
      </c>
      <c r="W43" s="288">
        <f ca="1"/>
        <v>554443.98694209079</v>
      </c>
      <c r="X43" s="288">
        <f ca="1"/>
        <v>582369.27878284885</v>
      </c>
      <c r="Y43" s="288">
        <f ca="1"/>
        <v>1596400.156447765</v>
      </c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2"/>
    </row>
    <row r="44" spans="2:41" x14ac:dyDescent="0.2">
      <c r="H44" s="319">
        <v>39</v>
      </c>
      <c r="I44" s="289">
        <f ca="1"/>
        <v>9014035.2893809862</v>
      </c>
      <c r="J44" s="316">
        <f ca="1"/>
        <v>0</v>
      </c>
      <c r="K44" s="316">
        <f ca="1"/>
        <v>100159.82196539268</v>
      </c>
      <c r="M44" s="374">
        <f ca="1"/>
        <v>43738</v>
      </c>
      <c r="N44" s="282">
        <f ca="1"/>
        <v>10761945.16</v>
      </c>
      <c r="O44" s="325">
        <f ca="1"/>
        <v>0</v>
      </c>
      <c r="P44" s="287">
        <f ca="1"/>
        <v>0</v>
      </c>
      <c r="Q44" s="288"/>
      <c r="R44" s="288"/>
      <c r="S44" s="288"/>
      <c r="T44" s="325">
        <f ca="1"/>
        <v>0</v>
      </c>
      <c r="U44" s="327">
        <f ca="1"/>
        <v>100159.82196539268</v>
      </c>
      <c r="V44" s="287">
        <f ca="1"/>
        <v>6330240.3669999996</v>
      </c>
      <c r="W44" s="288">
        <f ca="1"/>
        <v>947400.38223676488</v>
      </c>
      <c r="X44" s="288">
        <f ca="1"/>
        <v>340515.52403207944</v>
      </c>
      <c r="Y44" s="288">
        <f ca="1"/>
        <v>1295719.1941467505</v>
      </c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288"/>
      <c r="AL44" s="288"/>
      <c r="AM44" s="288"/>
      <c r="AN44" s="288"/>
      <c r="AO44" s="282"/>
    </row>
    <row r="45" spans="2:41" x14ac:dyDescent="0.2">
      <c r="H45" s="319">
        <v>40</v>
      </c>
      <c r="I45" s="289">
        <f ca="1"/>
        <v>9922121.0614886303</v>
      </c>
      <c r="J45" s="316">
        <f ca="1"/>
        <v>0</v>
      </c>
      <c r="K45" s="316">
        <f ca="1"/>
        <v>100159.82196539268</v>
      </c>
      <c r="M45" s="374">
        <f ca="1"/>
        <v>43745</v>
      </c>
      <c r="N45" s="282">
        <f ca="1"/>
        <v>10128820.43</v>
      </c>
      <c r="O45" s="325">
        <f ca="1"/>
        <v>0</v>
      </c>
      <c r="P45" s="287">
        <f ca="1"/>
        <v>0</v>
      </c>
      <c r="Q45" s="288"/>
      <c r="R45" s="288"/>
      <c r="S45" s="288"/>
      <c r="T45" s="325">
        <f ca="1"/>
        <v>0</v>
      </c>
      <c r="U45" s="327">
        <f ca="1"/>
        <v>100159.82196539268</v>
      </c>
      <c r="V45" s="287">
        <f ca="1"/>
        <v>6356535.6206</v>
      </c>
      <c r="W45" s="288">
        <f ca="1"/>
        <v>1345260.4908627726</v>
      </c>
      <c r="X45" s="288">
        <f ca="1"/>
        <v>953303.33615655941</v>
      </c>
      <c r="Y45" s="288">
        <f ca="1"/>
        <v>1166861.7919039063</v>
      </c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2"/>
    </row>
    <row r="46" spans="2:41" x14ac:dyDescent="0.2">
      <c r="H46" s="319">
        <v>41</v>
      </c>
      <c r="I46" s="289">
        <f ca="1"/>
        <v>9277789.3424933348</v>
      </c>
      <c r="J46" s="316">
        <f ca="1"/>
        <v>0</v>
      </c>
      <c r="K46" s="316">
        <f ca="1"/>
        <v>100159.82196539082</v>
      </c>
      <c r="M46" s="374">
        <f ca="1"/>
        <v>43752</v>
      </c>
      <c r="N46" s="282">
        <f ca="1"/>
        <v>10579812.07</v>
      </c>
      <c r="O46" s="325">
        <f ca="1"/>
        <v>0</v>
      </c>
      <c r="P46" s="287">
        <f ca="1"/>
        <v>0</v>
      </c>
      <c r="Q46" s="288"/>
      <c r="R46" s="288"/>
      <c r="S46" s="288"/>
      <c r="T46" s="325">
        <f ca="1"/>
        <v>0</v>
      </c>
      <c r="U46" s="327">
        <f ca="1"/>
        <v>100159.82196539082</v>
      </c>
      <c r="V46" s="287">
        <f ca="1"/>
        <v>6648607.0772000002</v>
      </c>
      <c r="W46" s="288">
        <f ca="1"/>
        <v>785068.11156890704</v>
      </c>
      <c r="X46" s="288">
        <f ca="1"/>
        <v>655802.08868449251</v>
      </c>
      <c r="Y46" s="288">
        <f ca="1"/>
        <v>1088152.2430745445</v>
      </c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288"/>
      <c r="AL46" s="288"/>
      <c r="AM46" s="288"/>
      <c r="AN46" s="288"/>
      <c r="AO46" s="282"/>
    </row>
    <row r="47" spans="2:41" x14ac:dyDescent="0.2">
      <c r="H47" s="319">
        <v>42</v>
      </c>
      <c r="I47" s="289">
        <f ca="1"/>
        <v>9206309.0898901336</v>
      </c>
      <c r="J47" s="316">
        <f ca="1"/>
        <v>0</v>
      </c>
      <c r="K47" s="316">
        <f ca="1"/>
        <v>100159.82196539082</v>
      </c>
      <c r="M47" s="374">
        <f ca="1"/>
        <v>43759</v>
      </c>
      <c r="N47" s="282">
        <f ca="1"/>
        <v>9540770.0470000003</v>
      </c>
      <c r="O47" s="325">
        <f ca="1"/>
        <v>0</v>
      </c>
      <c r="P47" s="287">
        <f ca="1"/>
        <v>0</v>
      </c>
      <c r="Q47" s="288"/>
      <c r="R47" s="288"/>
      <c r="S47" s="288"/>
      <c r="T47" s="325">
        <f ca="1"/>
        <v>0</v>
      </c>
      <c r="U47" s="327">
        <f ca="1"/>
        <v>100159.82196539082</v>
      </c>
      <c r="V47" s="287">
        <f ca="1"/>
        <v>6963961.3912000004</v>
      </c>
      <c r="W47" s="288">
        <f ca="1"/>
        <v>393144.03600006818</v>
      </c>
      <c r="X47" s="288">
        <f ca="1"/>
        <v>396119.66360960423</v>
      </c>
      <c r="Y47" s="288">
        <f ca="1"/>
        <v>1352924.1771150697</v>
      </c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2"/>
    </row>
    <row r="48" spans="2:41" x14ac:dyDescent="0.2">
      <c r="H48" s="319">
        <v>43</v>
      </c>
      <c r="I48" s="289">
        <f ca="1"/>
        <v>8591645.9094600156</v>
      </c>
      <c r="J48" s="316">
        <f ca="1"/>
        <v>0</v>
      </c>
      <c r="K48" s="316">
        <f ca="1"/>
        <v>100159.82196539082</v>
      </c>
      <c r="M48" s="374">
        <f ca="1"/>
        <v>43766</v>
      </c>
      <c r="N48" s="282">
        <f ca="1"/>
        <v>7647281.8370000003</v>
      </c>
      <c r="O48" s="325">
        <f ca="1"/>
        <v>0</v>
      </c>
      <c r="P48" s="287">
        <f ca="1"/>
        <v>0</v>
      </c>
      <c r="Q48" s="288"/>
      <c r="R48" s="288"/>
      <c r="S48" s="288"/>
      <c r="T48" s="325">
        <f ca="1"/>
        <v>0</v>
      </c>
      <c r="U48" s="327">
        <f ca="1"/>
        <v>100159.82196539082</v>
      </c>
      <c r="V48" s="287">
        <f ca="1"/>
        <v>6897047.4056000002</v>
      </c>
      <c r="W48" s="288">
        <f ca="1"/>
        <v>197750.72344536474</v>
      </c>
      <c r="X48" s="288">
        <f ca="1"/>
        <v>56262.118078062398</v>
      </c>
      <c r="Y48" s="288">
        <f ca="1"/>
        <v>1340425.8403711976</v>
      </c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2"/>
    </row>
    <row r="49" spans="8:41" x14ac:dyDescent="0.2">
      <c r="H49" s="319">
        <v>44</v>
      </c>
      <c r="I49" s="289">
        <f ca="1"/>
        <v>13192072.287721796</v>
      </c>
      <c r="J49" s="316">
        <f ca="1"/>
        <v>0</v>
      </c>
      <c r="K49" s="316">
        <f ca="1"/>
        <v>100159.82196539268</v>
      </c>
      <c r="M49" s="374">
        <f ca="1"/>
        <v>43773</v>
      </c>
      <c r="N49" s="282">
        <f ca="1"/>
        <v>14800451.35</v>
      </c>
      <c r="O49" s="325">
        <f ca="1"/>
        <v>0</v>
      </c>
      <c r="P49" s="287">
        <f ca="1"/>
        <v>0</v>
      </c>
      <c r="Q49" s="288"/>
      <c r="R49" s="288"/>
      <c r="S49" s="288"/>
      <c r="T49" s="325">
        <f ca="1"/>
        <v>0</v>
      </c>
      <c r="U49" s="327">
        <f ca="1"/>
        <v>100159.82196539268</v>
      </c>
      <c r="V49" s="287">
        <f ca="1"/>
        <v>9502697.7517999988</v>
      </c>
      <c r="W49" s="288">
        <f ca="1"/>
        <v>224248.28004109269</v>
      </c>
      <c r="X49" s="288">
        <f ca="1"/>
        <v>2010032.7349093964</v>
      </c>
      <c r="Y49" s="288">
        <f ca="1"/>
        <v>1354933.6990059142</v>
      </c>
      <c r="Z49" s="288"/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288"/>
      <c r="AO49" s="282"/>
    </row>
    <row r="50" spans="8:41" x14ac:dyDescent="0.2">
      <c r="H50" s="319">
        <v>45</v>
      </c>
      <c r="I50" s="289">
        <f ca="1"/>
        <v>12846228.701920027</v>
      </c>
      <c r="J50" s="316">
        <f ca="1"/>
        <v>0</v>
      </c>
      <c r="K50" s="316">
        <f ca="1"/>
        <v>100159.82196539454</v>
      </c>
      <c r="M50" s="374">
        <f ca="1"/>
        <v>43780</v>
      </c>
      <c r="N50" s="282">
        <f ca="1"/>
        <v>11785160.34</v>
      </c>
      <c r="O50" s="325">
        <f ca="1"/>
        <v>0</v>
      </c>
      <c r="P50" s="287">
        <f ca="1"/>
        <v>0</v>
      </c>
      <c r="Q50" s="288"/>
      <c r="R50" s="288"/>
      <c r="S50" s="288"/>
      <c r="T50" s="325">
        <f ca="1"/>
        <v>0</v>
      </c>
      <c r="U50" s="327">
        <f ca="1"/>
        <v>100159.82196539454</v>
      </c>
      <c r="V50" s="287">
        <f ca="1"/>
        <v>8949752.7481999993</v>
      </c>
      <c r="W50" s="288">
        <f ca="1"/>
        <v>270089.11883716367</v>
      </c>
      <c r="X50" s="288">
        <f ca="1"/>
        <v>2055818.1056418491</v>
      </c>
      <c r="Y50" s="288">
        <f ca="1"/>
        <v>1470408.9072756206</v>
      </c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2"/>
    </row>
    <row r="51" spans="8:41" x14ac:dyDescent="0.2">
      <c r="H51" s="319">
        <v>46</v>
      </c>
      <c r="I51" s="289">
        <f ca="1"/>
        <v>12274558.085785698</v>
      </c>
      <c r="J51" s="316">
        <f ca="1"/>
        <v>0</v>
      </c>
      <c r="K51" s="316">
        <f ca="1"/>
        <v>100159.82196539268</v>
      </c>
      <c r="M51" s="374">
        <f ca="1"/>
        <v>43787</v>
      </c>
      <c r="N51" s="282">
        <f ca="1"/>
        <v>10627951.74</v>
      </c>
      <c r="O51" s="325">
        <f ca="1"/>
        <v>0</v>
      </c>
      <c r="P51" s="287">
        <f ca="1"/>
        <v>0</v>
      </c>
      <c r="Q51" s="288"/>
      <c r="R51" s="288"/>
      <c r="S51" s="288"/>
      <c r="T51" s="325">
        <f ca="1"/>
        <v>0</v>
      </c>
      <c r="U51" s="327">
        <f ca="1"/>
        <v>100159.82196539268</v>
      </c>
      <c r="V51" s="287">
        <f ca="1"/>
        <v>7075328.5855999999</v>
      </c>
      <c r="W51" s="288">
        <f ca="1"/>
        <v>1356407.6887989789</v>
      </c>
      <c r="X51" s="288">
        <f ca="1"/>
        <v>2185003.1205550102</v>
      </c>
      <c r="Y51" s="288">
        <f ca="1"/>
        <v>1557658.8688663174</v>
      </c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288"/>
      <c r="AM51" s="288"/>
      <c r="AN51" s="288"/>
      <c r="AO51" s="282"/>
    </row>
    <row r="52" spans="8:41" x14ac:dyDescent="0.2">
      <c r="H52" s="319">
        <v>47</v>
      </c>
      <c r="I52" s="289">
        <f ca="1"/>
        <v>17292069.751167182</v>
      </c>
      <c r="J52" s="316">
        <f ca="1"/>
        <v>0</v>
      </c>
      <c r="K52" s="316">
        <f ca="1"/>
        <v>100159.82196538895</v>
      </c>
      <c r="M52" s="374">
        <f ca="1"/>
        <v>43794</v>
      </c>
      <c r="N52" s="282">
        <f ca="1"/>
        <v>17191909.940000001</v>
      </c>
      <c r="O52" s="325">
        <f ca="1"/>
        <v>0</v>
      </c>
      <c r="P52" s="287">
        <f ca="1"/>
        <v>0</v>
      </c>
      <c r="Q52" s="288"/>
      <c r="R52" s="288"/>
      <c r="S52" s="288"/>
      <c r="T52" s="325">
        <f ca="1"/>
        <v>0</v>
      </c>
      <c r="U52" s="327">
        <f ca="1"/>
        <v>100159.82196538895</v>
      </c>
      <c r="V52" s="287">
        <f ca="1"/>
        <v>15080867.064574318</v>
      </c>
      <c r="W52" s="288">
        <f ca="1"/>
        <v>325000.93421212363</v>
      </c>
      <c r="X52" s="288">
        <f ca="1"/>
        <v>196507.66373919017</v>
      </c>
      <c r="Y52" s="288">
        <f ca="1"/>
        <v>1589534.2666761624</v>
      </c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288"/>
      <c r="AM52" s="288"/>
      <c r="AN52" s="288"/>
      <c r="AO52" s="282"/>
    </row>
    <row r="53" spans="8:41" x14ac:dyDescent="0.2">
      <c r="H53" s="319">
        <v>48</v>
      </c>
      <c r="I53" s="289">
        <f ca="1"/>
        <v>14506778.472090825</v>
      </c>
      <c r="J53" s="316">
        <f ca="1"/>
        <v>0</v>
      </c>
      <c r="K53" s="316">
        <f ca="1"/>
        <v>100159.82196539268</v>
      </c>
      <c r="M53" s="374">
        <f ca="1"/>
        <v>43801</v>
      </c>
      <c r="N53" s="282">
        <f ca="1"/>
        <v>17642889.190000001</v>
      </c>
      <c r="O53" s="325">
        <f ca="1"/>
        <v>0</v>
      </c>
      <c r="P53" s="287">
        <f ca="1"/>
        <v>0</v>
      </c>
      <c r="Q53" s="288"/>
      <c r="R53" s="288"/>
      <c r="S53" s="288"/>
      <c r="T53" s="325">
        <f ca="1"/>
        <v>0</v>
      </c>
      <c r="U53" s="327">
        <f ca="1"/>
        <v>100159.82196539268</v>
      </c>
      <c r="V53" s="287">
        <f ca="1"/>
        <v>12057692.3082</v>
      </c>
      <c r="W53" s="288">
        <f ca="1"/>
        <v>218592.91274870382</v>
      </c>
      <c r="X53" s="288">
        <f ca="1"/>
        <v>702348.36396529526</v>
      </c>
      <c r="Y53" s="288">
        <f ca="1"/>
        <v>1427985.0652114346</v>
      </c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8"/>
      <c r="AO53" s="282"/>
    </row>
    <row r="54" spans="8:41" x14ac:dyDescent="0.2">
      <c r="H54" s="319">
        <v>49</v>
      </c>
      <c r="I54" s="289">
        <f ca="1"/>
        <v>16502775.734518608</v>
      </c>
      <c r="J54" s="316">
        <f ca="1"/>
        <v>0</v>
      </c>
      <c r="K54" s="316">
        <f ca="1"/>
        <v>100159.82196539082</v>
      </c>
      <c r="M54" s="374">
        <f ca="1"/>
        <v>43808</v>
      </c>
      <c r="N54" s="282">
        <f ca="1"/>
        <v>17787325.870000001</v>
      </c>
      <c r="O54" s="325">
        <f ca="1"/>
        <v>0</v>
      </c>
      <c r="P54" s="287">
        <f ca="1"/>
        <v>0</v>
      </c>
      <c r="Q54" s="288"/>
      <c r="R54" s="288"/>
      <c r="S54" s="288"/>
      <c r="T54" s="325">
        <f ca="1"/>
        <v>0</v>
      </c>
      <c r="U54" s="327">
        <f ca="1"/>
        <v>100159.82196539082</v>
      </c>
      <c r="V54" s="287">
        <f ca="1"/>
        <v>13538461.538799999</v>
      </c>
      <c r="W54" s="288">
        <f ca="1"/>
        <v>414002.16001990018</v>
      </c>
      <c r="X54" s="288">
        <f ca="1"/>
        <v>947895.9468070229</v>
      </c>
      <c r="Y54" s="288">
        <f ca="1"/>
        <v>1502256.2669262937</v>
      </c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288"/>
      <c r="AO54" s="282"/>
    </row>
    <row r="55" spans="8:41" x14ac:dyDescent="0.2">
      <c r="H55" s="319">
        <v>50</v>
      </c>
      <c r="I55" s="289">
        <f ca="1"/>
        <v>21102609.175834499</v>
      </c>
      <c r="J55" s="316">
        <f ca="1"/>
        <v>0</v>
      </c>
      <c r="K55" s="316">
        <f ca="1"/>
        <v>100159.82196539268</v>
      </c>
      <c r="M55" s="374">
        <f ca="1"/>
        <v>43815</v>
      </c>
      <c r="N55" s="282">
        <f ca="1"/>
        <v>20681419.510000002</v>
      </c>
      <c r="O55" s="325">
        <f ca="1"/>
        <v>0</v>
      </c>
      <c r="P55" s="287">
        <f ca="1"/>
        <v>0</v>
      </c>
      <c r="Q55" s="288"/>
      <c r="R55" s="288"/>
      <c r="S55" s="288"/>
      <c r="T55" s="325">
        <f ca="1"/>
        <v>0</v>
      </c>
      <c r="U55" s="327">
        <f ca="1"/>
        <v>100159.82196539268</v>
      </c>
      <c r="V55" s="287">
        <f ca="1"/>
        <v>17980769.230599999</v>
      </c>
      <c r="W55" s="288">
        <f ca="1"/>
        <v>836844.87819336692</v>
      </c>
      <c r="X55" s="288">
        <f ca="1"/>
        <v>769959.7456700044</v>
      </c>
      <c r="Y55" s="288">
        <f ca="1"/>
        <v>1414875.4994057356</v>
      </c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8"/>
      <c r="AN55" s="288"/>
      <c r="AO55" s="282"/>
    </row>
    <row r="56" spans="8:41" x14ac:dyDescent="0.2">
      <c r="H56" s="319">
        <v>51</v>
      </c>
      <c r="I56" s="289">
        <f ca="1"/>
        <v>15369713.676746801</v>
      </c>
      <c r="J56" s="316">
        <f ca="1"/>
        <v>0</v>
      </c>
      <c r="K56" s="316">
        <f ca="1"/>
        <v>100159.82196538895</v>
      </c>
      <c r="M56" s="374">
        <f ca="1"/>
        <v>43822</v>
      </c>
      <c r="N56" s="282">
        <f ca="1"/>
        <v>14988373.890000001</v>
      </c>
      <c r="O56" s="325">
        <f ca="1"/>
        <v>0</v>
      </c>
      <c r="P56" s="287">
        <f ca="1"/>
        <v>0</v>
      </c>
      <c r="Q56" s="288"/>
      <c r="R56" s="288"/>
      <c r="S56" s="288"/>
      <c r="T56" s="325">
        <f ca="1"/>
        <v>0</v>
      </c>
      <c r="U56" s="327">
        <f ca="1"/>
        <v>100159.82196538895</v>
      </c>
      <c r="V56" s="287">
        <f ca="1"/>
        <v>13301258.61878757</v>
      </c>
      <c r="W56" s="288">
        <f ca="1"/>
        <v>370930.56459759746</v>
      </c>
      <c r="X56" s="288">
        <f ca="1"/>
        <v>148686.22780144395</v>
      </c>
      <c r="Y56" s="288">
        <f ca="1"/>
        <v>1448678.4435947994</v>
      </c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288"/>
      <c r="AL56" s="288"/>
      <c r="AM56" s="288"/>
      <c r="AN56" s="288"/>
      <c r="AO56" s="282"/>
    </row>
    <row r="57" spans="8:41" x14ac:dyDescent="0.2">
      <c r="H57" s="319">
        <v>52</v>
      </c>
      <c r="I57" s="289">
        <f ca="1"/>
        <v>8164681.1130869566</v>
      </c>
      <c r="J57" s="316">
        <f ca="1"/>
        <v>0</v>
      </c>
      <c r="K57" s="316">
        <f ca="1"/>
        <v>100159.82196538989</v>
      </c>
      <c r="M57" s="374">
        <f ca="1"/>
        <v>43829</v>
      </c>
      <c r="N57" s="282">
        <f ca="1"/>
        <v>7394759.4119999995</v>
      </c>
      <c r="O57" s="325">
        <f ca="1"/>
        <v>0</v>
      </c>
      <c r="P57" s="287">
        <f ca="1"/>
        <v>0</v>
      </c>
      <c r="Q57" s="288"/>
      <c r="R57" s="288"/>
      <c r="S57" s="288"/>
      <c r="T57" s="325">
        <f ca="1"/>
        <v>0</v>
      </c>
      <c r="U57" s="327">
        <f ca="1"/>
        <v>100159.82196538989</v>
      </c>
      <c r="V57" s="287">
        <f ca="1"/>
        <v>6846411.9151999997</v>
      </c>
      <c r="W57" s="288">
        <f ca="1"/>
        <v>114415.76411730269</v>
      </c>
      <c r="X57" s="288">
        <f ca="1"/>
        <v>60059.820279309446</v>
      </c>
      <c r="Y57" s="288">
        <f ca="1"/>
        <v>1043633.7915249547</v>
      </c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2"/>
    </row>
    <row r="58" spans="8:41" x14ac:dyDescent="0.2">
      <c r="H58" s="319">
        <v>53</v>
      </c>
      <c r="I58" s="289">
        <f ca="1"/>
        <v>6228343.3034927109</v>
      </c>
      <c r="J58" s="316">
        <f ca="1"/>
        <v>0</v>
      </c>
      <c r="K58" s="316">
        <f ca="1"/>
        <v>-388470.80163105391</v>
      </c>
      <c r="M58" s="374">
        <f ca="1"/>
        <v>43836</v>
      </c>
      <c r="N58" s="282">
        <f ca="1"/>
        <v>6128183.483</v>
      </c>
      <c r="O58" s="325">
        <f ca="1"/>
        <v>-388470.80163105391</v>
      </c>
      <c r="P58" s="287">
        <f ca="1"/>
        <v>0</v>
      </c>
      <c r="Q58" s="288"/>
      <c r="R58" s="288"/>
      <c r="S58" s="288"/>
      <c r="T58" s="325">
        <f ca="1"/>
        <v>388470.80163105391</v>
      </c>
      <c r="U58" s="327">
        <f ca="1"/>
        <v>0</v>
      </c>
      <c r="V58" s="287">
        <f ca="1"/>
        <v>5406639.8870000001</v>
      </c>
      <c r="W58" s="288">
        <f ca="1"/>
        <v>295955.52983560081</v>
      </c>
      <c r="X58" s="288">
        <f ca="1"/>
        <v>8949.1923831715831</v>
      </c>
      <c r="Y58" s="288">
        <f ca="1"/>
        <v>905269.4959049921</v>
      </c>
      <c r="Z58" s="288"/>
      <c r="AA58" s="288"/>
      <c r="AB58" s="288"/>
      <c r="AC58" s="288"/>
      <c r="AD58" s="288"/>
      <c r="AE58" s="288"/>
      <c r="AF58" s="288"/>
      <c r="AG58" s="288"/>
      <c r="AH58" s="288"/>
      <c r="AI58" s="288"/>
      <c r="AJ58" s="288"/>
      <c r="AK58" s="288"/>
      <c r="AL58" s="288"/>
      <c r="AM58" s="288"/>
      <c r="AN58" s="288"/>
      <c r="AO58" s="282"/>
    </row>
    <row r="59" spans="8:41" x14ac:dyDescent="0.2">
      <c r="H59" s="319">
        <v>54</v>
      </c>
      <c r="I59" s="289">
        <f ca="1"/>
        <v>6987917.9832904525</v>
      </c>
      <c r="J59" s="316">
        <f ca="1"/>
        <v>0</v>
      </c>
      <c r="K59" s="316">
        <f ca="1"/>
        <v>100159.82196539175</v>
      </c>
      <c r="M59" s="374">
        <f ca="1"/>
        <v>43843</v>
      </c>
      <c r="N59" s="282">
        <f ca="1"/>
        <v>6077461.2920000004</v>
      </c>
      <c r="O59" s="325">
        <f ca="1"/>
        <v>0</v>
      </c>
      <c r="P59" s="287">
        <f ca="1"/>
        <v>0</v>
      </c>
      <c r="Q59" s="288"/>
      <c r="R59" s="288"/>
      <c r="S59" s="288"/>
      <c r="T59" s="325">
        <f ca="1"/>
        <v>0</v>
      </c>
      <c r="U59" s="327">
        <f ca="1"/>
        <v>100159.82196539175</v>
      </c>
      <c r="V59" s="287">
        <f ca="1"/>
        <v>5524999.4469999997</v>
      </c>
      <c r="W59" s="288">
        <f ca="1"/>
        <v>283995.79660032998</v>
      </c>
      <c r="X59" s="288">
        <f ca="1"/>
        <v>158069.16393525776</v>
      </c>
      <c r="Y59" s="288">
        <f ca="1"/>
        <v>920693.75378947298</v>
      </c>
      <c r="Z59" s="288"/>
      <c r="AA59" s="288"/>
      <c r="AB59" s="288"/>
      <c r="AC59" s="288"/>
      <c r="AD59" s="288"/>
      <c r="AE59" s="288"/>
      <c r="AF59" s="288"/>
      <c r="AG59" s="288"/>
      <c r="AH59" s="288"/>
      <c r="AI59" s="288"/>
      <c r="AJ59" s="288"/>
      <c r="AK59" s="288"/>
      <c r="AL59" s="288"/>
      <c r="AM59" s="288"/>
      <c r="AN59" s="288"/>
      <c r="AO59" s="282"/>
    </row>
    <row r="60" spans="8:41" x14ac:dyDescent="0.2">
      <c r="H60" s="319">
        <v>55</v>
      </c>
      <c r="I60" s="289">
        <f ca="1"/>
        <v>7088942.6724703964</v>
      </c>
      <c r="J60" s="316">
        <f ca="1"/>
        <v>0</v>
      </c>
      <c r="K60" s="316">
        <f ca="1"/>
        <v>100159.82196539082</v>
      </c>
      <c r="M60" s="374">
        <f ca="1"/>
        <v>43850</v>
      </c>
      <c r="N60" s="282">
        <f ca="1"/>
        <v>7084933.6600000001</v>
      </c>
      <c r="O60" s="325">
        <f ca="1"/>
        <v>0</v>
      </c>
      <c r="P60" s="287">
        <f ca="1"/>
        <v>0</v>
      </c>
      <c r="Q60" s="288"/>
      <c r="R60" s="288"/>
      <c r="S60" s="288"/>
      <c r="T60" s="325">
        <f ca="1"/>
        <v>0</v>
      </c>
      <c r="U60" s="327">
        <f ca="1"/>
        <v>100159.82196539082</v>
      </c>
      <c r="V60" s="287">
        <f ca="1"/>
        <v>5925954.379399999</v>
      </c>
      <c r="W60" s="288">
        <f ca="1"/>
        <v>154648.38833473698</v>
      </c>
      <c r="X60" s="288">
        <f ca="1"/>
        <v>69914.61252404924</v>
      </c>
      <c r="Y60" s="288">
        <f ca="1"/>
        <v>838265.47024622047</v>
      </c>
      <c r="Z60" s="288"/>
      <c r="AA60" s="288"/>
      <c r="AB60" s="288"/>
      <c r="AC60" s="288"/>
      <c r="AD60" s="288"/>
      <c r="AE60" s="288"/>
      <c r="AF60" s="288"/>
      <c r="AG60" s="288"/>
      <c r="AH60" s="288"/>
      <c r="AI60" s="288"/>
      <c r="AJ60" s="288"/>
      <c r="AK60" s="288"/>
      <c r="AL60" s="288"/>
      <c r="AM60" s="288"/>
      <c r="AN60" s="288"/>
      <c r="AO60" s="282"/>
    </row>
    <row r="61" spans="8:41" x14ac:dyDescent="0.2">
      <c r="H61" s="319">
        <v>56</v>
      </c>
      <c r="I61" s="289">
        <f ca="1"/>
        <v>7160850.4034846481</v>
      </c>
      <c r="J61" s="316">
        <f ca="1"/>
        <v>0</v>
      </c>
      <c r="K61" s="316">
        <f ca="1"/>
        <v>100159.82196539175</v>
      </c>
      <c r="M61" s="374">
        <f ca="1"/>
        <v>43857</v>
      </c>
      <c r="N61" s="282">
        <f ca="1"/>
        <v>6811065.7240000004</v>
      </c>
      <c r="O61" s="325">
        <f ca="1"/>
        <v>0</v>
      </c>
      <c r="P61" s="287">
        <f ca="1"/>
        <v>0</v>
      </c>
      <c r="Q61" s="288"/>
      <c r="R61" s="288"/>
      <c r="S61" s="288"/>
      <c r="T61" s="325">
        <f ca="1"/>
        <v>0</v>
      </c>
      <c r="U61" s="327">
        <f ca="1"/>
        <v>100159.82196539175</v>
      </c>
      <c r="V61" s="287">
        <f ca="1"/>
        <v>5787817.1339999996</v>
      </c>
      <c r="W61" s="288">
        <f ca="1"/>
        <v>183894.632539413</v>
      </c>
      <c r="X61" s="288">
        <f ca="1"/>
        <v>312425.03345165035</v>
      </c>
      <c r="Y61" s="288">
        <f ca="1"/>
        <v>776553.78152819385</v>
      </c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88"/>
      <c r="AO61" s="282"/>
    </row>
    <row r="62" spans="8:41" x14ac:dyDescent="0.2">
      <c r="H62" s="319">
        <v>57</v>
      </c>
      <c r="I62" s="289">
        <f ca="1"/>
        <v>17682072.344801068</v>
      </c>
      <c r="J62" s="316">
        <f ca="1"/>
        <v>0</v>
      </c>
      <c r="K62" s="316">
        <f ca="1"/>
        <v>100159.82196538895</v>
      </c>
      <c r="M62" s="374">
        <f ca="1"/>
        <v>43864</v>
      </c>
      <c r="N62" s="282">
        <f ca="1"/>
        <v>18472805.66</v>
      </c>
      <c r="O62" s="325">
        <f ca="1"/>
        <v>0</v>
      </c>
      <c r="P62" s="287">
        <f ca="1"/>
        <v>0</v>
      </c>
      <c r="Q62" s="288"/>
      <c r="R62" s="288"/>
      <c r="S62" s="288"/>
      <c r="T62" s="325">
        <f ca="1"/>
        <v>0</v>
      </c>
      <c r="U62" s="327">
        <f ca="1"/>
        <v>100159.82196538895</v>
      </c>
      <c r="V62" s="287">
        <f ca="1"/>
        <v>15596312.2038</v>
      </c>
      <c r="W62" s="288">
        <f ca="1"/>
        <v>88604.942445707886</v>
      </c>
      <c r="X62" s="288">
        <f ca="1"/>
        <v>1001983.4426020461</v>
      </c>
      <c r="Y62" s="288">
        <f ca="1"/>
        <v>895011.93398792495</v>
      </c>
      <c r="Z62" s="288"/>
      <c r="AA62" s="288"/>
      <c r="AB62" s="288"/>
      <c r="AC62" s="288"/>
      <c r="AD62" s="288"/>
      <c r="AE62" s="288"/>
      <c r="AF62" s="288"/>
      <c r="AG62" s="288"/>
      <c r="AH62" s="288"/>
      <c r="AI62" s="288"/>
      <c r="AJ62" s="288"/>
      <c r="AK62" s="288"/>
      <c r="AL62" s="288"/>
      <c r="AM62" s="288"/>
      <c r="AN62" s="288"/>
      <c r="AO62" s="282"/>
    </row>
    <row r="63" spans="8:41" x14ac:dyDescent="0.2">
      <c r="H63" s="319">
        <v>58</v>
      </c>
      <c r="I63" s="289">
        <f ca="1"/>
        <v>13286656.08679674</v>
      </c>
      <c r="J63" s="316">
        <f ca="1"/>
        <v>20932.139937485237</v>
      </c>
      <c r="K63" s="316">
        <f ca="1"/>
        <v>121091.96190287359</v>
      </c>
      <c r="M63" s="374">
        <f ca="1"/>
        <v>43871</v>
      </c>
      <c r="N63" s="282">
        <f ca="1"/>
        <v>12271156.390000001</v>
      </c>
      <c r="O63" s="325">
        <f ca="1"/>
        <v>0</v>
      </c>
      <c r="P63" s="287">
        <f ca="1"/>
        <v>20932.139937485237</v>
      </c>
      <c r="Q63" s="288"/>
      <c r="R63" s="288"/>
      <c r="S63" s="288"/>
      <c r="T63" s="325">
        <f ca="1"/>
        <v>-20932.139937485237</v>
      </c>
      <c r="U63" s="327">
        <f ca="1"/>
        <v>121091.96190287359</v>
      </c>
      <c r="V63" s="287">
        <f ca="1"/>
        <v>10652227.283</v>
      </c>
      <c r="W63" s="288">
        <f ca="1"/>
        <v>313175.78007389756</v>
      </c>
      <c r="X63" s="288">
        <f ca="1"/>
        <v>1241508.9748226416</v>
      </c>
      <c r="Y63" s="288">
        <f ca="1"/>
        <v>958652.0869973267</v>
      </c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2"/>
    </row>
    <row r="64" spans="8:41" x14ac:dyDescent="0.2">
      <c r="H64" s="319">
        <v>59</v>
      </c>
      <c r="I64" s="289">
        <f ca="1"/>
        <v>9109861.2732915115</v>
      </c>
      <c r="J64" s="316">
        <f ca="1"/>
        <v>-114745.90445750466</v>
      </c>
      <c r="K64" s="316">
        <f ca="1"/>
        <v>-14586.082492116839</v>
      </c>
      <c r="M64" s="374">
        <f ca="1"/>
        <v>43878</v>
      </c>
      <c r="N64" s="282">
        <f ca="1"/>
        <v>10431474.85</v>
      </c>
      <c r="O64" s="325">
        <f ca="1"/>
        <v>-14586.082492116839</v>
      </c>
      <c r="P64" s="287">
        <f ca="1"/>
        <v>-114745.90445750466</v>
      </c>
      <c r="Q64" s="288"/>
      <c r="R64" s="288"/>
      <c r="S64" s="288"/>
      <c r="T64" s="325">
        <f ca="1"/>
        <v>129331.9869496215</v>
      </c>
      <c r="U64" s="327">
        <f ca="1"/>
        <v>0</v>
      </c>
      <c r="V64" s="287">
        <f ca="1"/>
        <v>7435610.5366000002</v>
      </c>
      <c r="W64" s="288">
        <f ca="1"/>
        <v>337083.95546495914</v>
      </c>
      <c r="X64" s="288">
        <f ca="1"/>
        <v>298500.55763291364</v>
      </c>
      <c r="Y64" s="288">
        <f ca="1"/>
        <v>1053252.3060857544</v>
      </c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288"/>
      <c r="AO64" s="282"/>
    </row>
    <row r="65" spans="8:41" x14ac:dyDescent="0.2">
      <c r="H65" s="319">
        <v>60</v>
      </c>
      <c r="I65" s="289">
        <f ca="1"/>
        <v>8073495.2823691806</v>
      </c>
      <c r="J65" s="316">
        <f ca="1"/>
        <v>115865.30484466422</v>
      </c>
      <c r="K65" s="316">
        <f ca="1"/>
        <v>216025.12681005429</v>
      </c>
      <c r="M65" s="374">
        <f ca="1"/>
        <v>43885</v>
      </c>
      <c r="N65" s="282">
        <f ca="1"/>
        <v>8808837.7780000009</v>
      </c>
      <c r="O65" s="325">
        <f ca="1"/>
        <v>0</v>
      </c>
      <c r="P65" s="287">
        <f ca="1"/>
        <v>115865.30484466422</v>
      </c>
      <c r="Q65" s="288"/>
      <c r="R65" s="288"/>
      <c r="S65" s="288"/>
      <c r="T65" s="325">
        <f ca="1"/>
        <v>-115865.30484466422</v>
      </c>
      <c r="U65" s="327">
        <f ca="1"/>
        <v>216025.12681005429</v>
      </c>
      <c r="V65" s="287">
        <f ca="1"/>
        <v>6739125.8251999989</v>
      </c>
      <c r="W65" s="288">
        <f ca="1"/>
        <v>139429.748643019</v>
      </c>
      <c r="X65" s="288">
        <f ca="1"/>
        <v>190825.46208232857</v>
      </c>
      <c r="Y65" s="288">
        <f ca="1"/>
        <v>788089.11963377963</v>
      </c>
      <c r="Z65" s="288"/>
      <c r="AA65" s="288"/>
      <c r="AB65" s="288"/>
      <c r="AC65" s="288"/>
      <c r="AD65" s="288"/>
      <c r="AE65" s="288"/>
      <c r="AF65" s="288"/>
      <c r="AG65" s="288"/>
      <c r="AH65" s="288"/>
      <c r="AI65" s="288"/>
      <c r="AJ65" s="288"/>
      <c r="AK65" s="288"/>
      <c r="AL65" s="288"/>
      <c r="AM65" s="288"/>
      <c r="AN65" s="288"/>
      <c r="AO65" s="282"/>
    </row>
    <row r="66" spans="8:41" x14ac:dyDescent="0.2">
      <c r="H66" s="319">
        <v>61</v>
      </c>
      <c r="I66" s="289">
        <f ca="1"/>
        <v>9009442.5206748452</v>
      </c>
      <c r="J66" s="316">
        <f ca="1"/>
        <v>129161.86695726836</v>
      </c>
      <c r="K66" s="316">
        <f ca="1"/>
        <v>229321.6889226567</v>
      </c>
      <c r="M66" s="374">
        <f ca="1"/>
        <v>43892</v>
      </c>
      <c r="N66" s="282">
        <f ca="1"/>
        <v>10497654.6</v>
      </c>
      <c r="O66" s="325">
        <f ca="1"/>
        <v>0</v>
      </c>
      <c r="P66" s="287">
        <f ca="1"/>
        <v>129161.86695726836</v>
      </c>
      <c r="Q66" s="288"/>
      <c r="R66" s="288"/>
      <c r="S66" s="288"/>
      <c r="T66" s="325">
        <f ca="1"/>
        <v>-129161.86695726836</v>
      </c>
      <c r="U66" s="327">
        <f ca="1"/>
        <v>229321.6889226567</v>
      </c>
      <c r="V66" s="287">
        <f ca="1"/>
        <v>6480627.6457999991</v>
      </c>
      <c r="W66" s="288">
        <f ca="1"/>
        <v>1480481.9166173576</v>
      </c>
      <c r="X66" s="288">
        <f ca="1"/>
        <v>8680.7453260033235</v>
      </c>
      <c r="Y66" s="288">
        <f ca="1"/>
        <v>810330.52400882833</v>
      </c>
      <c r="Z66" s="288"/>
      <c r="AA66" s="288"/>
      <c r="AB66" s="288"/>
      <c r="AC66" s="288"/>
      <c r="AD66" s="288"/>
      <c r="AE66" s="288"/>
      <c r="AF66" s="288"/>
      <c r="AG66" s="288"/>
      <c r="AH66" s="288"/>
      <c r="AI66" s="288"/>
      <c r="AJ66" s="288"/>
      <c r="AK66" s="288"/>
      <c r="AL66" s="288"/>
      <c r="AM66" s="288"/>
      <c r="AN66" s="288"/>
      <c r="AO66" s="282"/>
    </row>
    <row r="67" spans="8:41" x14ac:dyDescent="0.2">
      <c r="H67" s="319">
        <v>62</v>
      </c>
      <c r="I67" s="289">
        <f ca="1"/>
        <v>8050522.0300483946</v>
      </c>
      <c r="J67" s="316">
        <f ca="1"/>
        <v>-103446.78288934012</v>
      </c>
      <c r="K67" s="316">
        <f ca="1"/>
        <v>-3286.9609239483252</v>
      </c>
      <c r="M67" s="374">
        <f ca="1"/>
        <v>43899</v>
      </c>
      <c r="N67" s="282">
        <f ca="1"/>
        <v>6525614.6840000004</v>
      </c>
      <c r="O67" s="325">
        <f ca="1"/>
        <v>-3286.9609239483252</v>
      </c>
      <c r="P67" s="287">
        <f ca="1"/>
        <v>-103446.78288934012</v>
      </c>
      <c r="Q67" s="288"/>
      <c r="R67" s="288"/>
      <c r="S67" s="288"/>
      <c r="T67" s="325">
        <f ca="1"/>
        <v>106733.74381328844</v>
      </c>
      <c r="U67" s="327">
        <f ca="1"/>
        <v>0</v>
      </c>
      <c r="V67" s="287">
        <f ca="1"/>
        <v>6070286.409</v>
      </c>
      <c r="W67" s="288">
        <f ca="1"/>
        <v>1035230.9722784886</v>
      </c>
      <c r="X67" s="288">
        <f ca="1"/>
        <v>8680.7224845795372</v>
      </c>
      <c r="Y67" s="288">
        <f ca="1"/>
        <v>939610.88720927516</v>
      </c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288"/>
      <c r="AO67" s="282"/>
    </row>
    <row r="68" spans="8:41" x14ac:dyDescent="0.2">
      <c r="H68" s="319">
        <v>63</v>
      </c>
      <c r="I68" s="289">
        <f ca="1"/>
        <v>4101304.6292157341</v>
      </c>
      <c r="J68" s="316">
        <f ca="1"/>
        <v>-1298130.1267035028</v>
      </c>
      <c r="K68" s="316">
        <f ca="1"/>
        <v>-1197970.3047381127</v>
      </c>
      <c r="M68" s="374">
        <f ca="1"/>
        <v>43906</v>
      </c>
      <c r="N68" s="282">
        <f ca="1"/>
        <v>4232459.3459999999</v>
      </c>
      <c r="O68" s="325">
        <f ca="1"/>
        <v>-1197970.3047381127</v>
      </c>
      <c r="P68" s="287">
        <f ca="1"/>
        <v>-1298130.1267035028</v>
      </c>
      <c r="Q68" s="288"/>
      <c r="R68" s="288"/>
      <c r="S68" s="288"/>
      <c r="T68" s="325">
        <f ca="1"/>
        <v>2496100.4314416153</v>
      </c>
      <c r="U68" s="327">
        <f ca="1"/>
        <v>0</v>
      </c>
      <c r="V68" s="287">
        <f ca="1"/>
        <v>3755808.4057999998</v>
      </c>
      <c r="W68" s="288">
        <f ca="1"/>
        <v>517010.78324283846</v>
      </c>
      <c r="X68" s="288">
        <f ca="1"/>
        <v>8680.6961550565502</v>
      </c>
      <c r="Y68" s="288">
        <f ca="1"/>
        <v>1017775.0487559523</v>
      </c>
      <c r="Z68" s="288"/>
      <c r="AA68" s="288"/>
      <c r="AB68" s="288"/>
      <c r="AC68" s="288"/>
      <c r="AD68" s="288"/>
      <c r="AE68" s="288"/>
      <c r="AF68" s="288"/>
      <c r="AG68" s="288"/>
      <c r="AH68" s="288"/>
      <c r="AI68" s="288"/>
      <c r="AJ68" s="288"/>
      <c r="AK68" s="288"/>
      <c r="AL68" s="288"/>
      <c r="AM68" s="288"/>
      <c r="AN68" s="288"/>
      <c r="AO68" s="282"/>
    </row>
    <row r="69" spans="8:41" x14ac:dyDescent="0.2">
      <c r="H69" s="319">
        <v>64</v>
      </c>
      <c r="I69" s="289">
        <f ca="1"/>
        <v>2714578.7029835195</v>
      </c>
      <c r="J69" s="316">
        <f ca="1"/>
        <v>-1994138.2507823727</v>
      </c>
      <c r="K69" s="316">
        <f ca="1"/>
        <v>-1893978.4288169811</v>
      </c>
      <c r="M69" s="374">
        <f ca="1"/>
        <v>43913</v>
      </c>
      <c r="N69" s="282">
        <f ca="1"/>
        <v>1984181.811</v>
      </c>
      <c r="O69" s="325">
        <f ca="1"/>
        <v>-1893978.4288169811</v>
      </c>
      <c r="P69" s="287">
        <f ca="1"/>
        <v>-1994138.2507823727</v>
      </c>
      <c r="Q69" s="288"/>
      <c r="R69" s="288"/>
      <c r="S69" s="288"/>
      <c r="T69" s="325">
        <f ca="1"/>
        <v>3888116.679599354</v>
      </c>
      <c r="U69" s="327">
        <f ca="1"/>
        <v>0</v>
      </c>
      <c r="V69" s="287">
        <f ca="1"/>
        <v>2939304.6957999999</v>
      </c>
      <c r="W69" s="288">
        <f ca="1"/>
        <v>613813.91964014922</v>
      </c>
      <c r="X69" s="288">
        <f ca="1"/>
        <v>339784.74419197976</v>
      </c>
      <c r="Y69" s="288">
        <f ca="1"/>
        <v>715653.77216837194</v>
      </c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288"/>
      <c r="AO69" s="282"/>
    </row>
    <row r="70" spans="8:41" x14ac:dyDescent="0.2">
      <c r="H70" s="319">
        <v>65</v>
      </c>
      <c r="I70" s="289">
        <f ca="1"/>
        <v>1411374.3837309116</v>
      </c>
      <c r="J70" s="316">
        <f ca="1"/>
        <v>-2207295.5450372952</v>
      </c>
      <c r="K70" s="316">
        <f ca="1"/>
        <v>-2107135.7230719049</v>
      </c>
      <c r="M70" s="374">
        <f ca="1"/>
        <v>43920</v>
      </c>
      <c r="N70" s="282">
        <f ca="1"/>
        <v>1334901.0049999999</v>
      </c>
      <c r="O70" s="325">
        <f ca="1"/>
        <v>-2107135.7230719049</v>
      </c>
      <c r="P70" s="287">
        <f ca="1"/>
        <v>-2207295.5450372952</v>
      </c>
      <c r="Q70" s="288"/>
      <c r="R70" s="288"/>
      <c r="S70" s="288"/>
      <c r="T70" s="325">
        <f ca="1"/>
        <v>4314431.2681092005</v>
      </c>
      <c r="U70" s="327">
        <f ca="1"/>
        <v>0</v>
      </c>
      <c r="V70" s="287">
        <f ca="1"/>
        <v>2845948.5934000001</v>
      </c>
      <c r="W70" s="288">
        <f ca="1"/>
        <v>102700.71611296211</v>
      </c>
      <c r="X70" s="288">
        <f ca="1"/>
        <v>111559.42015335236</v>
      </c>
      <c r="Y70" s="288">
        <f ca="1"/>
        <v>458301.37713650195</v>
      </c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8"/>
      <c r="AM70" s="288"/>
      <c r="AN70" s="288"/>
      <c r="AO70" s="282"/>
    </row>
    <row r="71" spans="8:41" x14ac:dyDescent="0.2">
      <c r="H71" s="319">
        <v>66</v>
      </c>
      <c r="I71" s="289">
        <f ca="1"/>
        <v>1007222.4757466217</v>
      </c>
      <c r="J71" s="316">
        <f ca="1"/>
        <v>-2394782.3664883533</v>
      </c>
      <c r="K71" s="316">
        <f ca="1"/>
        <v>-2294622.544522963</v>
      </c>
      <c r="M71" s="374">
        <f ca="1"/>
        <v>43927</v>
      </c>
      <c r="N71" s="282">
        <f ca="1"/>
        <v>1732695.2050000001</v>
      </c>
      <c r="O71" s="325">
        <f ca="1"/>
        <v>-2294622.544522963</v>
      </c>
      <c r="P71" s="287">
        <f ca="1"/>
        <v>-2394782.3664883533</v>
      </c>
      <c r="Q71" s="288"/>
      <c r="R71" s="288"/>
      <c r="S71" s="288"/>
      <c r="T71" s="325">
        <f ca="1"/>
        <v>4689404.9110113159</v>
      </c>
      <c r="U71" s="327">
        <f ca="1"/>
        <v>0</v>
      </c>
      <c r="V71" s="287">
        <f ca="1"/>
        <v>2633538.281</v>
      </c>
      <c r="W71" s="288">
        <f ca="1"/>
        <v>80272.996369325439</v>
      </c>
      <c r="X71" s="288">
        <f ca="1"/>
        <v>8680.6842193523444</v>
      </c>
      <c r="Y71" s="288">
        <f ca="1"/>
        <v>579353.05868090666</v>
      </c>
      <c r="Z71" s="288"/>
      <c r="AA71" s="288"/>
      <c r="AB71" s="288"/>
      <c r="AC71" s="288"/>
      <c r="AD71" s="288"/>
      <c r="AE71" s="288"/>
      <c r="AF71" s="288"/>
      <c r="AG71" s="288"/>
      <c r="AH71" s="288"/>
      <c r="AI71" s="288"/>
      <c r="AJ71" s="288"/>
      <c r="AK71" s="288"/>
      <c r="AL71" s="288"/>
      <c r="AM71" s="288"/>
      <c r="AN71" s="288"/>
      <c r="AO71" s="282"/>
    </row>
    <row r="72" spans="8:41" x14ac:dyDescent="0.2">
      <c r="H72" s="319">
        <v>67</v>
      </c>
      <c r="I72" s="289">
        <f ca="1"/>
        <v>1522474.7160117754</v>
      </c>
      <c r="J72" s="316">
        <f ca="1"/>
        <v>-2178607.4075415963</v>
      </c>
      <c r="K72" s="316">
        <f ca="1"/>
        <v>-2078447.5855762057</v>
      </c>
      <c r="M72" s="374">
        <f ca="1"/>
        <v>43934</v>
      </c>
      <c r="N72" s="282">
        <f ca="1"/>
        <v>1222968.2169999999</v>
      </c>
      <c r="O72" s="325">
        <f ca="1"/>
        <v>-2078447.5855762057</v>
      </c>
      <c r="P72" s="287">
        <f ca="1"/>
        <v>-2178607.4075415963</v>
      </c>
      <c r="Q72" s="288"/>
      <c r="R72" s="288"/>
      <c r="S72" s="288"/>
      <c r="T72" s="325">
        <f ca="1"/>
        <v>4257054.9931178018</v>
      </c>
      <c r="U72" s="327">
        <f ca="1"/>
        <v>0</v>
      </c>
      <c r="V72" s="287">
        <f ca="1"/>
        <v>2664963.0875999997</v>
      </c>
      <c r="W72" s="288">
        <f ca="1"/>
        <v>59382.476876800887</v>
      </c>
      <c r="X72" s="288">
        <f ca="1"/>
        <v>8680.6842193523444</v>
      </c>
      <c r="Y72" s="288">
        <f ca="1"/>
        <v>867896.05289182812</v>
      </c>
      <c r="Z72" s="288"/>
      <c r="AA72" s="288"/>
      <c r="AB72" s="288"/>
      <c r="AC72" s="288"/>
      <c r="AD72" s="288"/>
      <c r="AE72" s="288"/>
      <c r="AF72" s="288"/>
      <c r="AG72" s="288"/>
      <c r="AH72" s="288"/>
      <c r="AI72" s="288"/>
      <c r="AJ72" s="288"/>
      <c r="AK72" s="288"/>
      <c r="AL72" s="288"/>
      <c r="AM72" s="288"/>
      <c r="AN72" s="288"/>
      <c r="AO72" s="282"/>
    </row>
    <row r="73" spans="8:41" x14ac:dyDescent="0.2">
      <c r="H73" s="319">
        <v>68</v>
      </c>
      <c r="I73" s="289">
        <f ca="1"/>
        <v>2522396.4691558317</v>
      </c>
      <c r="J73" s="316">
        <f ca="1"/>
        <v>-2120348.498051805</v>
      </c>
      <c r="K73" s="316">
        <f ca="1"/>
        <v>-2020188.6760864141</v>
      </c>
      <c r="M73" s="374">
        <f ca="1"/>
        <v>43941</v>
      </c>
      <c r="N73" s="282">
        <f ca="1"/>
        <v>2260663.6329999999</v>
      </c>
      <c r="O73" s="325">
        <f ca="1"/>
        <v>-2020188.6760864141</v>
      </c>
      <c r="P73" s="287">
        <f ca="1"/>
        <v>-2120348.498051805</v>
      </c>
      <c r="Q73" s="288"/>
      <c r="R73" s="288"/>
      <c r="S73" s="288"/>
      <c r="T73" s="325">
        <f ca="1"/>
        <v>4140537.1741382191</v>
      </c>
      <c r="U73" s="327">
        <f ca="1"/>
        <v>0</v>
      </c>
      <c r="V73" s="287">
        <f ca="1"/>
        <v>3442677.2291999995</v>
      </c>
      <c r="W73" s="288">
        <f ca="1"/>
        <v>202370.51092782625</v>
      </c>
      <c r="X73" s="288">
        <f ca="1"/>
        <v>48446.831596724951</v>
      </c>
      <c r="Y73" s="288">
        <f ca="1"/>
        <v>849090.57351769519</v>
      </c>
      <c r="Z73" s="288"/>
      <c r="AA73" s="288"/>
      <c r="AB73" s="288"/>
      <c r="AC73" s="288"/>
      <c r="AD73" s="288"/>
      <c r="AE73" s="288"/>
      <c r="AF73" s="288"/>
      <c r="AG73" s="288"/>
      <c r="AH73" s="288"/>
      <c r="AI73" s="288"/>
      <c r="AJ73" s="288"/>
      <c r="AK73" s="288"/>
      <c r="AL73" s="288"/>
      <c r="AM73" s="288"/>
      <c r="AN73" s="288"/>
      <c r="AO73" s="282"/>
    </row>
    <row r="74" spans="8:41" x14ac:dyDescent="0.2">
      <c r="H74" s="319">
        <v>69</v>
      </c>
      <c r="I74" s="289">
        <f ca="1"/>
        <v>3477627.8116820576</v>
      </c>
      <c r="J74" s="316">
        <f ca="1"/>
        <v>-1986976.296538553</v>
      </c>
      <c r="K74" s="316">
        <f ca="1"/>
        <v>-1886816.4745731605</v>
      </c>
      <c r="M74" s="374">
        <f ca="1"/>
        <v>43948</v>
      </c>
      <c r="N74" s="282">
        <f ca="1"/>
        <v>3381277.1889999998</v>
      </c>
      <c r="O74" s="325">
        <f ca="1"/>
        <v>-1886816.4745731605</v>
      </c>
      <c r="P74" s="287">
        <f ca="1"/>
        <v>-1986976.296538553</v>
      </c>
      <c r="Q74" s="288"/>
      <c r="R74" s="288"/>
      <c r="S74" s="288"/>
      <c r="T74" s="325">
        <f ca="1"/>
        <v>3873792.7711117137</v>
      </c>
      <c r="U74" s="327">
        <f ca="1"/>
        <v>0</v>
      </c>
      <c r="V74" s="287">
        <f ca="1"/>
        <v>3714192.9593999996</v>
      </c>
      <c r="W74" s="288">
        <f ca="1"/>
        <v>253672.65930666286</v>
      </c>
      <c r="X74" s="288">
        <f ca="1"/>
        <v>602825.88734773302</v>
      </c>
      <c r="Y74" s="288">
        <f ca="1"/>
        <v>793752.78020082356</v>
      </c>
      <c r="Z74" s="288"/>
      <c r="AA74" s="288"/>
      <c r="AB74" s="288"/>
      <c r="AC74" s="288"/>
      <c r="AD74" s="288"/>
      <c r="AE74" s="288"/>
      <c r="AF74" s="288"/>
      <c r="AG74" s="288"/>
      <c r="AH74" s="288"/>
      <c r="AI74" s="288"/>
      <c r="AJ74" s="288"/>
      <c r="AK74" s="288"/>
      <c r="AL74" s="288"/>
      <c r="AM74" s="288"/>
      <c r="AN74" s="288"/>
      <c r="AO74" s="282"/>
    </row>
    <row r="75" spans="8:41" x14ac:dyDescent="0.2">
      <c r="H75" s="319">
        <v>70</v>
      </c>
      <c r="I75" s="289">
        <f ca="1"/>
        <v>4531592.3100206945</v>
      </c>
      <c r="J75" s="316">
        <f ca="1"/>
        <v>-1827533.156033766</v>
      </c>
      <c r="K75" s="316">
        <f ca="1"/>
        <v>-1727373.3340683747</v>
      </c>
      <c r="M75" s="374">
        <f ca="1"/>
        <v>43955</v>
      </c>
      <c r="N75" s="282">
        <f ca="1"/>
        <v>4270501.9040000001</v>
      </c>
      <c r="O75" s="325">
        <f ca="1"/>
        <v>-1727373.3340683747</v>
      </c>
      <c r="P75" s="287">
        <f ca="1"/>
        <v>-1827533.156033766</v>
      </c>
      <c r="Q75" s="288"/>
      <c r="R75" s="288"/>
      <c r="S75" s="288"/>
      <c r="T75" s="325">
        <f ca="1"/>
        <v>3554906.4901021407</v>
      </c>
      <c r="U75" s="327">
        <f ca="1"/>
        <v>0</v>
      </c>
      <c r="V75" s="287">
        <f ca="1"/>
        <v>4610018.7033999991</v>
      </c>
      <c r="W75" s="288">
        <f ca="1"/>
        <v>356406.84710285813</v>
      </c>
      <c r="X75" s="288">
        <f ca="1"/>
        <v>496265.39107804681</v>
      </c>
      <c r="Y75" s="288">
        <f ca="1"/>
        <v>796274.70250816515</v>
      </c>
      <c r="Z75" s="288"/>
      <c r="AA75" s="288"/>
      <c r="AB75" s="288"/>
      <c r="AC75" s="288"/>
      <c r="AD75" s="288"/>
      <c r="AE75" s="288"/>
      <c r="AF75" s="288"/>
      <c r="AG75" s="288"/>
      <c r="AH75" s="288"/>
      <c r="AI75" s="288"/>
      <c r="AJ75" s="288"/>
      <c r="AK75" s="288"/>
      <c r="AL75" s="288"/>
      <c r="AM75" s="288"/>
      <c r="AN75" s="288"/>
      <c r="AO75" s="282"/>
    </row>
    <row r="76" spans="8:41" x14ac:dyDescent="0.2">
      <c r="H76" s="319">
        <v>71</v>
      </c>
      <c r="I76" s="289">
        <f ca="1"/>
        <v>3454360.3550937544</v>
      </c>
      <c r="J76" s="316">
        <f ca="1"/>
        <v>-1717639.4807536008</v>
      </c>
      <c r="K76" s="316">
        <f ca="1"/>
        <v>-1617479.6587882102</v>
      </c>
      <c r="M76" s="374">
        <f ca="1"/>
        <v>43962</v>
      </c>
      <c r="N76" s="282">
        <f ca="1"/>
        <v>3224891.537</v>
      </c>
      <c r="O76" s="325">
        <f ca="1"/>
        <v>-1617479.6587882102</v>
      </c>
      <c r="P76" s="287">
        <f ca="1"/>
        <v>-1717639.4807536008</v>
      </c>
      <c r="Q76" s="288"/>
      <c r="R76" s="288"/>
      <c r="S76" s="288"/>
      <c r="T76" s="325">
        <f ca="1"/>
        <v>3335119.1395418113</v>
      </c>
      <c r="U76" s="327">
        <f ca="1"/>
        <v>0</v>
      </c>
      <c r="V76" s="287">
        <f ca="1"/>
        <v>3840096.0268000001</v>
      </c>
      <c r="W76" s="288">
        <f ca="1"/>
        <v>55639.390648347631</v>
      </c>
      <c r="X76" s="288">
        <f ca="1"/>
        <v>442072.7631180468</v>
      </c>
      <c r="Y76" s="288">
        <f ca="1"/>
        <v>734031.83331556944</v>
      </c>
      <c r="Z76" s="288"/>
      <c r="AA76" s="288"/>
      <c r="AB76" s="288"/>
      <c r="AC76" s="288"/>
      <c r="AD76" s="288"/>
      <c r="AE76" s="288"/>
      <c r="AF76" s="288"/>
      <c r="AG76" s="288"/>
      <c r="AH76" s="288"/>
      <c r="AI76" s="288"/>
      <c r="AJ76" s="288"/>
      <c r="AK76" s="288"/>
      <c r="AL76" s="288"/>
      <c r="AM76" s="288"/>
      <c r="AN76" s="288"/>
      <c r="AO76" s="282"/>
    </row>
    <row r="77" spans="8:41" x14ac:dyDescent="0.2">
      <c r="H77" s="319">
        <v>72</v>
      </c>
      <c r="I77" s="289">
        <f ca="1"/>
        <v>3488174.3061666801</v>
      </c>
      <c r="J77" s="316">
        <f ca="1"/>
        <v>-1639075.4479816565</v>
      </c>
      <c r="K77" s="316">
        <f ca="1"/>
        <v>-1538915.6260162662</v>
      </c>
      <c r="M77" s="374">
        <f ca="1"/>
        <v>43969</v>
      </c>
      <c r="N77" s="282">
        <f ca="1"/>
        <v>4463840.9529999997</v>
      </c>
      <c r="O77" s="325">
        <f ca="1"/>
        <v>-1538915.6260162662</v>
      </c>
      <c r="P77" s="287">
        <f ca="1"/>
        <v>-1639075.4479816565</v>
      </c>
      <c r="Q77" s="288"/>
      <c r="R77" s="288"/>
      <c r="S77" s="288"/>
      <c r="T77" s="325">
        <f ca="1"/>
        <v>3177991.0739979227</v>
      </c>
      <c r="U77" s="327">
        <f ca="1"/>
        <v>0</v>
      </c>
      <c r="V77" s="287">
        <f ca="1"/>
        <v>4336842.4330000002</v>
      </c>
      <c r="W77" s="288">
        <f ca="1"/>
        <v>67353.78661633248</v>
      </c>
      <c r="X77" s="288">
        <f ca="1"/>
        <v>1382.857608618257</v>
      </c>
      <c r="Y77" s="288">
        <f ca="1"/>
        <v>621510.85495799535</v>
      </c>
      <c r="Z77" s="288"/>
      <c r="AA77" s="288"/>
      <c r="AB77" s="288"/>
      <c r="AC77" s="288"/>
      <c r="AD77" s="288"/>
      <c r="AE77" s="288"/>
      <c r="AF77" s="288"/>
      <c r="AG77" s="288"/>
      <c r="AH77" s="288"/>
      <c r="AI77" s="288"/>
      <c r="AJ77" s="288"/>
      <c r="AK77" s="288"/>
      <c r="AL77" s="288"/>
      <c r="AM77" s="288"/>
      <c r="AN77" s="288"/>
      <c r="AO77" s="282"/>
    </row>
    <row r="78" spans="8:41" x14ac:dyDescent="0.2">
      <c r="H78" s="319">
        <v>73</v>
      </c>
      <c r="I78" s="289">
        <f ca="1"/>
        <v>3191244.9951110841</v>
      </c>
      <c r="J78" s="316">
        <f ca="1"/>
        <v>-1703651.2478564354</v>
      </c>
      <c r="K78" s="316">
        <f ca="1"/>
        <v>-1603491.4258910441</v>
      </c>
      <c r="M78" s="374">
        <f ca="1"/>
        <v>43976</v>
      </c>
      <c r="N78" s="282">
        <f ca="1"/>
        <v>4432625.5870000003</v>
      </c>
      <c r="O78" s="325">
        <f ca="1"/>
        <v>-1603491.4258910441</v>
      </c>
      <c r="P78" s="287">
        <f ca="1"/>
        <v>-1703651.2478564354</v>
      </c>
      <c r="Q78" s="288"/>
      <c r="R78" s="288"/>
      <c r="S78" s="288"/>
      <c r="T78" s="325">
        <f ca="1"/>
        <v>3307142.6737474794</v>
      </c>
      <c r="U78" s="327">
        <f ca="1"/>
        <v>0</v>
      </c>
      <c r="V78" s="287">
        <f ca="1"/>
        <v>3873136.7135999999</v>
      </c>
      <c r="W78" s="288">
        <f ca="1"/>
        <v>226893.68658077109</v>
      </c>
      <c r="X78" s="288">
        <f ca="1"/>
        <v>216370.30470085924</v>
      </c>
      <c r="Y78" s="288">
        <f ca="1"/>
        <v>478335.7161204986</v>
      </c>
      <c r="Z78" s="288"/>
      <c r="AA78" s="288"/>
      <c r="AB78" s="288"/>
      <c r="AC78" s="288"/>
      <c r="AD78" s="288"/>
      <c r="AE78" s="288"/>
      <c r="AF78" s="288"/>
      <c r="AG78" s="288"/>
      <c r="AH78" s="288"/>
      <c r="AI78" s="288"/>
      <c r="AJ78" s="288"/>
      <c r="AK78" s="288"/>
      <c r="AL78" s="288"/>
      <c r="AM78" s="288"/>
      <c r="AN78" s="288"/>
      <c r="AO78" s="282"/>
    </row>
    <row r="79" spans="8:41" x14ac:dyDescent="0.2">
      <c r="H79" s="319">
        <v>74</v>
      </c>
      <c r="I79" s="289">
        <f ca="1"/>
        <v>3773925.600801487</v>
      </c>
      <c r="J79" s="316">
        <f ca="1"/>
        <v>-1368525.6232938748</v>
      </c>
      <c r="K79" s="316">
        <f ca="1"/>
        <v>-1268365.8013284844</v>
      </c>
      <c r="M79" s="374">
        <f ca="1"/>
        <v>43983</v>
      </c>
      <c r="N79" s="282">
        <f ca="1"/>
        <v>4855216.2949999999</v>
      </c>
      <c r="O79" s="325">
        <f ca="1"/>
        <v>-1268365.8013284844</v>
      </c>
      <c r="P79" s="287">
        <f ca="1"/>
        <v>-1368525.6232938748</v>
      </c>
      <c r="Q79" s="288"/>
      <c r="R79" s="288"/>
      <c r="S79" s="288"/>
      <c r="T79" s="325">
        <f ca="1"/>
        <v>2636891.4246223592</v>
      </c>
      <c r="U79" s="327">
        <f ca="1"/>
        <v>0</v>
      </c>
      <c r="V79" s="287">
        <f ca="1"/>
        <v>4249700.4153999994</v>
      </c>
      <c r="W79" s="288">
        <f ca="1"/>
        <v>344665.61365652987</v>
      </c>
      <c r="X79" s="288">
        <f ca="1"/>
        <v>1382.8530792824984</v>
      </c>
      <c r="Y79" s="288">
        <f ca="1"/>
        <v>446542.5199941594</v>
      </c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288"/>
      <c r="AO79" s="282"/>
    </row>
    <row r="80" spans="8:41" x14ac:dyDescent="0.2">
      <c r="H80" s="319">
        <v>75</v>
      </c>
      <c r="I80" s="289">
        <f ca="1"/>
        <v>6723914.1877151271</v>
      </c>
      <c r="J80" s="316">
        <f ca="1"/>
        <v>-1313707.4563575641</v>
      </c>
      <c r="K80" s="316">
        <f ca="1"/>
        <v>-1213547.634392173</v>
      </c>
      <c r="M80" s="374">
        <f ca="1"/>
        <v>43990</v>
      </c>
      <c r="N80" s="282">
        <f ca="1"/>
        <v>6452035.4610000001</v>
      </c>
      <c r="O80" s="325">
        <f ca="1"/>
        <v>-1213547.634392173</v>
      </c>
      <c r="P80" s="287">
        <f ca="1"/>
        <v>-1313707.4563575641</v>
      </c>
      <c r="Q80" s="288"/>
      <c r="R80" s="288"/>
      <c r="S80" s="288"/>
      <c r="T80" s="325">
        <f ca="1"/>
        <v>2527255.0907497369</v>
      </c>
      <c r="U80" s="327">
        <f ca="1"/>
        <v>0</v>
      </c>
      <c r="V80" s="287">
        <f ca="1"/>
        <v>4745424.9611999998</v>
      </c>
      <c r="W80" s="288">
        <f ca="1"/>
        <v>2697456.9231304098</v>
      </c>
      <c r="X80" s="288">
        <f ca="1"/>
        <v>395.1004473251038</v>
      </c>
      <c r="Y80" s="288">
        <f ca="1"/>
        <v>494184.83732956578</v>
      </c>
      <c r="Z80" s="288"/>
      <c r="AA80" s="288"/>
      <c r="AB80" s="288"/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288"/>
      <c r="AO80" s="282"/>
    </row>
    <row r="81" spans="8:41" x14ac:dyDescent="0.2">
      <c r="H81" s="319">
        <v>76</v>
      </c>
      <c r="I81" s="289">
        <f ca="1"/>
        <v>5649810.8847017959</v>
      </c>
      <c r="J81" s="316">
        <f ca="1"/>
        <v>-1316652.0439916407</v>
      </c>
      <c r="K81" s="316">
        <f ca="1"/>
        <v>-1216492.2220262503</v>
      </c>
      <c r="M81" s="374">
        <f ca="1"/>
        <v>43997</v>
      </c>
      <c r="N81" s="282">
        <f ca="1"/>
        <v>6185776.523</v>
      </c>
      <c r="O81" s="325">
        <f ca="1"/>
        <v>-1216492.2220262503</v>
      </c>
      <c r="P81" s="287">
        <f ca="1"/>
        <v>-1316652.0439916407</v>
      </c>
      <c r="Q81" s="288"/>
      <c r="R81" s="288"/>
      <c r="S81" s="288"/>
      <c r="T81" s="325">
        <f ca="1"/>
        <v>2533144.266017891</v>
      </c>
      <c r="U81" s="327">
        <f ca="1"/>
        <v>0</v>
      </c>
      <c r="V81" s="287">
        <f ca="1"/>
        <v>5892788.8271999992</v>
      </c>
      <c r="W81" s="288">
        <f ca="1"/>
        <v>162911.07965603637</v>
      </c>
      <c r="X81" s="288">
        <f ca="1"/>
        <v>0</v>
      </c>
      <c r="Y81" s="288">
        <f ca="1"/>
        <v>810603.19987201004</v>
      </c>
      <c r="Z81" s="288"/>
      <c r="AA81" s="288"/>
      <c r="AB81" s="288"/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  <c r="AO81" s="282"/>
    </row>
    <row r="82" spans="8:41" x14ac:dyDescent="0.2">
      <c r="H82" s="319">
        <v>77</v>
      </c>
      <c r="I82" s="289">
        <f ca="1"/>
        <v>4818292.1851520818</v>
      </c>
      <c r="J82" s="316">
        <f ca="1"/>
        <v>-1366262.065141794</v>
      </c>
      <c r="K82" s="316">
        <f ca="1"/>
        <v>-1266102.2431764035</v>
      </c>
      <c r="M82" s="374">
        <f ca="1"/>
        <v>44004</v>
      </c>
      <c r="N82" s="282">
        <f ca="1"/>
        <v>4558502.4340000004</v>
      </c>
      <c r="O82" s="325">
        <f ca="1"/>
        <v>-1266102.2431764035</v>
      </c>
      <c r="P82" s="287">
        <f ca="1"/>
        <v>-1366262.065141794</v>
      </c>
      <c r="Q82" s="288"/>
      <c r="R82" s="288"/>
      <c r="S82" s="288"/>
      <c r="T82" s="325">
        <f ca="1"/>
        <v>2632364.3083181977</v>
      </c>
      <c r="U82" s="327">
        <f ca="1"/>
        <v>0</v>
      </c>
      <c r="V82" s="287">
        <f ca="1"/>
        <v>4919696.7093999991</v>
      </c>
      <c r="W82" s="288">
        <f ca="1"/>
        <v>88136.583525950206</v>
      </c>
      <c r="X82" s="288">
        <f ca="1"/>
        <v>0</v>
      </c>
      <c r="Y82" s="288">
        <f ca="1"/>
        <v>1076561.135402536</v>
      </c>
      <c r="Z82" s="288"/>
      <c r="AA82" s="288"/>
      <c r="AB82" s="288"/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288"/>
      <c r="AO82" s="282"/>
    </row>
    <row r="83" spans="8:41" x14ac:dyDescent="0.2">
      <c r="H83" s="319">
        <v>78</v>
      </c>
      <c r="I83" s="289">
        <f ca="1"/>
        <v>4255200.4321604697</v>
      </c>
      <c r="J83" s="316">
        <f ca="1"/>
        <v>-1757826.8347533257</v>
      </c>
      <c r="K83" s="316">
        <f ca="1"/>
        <v>-1657667.0127879344</v>
      </c>
      <c r="M83" s="374">
        <f ca="1"/>
        <v>44011</v>
      </c>
      <c r="N83" s="282">
        <f ca="1"/>
        <v>4176359.0189999999</v>
      </c>
      <c r="O83" s="325">
        <f ca="1"/>
        <v>-1657667.0127879344</v>
      </c>
      <c r="P83" s="287">
        <f ca="1"/>
        <v>-1757826.8347533257</v>
      </c>
      <c r="Q83" s="288"/>
      <c r="R83" s="288"/>
      <c r="S83" s="288"/>
      <c r="T83" s="325">
        <f ca="1"/>
        <v>3415493.8475412601</v>
      </c>
      <c r="U83" s="327">
        <f ca="1"/>
        <v>0</v>
      </c>
      <c r="V83" s="287">
        <f ca="1"/>
        <v>4834358.6896000002</v>
      </c>
      <c r="W83" s="288">
        <f ca="1"/>
        <v>291575.27339753916</v>
      </c>
      <c r="X83" s="288">
        <f ca="1"/>
        <v>0</v>
      </c>
      <c r="Y83" s="288">
        <f ca="1"/>
        <v>786933.48195086478</v>
      </c>
      <c r="Z83" s="288"/>
      <c r="AA83" s="288"/>
      <c r="AB83" s="288"/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288"/>
      <c r="AO83" s="282"/>
    </row>
    <row r="84" spans="8:41" x14ac:dyDescent="0.2">
      <c r="H84" s="319">
        <v>79</v>
      </c>
      <c r="I84" s="289">
        <f ca="1"/>
        <v>6829225.6861091116</v>
      </c>
      <c r="J84" s="316">
        <f ca="1"/>
        <v>-1472979.3558179429</v>
      </c>
      <c r="K84" s="316">
        <f ca="1"/>
        <v>-1372819.5338525511</v>
      </c>
      <c r="M84" s="374">
        <f ca="1"/>
        <v>44018</v>
      </c>
      <c r="N84" s="282">
        <f ca="1"/>
        <v>6637140.6370000001</v>
      </c>
      <c r="O84" s="325">
        <f ca="1"/>
        <v>-1372819.5338525511</v>
      </c>
      <c r="P84" s="287">
        <f ca="1"/>
        <v>-1472979.3558179429</v>
      </c>
      <c r="Q84" s="288"/>
      <c r="R84" s="288"/>
      <c r="S84" s="288"/>
      <c r="T84" s="325">
        <f ca="1"/>
        <v>2845798.889670494</v>
      </c>
      <c r="U84" s="327">
        <f ca="1"/>
        <v>0</v>
      </c>
      <c r="V84" s="287">
        <f ca="1"/>
        <v>7139045.2848911295</v>
      </c>
      <c r="W84" s="288">
        <f ca="1"/>
        <v>537871.47071799554</v>
      </c>
      <c r="X84" s="288">
        <f ca="1"/>
        <v>0</v>
      </c>
      <c r="Y84" s="288">
        <f ca="1"/>
        <v>525128.46435253811</v>
      </c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82"/>
    </row>
    <row r="85" spans="8:41" x14ac:dyDescent="0.2">
      <c r="H85" s="319">
        <v>80</v>
      </c>
      <c r="I85" s="289">
        <f ca="1"/>
        <v>4223990.0228554988</v>
      </c>
      <c r="J85" s="316">
        <f ca="1"/>
        <v>-1444248.2807071337</v>
      </c>
      <c r="K85" s="316">
        <f ca="1"/>
        <v>-1344088.4587417422</v>
      </c>
      <c r="M85" s="374">
        <f ca="1"/>
        <v>44025</v>
      </c>
      <c r="N85" s="282">
        <f ca="1"/>
        <v>5108492.5549999997</v>
      </c>
      <c r="O85" s="325">
        <f ca="1"/>
        <v>-1344088.4587417422</v>
      </c>
      <c r="P85" s="287">
        <f ca="1"/>
        <v>-1444248.2807071337</v>
      </c>
      <c r="Q85" s="288"/>
      <c r="R85" s="288"/>
      <c r="S85" s="288"/>
      <c r="T85" s="325">
        <f ca="1"/>
        <v>2788336.7394488761</v>
      </c>
      <c r="U85" s="327">
        <f ca="1"/>
        <v>0</v>
      </c>
      <c r="V85" s="287">
        <f ca="1"/>
        <v>4870293.5137999998</v>
      </c>
      <c r="W85" s="288">
        <f ca="1"/>
        <v>260339.40675335223</v>
      </c>
      <c r="X85" s="288">
        <f ca="1"/>
        <v>0</v>
      </c>
      <c r="Y85" s="288">
        <f ca="1"/>
        <v>437445.56104388967</v>
      </c>
      <c r="Z85" s="288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2"/>
    </row>
    <row r="86" spans="8:41" x14ac:dyDescent="0.2">
      <c r="H86" s="319">
        <v>81</v>
      </c>
      <c r="I86" s="289">
        <f ca="1"/>
        <v>4976977.4308808586</v>
      </c>
      <c r="J86" s="316">
        <f ca="1"/>
        <v>-1448169.9723528696</v>
      </c>
      <c r="K86" s="316">
        <f ca="1"/>
        <v>-1348010.1503874799</v>
      </c>
      <c r="M86" s="374">
        <f ca="1"/>
        <v>44032</v>
      </c>
      <c r="N86" s="282">
        <f ca="1"/>
        <v>4614863.0949999997</v>
      </c>
      <c r="O86" s="325">
        <f ca="1"/>
        <v>-1348010.1503874799</v>
      </c>
      <c r="P86" s="287">
        <f ca="1"/>
        <v>-1448169.9723528696</v>
      </c>
      <c r="Q86" s="288"/>
      <c r="R86" s="288"/>
      <c r="S86" s="288"/>
      <c r="T86" s="325">
        <f ca="1"/>
        <v>2796180.1227403497</v>
      </c>
      <c r="U86" s="327">
        <f ca="1"/>
        <v>0</v>
      </c>
      <c r="V86" s="287">
        <f ca="1"/>
        <v>4788101.2035999997</v>
      </c>
      <c r="W86" s="288">
        <f ca="1"/>
        <v>997057.96896546031</v>
      </c>
      <c r="X86" s="288">
        <f ca="1"/>
        <v>0</v>
      </c>
      <c r="Y86" s="288">
        <f ca="1"/>
        <v>539828.4087028784</v>
      </c>
      <c r="Z86" s="288"/>
      <c r="AA86" s="288"/>
      <c r="AB86" s="288"/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288"/>
      <c r="AO86" s="282"/>
    </row>
    <row r="87" spans="8:41" x14ac:dyDescent="0.2">
      <c r="H87" s="319">
        <v>82</v>
      </c>
      <c r="I87" s="289">
        <f ca="1"/>
        <v>6217132.5832293304</v>
      </c>
      <c r="J87" s="316">
        <f ca="1"/>
        <v>-1459859.0199650577</v>
      </c>
      <c r="K87" s="316">
        <f ca="1"/>
        <v>-1359699.1979996674</v>
      </c>
      <c r="M87" s="374">
        <f ca="1"/>
        <v>44039</v>
      </c>
      <c r="N87" s="282">
        <f ca="1"/>
        <v>4186855.895</v>
      </c>
      <c r="O87" s="325">
        <f ca="1"/>
        <v>-1359699.1979996674</v>
      </c>
      <c r="P87" s="287">
        <f ca="1"/>
        <v>-1459859.0199650577</v>
      </c>
      <c r="Q87" s="288"/>
      <c r="R87" s="288"/>
      <c r="S87" s="288"/>
      <c r="T87" s="325">
        <f ca="1"/>
        <v>2819558.2179647251</v>
      </c>
      <c r="U87" s="327">
        <f ca="1"/>
        <v>0</v>
      </c>
      <c r="V87" s="287">
        <f ca="1"/>
        <v>4881828.3777999999</v>
      </c>
      <c r="W87" s="288">
        <f ca="1"/>
        <v>1866510.8013760522</v>
      </c>
      <c r="X87" s="288">
        <f ca="1"/>
        <v>98534.568899999998</v>
      </c>
      <c r="Y87" s="288">
        <f ca="1"/>
        <v>729958.03315294534</v>
      </c>
      <c r="Z87" s="288"/>
      <c r="AA87" s="288"/>
      <c r="AB87" s="288"/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288"/>
      <c r="AO87" s="282"/>
    </row>
    <row r="88" spans="8:41" x14ac:dyDescent="0.2">
      <c r="H88" s="369">
        <v>83</v>
      </c>
      <c r="I88" s="370">
        <f ca="1"/>
        <v>10935270.88386783</v>
      </c>
      <c r="J88" s="316">
        <f ca="1"/>
        <v>-1440324.006370398</v>
      </c>
      <c r="K88" s="316">
        <f ca="1"/>
        <v>-1340164.1844050083</v>
      </c>
      <c r="M88" s="375">
        <f ca="1"/>
        <v>44046</v>
      </c>
      <c r="N88" s="288">
        <f ca="1"/>
        <v>11887165.029999999</v>
      </c>
      <c r="O88" s="327">
        <f ca="1"/>
        <v>-1340164.1844050083</v>
      </c>
      <c r="P88" s="288">
        <f ca="1"/>
        <v>-1440324.006370398</v>
      </c>
      <c r="Q88" s="288"/>
      <c r="R88" s="288"/>
      <c r="S88" s="288"/>
      <c r="T88" s="327">
        <f ca="1"/>
        <v>2780488.1907754065</v>
      </c>
      <c r="U88" s="327">
        <f ca="1"/>
        <v>0</v>
      </c>
      <c r="V88" s="288">
        <f ca="1"/>
        <v>5570129.8377999999</v>
      </c>
      <c r="W88" s="288">
        <f ca="1"/>
        <v>4344482.60343464</v>
      </c>
      <c r="X88" s="288">
        <f ca="1"/>
        <v>693475.4666895296</v>
      </c>
      <c r="Y88" s="288">
        <f ca="1"/>
        <v>1667347.1603486687</v>
      </c>
      <c r="Z88" s="288"/>
      <c r="AA88" s="288"/>
      <c r="AB88" s="288"/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88"/>
    </row>
    <row r="89" spans="8:41" x14ac:dyDescent="0.2">
      <c r="H89" s="369">
        <v>84</v>
      </c>
      <c r="I89" s="370">
        <f ca="1"/>
        <v>6528702.0812265528</v>
      </c>
      <c r="J89" s="316">
        <f ca="1"/>
        <v>-1447233.9143569763</v>
      </c>
      <c r="K89" s="316">
        <f ca="1"/>
        <v>-1347074.0923915859</v>
      </c>
      <c r="M89" s="375">
        <f ca="1"/>
        <v>44053</v>
      </c>
      <c r="N89" s="288">
        <f ca="1"/>
        <v>6924504.2340000002</v>
      </c>
      <c r="O89" s="327">
        <f ca="1"/>
        <v>-1347074.0923915859</v>
      </c>
      <c r="P89" s="288">
        <f ca="1"/>
        <v>-1447233.9143569763</v>
      </c>
      <c r="Q89" s="288"/>
      <c r="R89" s="288"/>
      <c r="S89" s="288"/>
      <c r="T89" s="327">
        <f ca="1"/>
        <v>2794308.0067485622</v>
      </c>
      <c r="U89" s="327">
        <f ca="1"/>
        <v>0</v>
      </c>
      <c r="V89" s="288">
        <f ca="1"/>
        <v>5434480.8165999996</v>
      </c>
      <c r="W89" s="288">
        <f ca="1"/>
        <v>263834.45852500288</v>
      </c>
      <c r="X89" s="288">
        <f ca="1"/>
        <v>832170.56002743554</v>
      </c>
      <c r="Y89" s="288">
        <f ca="1"/>
        <v>1345290.3384657006</v>
      </c>
      <c r="Z89" s="288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</row>
    <row r="90" spans="8:41" x14ac:dyDescent="0.2">
      <c r="H90" s="369">
        <v>85</v>
      </c>
      <c r="I90" s="370">
        <f ca="1"/>
        <v>7943241.8660616027</v>
      </c>
      <c r="J90" s="316">
        <f ca="1"/>
        <v>-1088683.3216557188</v>
      </c>
      <c r="K90" s="316">
        <f ca="1"/>
        <v>-988523.49969032872</v>
      </c>
      <c r="M90" s="375">
        <f ca="1"/>
        <v>44060</v>
      </c>
      <c r="N90" s="288">
        <f ca="1"/>
        <v>6052938.5219999999</v>
      </c>
      <c r="O90" s="327">
        <f ca="1"/>
        <v>-988523.49969032872</v>
      </c>
      <c r="P90" s="288">
        <f ca="1"/>
        <v>-1088683.3216557188</v>
      </c>
      <c r="Q90" s="288"/>
      <c r="R90" s="288"/>
      <c r="S90" s="288"/>
      <c r="T90" s="327">
        <f ca="1"/>
        <v>2077206.8213460476</v>
      </c>
      <c r="U90" s="327">
        <f ca="1"/>
        <v>0</v>
      </c>
      <c r="V90" s="288">
        <f ca="1"/>
        <v>5744805.6401999993</v>
      </c>
      <c r="W90" s="288">
        <f ca="1"/>
        <v>677357.59443634003</v>
      </c>
      <c r="X90" s="288">
        <f ca="1"/>
        <v>859909.5786950168</v>
      </c>
      <c r="Y90" s="288">
        <f ca="1"/>
        <v>1649692.5524205745</v>
      </c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88"/>
    </row>
    <row r="91" spans="8:41" x14ac:dyDescent="0.2">
      <c r="H91" s="369">
        <v>86</v>
      </c>
      <c r="I91" s="370">
        <f ca="1"/>
        <v>8558263.0145086031</v>
      </c>
      <c r="J91" s="316">
        <f ca="1"/>
        <v>-1061111.7601249933</v>
      </c>
      <c r="K91" s="316">
        <f ca="1"/>
        <v>-960951.93815960176</v>
      </c>
      <c r="M91" s="375">
        <f ca="1"/>
        <v>44067</v>
      </c>
      <c r="N91" s="288">
        <f ca="1"/>
        <v>8866605.5690000001</v>
      </c>
      <c r="O91" s="327">
        <f ca="1"/>
        <v>-960951.93815960176</v>
      </c>
      <c r="P91" s="288">
        <f ca="1"/>
        <v>-1061111.7601249933</v>
      </c>
      <c r="Q91" s="288"/>
      <c r="R91" s="288"/>
      <c r="S91" s="288"/>
      <c r="T91" s="327">
        <f ca="1"/>
        <v>2022063.698284595</v>
      </c>
      <c r="U91" s="327">
        <f ca="1"/>
        <v>0</v>
      </c>
      <c r="V91" s="288">
        <f ca="1"/>
        <v>5629434.5800000001</v>
      </c>
      <c r="W91" s="288">
        <f ca="1"/>
        <v>276512.11240001005</v>
      </c>
      <c r="X91" s="288">
        <f ca="1"/>
        <v>1418270.6590285329</v>
      </c>
      <c r="Y91" s="288">
        <f ca="1"/>
        <v>2194997.6012396612</v>
      </c>
      <c r="Z91" s="288"/>
      <c r="AA91" s="288"/>
      <c r="AB91" s="288"/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88"/>
    </row>
    <row r="92" spans="8:41" x14ac:dyDescent="0.2">
      <c r="H92" s="369">
        <v>87</v>
      </c>
      <c r="I92" s="370">
        <f ca="1"/>
        <v>6714004.6786351893</v>
      </c>
      <c r="J92" s="316">
        <f ca="1"/>
        <v>-1082635.3347322121</v>
      </c>
      <c r="K92" s="316">
        <f ca="1"/>
        <v>-982475.51276682131</v>
      </c>
      <c r="M92" s="375">
        <f ca="1"/>
        <v>44074</v>
      </c>
      <c r="N92" s="288">
        <f ca="1"/>
        <v>7204538.9910000004</v>
      </c>
      <c r="O92" s="327">
        <f ca="1"/>
        <v>-982475.51276682131</v>
      </c>
      <c r="P92" s="288">
        <f ca="1"/>
        <v>-1082635.3347322121</v>
      </c>
      <c r="Q92" s="288"/>
      <c r="R92" s="288"/>
      <c r="S92" s="288"/>
      <c r="T92" s="327">
        <f ca="1"/>
        <v>2065110.8474990334</v>
      </c>
      <c r="U92" s="327">
        <f ca="1"/>
        <v>0</v>
      </c>
      <c r="V92" s="288">
        <f ca="1"/>
        <v>5521200.3329999996</v>
      </c>
      <c r="W92" s="288">
        <f ca="1"/>
        <v>425440.31006421923</v>
      </c>
      <c r="X92" s="288">
        <f ca="1"/>
        <v>171981.91573900334</v>
      </c>
      <c r="Y92" s="288">
        <f ca="1"/>
        <v>1577857.632598788</v>
      </c>
      <c r="Z92" s="288"/>
      <c r="AA92" s="288"/>
      <c r="AB92" s="288"/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</row>
    <row r="93" spans="8:41" x14ac:dyDescent="0.2">
      <c r="H93" s="369">
        <v>88</v>
      </c>
      <c r="I93" s="370">
        <f ca="1"/>
        <v>6614515.6246858379</v>
      </c>
      <c r="J93" s="316">
        <f ca="1"/>
        <v>-1405607.4407504112</v>
      </c>
      <c r="K93" s="316">
        <f ca="1"/>
        <v>-1305447.61878502</v>
      </c>
      <c r="M93" s="375">
        <f ca="1"/>
        <v>44081</v>
      </c>
      <c r="N93" s="288">
        <f ca="1"/>
        <v>4865201.1169999996</v>
      </c>
      <c r="O93" s="327">
        <f ca="1"/>
        <v>-1305447.61878502</v>
      </c>
      <c r="P93" s="288">
        <f ca="1"/>
        <v>-1405607.4407504112</v>
      </c>
      <c r="Q93" s="288"/>
      <c r="R93" s="288"/>
      <c r="S93" s="288"/>
      <c r="T93" s="327">
        <f ca="1"/>
        <v>2711055.0595354312</v>
      </c>
      <c r="U93" s="327">
        <f ca="1"/>
        <v>0</v>
      </c>
      <c r="V93" s="288">
        <f ca="1"/>
        <v>5622365.2957999995</v>
      </c>
      <c r="W93" s="288">
        <f ca="1"/>
        <v>384263.24589263031</v>
      </c>
      <c r="X93" s="288">
        <f ca="1"/>
        <v>131821.39130109741</v>
      </c>
      <c r="Y93" s="288">
        <f ca="1"/>
        <v>1781513.310477131</v>
      </c>
      <c r="Z93" s="288"/>
      <c r="AA93" s="288"/>
      <c r="AB93" s="288"/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</row>
    <row r="94" spans="8:41" x14ac:dyDescent="0.2">
      <c r="H94" s="369">
        <v>89</v>
      </c>
      <c r="I94" s="370">
        <f ca="1"/>
        <v>6628375.9929427123</v>
      </c>
      <c r="J94" s="316">
        <f ca="1"/>
        <v>-1205231.782854673</v>
      </c>
      <c r="K94" s="316">
        <f ca="1"/>
        <v>-1105071.9608892808</v>
      </c>
      <c r="M94" s="375">
        <f ca="1"/>
        <v>44088</v>
      </c>
      <c r="N94" s="288">
        <f ca="1"/>
        <v>5956462.568</v>
      </c>
      <c r="O94" s="327">
        <f ca="1"/>
        <v>-1105071.9608892808</v>
      </c>
      <c r="P94" s="288">
        <f ca="1"/>
        <v>-1205231.782854673</v>
      </c>
      <c r="Q94" s="288"/>
      <c r="R94" s="288"/>
      <c r="S94" s="288"/>
      <c r="T94" s="327">
        <f ca="1"/>
        <v>2310303.7437439538</v>
      </c>
      <c r="U94" s="327">
        <f ca="1"/>
        <v>0</v>
      </c>
      <c r="V94" s="288">
        <f ca="1"/>
        <v>5708311.6266000001</v>
      </c>
      <c r="W94" s="288">
        <f ca="1"/>
        <v>646816.56296294089</v>
      </c>
      <c r="X94" s="288">
        <f ca="1"/>
        <v>5547.8037335162371</v>
      </c>
      <c r="Y94" s="288">
        <f ca="1"/>
        <v>1372771.9605355354</v>
      </c>
      <c r="Z94" s="288"/>
      <c r="AA94" s="288"/>
      <c r="AB94" s="288"/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</row>
    <row r="95" spans="8:41" x14ac:dyDescent="0.2">
      <c r="H95" s="369">
        <v>90</v>
      </c>
      <c r="I95" s="370">
        <f ca="1"/>
        <v>7004035.6071968097</v>
      </c>
      <c r="J95" s="316">
        <f ca="1"/>
        <v>-1153915.0725336303</v>
      </c>
      <c r="K95" s="316">
        <f ca="1"/>
        <v>-1053755.2505682399</v>
      </c>
      <c r="M95" s="375">
        <f ca="1"/>
        <v>44095</v>
      </c>
      <c r="N95" s="288">
        <f ca="1"/>
        <v>6710774.4939999999</v>
      </c>
      <c r="O95" s="327">
        <f ca="1"/>
        <v>-1053755.2505682399</v>
      </c>
      <c r="P95" s="288">
        <f ca="1"/>
        <v>-1153915.0725336303</v>
      </c>
      <c r="Q95" s="288"/>
      <c r="R95" s="288"/>
      <c r="S95" s="288"/>
      <c r="T95" s="327">
        <f ca="1"/>
        <v>2207670.3231018702</v>
      </c>
      <c r="U95" s="327">
        <f ca="1"/>
        <v>0</v>
      </c>
      <c r="V95" s="288">
        <f ca="1"/>
        <v>5871138.1475999998</v>
      </c>
      <c r="W95" s="288">
        <f ca="1"/>
        <v>696332.67737539648</v>
      </c>
      <c r="X95" s="288">
        <f ca="1"/>
        <v>0</v>
      </c>
      <c r="Y95" s="288">
        <f ca="1"/>
        <v>1490320.0327896532</v>
      </c>
      <c r="Z95" s="288"/>
      <c r="AA95" s="288"/>
      <c r="AB95" s="288"/>
      <c r="AC95" s="288"/>
      <c r="AD95" s="288"/>
      <c r="AE95" s="288"/>
      <c r="AF95" s="288"/>
      <c r="AG95" s="288"/>
      <c r="AH95" s="288"/>
      <c r="AI95" s="288"/>
      <c r="AJ95" s="288"/>
      <c r="AK95" s="288"/>
      <c r="AL95" s="288"/>
      <c r="AM95" s="288"/>
      <c r="AN95" s="288"/>
      <c r="AO95" s="288"/>
    </row>
    <row r="96" spans="8:41" x14ac:dyDescent="0.2">
      <c r="H96" s="369">
        <v>91</v>
      </c>
      <c r="I96" s="370">
        <f ca="1"/>
        <v>6437217.2475569462</v>
      </c>
      <c r="J96" s="316">
        <f ca="1"/>
        <v>-1135609.1265183014</v>
      </c>
      <c r="K96" s="316">
        <f ca="1"/>
        <v>-1035449.3045529108</v>
      </c>
      <c r="M96" s="375">
        <f ca="1"/>
        <v>44102</v>
      </c>
      <c r="N96" s="288">
        <f ca="1"/>
        <v>7833490.9129999997</v>
      </c>
      <c r="O96" s="327">
        <f ca="1"/>
        <v>-1035449.3045529108</v>
      </c>
      <c r="P96" s="288">
        <f ca="1"/>
        <v>-1135609.1265183014</v>
      </c>
      <c r="Q96" s="288"/>
      <c r="R96" s="288"/>
      <c r="S96" s="288"/>
      <c r="T96" s="327">
        <f ca="1"/>
        <v>2171058.4310712125</v>
      </c>
      <c r="U96" s="327">
        <f ca="1"/>
        <v>0</v>
      </c>
      <c r="V96" s="288">
        <f ca="1"/>
        <v>5842583.4389999993</v>
      </c>
      <c r="W96" s="288">
        <f ca="1"/>
        <v>373835.44370551489</v>
      </c>
      <c r="X96" s="288">
        <f ca="1"/>
        <v>0</v>
      </c>
      <c r="Y96" s="288">
        <f ca="1"/>
        <v>1256247.6694043428</v>
      </c>
      <c r="Z96" s="288"/>
      <c r="AA96" s="288"/>
      <c r="AB96" s="288"/>
      <c r="AC96" s="288"/>
      <c r="AD96" s="288"/>
      <c r="AE96" s="288"/>
      <c r="AF96" s="288"/>
      <c r="AG96" s="288"/>
      <c r="AH96" s="288"/>
      <c r="AI96" s="288"/>
      <c r="AJ96" s="288"/>
      <c r="AK96" s="288"/>
      <c r="AL96" s="288"/>
      <c r="AM96" s="288"/>
      <c r="AN96" s="288"/>
      <c r="AO96" s="288"/>
    </row>
    <row r="97" spans="1:41" x14ac:dyDescent="0.2">
      <c r="H97" s="369">
        <v>92</v>
      </c>
      <c r="I97" s="370">
        <f ca="1"/>
        <v>6847310.7707425198</v>
      </c>
      <c r="J97" s="316">
        <f ca="1"/>
        <v>-1153031.8398939001</v>
      </c>
      <c r="K97" s="316">
        <f ca="1"/>
        <v>-1052872.017928509</v>
      </c>
      <c r="M97" s="375">
        <f ca="1"/>
        <v>44109</v>
      </c>
      <c r="N97" s="288">
        <f ca="1"/>
        <v>6215606.9249999998</v>
      </c>
      <c r="O97" s="327">
        <f ca="1"/>
        <v>-1052872.017928509</v>
      </c>
      <c r="P97" s="288">
        <f ca="1"/>
        <v>-1153031.8398939001</v>
      </c>
      <c r="Q97" s="288"/>
      <c r="R97" s="288"/>
      <c r="S97" s="288"/>
      <c r="T97" s="327">
        <f ca="1"/>
        <v>2205903.8578224089</v>
      </c>
      <c r="U97" s="327">
        <f ca="1"/>
        <v>0</v>
      </c>
      <c r="V97" s="288">
        <f ca="1"/>
        <v>5989321.0057999995</v>
      </c>
      <c r="W97" s="288">
        <f ca="1"/>
        <v>688953.6361353026</v>
      </c>
      <c r="X97" s="288">
        <f ca="1"/>
        <v>0</v>
      </c>
      <c r="Y97" s="288">
        <f ca="1"/>
        <v>1221908.1467357271</v>
      </c>
      <c r="Z97" s="288"/>
      <c r="AA97" s="288"/>
      <c r="AB97" s="288"/>
      <c r="AC97" s="288"/>
      <c r="AD97" s="288"/>
      <c r="AE97" s="288"/>
      <c r="AF97" s="288"/>
      <c r="AG97" s="288"/>
      <c r="AH97" s="288"/>
      <c r="AI97" s="288"/>
      <c r="AJ97" s="288"/>
      <c r="AK97" s="288"/>
      <c r="AL97" s="288"/>
      <c r="AM97" s="288"/>
      <c r="AN97" s="288"/>
      <c r="AO97" s="288"/>
    </row>
    <row r="98" spans="1:41" x14ac:dyDescent="0.2">
      <c r="H98" s="369">
        <v>93</v>
      </c>
      <c r="I98" s="370">
        <f ca="1"/>
        <v>6487454.4122910984</v>
      </c>
      <c r="J98" s="316">
        <f ca="1"/>
        <v>-1193199.1003282862</v>
      </c>
      <c r="K98" s="316">
        <f ca="1"/>
        <v>-1093039.2783628963</v>
      </c>
      <c r="M98" s="375">
        <f ca="1"/>
        <v>44116</v>
      </c>
      <c r="N98" s="288">
        <f ca="1"/>
        <v>6647592.642</v>
      </c>
      <c r="O98" s="327">
        <f ca="1"/>
        <v>-1093039.2783628963</v>
      </c>
      <c r="P98" s="288">
        <f ca="1"/>
        <v>-1193199.1003282862</v>
      </c>
      <c r="Q98" s="288"/>
      <c r="R98" s="288"/>
      <c r="S98" s="288"/>
      <c r="T98" s="327">
        <f ca="1"/>
        <v>2286238.3786911825</v>
      </c>
      <c r="U98" s="327">
        <f ca="1"/>
        <v>0</v>
      </c>
      <c r="V98" s="288">
        <f ca="1"/>
        <v>5735638.8363999994</v>
      </c>
      <c r="W98" s="288">
        <f ca="1"/>
        <v>480155.46434188425</v>
      </c>
      <c r="X98" s="288">
        <f ca="1"/>
        <v>209219.24979999999</v>
      </c>
      <c r="Y98" s="288">
        <f ca="1"/>
        <v>1155480.1401121099</v>
      </c>
      <c r="Z98" s="288"/>
      <c r="AA98" s="288"/>
      <c r="AB98" s="288"/>
      <c r="AC98" s="288"/>
      <c r="AD98" s="288"/>
      <c r="AE98" s="288"/>
      <c r="AF98" s="288"/>
      <c r="AG98" s="288"/>
      <c r="AH98" s="288"/>
      <c r="AI98" s="288"/>
      <c r="AJ98" s="288"/>
      <c r="AK98" s="288"/>
      <c r="AL98" s="288"/>
      <c r="AM98" s="288"/>
      <c r="AN98" s="288"/>
      <c r="AO98" s="288"/>
    </row>
    <row r="99" spans="1:41" x14ac:dyDescent="0.2">
      <c r="H99" s="369">
        <v>94</v>
      </c>
      <c r="I99" s="370">
        <f ca="1"/>
        <v>6160723.7968787989</v>
      </c>
      <c r="J99" s="316">
        <f ca="1"/>
        <v>-1116664.7307170024</v>
      </c>
      <c r="K99" s="316">
        <f ca="1"/>
        <v>-1016504.9087516125</v>
      </c>
      <c r="M99" s="375">
        <f ca="1"/>
        <v>44123</v>
      </c>
      <c r="N99" s="288">
        <f ca="1"/>
        <v>6008982.1279999996</v>
      </c>
      <c r="O99" s="327">
        <f ca="1"/>
        <v>-1016504.9087516125</v>
      </c>
      <c r="P99" s="288">
        <f ca="1"/>
        <v>-1116664.7307170024</v>
      </c>
      <c r="Q99" s="288"/>
      <c r="R99" s="288"/>
      <c r="S99" s="288"/>
      <c r="T99" s="327">
        <f ca="1"/>
        <v>2133169.6394686149</v>
      </c>
      <c r="U99" s="327">
        <f ca="1"/>
        <v>0</v>
      </c>
      <c r="V99" s="288">
        <f ca="1"/>
        <v>5539033.1348000001</v>
      </c>
      <c r="W99" s="288">
        <f ca="1"/>
        <v>402423.80828076677</v>
      </c>
      <c r="X99" s="288">
        <f ca="1"/>
        <v>0</v>
      </c>
      <c r="Y99" s="288">
        <f ca="1"/>
        <v>1235771.7625496446</v>
      </c>
      <c r="Z99" s="288"/>
      <c r="AA99" s="288"/>
      <c r="AB99" s="288"/>
      <c r="AC99" s="288"/>
      <c r="AD99" s="288"/>
      <c r="AE99" s="288"/>
      <c r="AF99" s="288"/>
      <c r="AG99" s="288"/>
      <c r="AH99" s="288"/>
      <c r="AI99" s="288"/>
      <c r="AJ99" s="288"/>
      <c r="AK99" s="288"/>
      <c r="AL99" s="288"/>
      <c r="AM99" s="288"/>
      <c r="AN99" s="288"/>
      <c r="AO99" s="288"/>
    </row>
    <row r="100" spans="1:41" x14ac:dyDescent="0.2">
      <c r="H100" s="369">
        <v>95</v>
      </c>
      <c r="I100" s="370">
        <f ca="1"/>
        <v>7314951.0989504503</v>
      </c>
      <c r="J100" s="316">
        <f ca="1"/>
        <v>-1134663.689593815</v>
      </c>
      <c r="K100" s="316">
        <f ca="1"/>
        <v>-1034503.8676284244</v>
      </c>
      <c r="M100" s="375">
        <f ca="1"/>
        <v>44130</v>
      </c>
      <c r="N100" s="288">
        <f ca="1"/>
        <v>8869583.0580000002</v>
      </c>
      <c r="O100" s="327">
        <f ca="1"/>
        <v>-1034503.8676284244</v>
      </c>
      <c r="P100" s="288">
        <f ca="1"/>
        <v>-1134663.689593815</v>
      </c>
      <c r="Q100" s="288"/>
      <c r="R100" s="288"/>
      <c r="S100" s="288"/>
      <c r="T100" s="327">
        <f ca="1"/>
        <v>2169167.5572222397</v>
      </c>
      <c r="U100" s="327">
        <f ca="1"/>
        <v>0</v>
      </c>
      <c r="V100" s="288">
        <f ca="1"/>
        <v>5952041.0356000001</v>
      </c>
      <c r="W100" s="288">
        <f ca="1"/>
        <v>792071.26868742961</v>
      </c>
      <c r="X100" s="288">
        <f ca="1"/>
        <v>0</v>
      </c>
      <c r="Y100" s="288">
        <f ca="1"/>
        <v>1605342.6622914444</v>
      </c>
      <c r="Z100" s="288"/>
      <c r="AA100" s="288"/>
      <c r="AB100" s="288"/>
      <c r="AC100" s="288"/>
      <c r="AD100" s="288"/>
      <c r="AE100" s="288"/>
      <c r="AF100" s="288"/>
      <c r="AG100" s="288"/>
      <c r="AH100" s="288"/>
      <c r="AI100" s="288"/>
      <c r="AJ100" s="288"/>
      <c r="AK100" s="288"/>
      <c r="AL100" s="288"/>
      <c r="AM100" s="288"/>
      <c r="AN100" s="288"/>
      <c r="AO100" s="288"/>
    </row>
    <row r="101" spans="1:41" x14ac:dyDescent="0.2">
      <c r="H101" s="369">
        <v>96</v>
      </c>
      <c r="I101" s="370">
        <f ca="1"/>
        <v>7884628.9040706037</v>
      </c>
      <c r="J101" s="316">
        <f ca="1"/>
        <v>-1109651.45473307</v>
      </c>
      <c r="K101" s="316">
        <f ca="1"/>
        <v>-1009491.6327676801</v>
      </c>
      <c r="M101" s="375">
        <f ca="1"/>
        <v>44137</v>
      </c>
      <c r="N101" s="288">
        <f ca="1"/>
        <v>6830886.6129999999</v>
      </c>
      <c r="O101" s="327">
        <f ca="1"/>
        <v>-1009491.6327676801</v>
      </c>
      <c r="P101" s="288">
        <f ca="1"/>
        <v>-1109651.45473307</v>
      </c>
      <c r="Q101" s="288"/>
      <c r="R101" s="288"/>
      <c r="S101" s="288"/>
      <c r="T101" s="327">
        <f ca="1"/>
        <v>2119143.0875007501</v>
      </c>
      <c r="U101" s="327">
        <f ca="1"/>
        <v>0</v>
      </c>
      <c r="V101" s="288">
        <f ca="1"/>
        <v>6006265.9309999999</v>
      </c>
      <c r="W101" s="288">
        <f ca="1"/>
        <v>674682.31619959313</v>
      </c>
      <c r="X101" s="288">
        <f ca="1"/>
        <v>169187.79972000001</v>
      </c>
      <c r="Y101" s="288">
        <f ca="1"/>
        <v>2043984.4899186902</v>
      </c>
      <c r="Z101" s="288"/>
      <c r="AA101" s="288"/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288"/>
      <c r="AM101" s="288"/>
      <c r="AN101" s="288"/>
      <c r="AO101" s="288"/>
    </row>
    <row r="102" spans="1:41" x14ac:dyDescent="0.2">
      <c r="H102" s="369">
        <v>97</v>
      </c>
      <c r="I102" s="370">
        <f ca="1"/>
        <v>9893323.206721846</v>
      </c>
      <c r="J102" s="316">
        <f ca="1"/>
        <v>-1219441.9889595166</v>
      </c>
      <c r="K102" s="316">
        <f ca="1"/>
        <v>-1119282.1669941247</v>
      </c>
      <c r="M102" s="375">
        <f ca="1"/>
        <v>44144</v>
      </c>
      <c r="N102" s="288">
        <f ca="1"/>
        <v>9528321.3900000006</v>
      </c>
      <c r="O102" s="327">
        <f ca="1"/>
        <v>-1119282.1669941247</v>
      </c>
      <c r="P102" s="288">
        <f ca="1"/>
        <v>-1219441.9889595166</v>
      </c>
      <c r="Q102" s="288"/>
      <c r="R102" s="288"/>
      <c r="S102" s="288"/>
      <c r="T102" s="327">
        <f ca="1"/>
        <v>2338724.155953641</v>
      </c>
      <c r="U102" s="327">
        <f ca="1"/>
        <v>0</v>
      </c>
      <c r="V102" s="288">
        <f ca="1"/>
        <v>6713862.6141999997</v>
      </c>
      <c r="W102" s="288">
        <f ca="1"/>
        <v>624938.87071938999</v>
      </c>
      <c r="X102" s="288">
        <f ca="1"/>
        <v>1168467.2616000003</v>
      </c>
      <c r="Y102" s="288">
        <f ca="1"/>
        <v>2505336.6271965802</v>
      </c>
      <c r="Z102" s="288"/>
      <c r="AA102" s="288"/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288"/>
      <c r="AM102" s="288"/>
      <c r="AN102" s="288"/>
      <c r="AO102" s="288"/>
    </row>
    <row r="103" spans="1:41" x14ac:dyDescent="0.2">
      <c r="H103" s="369">
        <v>98</v>
      </c>
      <c r="I103" s="370">
        <f ca="1"/>
        <v>10027474.206315799</v>
      </c>
      <c r="J103" s="316">
        <f ca="1"/>
        <v>-1166665.5174215585</v>
      </c>
      <c r="K103" s="316">
        <f ca="1"/>
        <v>-1066505.6954561658</v>
      </c>
      <c r="M103" s="375">
        <f ca="1"/>
        <v>44151</v>
      </c>
      <c r="N103" s="288">
        <f ca="1"/>
        <v>9021896.3000000007</v>
      </c>
      <c r="O103" s="327">
        <f ca="1"/>
        <v>-1066505.6954561658</v>
      </c>
      <c r="P103" s="288">
        <f ca="1"/>
        <v>-1166665.5174215585</v>
      </c>
      <c r="Q103" s="288"/>
      <c r="R103" s="288"/>
      <c r="S103" s="288"/>
      <c r="T103" s="327">
        <f ca="1"/>
        <v>2233171.2128777243</v>
      </c>
      <c r="U103" s="327">
        <f ca="1"/>
        <v>0</v>
      </c>
      <c r="V103" s="288">
        <f ca="1"/>
        <v>6085484.2966</v>
      </c>
      <c r="W103" s="288">
        <f ca="1"/>
        <v>257808.71087807431</v>
      </c>
      <c r="X103" s="288">
        <f ca="1"/>
        <v>1168467.2616000003</v>
      </c>
      <c r="Y103" s="288">
        <f ca="1"/>
        <v>3582219.63269389</v>
      </c>
      <c r="Z103" s="288"/>
      <c r="AA103" s="288"/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288"/>
      <c r="AM103" s="288"/>
      <c r="AN103" s="288"/>
      <c r="AO103" s="288"/>
    </row>
    <row r="104" spans="1:41" x14ac:dyDescent="0.2">
      <c r="H104" s="369">
        <v>99</v>
      </c>
      <c r="I104" s="370">
        <f ca="1"/>
        <v>12462285.992871461</v>
      </c>
      <c r="J104" s="316">
        <f ca="1"/>
        <v>-2090080.1453832411</v>
      </c>
      <c r="K104" s="316">
        <f ca="1"/>
        <v>-1989920.3234178517</v>
      </c>
      <c r="M104" s="375">
        <f ca="1"/>
        <v>44158</v>
      </c>
      <c r="N104" s="288">
        <f ca="1"/>
        <v>11920200.32</v>
      </c>
      <c r="O104" s="327">
        <f ca="1"/>
        <v>-1989920.3234178517</v>
      </c>
      <c r="P104" s="288">
        <f ca="1"/>
        <v>-2090080.1453832411</v>
      </c>
      <c r="Q104" s="288"/>
      <c r="R104" s="288"/>
      <c r="S104" s="288"/>
      <c r="T104" s="327">
        <f ca="1"/>
        <v>4080000.4688010928</v>
      </c>
      <c r="U104" s="327">
        <f ca="1"/>
        <v>0</v>
      </c>
      <c r="V104" s="288">
        <f ca="1"/>
        <v>8239832.1449999996</v>
      </c>
      <c r="W104" s="288">
        <f ca="1"/>
        <v>343046.75031950447</v>
      </c>
      <c r="X104" s="288">
        <f ca="1"/>
        <v>0</v>
      </c>
      <c r="Y104" s="288">
        <f ca="1"/>
        <v>5869327.4209698094</v>
      </c>
      <c r="Z104" s="288"/>
      <c r="AA104" s="288"/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288"/>
      <c r="AM104" s="288"/>
      <c r="AN104" s="288"/>
      <c r="AO104" s="288"/>
    </row>
    <row r="105" spans="1:41" x14ac:dyDescent="0.2">
      <c r="H105" s="369">
        <v>100</v>
      </c>
      <c r="I105" s="370">
        <f ca="1"/>
        <v>12114792.030415427</v>
      </c>
      <c r="J105" s="316">
        <f ca="1"/>
        <v>-1174469.4233847866</v>
      </c>
      <c r="K105" s="316">
        <f ca="1"/>
        <v>-1074309.6014193948</v>
      </c>
      <c r="M105" s="375">
        <f ca="1"/>
        <v>44165</v>
      </c>
      <c r="N105" s="288">
        <f ca="1"/>
        <v>14622121.83</v>
      </c>
      <c r="O105" s="327">
        <f ca="1"/>
        <v>-1074309.6014193948</v>
      </c>
      <c r="P105" s="288">
        <f ca="1"/>
        <v>-1174469.4233847866</v>
      </c>
      <c r="Q105" s="288"/>
      <c r="R105" s="288"/>
      <c r="S105" s="288"/>
      <c r="T105" s="327">
        <f ca="1"/>
        <v>2248779.0248041814</v>
      </c>
      <c r="U105" s="327">
        <f ca="1"/>
        <v>0</v>
      </c>
      <c r="V105" s="288">
        <f ca="1"/>
        <v>9382766.9181999993</v>
      </c>
      <c r="W105" s="288">
        <f ca="1"/>
        <v>223734.31001997821</v>
      </c>
      <c r="X105" s="288">
        <f ca="1"/>
        <v>48528.034731114436</v>
      </c>
      <c r="Y105" s="288">
        <f ca="1"/>
        <v>3534072.3688837308</v>
      </c>
      <c r="Z105" s="288"/>
      <c r="AA105" s="288"/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288"/>
      <c r="AM105" s="288"/>
      <c r="AN105" s="288"/>
      <c r="AO105" s="288"/>
    </row>
    <row r="106" spans="1:41" x14ac:dyDescent="0.2">
      <c r="H106" s="369">
        <v>101</v>
      </c>
      <c r="I106" s="370">
        <f ca="1"/>
        <v>13287745.955758167</v>
      </c>
      <c r="J106" s="316">
        <f ca="1"/>
        <v>-1162173.7107706331</v>
      </c>
      <c r="K106" s="316">
        <f ca="1"/>
        <v>-1062013.8888052404</v>
      </c>
      <c r="M106" s="375">
        <f ca="1"/>
        <v>44172</v>
      </c>
      <c r="N106" s="288">
        <f ca="1"/>
        <v>12472911.68</v>
      </c>
      <c r="O106" s="327">
        <f ca="1"/>
        <v>-1062013.8888052404</v>
      </c>
      <c r="P106" s="288">
        <f ca="1"/>
        <v>-1162173.7107706331</v>
      </c>
      <c r="Q106" s="288"/>
      <c r="R106" s="288"/>
      <c r="S106" s="288"/>
      <c r="T106" s="327">
        <f ca="1"/>
        <v>2224187.5995758735</v>
      </c>
      <c r="U106" s="327">
        <f ca="1"/>
        <v>0</v>
      </c>
      <c r="V106" s="288">
        <f ca="1"/>
        <v>11119911.769400001</v>
      </c>
      <c r="W106" s="288">
        <f ca="1"/>
        <v>180435.45929721498</v>
      </c>
      <c r="X106" s="288">
        <f ca="1"/>
        <v>291168.20843861857</v>
      </c>
      <c r="Y106" s="288">
        <f ca="1"/>
        <v>2758244.407427574</v>
      </c>
      <c r="Z106" s="288"/>
      <c r="AA106" s="288"/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288"/>
      <c r="AM106" s="288"/>
      <c r="AN106" s="288"/>
      <c r="AO106" s="288"/>
    </row>
    <row r="107" spans="1:41" x14ac:dyDescent="0.2">
      <c r="H107" s="369">
        <v>102</v>
      </c>
      <c r="I107" s="370">
        <f ca="1"/>
        <v>13764851.832397426</v>
      </c>
      <c r="J107" s="316">
        <f ca="1"/>
        <v>-1202691.2363740986</v>
      </c>
      <c r="K107" s="316">
        <f ca="1"/>
        <v>-1102531.414408708</v>
      </c>
      <c r="M107" s="375">
        <f ca="1"/>
        <v>44179</v>
      </c>
      <c r="N107" s="288">
        <f ca="1"/>
        <v>12530145.32</v>
      </c>
      <c r="O107" s="327">
        <f ca="1"/>
        <v>-1102531.414408708</v>
      </c>
      <c r="P107" s="288">
        <f ca="1"/>
        <v>-1202691.2363740986</v>
      </c>
      <c r="Q107" s="288"/>
      <c r="R107" s="288"/>
      <c r="S107" s="288"/>
      <c r="T107" s="327">
        <f ca="1"/>
        <v>2305222.6507828068</v>
      </c>
      <c r="U107" s="327">
        <f ca="1"/>
        <v>0</v>
      </c>
      <c r="V107" s="288">
        <f ca="1"/>
        <v>10868385</v>
      </c>
      <c r="W107" s="288">
        <f ca="1"/>
        <v>188142.26251599489</v>
      </c>
      <c r="X107" s="288">
        <f ca="1"/>
        <v>788502.80366000009</v>
      </c>
      <c r="Y107" s="288">
        <f ca="1"/>
        <v>3022353.1806301386</v>
      </c>
      <c r="Z107" s="288"/>
      <c r="AA107" s="288"/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288"/>
      <c r="AM107" s="288"/>
      <c r="AN107" s="288"/>
      <c r="AO107" s="288"/>
    </row>
    <row r="108" spans="1:41" x14ac:dyDescent="0.2">
      <c r="H108" s="369">
        <v>103</v>
      </c>
      <c r="I108" s="370">
        <f ca="1"/>
        <v>13007074.379694374</v>
      </c>
      <c r="J108" s="316">
        <f ca="1"/>
        <v>-2202866.944603133</v>
      </c>
      <c r="K108" s="316">
        <f ca="1"/>
        <v>-2102707.122637745</v>
      </c>
      <c r="M108" s="375">
        <f ca="1"/>
        <v>44186</v>
      </c>
      <c r="N108" s="288">
        <f ca="1"/>
        <v>13188094.560000001</v>
      </c>
      <c r="O108" s="327">
        <f ca="1"/>
        <v>-2102707.122637745</v>
      </c>
      <c r="P108" s="288">
        <f ca="1"/>
        <v>-2202866.944603133</v>
      </c>
      <c r="Q108" s="288"/>
      <c r="R108" s="288"/>
      <c r="S108" s="288"/>
      <c r="T108" s="327">
        <f ca="1"/>
        <v>4305574.067240878</v>
      </c>
      <c r="U108" s="327">
        <f ca="1"/>
        <v>0</v>
      </c>
      <c r="V108" s="288">
        <f ca="1"/>
        <v>10631182.079987571</v>
      </c>
      <c r="W108" s="288">
        <f ca="1"/>
        <v>613622.46248412097</v>
      </c>
      <c r="X108" s="288">
        <f ca="1"/>
        <v>707934.94101000007</v>
      </c>
      <c r="Y108" s="288">
        <f ca="1"/>
        <v>3157042.0188504267</v>
      </c>
      <c r="Z108" s="288"/>
      <c r="AA108" s="288"/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288"/>
      <c r="AM108" s="288"/>
      <c r="AN108" s="288"/>
      <c r="AO108" s="288"/>
    </row>
    <row r="109" spans="1:41" x14ac:dyDescent="0.2">
      <c r="H109" s="369">
        <v>104</v>
      </c>
      <c r="I109" s="370">
        <f ca="1"/>
        <v>7072379.225291363</v>
      </c>
      <c r="J109" s="316">
        <f ca="1"/>
        <v>-2131668.1466114377</v>
      </c>
      <c r="K109" s="316">
        <f ca="1"/>
        <v>-2031508.3246460455</v>
      </c>
      <c r="M109" s="375">
        <f ca="1"/>
        <v>44193</v>
      </c>
      <c r="N109" s="288">
        <f ca="1"/>
        <v>5481824.1730000004</v>
      </c>
      <c r="O109" s="327">
        <f ca="1"/>
        <v>-2031508.3246460455</v>
      </c>
      <c r="P109" s="288">
        <f ca="1"/>
        <v>-2131668.1466114377</v>
      </c>
      <c r="Q109" s="288"/>
      <c r="R109" s="288"/>
      <c r="S109" s="288"/>
      <c r="T109" s="327">
        <f ca="1"/>
        <v>4163176.4712574831</v>
      </c>
      <c r="U109" s="327">
        <f ca="1"/>
        <v>0</v>
      </c>
      <c r="V109" s="288">
        <f ca="1"/>
        <v>6321390.977</v>
      </c>
      <c r="W109" s="288">
        <f ca="1"/>
        <v>819642.3091292266</v>
      </c>
      <c r="X109" s="288">
        <f ca="1"/>
        <v>70853.811459999997</v>
      </c>
      <c r="Y109" s="288">
        <f ca="1"/>
        <v>1892000.4523481817</v>
      </c>
      <c r="Z109" s="288"/>
      <c r="AA109" s="288"/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288"/>
      <c r="AM109" s="288"/>
      <c r="AN109" s="288"/>
      <c r="AO109" s="288"/>
    </row>
    <row r="110" spans="1:41" x14ac:dyDescent="0.2">
      <c r="H110" s="369"/>
      <c r="I110" s="370"/>
      <c r="J110" s="316"/>
      <c r="K110" s="316"/>
      <c r="M110" s="375"/>
      <c r="N110" s="288"/>
      <c r="O110" s="327"/>
      <c r="P110" s="288"/>
      <c r="Q110" s="288"/>
      <c r="R110" s="288"/>
      <c r="S110" s="288"/>
      <c r="T110" s="327"/>
      <c r="U110" s="327"/>
      <c r="V110" s="288"/>
      <c r="W110" s="288"/>
      <c r="X110" s="288"/>
      <c r="Y110" s="288"/>
      <c r="Z110" s="288"/>
      <c r="AA110" s="288"/>
      <c r="AB110" s="288"/>
      <c r="AC110" s="288"/>
      <c r="AD110" s="288"/>
      <c r="AE110" s="288"/>
      <c r="AF110" s="288"/>
      <c r="AG110" s="288"/>
      <c r="AH110" s="288"/>
      <c r="AI110" s="288"/>
      <c r="AJ110" s="288"/>
      <c r="AK110" s="288"/>
      <c r="AL110" s="288"/>
      <c r="AM110" s="288"/>
      <c r="AN110" s="288"/>
      <c r="AO110" s="288"/>
    </row>
    <row r="111" spans="1:41" s="180" customFormat="1" x14ac:dyDescent="0.2">
      <c r="A111"/>
      <c r="B111" s="281"/>
      <c r="C111"/>
      <c r="D111" s="281"/>
      <c r="F111"/>
      <c r="I111" s="329"/>
      <c r="M111" s="376"/>
      <c r="O111" s="328"/>
      <c r="P111" s="294"/>
      <c r="Q111" s="294"/>
      <c r="R111" s="294"/>
      <c r="S111" s="294"/>
      <c r="T111" s="328"/>
      <c r="U111" s="328"/>
      <c r="V111" s="294"/>
      <c r="W111" s="294"/>
      <c r="X111" s="294"/>
      <c r="Y111" s="294"/>
      <c r="Z111" s="294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4"/>
      <c r="AK111" s="294"/>
      <c r="AL111" s="294"/>
      <c r="AM111" s="294"/>
      <c r="AN111" s="294"/>
      <c r="AO111" s="294"/>
    </row>
    <row r="112" spans="1:41" x14ac:dyDescent="0.2">
      <c r="M112" s="377"/>
    </row>
    <row r="113" spans="6:13" x14ac:dyDescent="0.2">
      <c r="M113" s="377"/>
    </row>
    <row r="114" spans="6:13" x14ac:dyDescent="0.2">
      <c r="M114" s="377"/>
    </row>
    <row r="115" spans="6:13" x14ac:dyDescent="0.2">
      <c r="M115" s="377"/>
    </row>
    <row r="116" spans="6:13" x14ac:dyDescent="0.2">
      <c r="F116" s="180"/>
      <c r="M116" s="377"/>
    </row>
    <row r="117" spans="6:13" x14ac:dyDescent="0.2">
      <c r="M117" s="377"/>
    </row>
    <row r="118" spans="6:13" x14ac:dyDescent="0.2">
      <c r="M118" s="377"/>
    </row>
    <row r="119" spans="6:13" x14ac:dyDescent="0.2">
      <c r="M119" s="377"/>
    </row>
    <row r="120" spans="6:13" x14ac:dyDescent="0.2">
      <c r="M120" s="377"/>
    </row>
    <row r="121" spans="6:13" x14ac:dyDescent="0.2">
      <c r="M121" s="377"/>
    </row>
    <row r="122" spans="6:13" x14ac:dyDescent="0.2">
      <c r="M122" s="377"/>
    </row>
    <row r="123" spans="6:13" x14ac:dyDescent="0.2">
      <c r="M123" s="377"/>
    </row>
    <row r="124" spans="6:13" x14ac:dyDescent="0.2">
      <c r="M124" s="377"/>
    </row>
    <row r="125" spans="6:13" x14ac:dyDescent="0.2">
      <c r="M125" s="377"/>
    </row>
    <row r="126" spans="6:13" x14ac:dyDescent="0.2">
      <c r="M126" s="377"/>
    </row>
    <row r="127" spans="6:13" x14ac:dyDescent="0.2">
      <c r="M127" s="377"/>
    </row>
    <row r="128" spans="6:13" x14ac:dyDescent="0.2">
      <c r="M128" s="377"/>
    </row>
    <row r="129" spans="13:13" x14ac:dyDescent="0.2">
      <c r="M129" s="377"/>
    </row>
    <row r="130" spans="13:13" x14ac:dyDescent="0.2">
      <c r="M130" s="377"/>
    </row>
    <row r="131" spans="13:13" x14ac:dyDescent="0.2">
      <c r="M131" s="377"/>
    </row>
    <row r="132" spans="13:13" x14ac:dyDescent="0.2">
      <c r="M132" s="377"/>
    </row>
    <row r="133" spans="13:13" x14ac:dyDescent="0.2">
      <c r="M133" s="377"/>
    </row>
    <row r="134" spans="13:13" x14ac:dyDescent="0.2">
      <c r="M134" s="377"/>
    </row>
    <row r="135" spans="13:13" x14ac:dyDescent="0.2">
      <c r="M135" s="377"/>
    </row>
    <row r="136" spans="13:13" x14ac:dyDescent="0.2">
      <c r="M136" s="377"/>
    </row>
    <row r="137" spans="13:13" x14ac:dyDescent="0.2">
      <c r="M137" s="377"/>
    </row>
    <row r="138" spans="13:13" x14ac:dyDescent="0.2">
      <c r="M138" s="377"/>
    </row>
    <row r="139" spans="13:13" x14ac:dyDescent="0.2">
      <c r="M139" s="377"/>
    </row>
    <row r="140" spans="13:13" x14ac:dyDescent="0.2">
      <c r="M140" s="377"/>
    </row>
    <row r="141" spans="13:13" x14ac:dyDescent="0.2">
      <c r="M141" s="377"/>
    </row>
    <row r="142" spans="13:13" x14ac:dyDescent="0.2">
      <c r="M142" s="377"/>
    </row>
    <row r="143" spans="13:13" x14ac:dyDescent="0.2">
      <c r="M143" s="377"/>
    </row>
    <row r="144" spans="13:13" x14ac:dyDescent="0.2">
      <c r="M144" s="377"/>
    </row>
    <row r="145" spans="13:13" x14ac:dyDescent="0.2">
      <c r="M145" s="377"/>
    </row>
    <row r="146" spans="13:13" x14ac:dyDescent="0.2">
      <c r="M146" s="377"/>
    </row>
    <row r="147" spans="13:13" x14ac:dyDescent="0.2">
      <c r="M147" s="377"/>
    </row>
    <row r="148" spans="13:13" x14ac:dyDescent="0.2">
      <c r="M148" s="377"/>
    </row>
    <row r="149" spans="13:13" x14ac:dyDescent="0.2">
      <c r="M149" s="377"/>
    </row>
    <row r="150" spans="13:13" x14ac:dyDescent="0.2">
      <c r="M150" s="377"/>
    </row>
    <row r="151" spans="13:13" x14ac:dyDescent="0.2">
      <c r="M151" s="377"/>
    </row>
    <row r="152" spans="13:13" x14ac:dyDescent="0.2">
      <c r="M152" s="377"/>
    </row>
    <row r="153" spans="13:13" x14ac:dyDescent="0.2">
      <c r="M153" s="377"/>
    </row>
    <row r="154" spans="13:13" x14ac:dyDescent="0.2">
      <c r="M154" s="377"/>
    </row>
    <row r="155" spans="13:13" x14ac:dyDescent="0.2">
      <c r="M155" s="377"/>
    </row>
    <row r="156" spans="13:13" x14ac:dyDescent="0.2">
      <c r="M156" s="377"/>
    </row>
    <row r="157" spans="13:13" x14ac:dyDescent="0.2">
      <c r="M157" s="377"/>
    </row>
    <row r="158" spans="13:13" x14ac:dyDescent="0.2">
      <c r="M158" s="377"/>
    </row>
    <row r="159" spans="13:13" x14ac:dyDescent="0.2">
      <c r="M159" s="377"/>
    </row>
    <row r="160" spans="13:13" x14ac:dyDescent="0.2">
      <c r="M160" s="377"/>
    </row>
    <row r="161" spans="13:13" x14ac:dyDescent="0.2">
      <c r="M161" s="377"/>
    </row>
    <row r="162" spans="13:13" x14ac:dyDescent="0.2">
      <c r="M162" s="377"/>
    </row>
    <row r="163" spans="13:13" x14ac:dyDescent="0.2">
      <c r="M163" s="377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971B-6088-4D7F-B700-807A7DC82246}">
  <sheetPr>
    <tabColor theme="6"/>
  </sheetPr>
  <dimension ref="A1:Q115"/>
  <sheetViews>
    <sheetView showGridLines="0" zoomScale="85" zoomScaleNormal="85" workbookViewId="0">
      <selection activeCell="Q7" sqref="Q7"/>
    </sheetView>
  </sheetViews>
  <sheetFormatPr baseColWidth="10" defaultColWidth="9.33203125" defaultRowHeight="15" x14ac:dyDescent="0.2"/>
  <cols>
    <col min="2" max="2" width="57.33203125" customWidth="1"/>
    <col min="3" max="3" width="3.5" customWidth="1"/>
    <col min="4" max="6" width="16" style="1" customWidth="1"/>
    <col min="7" max="7" width="3.5" customWidth="1"/>
    <col min="11" max="11" width="3.5" customWidth="1"/>
    <col min="12" max="12" width="14.6640625" customWidth="1"/>
    <col min="13" max="13" width="14" customWidth="1"/>
    <col min="14" max="14" width="3.5" customWidth="1"/>
    <col min="15" max="15" width="16.5" customWidth="1"/>
    <col min="16" max="16" width="16.5" style="137" customWidth="1"/>
    <col min="21" max="23" width="18.33203125" customWidth="1"/>
  </cols>
  <sheetData>
    <row r="1" spans="1:17" x14ac:dyDescent="0.2">
      <c r="P1" s="10"/>
    </row>
    <row r="2" spans="1:17" x14ac:dyDescent="0.2">
      <c r="D2"/>
      <c r="E2"/>
      <c r="P2" s="10"/>
    </row>
    <row r="3" spans="1:17" x14ac:dyDescent="0.2">
      <c r="D3"/>
      <c r="E3"/>
      <c r="F3" s="271"/>
      <c r="P3" s="10"/>
    </row>
    <row r="4" spans="1:17" x14ac:dyDescent="0.2">
      <c r="E4" s="272" t="s">
        <v>79</v>
      </c>
      <c r="I4" s="6" t="s">
        <v>80</v>
      </c>
      <c r="L4" s="10" t="str">
        <f ca="1">J5&amp;" vs "&amp;I5&amp;" Change"</f>
        <v>Post-Covid vs 2020 Change</v>
      </c>
      <c r="P4" s="10"/>
    </row>
    <row r="5" spans="1:17" ht="20.25" customHeight="1" x14ac:dyDescent="0.2">
      <c r="B5" t="s">
        <v>24</v>
      </c>
      <c r="C5" s="4"/>
      <c r="D5" s="272" t="s">
        <v>46</v>
      </c>
      <c r="E5" s="273"/>
      <c r="F5" s="273"/>
      <c r="G5" s="4"/>
      <c r="H5" s="6" t="s">
        <v>46</v>
      </c>
      <c r="I5" s="6">
        <f ca="1">Setup!H9</f>
        <v>2020</v>
      </c>
      <c r="J5" s="6" t="str">
        <f ca="1">Setup!H10</f>
        <v>Post-Covid</v>
      </c>
      <c r="K5" s="4"/>
      <c r="L5" s="10" t="s">
        <v>81</v>
      </c>
      <c r="M5" s="62" t="s">
        <v>82</v>
      </c>
      <c r="N5" s="4"/>
      <c r="O5" s="137" t="str">
        <f>'Summary Data'!B7</f>
        <v>Group 3</v>
      </c>
      <c r="P5" s="276" t="s">
        <v>83</v>
      </c>
    </row>
    <row r="6" spans="1:17" x14ac:dyDescent="0.2">
      <c r="B6" s="66" t="s">
        <v>84</v>
      </c>
      <c r="C6" s="4"/>
      <c r="D6" s="67">
        <f ca="1">'Actual vs Predicted'!M42</f>
        <v>910770170.9789995</v>
      </c>
      <c r="E6" s="68">
        <f ca="1">'Actual vs Predicted'!M43</f>
        <v>362065284.79899985</v>
      </c>
      <c r="F6" s="69">
        <f ca="1">'Actual vs Predicted'!M44</f>
        <v>189639848.37700003</v>
      </c>
      <c r="G6" s="4"/>
      <c r="K6" s="4"/>
      <c r="L6" s="70">
        <f ca="1">F6-E6</f>
        <v>-172425436.42199981</v>
      </c>
      <c r="M6" s="71">
        <f ca="1">F6/E6-1</f>
        <v>-0.47622747515747499</v>
      </c>
      <c r="N6" s="4"/>
      <c r="P6" s="10"/>
    </row>
    <row r="7" spans="1:17" x14ac:dyDescent="0.2">
      <c r="A7" s="378"/>
      <c r="B7" s="12" t="str" cm="1">
        <f t="array" aca="1" ref="B7:B41" ca="1">TRANSPOSE(_xlfn.ANCHORARRAY('Actual vs Predicted'!W51))</f>
        <v>blackfriday_2019</v>
      </c>
      <c r="C7" s="4"/>
      <c r="D7" s="14" cm="1">
        <f t="array" aca="1" ref="D7:D41" ca="1">TRANSPOSE(_xlfn.ANCHORARRAY('Actual vs Predicted'!W42))</f>
        <v>3763559.3727743202</v>
      </c>
      <c r="E7" s="15" cm="1">
        <f t="array" aca="1" ref="E7:E41" ca="1">TRANSPOSE(_xlfn.ANCHORARRAY('Actual vs Predicted'!W43))</f>
        <v>0</v>
      </c>
      <c r="F7" s="16" cm="1">
        <f t="array" aca="1" ref="F7:F41" ca="1">TRANSPOSE(_xlfn.ANCHORARRAY('Actual vs Predicted'!W44))</f>
        <v>0</v>
      </c>
      <c r="G7" s="4"/>
      <c r="H7" s="17" cm="1">
        <f t="array" aca="1" ref="H7:H41" ca="1">_xlfn.ANCHORARRAY(D7)/D$6</f>
        <v>4.1322822076274388E-3</v>
      </c>
      <c r="I7" s="179" cm="1">
        <f t="array" aca="1" ref="I7:I41" ca="1">_xlfn.ANCHORARRAY(E7)/E$6</f>
        <v>0</v>
      </c>
      <c r="J7" s="18" cm="1">
        <f t="array" aca="1" ref="J7:J41" ca="1">_xlfn.ANCHORARRAY(F7)/F$6</f>
        <v>0</v>
      </c>
      <c r="K7" s="4"/>
      <c r="L7" s="31" cm="1">
        <f t="array" aca="1" ref="L7:L41" ca="1">_xlfn.ANCHORARRAY(F7)-_xlfn.ANCHORARRAY(E7)</f>
        <v>0</v>
      </c>
      <c r="M7" s="22" cm="1">
        <f t="array" aca="1" ref="M7:M41" ca="1">_xlfn.ANCHORARRAY(L7)/$E$6</f>
        <v>0</v>
      </c>
      <c r="N7" s="4"/>
      <c r="O7" s="24" t="str" cm="1">
        <f t="array" aca="1" ref="O7:O41" ca="1">TRANSPOSE(_xlfn.ANCHORARRAY('Actual vs Predicted'!W50))</f>
        <v>Macro</v>
      </c>
      <c r="P7" s="277" t="str" cm="1">
        <f t="array" aca="1" ref="P7:P41" ca="1">IF(ISERROR(MATCH(_xlfn.ANCHORARRAY(O7),'Summary Data'!$G$15:$G$34,0)),"Not in summary","")</f>
        <v/>
      </c>
      <c r="Q7" s="106"/>
    </row>
    <row r="8" spans="1:17" x14ac:dyDescent="0.2">
      <c r="B8" s="72" t="str">
        <f ca="1"/>
        <v>july_promo</v>
      </c>
      <c r="C8" s="4"/>
      <c r="D8" s="73">
        <f ca="1"/>
        <v>4516012.9125822596</v>
      </c>
      <c r="E8" s="74">
        <f ca="1"/>
        <v>2258006.4562911298</v>
      </c>
      <c r="F8" s="75">
        <f ca="1"/>
        <v>0</v>
      </c>
      <c r="G8" s="4"/>
      <c r="H8" s="76">
        <f ca="1"/>
        <v>4.9584550048756369E-3</v>
      </c>
      <c r="I8" s="77">
        <f ca="1"/>
        <v>6.2364621826272561E-3</v>
      </c>
      <c r="J8" s="78">
        <f ca="1"/>
        <v>0</v>
      </c>
      <c r="K8" s="4"/>
      <c r="L8" s="79">
        <f ca="1"/>
        <v>-2258006.4562911298</v>
      </c>
      <c r="M8" s="80">
        <f ca="1"/>
        <v>-6.2364621826272561E-3</v>
      </c>
      <c r="N8" s="4"/>
      <c r="O8" s="25" t="str">
        <f ca="1"/>
        <v>Macro</v>
      </c>
      <c r="P8" s="278" t="str">
        <f ca="1"/>
        <v/>
      </c>
    </row>
    <row r="9" spans="1:17" x14ac:dyDescent="0.2">
      <c r="B9" s="13" t="str">
        <f ca="1"/>
        <v>xmas_dummy</v>
      </c>
      <c r="C9" s="4"/>
      <c r="D9" s="14">
        <f ca="1"/>
        <v>-2589790.4564248598</v>
      </c>
      <c r="E9" s="15">
        <f ca="1"/>
        <v>-1294895.2282124299</v>
      </c>
      <c r="F9" s="16">
        <f ca="1"/>
        <v>-1294895.2282124299</v>
      </c>
      <c r="G9" s="4"/>
      <c r="H9" s="19">
        <f ca="1"/>
        <v>-2.8435169913843994E-3</v>
      </c>
      <c r="I9" s="20">
        <f ca="1"/>
        <v>-3.5764136540494059E-3</v>
      </c>
      <c r="J9" s="21">
        <f ca="1"/>
        <v>-6.8281810985115609E-3</v>
      </c>
      <c r="K9" s="4"/>
      <c r="L9" s="32">
        <f ca="1"/>
        <v>0</v>
      </c>
      <c r="M9" s="23">
        <f ca="1"/>
        <v>0</v>
      </c>
      <c r="N9" s="4"/>
      <c r="O9" s="26" t="str">
        <f ca="1"/>
        <v>Macro</v>
      </c>
      <c r="P9" s="278" t="str">
        <f ca="1"/>
        <v/>
      </c>
    </row>
    <row r="10" spans="1:17" x14ac:dyDescent="0.2">
      <c r="B10" s="72" t="str">
        <f ca="1"/>
        <v>flash_sale_promo</v>
      </c>
      <c r="C10" s="4"/>
      <c r="D10" s="73">
        <f ca="1"/>
        <v>7683025.3095941702</v>
      </c>
      <c r="E10" s="74">
        <f ca="1"/>
        <v>2561008.4365313901</v>
      </c>
      <c r="F10" s="75">
        <f ca="1"/>
        <v>0</v>
      </c>
      <c r="G10" s="4"/>
      <c r="H10" s="76">
        <f ca="1"/>
        <v>8.4357454321715205E-3</v>
      </c>
      <c r="I10" s="77">
        <f ca="1"/>
        <v>7.0733333021781725E-3</v>
      </c>
      <c r="J10" s="78">
        <f ca="1"/>
        <v>0</v>
      </c>
      <c r="K10" s="4"/>
      <c r="L10" s="79">
        <f ca="1"/>
        <v>-2561008.4365313901</v>
      </c>
      <c r="M10" s="80">
        <f ca="1"/>
        <v>-7.0733333021781725E-3</v>
      </c>
      <c r="N10" s="4"/>
      <c r="O10" s="25" t="str">
        <f ca="1"/>
        <v>Promotion</v>
      </c>
      <c r="P10" s="278" t="str">
        <f ca="1"/>
        <v/>
      </c>
    </row>
    <row r="11" spans="1:17" x14ac:dyDescent="0.2">
      <c r="B11" s="13" t="str">
        <f ca="1"/>
        <v>covid_trend</v>
      </c>
      <c r="C11" s="4"/>
      <c r="D11" s="14">
        <f ca="1"/>
        <v>-63046261.540429354</v>
      </c>
      <c r="E11" s="15">
        <f ca="1"/>
        <v>-63046261.540429354</v>
      </c>
      <c r="F11" s="16">
        <f ca="1"/>
        <v>-29077619.688671794</v>
      </c>
      <c r="G11" s="4"/>
      <c r="H11" s="19">
        <f ca="1"/>
        <v>-6.9223019757728835E-2</v>
      </c>
      <c r="I11" s="20">
        <f ca="1"/>
        <v>-0.1741295401337066</v>
      </c>
      <c r="J11" s="21">
        <f ca="1"/>
        <v>-0.15333074740107416</v>
      </c>
      <c r="K11" s="4"/>
      <c r="L11" s="32">
        <f ca="1"/>
        <v>33968641.851757556</v>
      </c>
      <c r="M11" s="23">
        <f ca="1"/>
        <v>9.3819107431454551E-2</v>
      </c>
      <c r="N11" s="4"/>
      <c r="O11" s="26" t="str">
        <f ca="1"/>
        <v>Covid</v>
      </c>
      <c r="P11" s="278" t="str">
        <f ca="1"/>
        <v/>
      </c>
    </row>
    <row r="12" spans="1:17" x14ac:dyDescent="0.2">
      <c r="B12" s="72" t="str">
        <f ca="1"/>
        <v>samples_quantity_distributed</v>
      </c>
      <c r="C12" s="4"/>
      <c r="D12" s="73">
        <f ca="1"/>
        <v>48489700.917944491</v>
      </c>
      <c r="E12" s="74">
        <f ca="1"/>
        <v>18552127.845816579</v>
      </c>
      <c r="F12" s="75">
        <f ca="1"/>
        <v>8780425.2121611591</v>
      </c>
      <c r="G12" s="4"/>
      <c r="H12" s="76">
        <f ca="1"/>
        <v>5.3240326114130682E-2</v>
      </c>
      <c r="I12" s="77">
        <f ca="1"/>
        <v>5.1239731133339038E-2</v>
      </c>
      <c r="J12" s="78">
        <f ca="1"/>
        <v>4.6300528540319533E-2</v>
      </c>
      <c r="K12" s="4"/>
      <c r="L12" s="79">
        <f ca="1"/>
        <v>-9771702.6336554196</v>
      </c>
      <c r="M12" s="80">
        <f ca="1"/>
        <v>-2.6988786398232489E-2</v>
      </c>
      <c r="N12" s="4"/>
      <c r="O12" s="25" t="str">
        <f ca="1"/>
        <v>Promotion</v>
      </c>
      <c r="P12" s="278" t="str">
        <f ca="1"/>
        <v/>
      </c>
    </row>
    <row r="13" spans="1:17" x14ac:dyDescent="0.2">
      <c r="B13" s="13" t="str">
        <f ca="1"/>
        <v>fbig_imp +A60</v>
      </c>
      <c r="C13" s="4"/>
      <c r="D13" s="14">
        <f ca="1"/>
        <v>58320617.468090586</v>
      </c>
      <c r="E13" s="15">
        <f ca="1"/>
        <v>34183452.616909139</v>
      </c>
      <c r="F13" s="16">
        <f ca="1"/>
        <v>20880566.214430496</v>
      </c>
      <c r="G13" s="4"/>
      <c r="H13" s="19">
        <f ca="1"/>
        <v>6.4034395642756883E-2</v>
      </c>
      <c r="I13" s="20">
        <f ca="1"/>
        <v>9.4412400337928137E-2</v>
      </c>
      <c r="J13" s="21">
        <f ca="1"/>
        <v>0.11010642748943972</v>
      </c>
      <c r="K13" s="4"/>
      <c r="L13" s="32">
        <f ca="1"/>
        <v>-13302886.402478643</v>
      </c>
      <c r="M13" s="23">
        <f ca="1"/>
        <v>-3.6741678810393891E-2</v>
      </c>
      <c r="N13" s="4"/>
      <c r="O13" s="26" t="str">
        <f ca="1"/>
        <v>Digital Media</v>
      </c>
      <c r="P13" s="278" t="str">
        <f ca="1"/>
        <v/>
      </c>
    </row>
    <row r="14" spans="1:17" x14ac:dyDescent="0.2">
      <c r="B14" s="72" t="str">
        <f ca="1"/>
        <v>outdoor_impressions +A20</v>
      </c>
      <c r="C14" s="4"/>
      <c r="D14" s="73">
        <f ca="1"/>
        <v>3461829.5297141317</v>
      </c>
      <c r="E14" s="74">
        <f ca="1"/>
        <v>3461829.5297141317</v>
      </c>
      <c r="F14" s="75">
        <f ca="1"/>
        <v>3461829.5297141317</v>
      </c>
      <c r="G14" s="4"/>
      <c r="H14" s="76">
        <f ca="1"/>
        <v>3.8009913368077953E-3</v>
      </c>
      <c r="I14" s="77">
        <f ca="1"/>
        <v>9.5613406616322314E-3</v>
      </c>
      <c r="J14" s="78">
        <f ca="1"/>
        <v>1.8254757949563889E-2</v>
      </c>
      <c r="K14" s="4"/>
      <c r="L14" s="79">
        <f ca="1"/>
        <v>0</v>
      </c>
      <c r="M14" s="80">
        <f ca="1"/>
        <v>0</v>
      </c>
      <c r="N14" s="4"/>
      <c r="O14" s="25" t="str">
        <f ca="1"/>
        <v>Traditional Media</v>
      </c>
      <c r="P14" s="278" t="str">
        <f ca="1"/>
        <v/>
      </c>
    </row>
    <row r="15" spans="1:17" x14ac:dyDescent="0.2">
      <c r="B15" s="13" t="str">
        <f ca="1"/>
        <v>new_year</v>
      </c>
      <c r="C15" s="4"/>
      <c r="D15" s="14">
        <f ca="1"/>
        <v>-488630.62359644601</v>
      </c>
      <c r="E15" s="15">
        <f ca="1"/>
        <v>-488630.62359644601</v>
      </c>
      <c r="F15" s="16">
        <f ca="1"/>
        <v>0</v>
      </c>
      <c r="G15" s="4"/>
      <c r="H15" s="19">
        <f ca="1"/>
        <v>-5.3650266463075983E-4</v>
      </c>
      <c r="I15" s="20">
        <f ca="1"/>
        <v>-1.3495649655219191E-3</v>
      </c>
      <c r="J15" s="21">
        <f ca="1"/>
        <v>0</v>
      </c>
      <c r="K15" s="4"/>
      <c r="L15" s="32">
        <f ca="1"/>
        <v>488630.62359644601</v>
      </c>
      <c r="M15" s="23">
        <f ca="1"/>
        <v>1.3495649655219191E-3</v>
      </c>
      <c r="N15" s="4"/>
      <c r="O15" s="26" t="e">
        <f ca="1"/>
        <v>#N/A</v>
      </c>
      <c r="P15" s="278" t="str">
        <f ca="1"/>
        <v>Not in summary</v>
      </c>
    </row>
    <row r="16" spans="1:17" x14ac:dyDescent="0.2">
      <c r="B16" s="72" t="str">
        <f ca="1"/>
        <v>mothersday_2019</v>
      </c>
      <c r="C16" s="4"/>
      <c r="D16" s="73">
        <f ca="1"/>
        <v>12000000</v>
      </c>
      <c r="E16" s="74">
        <f ca="1"/>
        <v>0</v>
      </c>
      <c r="F16" s="75">
        <f ca="1"/>
        <v>0</v>
      </c>
      <c r="G16" s="4"/>
      <c r="H16" s="76">
        <f ca="1"/>
        <v>1.3175662074111446E-2</v>
      </c>
      <c r="I16" s="77">
        <f ca="1"/>
        <v>0</v>
      </c>
      <c r="J16" s="78">
        <f ca="1"/>
        <v>0</v>
      </c>
      <c r="K16" s="4"/>
      <c r="L16" s="79">
        <f ca="1"/>
        <v>0</v>
      </c>
      <c r="M16" s="80">
        <f ca="1"/>
        <v>0</v>
      </c>
      <c r="N16" s="4"/>
      <c r="O16" s="25" t="str">
        <f ca="1"/>
        <v>Macro</v>
      </c>
      <c r="P16" s="278" t="str">
        <f ca="1"/>
        <v/>
      </c>
    </row>
    <row r="17" spans="2:16" x14ac:dyDescent="0.2">
      <c r="B17" s="13" t="str">
        <f ca="1"/>
        <v>week_before_vday +A30</v>
      </c>
      <c r="C17" s="4"/>
      <c r="D17" s="14">
        <f ca="1"/>
        <v>25506000</v>
      </c>
      <c r="E17" s="15">
        <f ca="1"/>
        <v>12753000</v>
      </c>
      <c r="F17" s="16">
        <f ca="1"/>
        <v>0</v>
      </c>
      <c r="G17" s="4"/>
      <c r="H17" s="19">
        <f ca="1"/>
        <v>2.8004869738523876E-2</v>
      </c>
      <c r="I17" s="20">
        <f ca="1"/>
        <v>3.5222929497589955E-2</v>
      </c>
      <c r="J17" s="21">
        <f ca="1"/>
        <v>0</v>
      </c>
      <c r="K17" s="4"/>
      <c r="L17" s="32">
        <f ca="1"/>
        <v>-12753000</v>
      </c>
      <c r="M17" s="23">
        <f ca="1"/>
        <v>-3.5222929497589955E-2</v>
      </c>
      <c r="N17" s="4"/>
      <c r="O17" s="26" t="str">
        <f ca="1"/>
        <v>Macro</v>
      </c>
      <c r="P17" s="278" t="str">
        <f ca="1"/>
        <v/>
      </c>
    </row>
    <row r="18" spans="2:16" x14ac:dyDescent="0.2">
      <c r="B18" s="72" t="str">
        <f ca="1"/>
        <v>market_sales</v>
      </c>
      <c r="C18" s="4"/>
      <c r="D18" s="73">
        <f ca="1"/>
        <v>699986566.48580003</v>
      </c>
      <c r="E18" s="74">
        <f ca="1"/>
        <v>309069964.0952</v>
      </c>
      <c r="F18" s="75">
        <f ca="1"/>
        <v>163483604.68879998</v>
      </c>
      <c r="G18" s="4"/>
      <c r="H18" s="76">
        <f ca="1"/>
        <v>0.76856553803620375</v>
      </c>
      <c r="I18" s="77">
        <f ca="1"/>
        <v>0.85363048342726333</v>
      </c>
      <c r="J18" s="78">
        <f ca="1"/>
        <v>0.8620741162152693</v>
      </c>
      <c r="K18" s="4"/>
      <c r="L18" s="79">
        <f ca="1"/>
        <v>-145586359.40640002</v>
      </c>
      <c r="M18" s="80">
        <f ca="1"/>
        <v>-0.40209974697580336</v>
      </c>
      <c r="N18" s="4"/>
      <c r="O18" s="25" t="str">
        <f ca="1"/>
        <v>Macro</v>
      </c>
      <c r="P18" s="278" t="str">
        <f ca="1"/>
        <v/>
      </c>
    </row>
    <row r="19" spans="2:16" x14ac:dyDescent="0.2">
      <c r="B19" s="13" t="str">
        <f ca="1"/>
        <v>covid_holiday_period</v>
      </c>
      <c r="C19" s="4"/>
      <c r="D19" s="14">
        <f ca="1"/>
        <v>-9194552</v>
      </c>
      <c r="E19" s="15">
        <f ca="1"/>
        <v>-9194552</v>
      </c>
      <c r="F19" s="16">
        <f ca="1"/>
        <v>-9194552</v>
      </c>
      <c r="G19" s="4"/>
      <c r="H19" s="19">
        <f ca="1"/>
        <v>-1.0095359172903795E-2</v>
      </c>
      <c r="I19" s="20">
        <f ca="1"/>
        <v>-2.5394735110007428E-2</v>
      </c>
      <c r="J19" s="21">
        <f ca="1"/>
        <v>-4.848428259508742E-2</v>
      </c>
      <c r="K19" s="4"/>
      <c r="L19" s="32">
        <f ca="1"/>
        <v>0</v>
      </c>
      <c r="M19" s="23">
        <f ca="1"/>
        <v>0</v>
      </c>
      <c r="N19" s="4"/>
      <c r="O19" s="26" t="str">
        <f ca="1"/>
        <v>Macro</v>
      </c>
      <c r="P19" s="278" t="str">
        <f ca="1"/>
        <v/>
      </c>
    </row>
    <row r="20" spans="2:16" x14ac:dyDescent="0.2">
      <c r="B20" s="72" t="str">
        <f ca="1"/>
        <v>covid_xmas</v>
      </c>
      <c r="C20" s="4"/>
      <c r="D20" s="73">
        <f ca="1"/>
        <v>-3464592</v>
      </c>
      <c r="E20" s="74">
        <f ca="1"/>
        <v>-3464592</v>
      </c>
      <c r="F20" s="75">
        <f ca="1"/>
        <v>-3464592</v>
      </c>
      <c r="G20" s="4"/>
      <c r="H20" s="76">
        <f ca="1"/>
        <v>-3.80402445138916E-3</v>
      </c>
      <c r="I20" s="77">
        <f ca="1"/>
        <v>-9.5689704190319285E-3</v>
      </c>
      <c r="J20" s="78">
        <f ca="1"/>
        <v>-1.8269324878980413E-2</v>
      </c>
      <c r="K20" s="4"/>
      <c r="L20" s="79">
        <f ca="1"/>
        <v>0</v>
      </c>
      <c r="M20" s="80">
        <f ca="1"/>
        <v>0</v>
      </c>
      <c r="N20" s="4"/>
      <c r="O20" s="25" t="str">
        <f ca="1"/>
        <v>Macro</v>
      </c>
      <c r="P20" s="278" t="str">
        <f ca="1"/>
        <v/>
      </c>
    </row>
    <row r="21" spans="2:16" x14ac:dyDescent="0.2">
      <c r="B21" s="13" t="str">
        <f ca="1"/>
        <v>total_product_launch</v>
      </c>
      <c r="C21" s="4"/>
      <c r="D21" s="14">
        <f ca="1"/>
        <v>5685636.4761772156</v>
      </c>
      <c r="E21" s="15">
        <f ca="1"/>
        <v>3177112.2350869114</v>
      </c>
      <c r="F21" s="16">
        <f ca="1"/>
        <v>1415278.7478360168</v>
      </c>
      <c r="G21" s="4"/>
      <c r="H21" s="19">
        <f ca="1"/>
        <v>6.242668740529398E-3</v>
      </c>
      <c r="I21" s="20">
        <f ca="1"/>
        <v>8.7749706157293755E-3</v>
      </c>
      <c r="J21" s="21">
        <f ca="1"/>
        <v>7.462981857180525E-3</v>
      </c>
      <c r="K21" s="4"/>
      <c r="L21" s="32">
        <f ca="1"/>
        <v>-1761833.4872508945</v>
      </c>
      <c r="M21" s="23">
        <f ca="1"/>
        <v>-4.8660657655399762E-3</v>
      </c>
      <c r="N21" s="4"/>
      <c r="O21" s="26" t="str">
        <f ca="1"/>
        <v>Promotion</v>
      </c>
      <c r="P21" s="278" t="str">
        <f ca="1"/>
        <v/>
      </c>
    </row>
    <row r="22" spans="2:16" x14ac:dyDescent="0.2">
      <c r="B22" s="72" t="str">
        <f ca="1"/>
        <v>gwp_units_distributed</v>
      </c>
      <c r="C22" s="4"/>
      <c r="D22" s="73">
        <f ca="1"/>
        <v>4187614.8853280013</v>
      </c>
      <c r="E22" s="74">
        <f ca="1"/>
        <v>182828.67780800004</v>
      </c>
      <c r="F22" s="75">
        <f ca="1"/>
        <v>182828.67780800004</v>
      </c>
      <c r="G22" s="4"/>
      <c r="H22" s="76">
        <f ca="1"/>
        <v>4.5978832188000576E-3</v>
      </c>
      <c r="I22" s="77">
        <f ca="1"/>
        <v>5.0496052917499998E-4</v>
      </c>
      <c r="J22" s="78">
        <f ca="1"/>
        <v>9.6408365315996494E-4</v>
      </c>
      <c r="K22" s="4"/>
      <c r="L22" s="79">
        <f ca="1"/>
        <v>0</v>
      </c>
      <c r="M22" s="80">
        <f ca="1"/>
        <v>0</v>
      </c>
      <c r="N22" s="4"/>
      <c r="O22" s="25" t="str">
        <f ca="1"/>
        <v>Promotion</v>
      </c>
      <c r="P22" s="278" t="str">
        <f ca="1"/>
        <v/>
      </c>
    </row>
    <row r="23" spans="2:16" x14ac:dyDescent="0.2">
      <c r="B23" s="13" t="str">
        <f ca="1"/>
        <v>friends_and_family_august_promo</v>
      </c>
      <c r="C23" s="4"/>
      <c r="D23" s="14">
        <f ca="1"/>
        <v>10000000</v>
      </c>
      <c r="E23" s="15">
        <f ca="1"/>
        <v>4000000</v>
      </c>
      <c r="F23" s="16">
        <f ca="1"/>
        <v>4000000</v>
      </c>
      <c r="G23" s="4"/>
      <c r="H23" s="19">
        <f ca="1"/>
        <v>1.0979718395092871E-2</v>
      </c>
      <c r="I23" s="20">
        <f ca="1"/>
        <v>1.1047731356571774E-2</v>
      </c>
      <c r="J23" s="21">
        <f ca="1"/>
        <v>2.1092613362820686E-2</v>
      </c>
      <c r="K23" s="4"/>
      <c r="L23" s="32">
        <f ca="1"/>
        <v>0</v>
      </c>
      <c r="M23" s="23">
        <f ca="1"/>
        <v>0</v>
      </c>
      <c r="N23" s="4"/>
      <c r="O23" s="26" t="str">
        <f ca="1"/>
        <v>Promotion</v>
      </c>
      <c r="P23" s="278" t="str">
        <f ca="1"/>
        <v/>
      </c>
    </row>
    <row r="24" spans="2:16" x14ac:dyDescent="0.2">
      <c r="B24" s="72" t="str">
        <f ca="1"/>
        <v>tv_pure_spend +L1</v>
      </c>
      <c r="C24" s="4"/>
      <c r="D24" s="73">
        <f ca="1"/>
        <v>1496437.7446700002</v>
      </c>
      <c r="E24" s="74">
        <f ca="1"/>
        <v>1496437.7446700002</v>
      </c>
      <c r="F24" s="75">
        <f ca="1"/>
        <v>1496437.7446700002</v>
      </c>
      <c r="G24" s="4"/>
      <c r="H24" s="76">
        <f ca="1"/>
        <v>1.643046503226449E-3</v>
      </c>
      <c r="I24" s="77">
        <f ca="1"/>
        <v>4.1330605487370766E-3</v>
      </c>
      <c r="J24" s="78">
        <f ca="1"/>
        <v>7.8909456924639246E-3</v>
      </c>
      <c r="K24" s="4"/>
      <c r="L24" s="79">
        <f ca="1"/>
        <v>0</v>
      </c>
      <c r="M24" s="80">
        <f ca="1"/>
        <v>0</v>
      </c>
      <c r="N24" s="4"/>
      <c r="O24" s="25" t="str">
        <f ca="1"/>
        <v>Traditional Media</v>
      </c>
      <c r="P24" s="278" t="str">
        <f ca="1"/>
        <v/>
      </c>
    </row>
    <row r="25" spans="2:16" x14ac:dyDescent="0.2">
      <c r="B25" s="13" t="str">
        <f ca="1"/>
        <v>tv_coop_spend</v>
      </c>
      <c r="C25" s="4"/>
      <c r="D25" s="14">
        <f ca="1"/>
        <v>27610949.916882001</v>
      </c>
      <c r="E25" s="15">
        <f ca="1"/>
        <v>8806816.0908000022</v>
      </c>
      <c r="F25" s="16">
        <f ca="1"/>
        <v>5258102.6772000007</v>
      </c>
      <c r="G25" s="4"/>
      <c r="H25" s="19">
        <f ca="1"/>
        <v>3.031604547083773E-2</v>
      </c>
      <c r="I25" s="20">
        <f ca="1"/>
        <v>2.4323834569473006E-2</v>
      </c>
      <c r="J25" s="21">
        <f ca="1"/>
        <v>2.7726781698047993E-2</v>
      </c>
      <c r="K25" s="4"/>
      <c r="L25" s="32">
        <f ca="1"/>
        <v>-3548713.4136000015</v>
      </c>
      <c r="M25" s="23">
        <f ca="1"/>
        <v>-9.8013081137288977E-3</v>
      </c>
      <c r="N25" s="4"/>
      <c r="O25" s="26" t="str">
        <f ca="1"/>
        <v>Traditional Media</v>
      </c>
      <c r="P25" s="278" t="str">
        <f ca="1"/>
        <v/>
      </c>
    </row>
    <row r="26" spans="2:16" x14ac:dyDescent="0.2">
      <c r="B26" s="72" t="str">
        <f ca="1"/>
        <v>tv_coop_spend_after_2020-04-13</v>
      </c>
      <c r="C26" s="4"/>
      <c r="D26" s="73">
        <f ca="1"/>
        <v>-4022892.9065</v>
      </c>
      <c r="E26" s="74">
        <f ca="1"/>
        <v>-4022892.9065</v>
      </c>
      <c r="F26" s="75">
        <f ca="1"/>
        <v>-2921168.1540000001</v>
      </c>
      <c r="G26" s="4"/>
      <c r="H26" s="76">
        <f ca="1"/>
        <v>-4.4170231246986671E-3</v>
      </c>
      <c r="I26" s="77">
        <f ca="1"/>
        <v>-1.1110960026817553E-2</v>
      </c>
      <c r="J26" s="78">
        <f ca="1"/>
        <v>-1.540376761002666E-2</v>
      </c>
      <c r="K26" s="4"/>
      <c r="L26" s="79">
        <f ca="1"/>
        <v>1101724.7524999999</v>
      </c>
      <c r="M26" s="80">
        <f ca="1"/>
        <v>3.0428897736263813E-3</v>
      </c>
      <c r="N26" s="4"/>
      <c r="O26" s="25" t="str">
        <f ca="1"/>
        <v>Traditional Media</v>
      </c>
      <c r="P26" s="278" t="str">
        <f ca="1"/>
        <v/>
      </c>
    </row>
    <row r="27" spans="2:16" x14ac:dyDescent="0.2">
      <c r="B27" s="13" t="str">
        <f ca="1"/>
        <v>print_pure_spend_before_2020-04-13</v>
      </c>
      <c r="C27" s="4"/>
      <c r="D27" s="14">
        <f ca="1"/>
        <v>5351483.6383060012</v>
      </c>
      <c r="E27" s="15">
        <f ca="1"/>
        <v>1102424.9013179999</v>
      </c>
      <c r="F27" s="16">
        <f ca="1"/>
        <v>0</v>
      </c>
      <c r="G27" s="4"/>
      <c r="H27" s="19">
        <f ca="1"/>
        <v>5.8757783344546921E-3</v>
      </c>
      <c r="I27" s="20">
        <f ca="1"/>
        <v>3.0448235376391028E-3</v>
      </c>
      <c r="J27" s="21">
        <f ca="1"/>
        <v>0</v>
      </c>
      <c r="K27" s="4"/>
      <c r="L27" s="32">
        <f ca="1"/>
        <v>-1102424.9013179999</v>
      </c>
      <c r="M27" s="23">
        <f ca="1"/>
        <v>-3.0448235376391028E-3</v>
      </c>
      <c r="N27" s="4"/>
      <c r="O27" s="26" t="str">
        <f ca="1"/>
        <v>Traditional Media</v>
      </c>
      <c r="P27" s="278" t="str">
        <f ca="1"/>
        <v/>
      </c>
    </row>
    <row r="28" spans="2:16" x14ac:dyDescent="0.2">
      <c r="B28" s="72" t="str">
        <f ca="1"/>
        <v>print_pure_spend_after_2020-04-13 +L1</v>
      </c>
      <c r="C28" s="4"/>
      <c r="D28" s="73">
        <f ca="1"/>
        <v>2107447.43102</v>
      </c>
      <c r="E28" s="74">
        <f ca="1"/>
        <v>2107447.43102</v>
      </c>
      <c r="F28" s="75">
        <f ca="1"/>
        <v>1100608.7064799999</v>
      </c>
      <c r="G28" s="4"/>
      <c r="H28" s="76">
        <f ca="1"/>
        <v>2.3139179325061508E-3</v>
      </c>
      <c r="I28" s="77">
        <f ca="1"/>
        <v>5.8206282665015712E-3</v>
      </c>
      <c r="J28" s="78">
        <f ca="1"/>
        <v>5.8036784773842099E-3</v>
      </c>
      <c r="K28" s="4"/>
      <c r="L28" s="79">
        <f ca="1"/>
        <v>-1006838.7245400001</v>
      </c>
      <c r="M28" s="80">
        <f ca="1"/>
        <v>-2.7808209370278223E-3</v>
      </c>
      <c r="N28" s="4"/>
      <c r="O28" s="25" t="str">
        <f ca="1"/>
        <v>Traditional Media</v>
      </c>
      <c r="P28" s="278" t="str">
        <f ca="1"/>
        <v/>
      </c>
    </row>
    <row r="29" spans="2:16" x14ac:dyDescent="0.2">
      <c r="B29" s="13" t="str">
        <f ca="1"/>
        <v>print_coop_spend</v>
      </c>
      <c r="C29" s="4"/>
      <c r="D29" s="14">
        <f ca="1"/>
        <v>8410229.3265758734</v>
      </c>
      <c r="E29" s="15">
        <f ca="1"/>
        <v>1468044.6502721047</v>
      </c>
      <c r="F29" s="16">
        <f ca="1"/>
        <v>339696.24316973303</v>
      </c>
      <c r="G29" s="4"/>
      <c r="H29" s="19">
        <f ca="1"/>
        <v>9.2341949643954639E-3</v>
      </c>
      <c r="I29" s="20">
        <f ca="1"/>
        <v>4.054640728914643E-3</v>
      </c>
      <c r="J29" s="21">
        <f ca="1"/>
        <v>1.7912703794954741E-3</v>
      </c>
      <c r="K29" s="4"/>
      <c r="L29" s="32">
        <f ca="1"/>
        <v>-1128348.4071023716</v>
      </c>
      <c r="M29" s="23">
        <f ca="1"/>
        <v>-3.1164225195706705E-3</v>
      </c>
      <c r="N29" s="4"/>
      <c r="O29" s="26" t="str">
        <f ca="1"/>
        <v>Traditional Media</v>
      </c>
      <c r="P29" s="278" t="str">
        <f ca="1"/>
        <v/>
      </c>
    </row>
    <row r="30" spans="2:16" x14ac:dyDescent="0.2">
      <c r="B30" s="72" t="str">
        <f ca="1"/>
        <v>google_brand_search_imp</v>
      </c>
      <c r="C30" s="4"/>
      <c r="D30" s="73">
        <f ca="1"/>
        <v>15041900.413278541</v>
      </c>
      <c r="E30" s="74">
        <f ca="1"/>
        <v>13275050.039872672</v>
      </c>
      <c r="F30" s="75">
        <f ca="1"/>
        <v>11754793.614124851</v>
      </c>
      <c r="G30" s="4"/>
      <c r="H30" s="76">
        <f ca="1"/>
        <v>1.6515583066482944E-2</v>
      </c>
      <c r="I30" s="77">
        <f ca="1"/>
        <v>3.666479664639017E-2</v>
      </c>
      <c r="J30" s="78">
        <f ca="1"/>
        <v>6.1984829215622282E-2</v>
      </c>
      <c r="K30" s="4"/>
      <c r="L30" s="79">
        <f ca="1"/>
        <v>-1520256.4257478211</v>
      </c>
      <c r="M30" s="80">
        <f ca="1"/>
        <v>-4.1988461461909829E-3</v>
      </c>
      <c r="N30" s="4"/>
      <c r="O30" s="25" t="str">
        <f ca="1"/>
        <v>Digital Media</v>
      </c>
      <c r="P30" s="278" t="str">
        <f ca="1"/>
        <v/>
      </c>
    </row>
    <row r="31" spans="2:16" x14ac:dyDescent="0.2">
      <c r="B31" s="13" t="str">
        <f ca="1"/>
        <v>google_nonbrand_search_imp</v>
      </c>
      <c r="C31" s="4"/>
      <c r="D31" s="14">
        <f ca="1"/>
        <v>8472184.3301583901</v>
      </c>
      <c r="E31" s="15">
        <f ca="1"/>
        <v>3452578.155505111</v>
      </c>
      <c r="F31" s="16">
        <f ca="1"/>
        <v>1885195.6533083145</v>
      </c>
      <c r="G31" s="4"/>
      <c r="H31" s="19">
        <f ca="1"/>
        <v>9.3022198136457641E-3</v>
      </c>
      <c r="I31" s="20">
        <f ca="1"/>
        <v>9.5357889873971379E-3</v>
      </c>
      <c r="J31" s="21">
        <f ca="1"/>
        <v>9.9409257571256085E-3</v>
      </c>
      <c r="K31" s="4"/>
      <c r="L31" s="32">
        <f ca="1"/>
        <v>-1567382.5021967965</v>
      </c>
      <c r="M31" s="23">
        <f ca="1"/>
        <v>-4.3290052043153688E-3</v>
      </c>
      <c r="N31" s="4"/>
      <c r="O31" s="26" t="str">
        <f ca="1"/>
        <v>Digital Media</v>
      </c>
      <c r="P31" s="278" t="str">
        <f ca="1"/>
        <v/>
      </c>
    </row>
    <row r="32" spans="2:16" x14ac:dyDescent="0.2">
      <c r="B32" s="72" t="str">
        <f ca="1"/>
        <v>bing_brand_search_clicks</v>
      </c>
      <c r="C32" s="4"/>
      <c r="D32" s="73">
        <f ca="1"/>
        <v>5444873.9716377631</v>
      </c>
      <c r="E32" s="74">
        <f ca="1"/>
        <v>3104861.0588903604</v>
      </c>
      <c r="F32" s="75">
        <f ca="1"/>
        <v>1449049.6513900002</v>
      </c>
      <c r="G32" s="4"/>
      <c r="H32" s="76">
        <f ca="1"/>
        <v>5.9783182905353525E-3</v>
      </c>
      <c r="I32" s="77">
        <f ca="1"/>
        <v>8.5754177195254185E-3</v>
      </c>
      <c r="J32" s="78">
        <f ca="1"/>
        <v>7.6410610100748448E-3</v>
      </c>
      <c r="K32" s="4"/>
      <c r="L32" s="79">
        <f ca="1"/>
        <v>-1655811.4075003602</v>
      </c>
      <c r="M32" s="80">
        <f ca="1"/>
        <v>-4.5732399018027425E-3</v>
      </c>
      <c r="N32" s="4"/>
      <c r="O32" s="25" t="str">
        <f ca="1"/>
        <v>Digital Media</v>
      </c>
      <c r="P32" s="278" t="str">
        <f ca="1"/>
        <v/>
      </c>
    </row>
    <row r="33" spans="2:16" x14ac:dyDescent="0.2">
      <c r="B33" s="13" t="str">
        <f ca="1"/>
        <v>pinterest_awareness_imp</v>
      </c>
      <c r="C33" s="4"/>
      <c r="D33" s="14">
        <f ca="1"/>
        <v>132428.78062338772</v>
      </c>
      <c r="E33" s="15">
        <f ca="1"/>
        <v>523.05137089760285</v>
      </c>
      <c r="F33" s="16">
        <f ca="1"/>
        <v>518.02364224398912</v>
      </c>
      <c r="G33" s="4"/>
      <c r="H33" s="19">
        <f ca="1"/>
        <v>1.4540307186503286E-4</v>
      </c>
      <c r="I33" s="20">
        <f ca="1"/>
        <v>1.4446327578408249E-6</v>
      </c>
      <c r="J33" s="21">
        <f ca="1"/>
        <v>2.7316180996631522E-6</v>
      </c>
      <c r="K33" s="4"/>
      <c r="L33" s="32">
        <f ca="1"/>
        <v>-5.0277286536137353</v>
      </c>
      <c r="M33" s="23">
        <f ca="1"/>
        <v>-1.3886248874715712E-8</v>
      </c>
      <c r="N33" s="4"/>
      <c r="O33" s="26" t="str">
        <f ca="1"/>
        <v>Digital Media</v>
      </c>
      <c r="P33" s="278" t="str">
        <f ca="1"/>
        <v/>
      </c>
    </row>
    <row r="34" spans="2:16" x14ac:dyDescent="0.2">
      <c r="B34" s="72" t="str">
        <f ca="1"/>
        <v>pinterest_conversion_imp</v>
      </c>
      <c r="C34" s="4"/>
      <c r="D34" s="73">
        <f ca="1"/>
        <v>384830.9999613071</v>
      </c>
      <c r="E34" s="74">
        <f ca="1"/>
        <v>317558.35790153017</v>
      </c>
      <c r="F34" s="75">
        <f ca="1"/>
        <v>153994.48570604488</v>
      </c>
      <c r="G34" s="4"/>
      <c r="H34" s="76">
        <f ca="1"/>
        <v>4.2253360092771476E-4</v>
      </c>
      <c r="I34" s="77">
        <f ca="1"/>
        <v>8.7707485703254415E-4</v>
      </c>
      <c r="J34" s="78">
        <f ca="1"/>
        <v>8.1203653675100543E-4</v>
      </c>
      <c r="K34" s="4"/>
      <c r="L34" s="79">
        <f ca="1"/>
        <v>-163563.87219548528</v>
      </c>
      <c r="M34" s="80">
        <f ca="1"/>
        <v>-4.517524299140902E-4</v>
      </c>
      <c r="N34" s="4"/>
      <c r="O34" s="25" t="str">
        <f ca="1"/>
        <v>Digital Media</v>
      </c>
      <c r="P34" s="278" t="str">
        <f ca="1"/>
        <v/>
      </c>
    </row>
    <row r="35" spans="2:16" x14ac:dyDescent="0.2">
      <c r="B35" s="13" t="str">
        <f ca="1"/>
        <v>snap_awareness_imp</v>
      </c>
      <c r="C35" s="4"/>
      <c r="D35" s="14">
        <f ca="1"/>
        <v>491467.86018074403</v>
      </c>
      <c r="E35" s="15">
        <f ca="1"/>
        <v>491467.86018074403</v>
      </c>
      <c r="F35" s="16">
        <f ca="1"/>
        <v>491467.86018074403</v>
      </c>
      <c r="G35" s="4"/>
      <c r="H35" s="19">
        <f ca="1"/>
        <v>5.3961787050234463E-4</v>
      </c>
      <c r="I35" s="20">
        <f ca="1"/>
        <v>1.3574012224165095E-3</v>
      </c>
      <c r="J35" s="21">
        <f ca="1"/>
        <v>2.5915853887613126E-3</v>
      </c>
      <c r="K35" s="4"/>
      <c r="L35" s="32">
        <f ca="1"/>
        <v>0</v>
      </c>
      <c r="M35" s="23">
        <f ca="1"/>
        <v>0</v>
      </c>
      <c r="N35" s="4"/>
      <c r="O35" s="26" t="str">
        <f ca="1"/>
        <v>Digital Media</v>
      </c>
      <c r="P35" s="278" t="str">
        <f ca="1"/>
        <v/>
      </c>
    </row>
    <row r="36" spans="2:16" x14ac:dyDescent="0.2">
      <c r="B36" s="72" t="str">
        <f ca="1"/>
        <v>snap_conversion_imp</v>
      </c>
      <c r="C36" s="4"/>
      <c r="D36" s="73">
        <f ca="1"/>
        <v>745147.99410099408</v>
      </c>
      <c r="E36" s="74">
        <f ca="1"/>
        <v>745147.99410099408</v>
      </c>
      <c r="F36" s="75">
        <f ca="1"/>
        <v>745147.99410099408</v>
      </c>
      <c r="G36" s="4"/>
      <c r="H36" s="76">
        <f ca="1"/>
        <v>8.1815151378972391E-4</v>
      </c>
      <c r="I36" s="77">
        <f ca="1"/>
        <v>2.0580487149290277E-3</v>
      </c>
      <c r="J36" s="78">
        <f ca="1"/>
        <v>3.929279634413415E-3</v>
      </c>
      <c r="K36" s="4"/>
      <c r="L36" s="79">
        <f ca="1"/>
        <v>0</v>
      </c>
      <c r="M36" s="80">
        <f ca="1"/>
        <v>0</v>
      </c>
      <c r="N36" s="4"/>
      <c r="O36" s="25" t="str">
        <f ca="1"/>
        <v>Digital Media</v>
      </c>
      <c r="P36" s="278" t="str">
        <f ca="1"/>
        <v/>
      </c>
    </row>
    <row r="37" spans="2:16" x14ac:dyDescent="0.2">
      <c r="B37" s="13" t="str">
        <f ca="1"/>
        <v>google_video_imp</v>
      </c>
      <c r="C37" s="4"/>
      <c r="D37" s="14">
        <f ca="1"/>
        <v>1422703.0447950629</v>
      </c>
      <c r="E37" s="15">
        <f ca="1"/>
        <v>382088.46496994433</v>
      </c>
      <c r="F37" s="16">
        <f ca="1"/>
        <v>177510.67376367297</v>
      </c>
      <c r="G37" s="4"/>
      <c r="H37" s="19">
        <f ca="1"/>
        <v>1.5620878791690988E-3</v>
      </c>
      <c r="I37" s="20">
        <f ca="1"/>
        <v>1.0553026788582074E-3</v>
      </c>
      <c r="J37" s="21">
        <f ca="1"/>
        <v>9.3604100236773804E-4</v>
      </c>
      <c r="K37" s="4"/>
      <c r="L37" s="32">
        <f ca="1"/>
        <v>-204577.79120627136</v>
      </c>
      <c r="M37" s="23">
        <f ca="1"/>
        <v>-5.6503011969192933E-4</v>
      </c>
      <c r="N37" s="4"/>
      <c r="O37" s="26" t="str">
        <f ca="1"/>
        <v>Digital Media</v>
      </c>
      <c r="P37" s="278" t="str">
        <f ca="1"/>
        <v/>
      </c>
    </row>
    <row r="38" spans="2:16" x14ac:dyDescent="0.2">
      <c r="B38" s="72" t="str">
        <f ca="1"/>
        <v>youtube_video_imp</v>
      </c>
      <c r="C38" s="4"/>
      <c r="D38" s="73">
        <f ca="1"/>
        <v>13819724.946147338</v>
      </c>
      <c r="E38" s="74">
        <f ca="1"/>
        <v>8874748.2027458381</v>
      </c>
      <c r="F38" s="75">
        <f ca="1"/>
        <v>5960215.3558499012</v>
      </c>
      <c r="G38" s="4"/>
      <c r="H38" s="76">
        <f ca="1"/>
        <v>1.5173668820633776E-2</v>
      </c>
      <c r="I38" s="77">
        <f ca="1"/>
        <v>2.4511458500288547E-2</v>
      </c>
      <c r="J38" s="78">
        <f ca="1"/>
        <v>3.1429129515022171E-2</v>
      </c>
      <c r="K38" s="4"/>
      <c r="L38" s="79">
        <f ca="1"/>
        <v>-2914532.8468959369</v>
      </c>
      <c r="M38" s="80">
        <f ca="1"/>
        <v>-8.0497439806026597E-3</v>
      </c>
      <c r="N38" s="4"/>
      <c r="O38" s="25" t="str">
        <f ca="1"/>
        <v>Digital Media</v>
      </c>
      <c r="P38" s="278" t="str">
        <f ca="1"/>
        <v/>
      </c>
    </row>
    <row r="39" spans="2:16" x14ac:dyDescent="0.2">
      <c r="B39" s="13" t="str">
        <f ca="1"/>
        <v>nongoogle_video_spend</v>
      </c>
      <c r="C39" s="4"/>
      <c r="D39" s="14">
        <f ca="1"/>
        <v>12223.981338167039</v>
      </c>
      <c r="E39" s="15">
        <f ca="1"/>
        <v>9485.193838679199</v>
      </c>
      <c r="F39" s="16">
        <f ca="1"/>
        <v>8947.2098416135996</v>
      </c>
      <c r="G39" s="4"/>
      <c r="H39" s="19">
        <f ca="1"/>
        <v>1.3421587275994461E-5</v>
      </c>
      <c r="I39" s="20">
        <f ca="1"/>
        <v>2.6197468348684393E-5</v>
      </c>
      <c r="J39" s="21">
        <f ca="1"/>
        <v>4.7180009466294948E-5</v>
      </c>
      <c r="K39" s="4"/>
      <c r="L39" s="32">
        <f ca="1"/>
        <v>-537.9839970655994</v>
      </c>
      <c r="M39" s="23">
        <f ca="1"/>
        <v>-1.4858756684288598E-6</v>
      </c>
      <c r="N39" s="4"/>
      <c r="O39" s="26" t="str">
        <f ca="1"/>
        <v>Digital Media</v>
      </c>
      <c r="P39" s="278" t="str">
        <f ca="1"/>
        <v/>
      </c>
    </row>
    <row r="40" spans="2:16" x14ac:dyDescent="0.2">
      <c r="B40" s="72" t="str">
        <f ca="1"/>
        <v>google_display_imp</v>
      </c>
      <c r="C40" s="4"/>
      <c r="D40" s="73">
        <f ca="1"/>
        <v>8610552.7607084755</v>
      </c>
      <c r="E40" s="74">
        <f ca="1"/>
        <v>5726895.5873763477</v>
      </c>
      <c r="F40" s="75">
        <f ca="1"/>
        <v>4411714.8325491231</v>
      </c>
      <c r="G40" s="4"/>
      <c r="H40" s="76">
        <f ca="1"/>
        <v>9.454144453866855E-3</v>
      </c>
      <c r="I40" s="77">
        <f ca="1"/>
        <v>1.5817300989117551E-2</v>
      </c>
      <c r="J40" s="78">
        <f ca="1"/>
        <v>2.3263648807494968E-2</v>
      </c>
      <c r="K40" s="4"/>
      <c r="L40" s="79">
        <f ca="1"/>
        <v>-1315180.7548272246</v>
      </c>
      <c r="M40" s="80">
        <f ca="1"/>
        <v>-3.6324409161661159E-3</v>
      </c>
      <c r="N40" s="4"/>
      <c r="O40" s="25" t="str">
        <f ca="1"/>
        <v>Digital Media</v>
      </c>
      <c r="P40" s="278" t="str">
        <f ca="1"/>
        <v/>
      </c>
    </row>
    <row r="41" spans="2:16" x14ac:dyDescent="0.2">
      <c r="B41" s="13" t="str">
        <f ca="1"/>
        <v>nongoogle_display_spend</v>
      </c>
      <c r="C41" s="4"/>
      <c r="D41" s="14">
        <f ca="1"/>
        <v>5118.5231588185497</v>
      </c>
      <c r="E41" s="15">
        <f ca="1"/>
        <v>155.75667320733001</v>
      </c>
      <c r="F41" s="16">
        <f ca="1"/>
        <v>0</v>
      </c>
      <c r="G41" s="4"/>
      <c r="H41" s="19">
        <f ca="1"/>
        <v>5.6199942882588897E-6</v>
      </c>
      <c r="I41" s="20">
        <f ca="1"/>
        <v>4.301894706469806E-7</v>
      </c>
      <c r="J41" s="21">
        <f ca="1"/>
        <v>0</v>
      </c>
      <c r="K41" s="4"/>
      <c r="L41" s="32">
        <f ca="1"/>
        <v>-155.75667320733001</v>
      </c>
      <c r="M41" s="23">
        <f ca="1"/>
        <v>-4.301894706469806E-7</v>
      </c>
      <c r="N41" s="4"/>
      <c r="O41" s="26" t="str">
        <f ca="1"/>
        <v>Digital Media</v>
      </c>
      <c r="P41" s="278" t="str">
        <f ca="1"/>
        <v/>
      </c>
    </row>
    <row r="42" spans="2:16" x14ac:dyDescent="0.2">
      <c r="B42" s="72"/>
      <c r="C42" s="4"/>
      <c r="D42" s="73"/>
      <c r="E42" s="74"/>
      <c r="F42" s="75"/>
      <c r="G42" s="4"/>
      <c r="H42" s="76"/>
      <c r="I42" s="77"/>
      <c r="J42" s="78"/>
      <c r="K42" s="4"/>
      <c r="L42" s="79"/>
      <c r="M42" s="80"/>
      <c r="N42" s="4"/>
      <c r="O42" s="25"/>
      <c r="P42" s="278"/>
    </row>
    <row r="43" spans="2:16" x14ac:dyDescent="0.2">
      <c r="B43" s="13"/>
      <c r="C43" s="4"/>
      <c r="D43" s="14"/>
      <c r="E43" s="15"/>
      <c r="F43" s="16"/>
      <c r="G43" s="4"/>
      <c r="H43" s="19"/>
      <c r="I43" s="20"/>
      <c r="J43" s="21"/>
      <c r="K43" s="4"/>
      <c r="L43" s="32"/>
      <c r="M43" s="23"/>
      <c r="N43" s="4"/>
      <c r="O43" s="26"/>
      <c r="P43" s="278"/>
    </row>
    <row r="44" spans="2:16" x14ac:dyDescent="0.2">
      <c r="B44" s="72"/>
      <c r="C44" s="4"/>
      <c r="D44" s="73"/>
      <c r="E44" s="74"/>
      <c r="F44" s="75"/>
      <c r="G44" s="4"/>
      <c r="H44" s="76"/>
      <c r="I44" s="77"/>
      <c r="J44" s="78"/>
      <c r="K44" s="4"/>
      <c r="L44" s="79"/>
      <c r="M44" s="80"/>
      <c r="N44" s="4"/>
      <c r="O44" s="25"/>
      <c r="P44" s="278"/>
    </row>
    <row r="45" spans="2:16" x14ac:dyDescent="0.2">
      <c r="B45" s="13"/>
      <c r="C45" s="4"/>
      <c r="D45" s="14"/>
      <c r="E45" s="15"/>
      <c r="F45" s="16"/>
      <c r="G45" s="4"/>
      <c r="H45" s="19"/>
      <c r="I45" s="20"/>
      <c r="J45" s="21"/>
      <c r="K45" s="4"/>
      <c r="L45" s="32"/>
      <c r="M45" s="23"/>
      <c r="N45" s="4"/>
      <c r="O45" s="26"/>
      <c r="P45" s="278"/>
    </row>
    <row r="46" spans="2:16" x14ac:dyDescent="0.2">
      <c r="B46" s="72"/>
      <c r="C46" s="4"/>
      <c r="D46" s="73"/>
      <c r="E46" s="74"/>
      <c r="F46" s="75"/>
      <c r="G46" s="4"/>
      <c r="H46" s="76"/>
      <c r="I46" s="77"/>
      <c r="J46" s="78"/>
      <c r="K46" s="4"/>
      <c r="L46" s="79"/>
      <c r="M46" s="80"/>
      <c r="N46" s="4"/>
      <c r="O46" s="25"/>
      <c r="P46" s="278"/>
    </row>
    <row r="47" spans="2:16" x14ac:dyDescent="0.2">
      <c r="B47" s="13"/>
      <c r="C47" s="4"/>
      <c r="D47" s="14"/>
      <c r="E47" s="15"/>
      <c r="F47" s="16"/>
      <c r="G47" s="4"/>
      <c r="H47" s="19"/>
      <c r="I47" s="20"/>
      <c r="J47" s="21"/>
      <c r="K47" s="4"/>
      <c r="L47" s="32"/>
      <c r="M47" s="23"/>
      <c r="N47" s="4"/>
      <c r="O47" s="26"/>
      <c r="P47" s="278"/>
    </row>
    <row r="48" spans="2:16" x14ac:dyDescent="0.2">
      <c r="B48" s="72"/>
      <c r="C48" s="4"/>
      <c r="D48" s="73"/>
      <c r="E48" s="74"/>
      <c r="F48" s="75"/>
      <c r="G48" s="4"/>
      <c r="H48" s="76"/>
      <c r="I48" s="77"/>
      <c r="J48" s="78"/>
      <c r="K48" s="4"/>
      <c r="L48" s="79"/>
      <c r="M48" s="80"/>
      <c r="N48" s="4"/>
      <c r="O48" s="25"/>
      <c r="P48" s="278"/>
    </row>
    <row r="49" spans="2:16" x14ac:dyDescent="0.2">
      <c r="B49" s="13"/>
      <c r="C49" s="4"/>
      <c r="D49" s="14"/>
      <c r="E49" s="15"/>
      <c r="F49" s="16"/>
      <c r="G49" s="4"/>
      <c r="H49" s="19"/>
      <c r="I49" s="20"/>
      <c r="J49" s="21"/>
      <c r="K49" s="4"/>
      <c r="L49" s="32"/>
      <c r="M49" s="23"/>
      <c r="N49" s="4"/>
      <c r="O49" s="26"/>
      <c r="P49" s="278"/>
    </row>
    <row r="50" spans="2:16" x14ac:dyDescent="0.2">
      <c r="B50" s="72"/>
      <c r="C50" s="4"/>
      <c r="D50" s="73"/>
      <c r="E50" s="74"/>
      <c r="F50" s="75"/>
      <c r="G50" s="4"/>
      <c r="H50" s="76"/>
      <c r="I50" s="77"/>
      <c r="J50" s="78"/>
      <c r="K50" s="4"/>
      <c r="L50" s="79"/>
      <c r="M50" s="80"/>
      <c r="N50" s="4"/>
      <c r="O50" s="25"/>
      <c r="P50" s="278"/>
    </row>
    <row r="51" spans="2:16" x14ac:dyDescent="0.2">
      <c r="B51" s="13"/>
      <c r="C51" s="4"/>
      <c r="D51" s="14"/>
      <c r="E51" s="15"/>
      <c r="F51" s="16"/>
      <c r="G51" s="4"/>
      <c r="H51" s="19"/>
      <c r="I51" s="20"/>
      <c r="J51" s="21"/>
      <c r="K51" s="4"/>
      <c r="L51" s="32"/>
      <c r="M51" s="23"/>
      <c r="N51" s="4"/>
      <c r="O51" s="26"/>
      <c r="P51" s="278"/>
    </row>
    <row r="52" spans="2:16" x14ac:dyDescent="0.2">
      <c r="B52" s="72"/>
      <c r="C52" s="4"/>
      <c r="D52" s="73"/>
      <c r="E52" s="74"/>
      <c r="F52" s="75"/>
      <c r="G52" s="4"/>
      <c r="H52" s="76"/>
      <c r="I52" s="77"/>
      <c r="J52" s="78"/>
      <c r="K52" s="4"/>
      <c r="L52" s="79"/>
      <c r="M52" s="80"/>
      <c r="N52" s="4"/>
      <c r="O52" s="25"/>
      <c r="P52" s="278"/>
    </row>
    <row r="53" spans="2:16" x14ac:dyDescent="0.2">
      <c r="B53" s="13"/>
      <c r="C53" s="4"/>
      <c r="D53" s="14"/>
      <c r="E53" s="15"/>
      <c r="F53" s="16"/>
      <c r="G53" s="4"/>
      <c r="H53" s="19"/>
      <c r="I53" s="20"/>
      <c r="J53" s="21"/>
      <c r="K53" s="4"/>
      <c r="L53" s="32"/>
      <c r="M53" s="23"/>
      <c r="N53" s="4"/>
      <c r="O53" s="26"/>
      <c r="P53" s="278"/>
    </row>
    <row r="54" spans="2:16" x14ac:dyDescent="0.2">
      <c r="B54" s="72"/>
      <c r="C54" s="4"/>
      <c r="D54" s="73"/>
      <c r="E54" s="74"/>
      <c r="F54" s="75"/>
      <c r="G54" s="4"/>
      <c r="H54" s="76"/>
      <c r="I54" s="77"/>
      <c r="J54" s="78"/>
      <c r="K54" s="4"/>
      <c r="L54" s="79"/>
      <c r="M54" s="80"/>
      <c r="N54" s="4"/>
      <c r="O54" s="25"/>
      <c r="P54" s="278"/>
    </row>
    <row r="55" spans="2:16" x14ac:dyDescent="0.2">
      <c r="B55" s="13"/>
      <c r="C55" s="4"/>
      <c r="D55" s="14"/>
      <c r="E55" s="15"/>
      <c r="F55" s="16"/>
      <c r="G55" s="4"/>
      <c r="H55" s="19"/>
      <c r="I55" s="20"/>
      <c r="J55" s="21"/>
      <c r="K55" s="4"/>
      <c r="L55" s="32"/>
      <c r="M55" s="23"/>
      <c r="N55" s="4"/>
      <c r="O55" s="26"/>
      <c r="P55" s="278"/>
    </row>
    <row r="56" spans="2:16" x14ac:dyDescent="0.2">
      <c r="B56" s="72"/>
      <c r="C56" s="4"/>
      <c r="D56" s="73"/>
      <c r="E56" s="74"/>
      <c r="F56" s="75"/>
      <c r="G56" s="4"/>
      <c r="H56" s="76"/>
      <c r="I56" s="77"/>
      <c r="J56" s="78"/>
      <c r="K56" s="4"/>
      <c r="L56" s="79"/>
      <c r="M56" s="80"/>
      <c r="N56" s="4"/>
      <c r="O56" s="25"/>
      <c r="P56" s="278"/>
    </row>
    <row r="57" spans="2:16" x14ac:dyDescent="0.2">
      <c r="B57" s="13"/>
      <c r="C57" s="4"/>
      <c r="D57" s="14"/>
      <c r="E57" s="15"/>
      <c r="F57" s="16"/>
      <c r="G57" s="4"/>
      <c r="H57" s="19"/>
      <c r="I57" s="20"/>
      <c r="J57" s="21"/>
      <c r="K57" s="4"/>
      <c r="L57" s="32"/>
      <c r="M57" s="23"/>
      <c r="N57" s="4"/>
      <c r="O57" s="26"/>
      <c r="P57" s="278"/>
    </row>
    <row r="58" spans="2:16" x14ac:dyDescent="0.2">
      <c r="B58" s="72"/>
      <c r="C58" s="4"/>
      <c r="D58" s="73"/>
      <c r="E58" s="74"/>
      <c r="F58" s="75"/>
      <c r="G58" s="4"/>
      <c r="H58" s="76"/>
      <c r="I58" s="77"/>
      <c r="J58" s="78"/>
      <c r="K58" s="4"/>
      <c r="L58" s="79"/>
      <c r="M58" s="80"/>
      <c r="N58" s="4"/>
      <c r="O58" s="25"/>
      <c r="P58" s="278"/>
    </row>
    <row r="59" spans="2:16" x14ac:dyDescent="0.2">
      <c r="B59" s="13"/>
      <c r="C59" s="4"/>
      <c r="D59" s="14"/>
      <c r="E59" s="15"/>
      <c r="F59" s="16"/>
      <c r="G59" s="4"/>
      <c r="H59" s="19"/>
      <c r="I59" s="20"/>
      <c r="J59" s="21"/>
      <c r="K59" s="4"/>
      <c r="L59" s="32"/>
      <c r="M59" s="23"/>
      <c r="N59" s="4"/>
      <c r="O59" s="26"/>
      <c r="P59" s="278"/>
    </row>
    <row r="60" spans="2:16" x14ac:dyDescent="0.2">
      <c r="B60" s="72"/>
      <c r="C60" s="4"/>
      <c r="D60" s="73"/>
      <c r="E60" s="74"/>
      <c r="F60" s="75"/>
      <c r="G60" s="4"/>
      <c r="H60" s="76"/>
      <c r="I60" s="77"/>
      <c r="J60" s="78"/>
      <c r="K60" s="4"/>
      <c r="L60" s="79"/>
      <c r="M60" s="80"/>
      <c r="N60" s="4"/>
      <c r="O60" s="25"/>
      <c r="P60" s="278"/>
    </row>
    <row r="61" spans="2:16" x14ac:dyDescent="0.2">
      <c r="B61" s="13"/>
      <c r="C61" s="4"/>
      <c r="D61" s="14"/>
      <c r="E61" s="15"/>
      <c r="F61" s="16"/>
      <c r="G61" s="4"/>
      <c r="H61" s="19"/>
      <c r="I61" s="20"/>
      <c r="J61" s="21"/>
      <c r="K61" s="4"/>
      <c r="L61" s="32"/>
      <c r="M61" s="23"/>
      <c r="N61" s="4"/>
      <c r="O61" s="26"/>
      <c r="P61" s="278"/>
    </row>
    <row r="62" spans="2:16" x14ac:dyDescent="0.2">
      <c r="B62" s="72"/>
      <c r="C62" s="4"/>
      <c r="D62" s="73"/>
      <c r="E62" s="74"/>
      <c r="F62" s="75"/>
      <c r="G62" s="4"/>
      <c r="H62" s="76"/>
      <c r="I62" s="77"/>
      <c r="J62" s="78"/>
      <c r="K62" s="4"/>
      <c r="L62" s="79"/>
      <c r="M62" s="80"/>
      <c r="N62" s="4"/>
      <c r="O62" s="25"/>
      <c r="P62" s="278"/>
    </row>
    <row r="63" spans="2:16" x14ac:dyDescent="0.2">
      <c r="B63" s="13"/>
      <c r="C63" s="4"/>
      <c r="D63" s="14"/>
      <c r="E63" s="15"/>
      <c r="F63" s="16"/>
      <c r="G63" s="4"/>
      <c r="H63" s="19"/>
      <c r="I63" s="20"/>
      <c r="J63" s="21"/>
      <c r="K63" s="4"/>
      <c r="L63" s="32"/>
      <c r="M63" s="23"/>
      <c r="N63" s="4"/>
      <c r="O63" s="26"/>
      <c r="P63" s="278"/>
    </row>
    <row r="64" spans="2:16" x14ac:dyDescent="0.2">
      <c r="B64" s="72"/>
      <c r="C64" s="4"/>
      <c r="D64" s="73"/>
      <c r="E64" s="74"/>
      <c r="F64" s="75"/>
      <c r="G64" s="4"/>
      <c r="H64" s="76"/>
      <c r="I64" s="77"/>
      <c r="J64" s="78"/>
      <c r="K64" s="4"/>
      <c r="L64" s="79"/>
      <c r="M64" s="80"/>
      <c r="N64" s="4"/>
      <c r="O64" s="25"/>
      <c r="P64" s="278"/>
    </row>
    <row r="65" spans="2:16" x14ac:dyDescent="0.2">
      <c r="B65" s="13"/>
      <c r="C65" s="4"/>
      <c r="D65" s="14"/>
      <c r="E65" s="15"/>
      <c r="F65" s="16"/>
      <c r="G65" s="4"/>
      <c r="H65" s="19"/>
      <c r="I65" s="20"/>
      <c r="J65" s="21"/>
      <c r="K65" s="4"/>
      <c r="L65" s="32"/>
      <c r="M65" s="23"/>
      <c r="N65" s="4"/>
      <c r="O65" s="26"/>
      <c r="P65" s="278"/>
    </row>
    <row r="66" spans="2:16" x14ac:dyDescent="0.2">
      <c r="B66" s="72"/>
      <c r="C66" s="4"/>
      <c r="D66" s="73"/>
      <c r="E66" s="74"/>
      <c r="F66" s="75"/>
      <c r="G66" s="4"/>
      <c r="H66" s="76"/>
      <c r="I66" s="77"/>
      <c r="J66" s="78"/>
      <c r="K66" s="4"/>
      <c r="L66" s="79"/>
      <c r="M66" s="80"/>
      <c r="N66" s="4"/>
      <c r="O66" s="25"/>
      <c r="P66" s="278"/>
    </row>
    <row r="67" spans="2:16" x14ac:dyDescent="0.2">
      <c r="B67" s="13"/>
      <c r="C67" s="4"/>
      <c r="D67" s="14"/>
      <c r="E67" s="15"/>
      <c r="F67" s="16"/>
      <c r="G67" s="4"/>
      <c r="H67" s="19"/>
      <c r="I67" s="20"/>
      <c r="J67" s="21"/>
      <c r="K67" s="4"/>
      <c r="L67" s="32"/>
      <c r="M67" s="23"/>
      <c r="N67" s="4"/>
      <c r="O67" s="26"/>
      <c r="P67" s="278"/>
    </row>
    <row r="68" spans="2:16" x14ac:dyDescent="0.2">
      <c r="B68" s="72"/>
      <c r="C68" s="4"/>
      <c r="D68" s="73"/>
      <c r="E68" s="74"/>
      <c r="F68" s="75"/>
      <c r="G68" s="4"/>
      <c r="H68" s="76"/>
      <c r="I68" s="77"/>
      <c r="J68" s="78"/>
      <c r="K68" s="4"/>
      <c r="L68" s="79"/>
      <c r="M68" s="80"/>
      <c r="N68" s="4"/>
      <c r="O68" s="25"/>
      <c r="P68" s="278"/>
    </row>
    <row r="69" spans="2:16" x14ac:dyDescent="0.2">
      <c r="B69" s="13"/>
      <c r="C69" s="4"/>
      <c r="D69" s="14"/>
      <c r="E69" s="15"/>
      <c r="F69" s="16"/>
      <c r="G69" s="4"/>
      <c r="H69" s="19"/>
      <c r="I69" s="20"/>
      <c r="J69" s="21"/>
      <c r="K69" s="4"/>
      <c r="L69" s="32"/>
      <c r="M69" s="23"/>
      <c r="N69" s="4"/>
      <c r="O69" s="26"/>
      <c r="P69" s="278"/>
    </row>
    <row r="70" spans="2:16" x14ac:dyDescent="0.2">
      <c r="B70" s="72"/>
      <c r="C70" s="4"/>
      <c r="D70" s="73"/>
      <c r="E70" s="74"/>
      <c r="F70" s="75"/>
      <c r="G70" s="4"/>
      <c r="H70" s="76"/>
      <c r="I70" s="77"/>
      <c r="J70" s="78"/>
      <c r="K70" s="4"/>
      <c r="L70" s="79"/>
      <c r="M70" s="80"/>
      <c r="N70" s="4"/>
      <c r="O70" s="25"/>
      <c r="P70" s="278"/>
    </row>
    <row r="71" spans="2:16" x14ac:dyDescent="0.2">
      <c r="B71" s="13"/>
      <c r="C71" s="4"/>
      <c r="D71" s="14"/>
      <c r="E71" s="15"/>
      <c r="F71" s="16"/>
      <c r="G71" s="4"/>
      <c r="H71" s="19"/>
      <c r="I71" s="20"/>
      <c r="J71" s="21"/>
      <c r="K71" s="4"/>
      <c r="L71" s="32"/>
      <c r="M71" s="23"/>
      <c r="N71" s="4"/>
      <c r="O71" s="26"/>
      <c r="P71" s="278"/>
    </row>
    <row r="72" spans="2:16" x14ac:dyDescent="0.2">
      <c r="B72" s="72"/>
      <c r="C72" s="4"/>
      <c r="D72" s="73"/>
      <c r="E72" s="74"/>
      <c r="F72" s="75"/>
      <c r="G72" s="4"/>
      <c r="H72" s="76"/>
      <c r="I72" s="77"/>
      <c r="J72" s="78"/>
      <c r="K72" s="4"/>
      <c r="L72" s="79"/>
      <c r="M72" s="80"/>
      <c r="N72" s="4"/>
      <c r="O72" s="25"/>
      <c r="P72" s="278"/>
    </row>
    <row r="73" spans="2:16" x14ac:dyDescent="0.2">
      <c r="B73" s="13"/>
      <c r="C73" s="4"/>
      <c r="D73" s="14"/>
      <c r="E73" s="15"/>
      <c r="F73" s="16"/>
      <c r="G73" s="4"/>
      <c r="H73" s="19"/>
      <c r="I73" s="20"/>
      <c r="J73" s="21"/>
      <c r="K73" s="4"/>
      <c r="L73" s="32"/>
      <c r="M73" s="23"/>
      <c r="N73" s="4"/>
      <c r="O73" s="26"/>
      <c r="P73" s="278"/>
    </row>
    <row r="74" spans="2:16" x14ac:dyDescent="0.2">
      <c r="B74" s="72"/>
      <c r="C74" s="4"/>
      <c r="D74" s="73"/>
      <c r="E74" s="74"/>
      <c r="F74" s="75"/>
      <c r="G74" s="4"/>
      <c r="H74" s="76"/>
      <c r="I74" s="77"/>
      <c r="J74" s="78"/>
      <c r="K74" s="4"/>
      <c r="L74" s="79"/>
      <c r="M74" s="80"/>
      <c r="N74" s="4"/>
      <c r="O74" s="25"/>
      <c r="P74" s="278"/>
    </row>
    <row r="75" spans="2:16" x14ac:dyDescent="0.2">
      <c r="B75" s="13"/>
      <c r="C75" s="4"/>
      <c r="D75" s="14"/>
      <c r="E75" s="15"/>
      <c r="F75" s="16"/>
      <c r="G75" s="4"/>
      <c r="H75" s="19"/>
      <c r="I75" s="20"/>
      <c r="J75" s="21"/>
      <c r="K75" s="4"/>
      <c r="L75" s="32"/>
      <c r="M75" s="23"/>
      <c r="N75" s="4"/>
      <c r="O75" s="26"/>
      <c r="P75" s="278"/>
    </row>
    <row r="76" spans="2:16" x14ac:dyDescent="0.2">
      <c r="B76" s="72"/>
      <c r="C76" s="4"/>
      <c r="D76" s="73"/>
      <c r="E76" s="74"/>
      <c r="F76" s="75"/>
      <c r="G76" s="4"/>
      <c r="H76" s="76"/>
      <c r="I76" s="77"/>
      <c r="J76" s="78"/>
      <c r="K76" s="4"/>
      <c r="L76" s="79"/>
      <c r="M76" s="80"/>
      <c r="N76" s="4"/>
      <c r="O76" s="25"/>
      <c r="P76" s="278"/>
    </row>
    <row r="77" spans="2:16" x14ac:dyDescent="0.2">
      <c r="B77" s="13"/>
      <c r="C77" s="4"/>
      <c r="D77" s="14"/>
      <c r="E77" s="15"/>
      <c r="F77" s="16"/>
      <c r="G77" s="4"/>
      <c r="H77" s="19"/>
      <c r="I77" s="20"/>
      <c r="J77" s="21"/>
      <c r="K77" s="4"/>
      <c r="L77" s="32"/>
      <c r="M77" s="23"/>
      <c r="N77" s="4"/>
      <c r="O77" s="26"/>
      <c r="P77" s="278"/>
    </row>
    <row r="78" spans="2:16" x14ac:dyDescent="0.2">
      <c r="B78" s="72"/>
      <c r="C78" s="4"/>
      <c r="D78" s="73"/>
      <c r="E78" s="74"/>
      <c r="F78" s="75"/>
      <c r="G78" s="4"/>
      <c r="H78" s="76"/>
      <c r="I78" s="77"/>
      <c r="J78" s="78"/>
      <c r="K78" s="4"/>
      <c r="L78" s="79"/>
      <c r="M78" s="80"/>
      <c r="N78" s="4"/>
      <c r="O78" s="25"/>
      <c r="P78" s="278"/>
    </row>
    <row r="79" spans="2:16" x14ac:dyDescent="0.2">
      <c r="B79" s="13"/>
      <c r="C79" s="4"/>
      <c r="D79" s="14"/>
      <c r="E79" s="15"/>
      <c r="F79" s="16"/>
      <c r="G79" s="4"/>
      <c r="H79" s="19"/>
      <c r="I79" s="20"/>
      <c r="J79" s="21"/>
      <c r="K79" s="4"/>
      <c r="L79" s="32"/>
      <c r="M79" s="23"/>
      <c r="N79" s="4"/>
      <c r="O79" s="26"/>
      <c r="P79" s="278"/>
    </row>
    <row r="80" spans="2:16" x14ac:dyDescent="0.2">
      <c r="B80" s="72"/>
      <c r="C80" s="4"/>
      <c r="D80" s="73"/>
      <c r="E80" s="74"/>
      <c r="F80" s="75"/>
      <c r="G80" s="4"/>
      <c r="H80" s="76"/>
      <c r="I80" s="77"/>
      <c r="J80" s="78"/>
      <c r="K80" s="4"/>
      <c r="L80" s="79"/>
      <c r="M80" s="80"/>
      <c r="N80" s="4"/>
      <c r="O80" s="25"/>
      <c r="P80" s="278"/>
    </row>
    <row r="81" spans="2:16" x14ac:dyDescent="0.2">
      <c r="B81" s="13"/>
      <c r="C81" s="4"/>
      <c r="D81" s="14"/>
      <c r="E81" s="15"/>
      <c r="F81" s="16"/>
      <c r="G81" s="4"/>
      <c r="H81" s="19"/>
      <c r="I81" s="20"/>
      <c r="J81" s="21"/>
      <c r="K81" s="4"/>
      <c r="L81" s="32"/>
      <c r="M81" s="23"/>
      <c r="N81" s="4"/>
      <c r="O81" s="26"/>
      <c r="P81" s="278"/>
    </row>
    <row r="82" spans="2:16" x14ac:dyDescent="0.2">
      <c r="B82" s="72"/>
      <c r="C82" s="4"/>
      <c r="D82" s="73"/>
      <c r="E82" s="74"/>
      <c r="F82" s="75"/>
      <c r="G82" s="4"/>
      <c r="H82" s="76"/>
      <c r="I82" s="77"/>
      <c r="J82" s="78"/>
      <c r="K82" s="4"/>
      <c r="L82" s="79"/>
      <c r="M82" s="80"/>
      <c r="N82" s="4"/>
      <c r="O82" s="25"/>
      <c r="P82" s="278"/>
    </row>
    <row r="83" spans="2:16" x14ac:dyDescent="0.2">
      <c r="B83" s="13"/>
      <c r="C83" s="4"/>
      <c r="D83" s="14"/>
      <c r="E83" s="15"/>
      <c r="F83" s="16"/>
      <c r="G83" s="4"/>
      <c r="H83" s="19"/>
      <c r="I83" s="20"/>
      <c r="J83" s="21"/>
      <c r="K83" s="4"/>
      <c r="L83" s="32"/>
      <c r="M83" s="23"/>
      <c r="N83" s="4"/>
      <c r="O83" s="26"/>
      <c r="P83" s="278"/>
    </row>
    <row r="84" spans="2:16" x14ac:dyDescent="0.2">
      <c r="B84" s="72"/>
      <c r="C84" s="4"/>
      <c r="D84" s="73"/>
      <c r="E84" s="74"/>
      <c r="F84" s="75"/>
      <c r="G84" s="4"/>
      <c r="H84" s="76"/>
      <c r="I84" s="77"/>
      <c r="J84" s="78"/>
      <c r="K84" s="4"/>
      <c r="L84" s="79"/>
      <c r="M84" s="80"/>
      <c r="N84" s="4"/>
      <c r="O84" s="25"/>
      <c r="P84" s="278"/>
    </row>
    <row r="85" spans="2:16" x14ac:dyDescent="0.2">
      <c r="B85" s="13"/>
      <c r="C85" s="4"/>
      <c r="D85" s="14"/>
      <c r="E85" s="15"/>
      <c r="F85" s="16"/>
      <c r="G85" s="4"/>
      <c r="H85" s="19"/>
      <c r="I85" s="20"/>
      <c r="J85" s="21"/>
      <c r="K85" s="4"/>
      <c r="L85" s="32"/>
      <c r="M85" s="23"/>
      <c r="N85" s="4"/>
      <c r="O85" s="26"/>
      <c r="P85" s="278"/>
    </row>
    <row r="86" spans="2:16" x14ac:dyDescent="0.2">
      <c r="B86" s="72"/>
      <c r="C86" s="4"/>
      <c r="D86" s="73"/>
      <c r="E86" s="74"/>
      <c r="F86" s="75"/>
      <c r="G86" s="4"/>
      <c r="H86" s="76"/>
      <c r="I86" s="77"/>
      <c r="J86" s="78"/>
      <c r="K86" s="4"/>
      <c r="L86" s="79"/>
      <c r="M86" s="80"/>
      <c r="N86" s="4"/>
      <c r="O86" s="25"/>
      <c r="P86" s="278"/>
    </row>
    <row r="87" spans="2:16" x14ac:dyDescent="0.2">
      <c r="B87" s="13"/>
      <c r="C87" s="4"/>
      <c r="D87" s="14"/>
      <c r="E87" s="15"/>
      <c r="F87" s="16"/>
      <c r="G87" s="4"/>
      <c r="H87" s="19"/>
      <c r="I87" s="20"/>
      <c r="J87" s="21"/>
      <c r="K87" s="4"/>
      <c r="L87" s="32"/>
      <c r="M87" s="23"/>
      <c r="N87" s="4"/>
      <c r="O87" s="26"/>
      <c r="P87" s="278"/>
    </row>
    <row r="88" spans="2:16" x14ac:dyDescent="0.2">
      <c r="B88" s="72"/>
      <c r="C88" s="4"/>
      <c r="D88" s="73"/>
      <c r="E88" s="74"/>
      <c r="F88" s="75"/>
      <c r="G88" s="4"/>
      <c r="H88" s="76"/>
      <c r="I88" s="77"/>
      <c r="J88" s="78"/>
      <c r="K88" s="4"/>
      <c r="L88" s="79"/>
      <c r="M88" s="80"/>
      <c r="N88" s="4"/>
      <c r="O88" s="25"/>
      <c r="P88" s="278"/>
    </row>
    <row r="89" spans="2:16" x14ac:dyDescent="0.2">
      <c r="B89" s="13"/>
      <c r="C89" s="4"/>
      <c r="D89" s="14"/>
      <c r="E89" s="15"/>
      <c r="F89" s="16"/>
      <c r="G89" s="4"/>
      <c r="H89" s="19"/>
      <c r="I89" s="20"/>
      <c r="J89" s="21"/>
      <c r="K89" s="4"/>
      <c r="L89" s="32"/>
      <c r="M89" s="23"/>
      <c r="N89" s="4"/>
      <c r="O89" s="26"/>
      <c r="P89" s="278"/>
    </row>
    <row r="90" spans="2:16" x14ac:dyDescent="0.2">
      <c r="B90" s="72"/>
      <c r="C90" s="4"/>
      <c r="D90" s="73"/>
      <c r="E90" s="74"/>
      <c r="F90" s="75"/>
      <c r="G90" s="4"/>
      <c r="H90" s="76"/>
      <c r="I90" s="77"/>
      <c r="J90" s="78"/>
      <c r="K90" s="4"/>
      <c r="L90" s="79"/>
      <c r="M90" s="80"/>
      <c r="N90" s="4"/>
      <c r="O90" s="25"/>
      <c r="P90" s="278"/>
    </row>
    <row r="91" spans="2:16" x14ac:dyDescent="0.2">
      <c r="B91" s="13"/>
      <c r="C91" s="4"/>
      <c r="D91" s="14"/>
      <c r="E91" s="15"/>
      <c r="F91" s="16"/>
      <c r="G91" s="4"/>
      <c r="H91" s="19"/>
      <c r="I91" s="20"/>
      <c r="J91" s="21"/>
      <c r="K91" s="4"/>
      <c r="L91" s="32"/>
      <c r="M91" s="23"/>
      <c r="N91" s="4"/>
      <c r="O91" s="26"/>
      <c r="P91" s="278"/>
    </row>
    <row r="92" spans="2:16" x14ac:dyDescent="0.2">
      <c r="B92" s="72"/>
      <c r="C92" s="4"/>
      <c r="D92" s="73"/>
      <c r="E92" s="74"/>
      <c r="F92" s="75"/>
      <c r="G92" s="4"/>
      <c r="H92" s="76"/>
      <c r="I92" s="77"/>
      <c r="J92" s="78"/>
      <c r="K92" s="4"/>
      <c r="L92" s="79"/>
      <c r="M92" s="80"/>
      <c r="N92" s="4"/>
      <c r="O92" s="25"/>
      <c r="P92" s="278"/>
    </row>
    <row r="93" spans="2:16" x14ac:dyDescent="0.2">
      <c r="B93" s="13"/>
      <c r="C93" s="4"/>
      <c r="D93" s="14"/>
      <c r="E93" s="15"/>
      <c r="F93" s="16"/>
      <c r="G93" s="4"/>
      <c r="H93" s="19"/>
      <c r="I93" s="20"/>
      <c r="J93" s="21"/>
      <c r="K93" s="4"/>
      <c r="L93" s="32"/>
      <c r="M93" s="23"/>
      <c r="N93" s="4"/>
      <c r="O93" s="26"/>
      <c r="P93" s="278"/>
    </row>
    <row r="94" spans="2:16" x14ac:dyDescent="0.2">
      <c r="B94" s="72"/>
      <c r="C94" s="4"/>
      <c r="D94" s="73"/>
      <c r="E94" s="74"/>
      <c r="F94" s="75"/>
      <c r="G94" s="4"/>
      <c r="H94" s="76"/>
      <c r="I94" s="77"/>
      <c r="J94" s="78"/>
      <c r="K94" s="4"/>
      <c r="L94" s="79"/>
      <c r="M94" s="80"/>
      <c r="N94" s="4"/>
      <c r="O94" s="25"/>
      <c r="P94" s="278"/>
    </row>
    <row r="95" spans="2:16" x14ac:dyDescent="0.2">
      <c r="B95" s="13"/>
      <c r="C95" s="4"/>
      <c r="D95" s="14"/>
      <c r="E95" s="15"/>
      <c r="F95" s="16"/>
      <c r="G95" s="4"/>
      <c r="H95" s="19"/>
      <c r="I95" s="20"/>
      <c r="J95" s="21"/>
      <c r="K95" s="4"/>
      <c r="L95" s="32"/>
      <c r="M95" s="23"/>
      <c r="N95" s="4"/>
      <c r="O95" s="26"/>
      <c r="P95" s="278"/>
    </row>
    <row r="96" spans="2:16" x14ac:dyDescent="0.2">
      <c r="B96" s="72"/>
      <c r="C96" s="4"/>
      <c r="D96" s="73"/>
      <c r="E96" s="74"/>
      <c r="F96" s="75"/>
      <c r="G96" s="4"/>
      <c r="H96" s="76"/>
      <c r="I96" s="77"/>
      <c r="J96" s="78"/>
      <c r="K96" s="4"/>
      <c r="L96" s="79"/>
      <c r="M96" s="80"/>
      <c r="N96" s="4"/>
      <c r="O96" s="25"/>
      <c r="P96" s="278"/>
    </row>
    <row r="97" spans="2:16" x14ac:dyDescent="0.2">
      <c r="B97" s="13"/>
      <c r="C97" s="4"/>
      <c r="D97" s="14"/>
      <c r="E97" s="15"/>
      <c r="F97" s="16"/>
      <c r="G97" s="4"/>
      <c r="H97" s="19"/>
      <c r="I97" s="20"/>
      <c r="J97" s="21"/>
      <c r="K97" s="4"/>
      <c r="L97" s="32"/>
      <c r="M97" s="23"/>
      <c r="N97" s="4"/>
      <c r="O97" s="26"/>
      <c r="P97" s="278"/>
    </row>
    <row r="98" spans="2:16" x14ac:dyDescent="0.2">
      <c r="B98" s="72"/>
      <c r="C98" s="4"/>
      <c r="D98" s="73"/>
      <c r="E98" s="74"/>
      <c r="F98" s="75"/>
      <c r="G98" s="4"/>
      <c r="H98" s="76"/>
      <c r="I98" s="77"/>
      <c r="J98" s="78"/>
      <c r="K98" s="4"/>
      <c r="L98" s="79"/>
      <c r="M98" s="80"/>
      <c r="N98" s="4"/>
      <c r="O98" s="25"/>
      <c r="P98" s="278"/>
    </row>
    <row r="99" spans="2:16" x14ac:dyDescent="0.2">
      <c r="B99" s="13"/>
      <c r="C99" s="4"/>
      <c r="D99" s="14"/>
      <c r="E99" s="15"/>
      <c r="F99" s="16"/>
      <c r="G99" s="4"/>
      <c r="H99" s="19"/>
      <c r="I99" s="20"/>
      <c r="J99" s="21"/>
      <c r="K99" s="4"/>
      <c r="L99" s="32"/>
      <c r="M99" s="23"/>
      <c r="N99" s="4"/>
      <c r="O99" s="26"/>
      <c r="P99" s="278"/>
    </row>
    <row r="100" spans="2:16" x14ac:dyDescent="0.2">
      <c r="B100" s="72"/>
      <c r="C100" s="4"/>
      <c r="D100" s="73"/>
      <c r="E100" s="74"/>
      <c r="F100" s="75"/>
      <c r="G100" s="4"/>
      <c r="H100" s="76"/>
      <c r="I100" s="77"/>
      <c r="J100" s="78"/>
      <c r="K100" s="4"/>
      <c r="L100" s="79"/>
      <c r="M100" s="80"/>
      <c r="N100" s="4"/>
      <c r="O100" s="25"/>
      <c r="P100" s="278"/>
    </row>
    <row r="101" spans="2:16" x14ac:dyDescent="0.2">
      <c r="B101" s="13"/>
      <c r="C101" s="4"/>
      <c r="D101" s="14"/>
      <c r="E101" s="15"/>
      <c r="F101" s="16"/>
      <c r="G101" s="4"/>
      <c r="H101" s="19"/>
      <c r="I101" s="20"/>
      <c r="J101" s="21"/>
      <c r="K101" s="4"/>
      <c r="L101" s="32"/>
      <c r="M101" s="23"/>
      <c r="N101" s="4"/>
      <c r="O101" s="26"/>
      <c r="P101" s="278"/>
    </row>
    <row r="102" spans="2:16" x14ac:dyDescent="0.2">
      <c r="B102" s="72"/>
      <c r="C102" s="4"/>
      <c r="D102" s="73"/>
      <c r="E102" s="74"/>
      <c r="F102" s="75"/>
      <c r="G102" s="4"/>
      <c r="H102" s="76"/>
      <c r="I102" s="77"/>
      <c r="J102" s="78"/>
      <c r="K102" s="4"/>
      <c r="L102" s="79"/>
      <c r="M102" s="80"/>
      <c r="N102" s="4"/>
      <c r="O102" s="25"/>
      <c r="P102" s="278"/>
    </row>
    <row r="103" spans="2:16" x14ac:dyDescent="0.2">
      <c r="B103" s="13"/>
      <c r="C103" s="4"/>
      <c r="D103" s="14"/>
      <c r="E103" s="15"/>
      <c r="F103" s="16"/>
      <c r="G103" s="4"/>
      <c r="H103" s="19"/>
      <c r="I103" s="20"/>
      <c r="J103" s="21"/>
      <c r="K103" s="4"/>
      <c r="L103" s="32"/>
      <c r="M103" s="23"/>
      <c r="N103" s="4"/>
      <c r="O103" s="26"/>
      <c r="P103" s="278"/>
    </row>
    <row r="104" spans="2:16" x14ac:dyDescent="0.2">
      <c r="B104" s="72"/>
      <c r="C104" s="4"/>
      <c r="D104" s="73"/>
      <c r="E104" s="74"/>
      <c r="F104" s="75"/>
      <c r="G104" s="4"/>
      <c r="H104" s="76"/>
      <c r="I104" s="77"/>
      <c r="J104" s="78"/>
      <c r="K104" s="4"/>
      <c r="L104" s="79"/>
      <c r="M104" s="80"/>
      <c r="N104" s="4"/>
      <c r="O104" s="25"/>
      <c r="P104" s="278"/>
    </row>
    <row r="105" spans="2:16" x14ac:dyDescent="0.2">
      <c r="B105" s="13"/>
      <c r="C105" s="4"/>
      <c r="D105" s="14"/>
      <c r="E105" s="15"/>
      <c r="F105" s="16"/>
      <c r="G105" s="4"/>
      <c r="H105" s="19"/>
      <c r="I105" s="20"/>
      <c r="J105" s="21"/>
      <c r="K105" s="4"/>
      <c r="L105" s="32"/>
      <c r="M105" s="23"/>
      <c r="N105" s="4"/>
      <c r="O105" s="26"/>
      <c r="P105" s="278"/>
    </row>
    <row r="106" spans="2:16" x14ac:dyDescent="0.2">
      <c r="B106" s="72"/>
      <c r="C106" s="4"/>
      <c r="D106" s="73"/>
      <c r="E106" s="74"/>
      <c r="F106" s="75"/>
      <c r="G106" s="4"/>
      <c r="H106" s="76"/>
      <c r="I106" s="77"/>
      <c r="J106" s="78"/>
      <c r="K106" s="4"/>
      <c r="L106" s="79"/>
      <c r="M106" s="80"/>
      <c r="N106" s="4"/>
      <c r="O106" s="25"/>
      <c r="P106" s="278"/>
    </row>
    <row r="107" spans="2:16" x14ac:dyDescent="0.2">
      <c r="B107" s="13"/>
      <c r="C107" s="4"/>
      <c r="D107" s="14"/>
      <c r="E107" s="15"/>
      <c r="F107" s="16"/>
      <c r="G107" s="4"/>
      <c r="H107" s="19"/>
      <c r="I107" s="20"/>
      <c r="J107" s="21"/>
      <c r="K107" s="4"/>
      <c r="L107" s="32"/>
      <c r="M107" s="23"/>
      <c r="N107" s="4"/>
      <c r="O107" s="26"/>
      <c r="P107" s="278"/>
    </row>
    <row r="108" spans="2:16" x14ac:dyDescent="0.2">
      <c r="B108" s="72"/>
      <c r="C108" s="4"/>
      <c r="D108" s="73"/>
      <c r="E108" s="74"/>
      <c r="F108" s="75"/>
      <c r="G108" s="4"/>
      <c r="H108" s="76"/>
      <c r="I108" s="77"/>
      <c r="J108" s="78"/>
      <c r="K108" s="4"/>
      <c r="L108" s="79"/>
      <c r="M108" s="80"/>
      <c r="N108" s="4"/>
      <c r="O108" s="25"/>
      <c r="P108" s="278"/>
    </row>
    <row r="109" spans="2:16" x14ac:dyDescent="0.2">
      <c r="B109" s="13"/>
      <c r="C109" s="4"/>
      <c r="D109" s="14"/>
      <c r="E109" s="15"/>
      <c r="F109" s="16"/>
      <c r="G109" s="4"/>
      <c r="H109" s="19"/>
      <c r="I109" s="20"/>
      <c r="J109" s="21"/>
      <c r="K109" s="4"/>
      <c r="L109" s="32"/>
      <c r="M109" s="23"/>
      <c r="N109" s="4"/>
      <c r="O109" s="26"/>
      <c r="P109" s="278"/>
    </row>
    <row r="110" spans="2:16" x14ac:dyDescent="0.2">
      <c r="B110" s="72"/>
      <c r="C110" s="4"/>
      <c r="D110" s="73"/>
      <c r="E110" s="74"/>
      <c r="F110" s="75"/>
      <c r="G110" s="4"/>
      <c r="H110" s="76"/>
      <c r="I110" s="77"/>
      <c r="J110" s="78"/>
      <c r="K110" s="4"/>
      <c r="L110" s="79"/>
      <c r="M110" s="80"/>
      <c r="N110" s="4"/>
      <c r="O110" s="25"/>
      <c r="P110" s="278"/>
    </row>
    <row r="111" spans="2:16" x14ac:dyDescent="0.2">
      <c r="B111" s="13"/>
      <c r="C111" s="4"/>
      <c r="D111" s="14"/>
      <c r="E111" s="15"/>
      <c r="F111" s="16"/>
      <c r="G111" s="4"/>
      <c r="H111" s="19"/>
      <c r="I111" s="20"/>
      <c r="J111" s="21"/>
      <c r="K111" s="4"/>
      <c r="L111" s="32"/>
      <c r="M111" s="23"/>
      <c r="N111" s="4"/>
      <c r="O111" s="26"/>
      <c r="P111" s="278"/>
    </row>
    <row r="112" spans="2:16" x14ac:dyDescent="0.2">
      <c r="B112" s="72"/>
      <c r="C112" s="4"/>
      <c r="D112" s="73"/>
      <c r="E112" s="74"/>
      <c r="F112" s="75"/>
      <c r="G112" s="4"/>
      <c r="H112" s="76"/>
      <c r="I112" s="77"/>
      <c r="J112" s="78"/>
      <c r="K112" s="4"/>
      <c r="L112" s="79"/>
      <c r="M112" s="80"/>
      <c r="N112" s="4"/>
      <c r="O112" s="25"/>
      <c r="P112" s="278"/>
    </row>
    <row r="113" spans="2:16" x14ac:dyDescent="0.2">
      <c r="B113" s="13"/>
      <c r="C113" s="4"/>
      <c r="D113" s="14"/>
      <c r="E113" s="15"/>
      <c r="F113" s="16"/>
      <c r="G113" s="4"/>
      <c r="H113" s="19"/>
      <c r="I113" s="20"/>
      <c r="J113" s="21"/>
      <c r="K113" s="4"/>
      <c r="L113" s="32"/>
      <c r="M113" s="23"/>
      <c r="N113" s="4"/>
      <c r="O113" s="26"/>
      <c r="P113" s="278"/>
    </row>
    <row r="114" spans="2:16" x14ac:dyDescent="0.2">
      <c r="B114" s="72"/>
      <c r="C114" s="4"/>
      <c r="D114" s="73"/>
      <c r="E114" s="74"/>
      <c r="F114" s="75"/>
      <c r="G114" s="4"/>
      <c r="H114" s="76"/>
      <c r="I114" s="77"/>
      <c r="J114" s="78"/>
      <c r="K114" s="4"/>
      <c r="L114" s="79"/>
      <c r="M114" s="80"/>
      <c r="N114" s="4"/>
      <c r="O114" s="25"/>
      <c r="P114" s="278"/>
    </row>
    <row r="115" spans="2:16" x14ac:dyDescent="0.2">
      <c r="B115" s="13"/>
      <c r="C115" s="4"/>
      <c r="D115" s="14"/>
      <c r="E115" s="15"/>
      <c r="F115" s="16"/>
      <c r="G115" s="4"/>
      <c r="H115" s="19"/>
      <c r="I115" s="20"/>
      <c r="J115" s="21"/>
      <c r="K115" s="4"/>
      <c r="L115" s="32"/>
      <c r="M115" s="23"/>
      <c r="N115" s="4"/>
      <c r="O115" s="26"/>
      <c r="P115" s="278"/>
    </row>
  </sheetData>
  <autoFilter ref="B5:B90" xr:uid="{EF4D971B-6088-4D7F-B700-807A7DC82246}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4" name="Drop Down 2">
              <controlPr defaultSize="0" autoLine="0" autoPict="0">
                <anchor moveWithCells="1">
                  <from>
                    <xdr:col>4</xdr:col>
                    <xdr:colOff>63500</xdr:colOff>
                    <xdr:row>4</xdr:row>
                    <xdr:rowOff>38100</xdr:rowOff>
                  </from>
                  <to>
                    <xdr:col>4</xdr:col>
                    <xdr:colOff>1054100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Drop Down 3">
              <controlPr defaultSize="0" autoLine="0" autoPict="0">
                <anchor moveWithCells="1">
                  <from>
                    <xdr:col>5</xdr:col>
                    <xdr:colOff>63500</xdr:colOff>
                    <xdr:row>4</xdr:row>
                    <xdr:rowOff>38100</xdr:rowOff>
                  </from>
                  <to>
                    <xdr:col>5</xdr:col>
                    <xdr:colOff>1054100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6" name="Drop Down 5">
              <controlPr defaultSize="0" autoLine="0" autoPict="0">
                <anchor moveWithCells="1">
                  <from>
                    <xdr:col>1</xdr:col>
                    <xdr:colOff>2133600</xdr:colOff>
                    <xdr:row>3</xdr:row>
                    <xdr:rowOff>63500</xdr:rowOff>
                  </from>
                  <to>
                    <xdr:col>2</xdr:col>
                    <xdr:colOff>25400</xdr:colOff>
                    <xdr:row>4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6F03-A4D6-42B9-8A13-A6654B2C4045}">
  <sheetPr>
    <tabColor rgb="FF00B050"/>
  </sheetPr>
  <dimension ref="A1:Z36"/>
  <sheetViews>
    <sheetView showGridLines="0" zoomScale="90" zoomScaleNormal="74" workbookViewId="0">
      <selection activeCell="L3" sqref="L3"/>
    </sheetView>
  </sheetViews>
  <sheetFormatPr baseColWidth="10" defaultColWidth="9.33203125" defaultRowHeight="15" outlineLevelCol="1" x14ac:dyDescent="0.2"/>
  <cols>
    <col min="1" max="1" width="3.33203125" customWidth="1" outlineLevel="1"/>
    <col min="2" max="5" width="13.5" customWidth="1" outlineLevel="1"/>
    <col min="6" max="6" width="9.5" style="242" customWidth="1" outlineLevel="1"/>
    <col min="7" max="7" width="9.6640625" customWidth="1" outlineLevel="1"/>
    <col min="8" max="8" width="3.33203125" customWidth="1" outlineLevel="1"/>
    <col min="9" max="9" width="3.33203125" style="9" customWidth="1"/>
    <col min="11" max="11" width="24.5" customWidth="1"/>
    <col min="12" max="14" width="16.33203125" customWidth="1"/>
    <col min="15" max="15" width="2.5" customWidth="1"/>
    <col min="16" max="17" width="15.33203125" customWidth="1"/>
    <col min="18" max="18" width="2.5" customWidth="1"/>
    <col min="19" max="19" width="16.33203125" customWidth="1"/>
    <col min="20" max="20" width="9.6640625" customWidth="1"/>
    <col min="21" max="21" width="2.5" customWidth="1"/>
    <col min="22" max="23" width="16.33203125" customWidth="1"/>
    <col min="24" max="24" width="2.5" customWidth="1"/>
    <col min="25" max="26" width="9.6640625" customWidth="1"/>
  </cols>
  <sheetData>
    <row r="1" spans="2:26" x14ac:dyDescent="0.2">
      <c r="F1" s="239"/>
    </row>
    <row r="2" spans="2:26" x14ac:dyDescent="0.2">
      <c r="F2" s="240"/>
      <c r="L2" s="11"/>
    </row>
    <row r="3" spans="2:26" x14ac:dyDescent="0.2">
      <c r="F3" s="240"/>
      <c r="K3" s="62" t="s">
        <v>100</v>
      </c>
      <c r="L3" s="124">
        <v>3</v>
      </c>
    </row>
    <row r="4" spans="2:26" x14ac:dyDescent="0.2">
      <c r="C4" s="11"/>
      <c r="D4" s="11"/>
      <c r="E4" s="11"/>
      <c r="F4" s="240"/>
      <c r="G4" s="11"/>
      <c r="H4" s="11"/>
      <c r="I4" s="28"/>
    </row>
    <row r="5" spans="2:26" x14ac:dyDescent="0.2">
      <c r="F5" s="240"/>
      <c r="G5" s="11"/>
      <c r="H5" s="11"/>
      <c r="I5" s="28"/>
    </row>
    <row r="6" spans="2:26" x14ac:dyDescent="0.2">
      <c r="E6" s="11"/>
      <c r="F6" s="240"/>
      <c r="G6" s="11"/>
      <c r="H6" s="11"/>
      <c r="I6" s="28"/>
      <c r="L6" s="6" t="str">
        <f>'Volume Data'!H5</f>
        <v>Total</v>
      </c>
      <c r="M6" s="6"/>
      <c r="N6" s="6"/>
      <c r="Q6" s="62" t="s">
        <v>89</v>
      </c>
      <c r="S6" s="6" t="s">
        <v>81</v>
      </c>
      <c r="T6" s="6" t="s">
        <v>90</v>
      </c>
      <c r="W6" s="1"/>
    </row>
    <row r="7" spans="2:26" x14ac:dyDescent="0.2">
      <c r="B7" s="244" t="str" cm="1">
        <f t="array" ref="B7">INDEX($B$13:$F$13,1,L3)</f>
        <v>Group 3</v>
      </c>
      <c r="C7" s="11"/>
      <c r="D7" s="11" t="s">
        <v>88</v>
      </c>
      <c r="E7" s="11"/>
      <c r="F7" s="241"/>
      <c r="G7" s="11"/>
      <c r="H7" s="27"/>
      <c r="I7" s="29"/>
      <c r="K7" s="63" t="s">
        <v>84</v>
      </c>
      <c r="L7" s="64">
        <f ca="1">'Volume Data'!D6</f>
        <v>910770170.9789995</v>
      </c>
      <c r="M7" s="64">
        <f ca="1">'Volume Data'!E6</f>
        <v>362065284.79899985</v>
      </c>
      <c r="N7" s="65">
        <f ca="1">'Actual vs Predicted'!M44</f>
        <v>189639848.37700003</v>
      </c>
      <c r="Q7" s="62" t="s">
        <v>43</v>
      </c>
      <c r="S7" s="131">
        <f ca="1">N7-M7</f>
        <v>-172425436.42199981</v>
      </c>
      <c r="T7" s="132">
        <f ca="1">S7/M7</f>
        <v>-0.47622747515747499</v>
      </c>
      <c r="W7" s="1"/>
    </row>
    <row r="8" spans="2:26" x14ac:dyDescent="0.2">
      <c r="C8" s="11"/>
      <c r="D8" s="11"/>
      <c r="E8" s="11"/>
      <c r="F8" s="241"/>
      <c r="G8" s="11"/>
      <c r="K8" s="63" t="s">
        <v>44</v>
      </c>
      <c r="L8" s="64">
        <f ca="1">'Actual vs Predicted'!N42</f>
        <v>910770170.97899806</v>
      </c>
      <c r="M8" s="64">
        <f ca="1">'Actual vs Predicted'!N43</f>
        <v>365257546.8783257</v>
      </c>
      <c r="N8" s="65">
        <f ca="1">'Actual vs Predicted'!N44</f>
        <v>193688622.80908138</v>
      </c>
      <c r="Q8" s="62" t="s">
        <v>91</v>
      </c>
      <c r="S8" s="131">
        <f ca="1">N8-M8</f>
        <v>-171568924.06924433</v>
      </c>
      <c r="T8" s="132">
        <f ca="1">S8/M8</f>
        <v>-0.46972040834079531</v>
      </c>
    </row>
    <row r="9" spans="2:26" x14ac:dyDescent="0.2">
      <c r="C9" s="27"/>
      <c r="D9" s="27"/>
      <c r="E9" s="27"/>
      <c r="F9" s="241"/>
      <c r="G9" s="11"/>
      <c r="Q9" s="62" t="s">
        <v>92</v>
      </c>
      <c r="S9" s="135">
        <f ca="1">S7-S8</f>
        <v>-856512.35275548697</v>
      </c>
      <c r="T9" s="136">
        <f ca="1">T7-T8</f>
        <v>-6.5070668166796741E-3</v>
      </c>
    </row>
    <row r="10" spans="2:26" x14ac:dyDescent="0.2">
      <c r="F10" s="241"/>
      <c r="G10" s="11"/>
    </row>
    <row r="11" spans="2:26" x14ac:dyDescent="0.2">
      <c r="F11" s="241"/>
      <c r="G11" s="11"/>
      <c r="K11" s="10"/>
    </row>
    <row r="12" spans="2:26" x14ac:dyDescent="0.2">
      <c r="B12" s="6"/>
      <c r="C12" s="6"/>
      <c r="D12" s="6"/>
      <c r="E12" s="6"/>
      <c r="L12" s="275" t="s">
        <v>192</v>
      </c>
      <c r="P12" s="10" t="s">
        <v>193</v>
      </c>
      <c r="S12" s="10" t="str">
        <f ca="1">Q13&amp;" vs "&amp;P13</f>
        <v>Post-Covid vs 2020</v>
      </c>
      <c r="V12" s="10" t="s">
        <v>86</v>
      </c>
      <c r="Y12" s="10" t="s">
        <v>196</v>
      </c>
    </row>
    <row r="13" spans="2:26" ht="19" x14ac:dyDescent="0.25">
      <c r="B13" s="245" t="s">
        <v>14</v>
      </c>
      <c r="C13" s="245" t="s">
        <v>93</v>
      </c>
      <c r="D13" s="245" t="s">
        <v>94</v>
      </c>
      <c r="E13" s="245" t="s">
        <v>99</v>
      </c>
      <c r="K13" s="30" t="s">
        <v>87</v>
      </c>
      <c r="L13" s="6" t="str">
        <f>L6</f>
        <v>Total</v>
      </c>
      <c r="M13" s="6">
        <f ca="1">Setup!H9</f>
        <v>2020</v>
      </c>
      <c r="N13" s="6" t="str">
        <f ca="1">Setup!H10</f>
        <v>Post-Covid</v>
      </c>
      <c r="O13" s="4"/>
      <c r="P13" s="6">
        <f ca="1">M13</f>
        <v>2020</v>
      </c>
      <c r="Q13" s="6" t="str">
        <f ca="1">N13</f>
        <v>Post-Covid</v>
      </c>
      <c r="R13" s="4"/>
      <c r="S13" s="6" t="s">
        <v>194</v>
      </c>
      <c r="T13" s="6" t="s">
        <v>195</v>
      </c>
      <c r="U13" s="4"/>
      <c r="V13" s="6">
        <f ca="1">M13</f>
        <v>2020</v>
      </c>
      <c r="W13" s="6" t="str">
        <f ca="1">N13</f>
        <v>Post-Covid</v>
      </c>
      <c r="X13" s="4"/>
      <c r="Y13" s="6">
        <f ca="1">M13</f>
        <v>2020</v>
      </c>
      <c r="Z13" s="6" t="str">
        <f ca="1">N13</f>
        <v>Post-Covid</v>
      </c>
    </row>
    <row r="14" spans="2:26" x14ac:dyDescent="0.2">
      <c r="B14" s="279">
        <f>COUNTA(B15:B34)</f>
        <v>19</v>
      </c>
      <c r="C14" s="279">
        <f>COUNTA(C15:C34)</f>
        <v>12</v>
      </c>
      <c r="D14" s="279">
        <f>COUNTA(D15:D34)</f>
        <v>5</v>
      </c>
      <c r="E14" s="279">
        <f>COUNTA(E15:E34)</f>
        <v>3</v>
      </c>
      <c r="F14" s="243"/>
      <c r="G14" s="43" t="s">
        <v>85</v>
      </c>
      <c r="K14" s="411" t="s">
        <v>46</v>
      </c>
      <c r="L14" s="412">
        <f ca="1">SUM(L15:L27)</f>
        <v>900842180.11819386</v>
      </c>
      <c r="M14" s="412">
        <f ca="1">SUM(M15:M27)</f>
        <v>360537866.75972199</v>
      </c>
      <c r="N14" s="412">
        <f ca="1">SUM(N15:N27)</f>
        <v>191485106.7258428</v>
      </c>
      <c r="P14" s="415">
        <f ca="1">M14/M$7</f>
        <v>0.9957813739582192</v>
      </c>
      <c r="Q14" s="415">
        <f ca="1">N14/N$7</f>
        <v>1.0097303302266643</v>
      </c>
      <c r="S14" s="418">
        <f ca="1">SUM(S15:S27)</f>
        <v>-169052760.03387916</v>
      </c>
      <c r="T14" s="419">
        <f ca="1">(N14-M14)/M$7</f>
        <v>-0.46691236948532266</v>
      </c>
      <c r="V14" s="424">
        <f ca="1">SUM(V15:V27)</f>
        <v>14744559.026581764</v>
      </c>
      <c r="W14" s="424">
        <f ca="1">SUM(W15:W27)</f>
        <v>10036053.519185945</v>
      </c>
      <c r="Y14" s="427">
        <f ca="1">SUMPRODUCT(_xlfn.ANCHORARRAY(Y15),_xlfn.ANCHORARRAY(V15))/V14</f>
        <v>5.7927615761424089</v>
      </c>
      <c r="Z14" s="427">
        <f ca="1">SUMPRODUCT(_xlfn.ANCHORARRAY(Z15),_xlfn.ANCHORARRAY(W15))/W14</f>
        <v>5.769399562289272</v>
      </c>
    </row>
    <row r="15" spans="2:26" x14ac:dyDescent="0.2">
      <c r="B15" s="409" t="str" cm="1">
        <f t="array" ref="B15:B33">_xlfn.UNIQUE(Dictionary!J6:J24)</f>
        <v>Seasonality</v>
      </c>
      <c r="C15" s="409" t="str" cm="1">
        <f t="array" ref="C15:C26">_xlfn.UNIQUE(Dictionary!K6:K24)</f>
        <v>Macro</v>
      </c>
      <c r="D15" s="198" t="str" cm="1">
        <f t="array" ref="D15:D19">_xlfn.UNIQUE(Dictionary!L6:L24)</f>
        <v>Macro</v>
      </c>
      <c r="E15" s="406" t="str" cm="1">
        <f t="array" ref="E15:E17">_xlfn.UNIQUE(Dictionary!M6:M24)</f>
        <v>Macro</v>
      </c>
      <c r="F15" s="263"/>
      <c r="G15" s="260" t="str" cm="1">
        <f t="array" aca="1" ref="G15:G19" ca="1">OFFSET(B14,1,$L$3-1,INDEX(B14:E14,1,$L$3),1)</f>
        <v>Macro</v>
      </c>
      <c r="K15" s="13" t="str" cm="1">
        <f t="array" aca="1" ref="K15:K19" ca="1">_xlfn.ANCHORARRAY(G15)</f>
        <v>Macro</v>
      </c>
      <c r="L15" s="413" cm="1">
        <f t="array" aca="1" ref="L15:L19" ca="1">SUMIFS(_xlfn.ANCHORARRAY('Volume Data'!D$7),_xlfn.ANCHORARRAY('Volume Data'!$O$7),_xlfn.ANCHORARRAY($K15))</f>
        <v>730523204.31473172</v>
      </c>
      <c r="M15" s="413" cm="1">
        <f t="array" aca="1" ref="M15:M19" ca="1">SUMIFS(_xlfn.ANCHORARRAY('Volume Data'!E$7),_xlfn.ANCHORARRAY('Volume Data'!$O$7),_xlfn.ANCHORARRAY($K15))</f>
        <v>310126931.32327873</v>
      </c>
      <c r="N15" s="413" cm="1">
        <f t="array" aca="1" ref="N15:N19" ca="1">SUMIFS(_xlfn.ANCHORARRAY('Volume Data'!F$7),_xlfn.ANCHORARRAY('Volume Data'!$O$7),_xlfn.ANCHORARRAY($K15))</f>
        <v>149529565.46058756</v>
      </c>
      <c r="P15" s="416" cm="1">
        <f t="array" aca="1" ref="P15:P19" ca="1">_xlfn.ANCHORARRAY(M15)/M$7</f>
        <v>0.85654975592439175</v>
      </c>
      <c r="Q15" s="416" cm="1">
        <f t="array" aca="1" ref="Q15:Q19" ca="1">_xlfn.ANCHORARRAY(N15)/N$7</f>
        <v>0.78849232764268995</v>
      </c>
      <c r="S15" s="420" cm="1">
        <f t="array" aca="1" ref="S15:S19" ca="1">_xlfn.ANCHORARRAY(N15)-_xlfn.ANCHORARRAY(M15)</f>
        <v>-160597365.86269116</v>
      </c>
      <c r="T15" s="421" cm="1">
        <f t="array" aca="1" ref="T15:T19" ca="1">_xlfn.ANCHORARRAY(S15)/M$7</f>
        <v>-0.44355913865602059</v>
      </c>
      <c r="V15" s="425" cm="1">
        <f t="array" aca="1" ref="V15:V19" ca="1">SUMIFS(_xlfn.ANCHORARRAY('Spend Data'!$I$5),_xlfn.ANCHORARRAY('Spend Data'!$I$10),_xlfn.ANCHORARRAY($K15))</f>
        <v>0</v>
      </c>
      <c r="W15" s="425" cm="1">
        <f t="array" aca="1" ref="W15:W19" ca="1">SUMIFS(_xlfn.ANCHORARRAY('Spend Data'!$I$6),_xlfn.ANCHORARRAY('Spend Data'!$I$10),_xlfn.ANCHORARRAY($K15))</f>
        <v>0</v>
      </c>
      <c r="Y15" s="428" cm="1">
        <f t="array" aca="1" ref="Y15:Y19" ca="1">IF(_xlfn.ANCHORARRAY(V15),SUMIFS(_xlfn.ANCHORARRAY('Actual vs Predicted'!W35),_xlfn.ANCHORARRAY('Actual vs Predicted'!$W$50),_xlfn.ANCHORARRAY($K15))/_xlfn.ANCHORARRAY(V15),0)</f>
        <v>0</v>
      </c>
      <c r="Z15" s="428" cm="1">
        <f t="array" aca="1" ref="Z15:Z19" ca="1">IF(_xlfn.ANCHORARRAY(W15),SUMIFS(_xlfn.ANCHORARRAY('Actual vs Predicted'!W36),_xlfn.ANCHORARRAY('Actual vs Predicted'!$W$50),_xlfn.ANCHORARRAY($K15))/_xlfn.ANCHORARRAY(W15),0)</f>
        <v>0</v>
      </c>
    </row>
    <row r="16" spans="2:26" x14ac:dyDescent="0.2">
      <c r="B16" s="405" t="str">
        <v>Market</v>
      </c>
      <c r="C16" s="405" t="str">
        <v>Covid</v>
      </c>
      <c r="D16" s="199" t="str">
        <v>Covid</v>
      </c>
      <c r="E16" s="407" t="str">
        <v>Promotion</v>
      </c>
      <c r="F16" s="263"/>
      <c r="G16" s="262" t="str">
        <f ca="1"/>
        <v>Covid</v>
      </c>
      <c r="K16" s="72" t="str">
        <f ca="1"/>
        <v>Covid</v>
      </c>
      <c r="L16" s="414">
        <f ca="1"/>
        <v>-63046261.540429354</v>
      </c>
      <c r="M16" s="414">
        <f ca="1"/>
        <v>-63046261.540429354</v>
      </c>
      <c r="N16" s="414">
        <f ca="1"/>
        <v>-29077619.688671794</v>
      </c>
      <c r="P16" s="417">
        <f ca="1"/>
        <v>-0.1741295401337066</v>
      </c>
      <c r="Q16" s="417">
        <f ca="1"/>
        <v>-0.15333074740107416</v>
      </c>
      <c r="S16" s="422">
        <f ca="1"/>
        <v>33968641.851757556</v>
      </c>
      <c r="T16" s="423">
        <f ca="1"/>
        <v>9.3819107431454551E-2</v>
      </c>
      <c r="V16" s="426">
        <f ca="1"/>
        <v>0</v>
      </c>
      <c r="W16" s="426">
        <f ca="1"/>
        <v>0</v>
      </c>
      <c r="Y16" s="429">
        <f ca="1"/>
        <v>0</v>
      </c>
      <c r="Z16" s="429">
        <f ca="1"/>
        <v>0</v>
      </c>
    </row>
    <row r="17" spans="2:26" x14ac:dyDescent="0.2">
      <c r="B17" s="405" t="str">
        <v>Covid</v>
      </c>
      <c r="C17" s="405" t="str">
        <v>Product Launch</v>
      </c>
      <c r="D17" s="199" t="str">
        <v>Promotion</v>
      </c>
      <c r="E17" s="407" t="str">
        <v>Media</v>
      </c>
      <c r="F17" s="263"/>
      <c r="G17" s="262" t="str">
        <f ca="1"/>
        <v>Promotion</v>
      </c>
      <c r="K17" s="13" t="str">
        <f ca="1"/>
        <v>Promotion</v>
      </c>
      <c r="L17" s="413">
        <f ca="1"/>
        <v>76045977.589043885</v>
      </c>
      <c r="M17" s="413">
        <f ca="1"/>
        <v>28473077.195242882</v>
      </c>
      <c r="N17" s="413">
        <f ca="1"/>
        <v>14378532.637805175</v>
      </c>
      <c r="P17" s="416">
        <f ca="1"/>
        <v>7.8640726936993366E-2</v>
      </c>
      <c r="Q17" s="416">
        <f ca="1"/>
        <v>7.5820207413480709E-2</v>
      </c>
      <c r="S17" s="420">
        <f ca="1"/>
        <v>-14094544.557437707</v>
      </c>
      <c r="T17" s="421">
        <f ca="1"/>
        <v>-3.8928185465950643E-2</v>
      </c>
      <c r="V17" s="425">
        <f ca="1"/>
        <v>0</v>
      </c>
      <c r="W17" s="425">
        <f ca="1"/>
        <v>0</v>
      </c>
      <c r="Y17" s="428">
        <f ca="1"/>
        <v>0</v>
      </c>
      <c r="Z17" s="428">
        <f ca="1"/>
        <v>0</v>
      </c>
    </row>
    <row r="18" spans="2:26" x14ac:dyDescent="0.2">
      <c r="B18" s="405" t="str">
        <v>Product Launch</v>
      </c>
      <c r="C18" s="405" t="str">
        <v>GWP</v>
      </c>
      <c r="D18" s="199" t="str">
        <v>Traditional Media</v>
      </c>
      <c r="E18" s="407"/>
      <c r="F18" s="263"/>
      <c r="G18" s="262" t="str">
        <f ca="1"/>
        <v>Traditional Media</v>
      </c>
      <c r="K18" s="72" t="str">
        <f ca="1"/>
        <v>Traditional Media</v>
      </c>
      <c r="L18" s="414">
        <f ca="1"/>
        <v>44415484.680668011</v>
      </c>
      <c r="M18" s="414">
        <f ca="1"/>
        <v>14420107.441294238</v>
      </c>
      <c r="N18" s="414">
        <f ca="1"/>
        <v>8735506.7472338639</v>
      </c>
      <c r="P18" s="417">
        <f ca="1"/>
        <v>3.9827368286080078E-2</v>
      </c>
      <c r="Q18" s="417">
        <f ca="1"/>
        <v>4.6063666586928821E-2</v>
      </c>
      <c r="S18" s="422">
        <f ca="1"/>
        <v>-5684600.6940603741</v>
      </c>
      <c r="T18" s="423">
        <f ca="1"/>
        <v>-1.5700485334340115E-2</v>
      </c>
      <c r="V18" s="426">
        <f ca="1"/>
        <v>5493822.6360827191</v>
      </c>
      <c r="W18" s="426">
        <f ca="1"/>
        <v>3223416.6094740001</v>
      </c>
      <c r="Y18" s="429">
        <f ca="1"/>
        <v>2.6247857633016456</v>
      </c>
      <c r="Z18" s="429">
        <f ca="1"/>
        <v>2.7100148089946496</v>
      </c>
    </row>
    <row r="19" spans="2:26" x14ac:dyDescent="0.2">
      <c r="B19" s="405" t="str">
        <v>GWP</v>
      </c>
      <c r="C19" s="405" t="str">
        <v>Samples</v>
      </c>
      <c r="D19" s="199" t="str">
        <v>Digital Media</v>
      </c>
      <c r="E19" s="407"/>
      <c r="F19" s="263"/>
      <c r="G19" s="262" t="str">
        <f ca="1"/>
        <v>Digital Media</v>
      </c>
      <c r="K19" s="13" t="str">
        <f ca="1"/>
        <v>Digital Media</v>
      </c>
      <c r="L19" s="413">
        <f ca="1"/>
        <v>112903775.07417959</v>
      </c>
      <c r="M19" s="413">
        <f ca="1"/>
        <v>70564012.340335459</v>
      </c>
      <c r="N19" s="413">
        <f ca="1"/>
        <v>47919121.568888001</v>
      </c>
      <c r="P19" s="416">
        <f ca="1"/>
        <v>0.1948930629444604</v>
      </c>
      <c r="Q19" s="416">
        <f ca="1"/>
        <v>0.25268487598463901</v>
      </c>
      <c r="S19" s="420">
        <f ca="1"/>
        <v>-22644890.771447457</v>
      </c>
      <c r="T19" s="421">
        <f ca="1"/>
        <v>-6.2543667460465718E-2</v>
      </c>
      <c r="V19" s="425">
        <f ca="1"/>
        <v>9250736.3904990442</v>
      </c>
      <c r="W19" s="425">
        <f ca="1"/>
        <v>6812636.9097119449</v>
      </c>
      <c r="Y19" s="428">
        <f ca="1"/>
        <v>7.674157445234755</v>
      </c>
      <c r="Z19" s="428">
        <f ca="1"/>
        <v>7.2169552972034303</v>
      </c>
    </row>
    <row r="20" spans="2:26" x14ac:dyDescent="0.2">
      <c r="B20" s="405" t="str">
        <v>Samples</v>
      </c>
      <c r="C20" s="405" t="str">
        <v>TV</v>
      </c>
      <c r="D20" s="199"/>
      <c r="E20" s="407"/>
      <c r="F20" s="263"/>
      <c r="G20" s="262"/>
      <c r="K20" s="72"/>
      <c r="L20" s="414"/>
      <c r="M20" s="414"/>
      <c r="N20" s="414"/>
      <c r="P20" s="417"/>
      <c r="Q20" s="417"/>
      <c r="S20" s="422"/>
      <c r="T20" s="423"/>
      <c r="V20" s="426"/>
      <c r="W20" s="426"/>
      <c r="Y20" s="429"/>
      <c r="Z20" s="429"/>
    </row>
    <row r="21" spans="2:26" x14ac:dyDescent="0.2">
      <c r="B21" s="405" t="str">
        <v>TV - Pure</v>
      </c>
      <c r="C21" s="405" t="str">
        <v>Print</v>
      </c>
      <c r="D21" s="199"/>
      <c r="E21" s="407"/>
      <c r="F21" s="263"/>
      <c r="G21" s="262"/>
      <c r="K21" s="13"/>
      <c r="L21" s="413"/>
      <c r="M21" s="413"/>
      <c r="N21" s="413"/>
      <c r="P21" s="416"/>
      <c r="Q21" s="416"/>
      <c r="S21" s="420"/>
      <c r="T21" s="421"/>
      <c r="V21" s="425"/>
      <c r="W21" s="425"/>
      <c r="Y21" s="428"/>
      <c r="Z21" s="428"/>
    </row>
    <row r="22" spans="2:26" x14ac:dyDescent="0.2">
      <c r="B22" s="405" t="str">
        <v>TV - Coop</v>
      </c>
      <c r="C22" s="405" t="str">
        <v>Outdoor</v>
      </c>
      <c r="D22" s="199"/>
      <c r="E22" s="407"/>
      <c r="F22" s="263"/>
      <c r="G22" s="262"/>
      <c r="K22" s="72"/>
      <c r="L22" s="414"/>
      <c r="M22" s="414"/>
      <c r="N22" s="414"/>
      <c r="P22" s="417"/>
      <c r="Q22" s="417"/>
      <c r="S22" s="422"/>
      <c r="T22" s="423"/>
      <c r="V22" s="426"/>
      <c r="W22" s="426"/>
      <c r="Y22" s="429"/>
      <c r="Z22" s="429"/>
    </row>
    <row r="23" spans="2:26" x14ac:dyDescent="0.2">
      <c r="B23" s="405" t="str">
        <v>Print - Pure</v>
      </c>
      <c r="C23" s="405" t="str">
        <v>Search</v>
      </c>
      <c r="D23" s="199"/>
      <c r="E23" s="407"/>
      <c r="F23" s="263"/>
      <c r="G23" s="262"/>
      <c r="K23" s="13"/>
      <c r="L23" s="413"/>
      <c r="M23" s="413"/>
      <c r="N23" s="413"/>
      <c r="P23" s="416"/>
      <c r="Q23" s="416"/>
      <c r="S23" s="420"/>
      <c r="T23" s="421"/>
      <c r="V23" s="425"/>
      <c r="W23" s="425"/>
      <c r="Y23" s="428"/>
      <c r="Z23" s="428"/>
    </row>
    <row r="24" spans="2:26" x14ac:dyDescent="0.2">
      <c r="B24" s="405" t="str">
        <v>Print - Coop</v>
      </c>
      <c r="C24" s="405" t="str">
        <v>Social</v>
      </c>
      <c r="D24" s="199"/>
      <c r="E24" s="407"/>
      <c r="F24" s="263"/>
      <c r="G24" s="262"/>
      <c r="K24" s="72"/>
      <c r="L24" s="414"/>
      <c r="M24" s="414"/>
      <c r="N24" s="414"/>
      <c r="P24" s="417"/>
      <c r="Q24" s="417"/>
      <c r="S24" s="422"/>
      <c r="T24" s="423"/>
      <c r="V24" s="426"/>
      <c r="W24" s="426"/>
      <c r="Y24" s="429"/>
      <c r="Z24" s="429"/>
    </row>
    <row r="25" spans="2:26" x14ac:dyDescent="0.2">
      <c r="B25" s="405" t="str">
        <v>Outdoor</v>
      </c>
      <c r="C25" s="405" t="str">
        <v>Online Video</v>
      </c>
      <c r="D25" s="199"/>
      <c r="E25" s="407"/>
      <c r="F25" s="263"/>
      <c r="G25" s="262"/>
      <c r="K25" s="13"/>
      <c r="L25" s="413"/>
      <c r="M25" s="413"/>
      <c r="N25" s="413"/>
      <c r="P25" s="416"/>
      <c r="Q25" s="416"/>
      <c r="S25" s="420"/>
      <c r="T25" s="421"/>
      <c r="V25" s="425"/>
      <c r="W25" s="425"/>
      <c r="Y25" s="428"/>
      <c r="Z25" s="428"/>
    </row>
    <row r="26" spans="2:26" x14ac:dyDescent="0.2">
      <c r="B26" s="405" t="str">
        <v>Search - Brand</v>
      </c>
      <c r="C26" s="405" t="str">
        <v>Display</v>
      </c>
      <c r="D26" s="199"/>
      <c r="E26" s="407"/>
      <c r="F26" s="263"/>
      <c r="G26" s="262"/>
      <c r="K26" s="72"/>
      <c r="L26" s="414"/>
      <c r="M26" s="414"/>
      <c r="N26" s="414"/>
      <c r="P26" s="417"/>
      <c r="Q26" s="417"/>
      <c r="S26" s="422"/>
      <c r="T26" s="423"/>
      <c r="V26" s="426"/>
      <c r="W26" s="426"/>
      <c r="Y26" s="429"/>
      <c r="Z26" s="429"/>
    </row>
    <row r="27" spans="2:26" x14ac:dyDescent="0.2">
      <c r="B27" s="405" t="str">
        <v>Search - Non-Brand</v>
      </c>
      <c r="C27" s="405"/>
      <c r="D27" s="199"/>
      <c r="E27" s="407"/>
      <c r="F27" s="263"/>
      <c r="G27" s="262"/>
      <c r="K27" s="13"/>
      <c r="L27" s="413"/>
      <c r="M27" s="413"/>
      <c r="N27" s="413"/>
      <c r="P27" s="416"/>
      <c r="Q27" s="416"/>
      <c r="S27" s="420"/>
      <c r="T27" s="421"/>
      <c r="V27" s="425"/>
      <c r="W27" s="425"/>
      <c r="Y27" s="428"/>
      <c r="Z27" s="428"/>
    </row>
    <row r="28" spans="2:26" x14ac:dyDescent="0.2">
      <c r="B28" s="405" t="str">
        <v>Pinterest</v>
      </c>
      <c r="C28" s="405"/>
      <c r="D28" s="199"/>
      <c r="E28" s="3"/>
      <c r="F28" s="263"/>
      <c r="G28" s="262"/>
      <c r="K28" s="72"/>
      <c r="L28" s="414"/>
      <c r="M28" s="414"/>
      <c r="N28" s="414"/>
      <c r="P28" s="417"/>
      <c r="Q28" s="417"/>
      <c r="S28" s="422"/>
      <c r="T28" s="423"/>
      <c r="V28" s="426"/>
      <c r="W28" s="426"/>
      <c r="Y28" s="429"/>
      <c r="Z28" s="429"/>
    </row>
    <row r="29" spans="2:26" x14ac:dyDescent="0.2">
      <c r="B29" s="405" t="str">
        <v>Snapchat</v>
      </c>
      <c r="C29" s="405"/>
      <c r="D29" s="199"/>
      <c r="E29" s="3"/>
      <c r="F29" s="263"/>
      <c r="G29" s="262"/>
      <c r="K29" s="13"/>
      <c r="L29" s="413"/>
      <c r="M29" s="413"/>
      <c r="N29" s="413"/>
      <c r="P29" s="416"/>
      <c r="Q29" s="416"/>
      <c r="S29" s="420"/>
      <c r="T29" s="421"/>
      <c r="V29" s="425"/>
      <c r="W29" s="425"/>
      <c r="Y29" s="428"/>
      <c r="Z29" s="428"/>
    </row>
    <row r="30" spans="2:26" x14ac:dyDescent="0.2">
      <c r="B30" s="405" t="str">
        <v>TikTok</v>
      </c>
      <c r="C30" s="405"/>
      <c r="D30" s="199"/>
      <c r="E30" s="3"/>
      <c r="F30" s="263"/>
      <c r="G30" s="262"/>
      <c r="K30" s="72"/>
      <c r="L30" s="414"/>
      <c r="M30" s="414"/>
      <c r="N30" s="414"/>
      <c r="P30" s="417"/>
      <c r="Q30" s="417"/>
      <c r="S30" s="422"/>
      <c r="T30" s="423"/>
      <c r="V30" s="426"/>
      <c r="W30" s="426"/>
      <c r="Y30" s="429"/>
      <c r="Z30" s="429"/>
    </row>
    <row r="31" spans="2:26" x14ac:dyDescent="0.2">
      <c r="B31" s="405" t="str">
        <v>Facebook Instagram</v>
      </c>
      <c r="C31" s="405"/>
      <c r="D31" s="199"/>
      <c r="E31" s="3"/>
      <c r="F31" s="263"/>
      <c r="G31" s="262"/>
      <c r="K31" s="13"/>
      <c r="L31" s="413"/>
      <c r="M31" s="413"/>
      <c r="N31" s="413"/>
      <c r="P31" s="416"/>
      <c r="Q31" s="416"/>
      <c r="S31" s="420"/>
      <c r="T31" s="421"/>
      <c r="V31" s="425"/>
      <c r="W31" s="425"/>
      <c r="Y31" s="428"/>
      <c r="Z31" s="428"/>
    </row>
    <row r="32" spans="2:26" x14ac:dyDescent="0.2">
      <c r="B32" s="405" t="str">
        <v>Online Video</v>
      </c>
      <c r="C32" s="405"/>
      <c r="D32" s="199"/>
      <c r="E32" s="3"/>
      <c r="F32" s="263"/>
      <c r="G32" s="262"/>
      <c r="K32" s="72"/>
      <c r="L32" s="414"/>
      <c r="M32" s="414"/>
      <c r="N32" s="414"/>
      <c r="P32" s="417"/>
      <c r="Q32" s="417"/>
      <c r="S32" s="422"/>
      <c r="T32" s="423"/>
      <c r="V32" s="426"/>
      <c r="W32" s="426"/>
      <c r="Y32" s="429"/>
      <c r="Z32" s="429"/>
    </row>
    <row r="33" spans="1:26" x14ac:dyDescent="0.2">
      <c r="B33" s="410" t="str">
        <v>Display</v>
      </c>
      <c r="C33" s="410"/>
      <c r="D33" s="408"/>
      <c r="E33" s="3"/>
      <c r="F33" s="263"/>
      <c r="G33" s="262"/>
      <c r="K33" s="13"/>
      <c r="L33" s="413"/>
      <c r="M33" s="413"/>
      <c r="N33" s="413"/>
      <c r="P33" s="416"/>
      <c r="Q33" s="416"/>
      <c r="S33" s="420"/>
      <c r="T33" s="421"/>
      <c r="V33" s="425"/>
      <c r="W33" s="425"/>
      <c r="Y33" s="428"/>
      <c r="Z33" s="428"/>
    </row>
    <row r="34" spans="1:26" x14ac:dyDescent="0.2">
      <c r="A34" s="5" t="s">
        <v>7</v>
      </c>
      <c r="B34" s="7"/>
      <c r="C34" s="259"/>
      <c r="D34" s="259"/>
      <c r="E34" s="259"/>
      <c r="F34" s="263"/>
      <c r="G34" s="264"/>
    </row>
    <row r="35" spans="1:26" x14ac:dyDescent="0.2">
      <c r="G35" s="261"/>
      <c r="V35" s="1"/>
    </row>
    <row r="36" spans="1:26" x14ac:dyDescent="0.2">
      <c r="K36" s="10" t="s">
        <v>55</v>
      </c>
      <c r="L36" s="125">
        <f ca="1">'Actual vs Predicted'!$O$50*'Actual vs Predicted'!$E$21</f>
        <v>10416621.48440063</v>
      </c>
      <c r="M36" s="125">
        <f ca="1">'Actual vs Predicted'!$O$50*'Actual vs Predicted'!$E$29</f>
        <v>5208310.742200315</v>
      </c>
      <c r="N36" s="125">
        <f ca="1">'Actual vs Predicted'!$O$50*'Actual vs Predicted'!$E$33</f>
        <v>2203516.0832385947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Spinner 1">
              <controlPr defaultSize="0" autoPict="0">
                <anchor moveWithCells="1" sizeWithCells="1">
                  <from>
                    <xdr:col>11</xdr:col>
                    <xdr:colOff>863600</xdr:colOff>
                    <xdr:row>1</xdr:row>
                    <xdr:rowOff>114300</xdr:rowOff>
                  </from>
                  <to>
                    <xdr:col>12</xdr:col>
                    <xdr:colOff>63500</xdr:colOff>
                    <xdr:row>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Drop Down 2">
              <controlPr defaultSize="0" autoLine="0" autoPict="0">
                <anchor moveWithCells="1">
                  <from>
                    <xdr:col>12</xdr:col>
                    <xdr:colOff>25400</xdr:colOff>
                    <xdr:row>4</xdr:row>
                    <xdr:rowOff>139700</xdr:rowOff>
                  </from>
                  <to>
                    <xdr:col>12</xdr:col>
                    <xdr:colOff>1016000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Drop Down 3">
              <controlPr defaultSize="0" autoLine="0" autoPict="0">
                <anchor moveWithCells="1">
                  <from>
                    <xdr:col>13</xdr:col>
                    <xdr:colOff>25400</xdr:colOff>
                    <xdr:row>4</xdr:row>
                    <xdr:rowOff>139700</xdr:rowOff>
                  </from>
                  <to>
                    <xdr:col>13</xdr:col>
                    <xdr:colOff>1016000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28F9-09EA-453A-BE90-8A1DF6537649}">
  <sheetPr>
    <tabColor theme="9" tint="-0.249977111117893"/>
  </sheetPr>
  <dimension ref="A1:J111"/>
  <sheetViews>
    <sheetView showGridLines="0" topLeftCell="A99" zoomScaleNormal="74" workbookViewId="0">
      <selection activeCell="D108" sqref="D108"/>
    </sheetView>
  </sheetViews>
  <sheetFormatPr baseColWidth="10" defaultColWidth="8.6640625" defaultRowHeight="15" x14ac:dyDescent="0.2"/>
  <cols>
    <col min="1" max="1" width="9.33203125" customWidth="1"/>
    <col min="2" max="2" width="16.6640625" style="10" bestFit="1" customWidth="1"/>
    <col min="3" max="3" width="20.5" bestFit="1" customWidth="1"/>
    <col min="4" max="4" width="15.33203125" customWidth="1"/>
    <col min="5" max="5" width="15.5" customWidth="1"/>
    <col min="6" max="8" width="14.6640625" customWidth="1"/>
    <col min="9" max="9" width="9.33203125"/>
    <col min="10" max="10" width="8.6640625" style="499"/>
    <col min="13" max="13" width="10.5" bestFit="1" customWidth="1"/>
  </cols>
  <sheetData>
    <row r="1" spans="1:10" ht="16" x14ac:dyDescent="0.2">
      <c r="A1" s="436" t="s">
        <v>235</v>
      </c>
      <c r="B1" s="436"/>
      <c r="C1" s="436"/>
      <c r="D1" s="436"/>
      <c r="E1" s="436"/>
      <c r="F1" s="436"/>
      <c r="G1" s="436"/>
      <c r="H1" s="436"/>
      <c r="I1" s="436"/>
    </row>
    <row r="4" spans="1:10" s="501" customFormat="1" ht="16" x14ac:dyDescent="0.2">
      <c r="A4" s="436" t="s">
        <v>204</v>
      </c>
      <c r="B4" s="436"/>
      <c r="C4" s="436"/>
      <c r="D4" s="436"/>
      <c r="E4" s="436"/>
      <c r="F4" s="436"/>
      <c r="G4" s="436"/>
      <c r="H4" s="436"/>
      <c r="I4" s="436"/>
      <c r="J4" s="500" t="s">
        <v>226</v>
      </c>
    </row>
    <row r="7" spans="1:10" x14ac:dyDescent="0.2">
      <c r="B7" s="440" t="s">
        <v>200</v>
      </c>
      <c r="C7" s="441" t="s">
        <v>205</v>
      </c>
      <c r="D7" s="441" t="s">
        <v>206</v>
      </c>
    </row>
    <row r="8" spans="1:10" x14ac:dyDescent="0.2">
      <c r="B8" s="480" t="s">
        <v>198</v>
      </c>
      <c r="C8" s="437">
        <f ca="1">'Summary Data'!M7</f>
        <v>362065284.79899985</v>
      </c>
      <c r="D8" s="437" t="s">
        <v>207</v>
      </c>
    </row>
    <row r="9" spans="1:10" x14ac:dyDescent="0.2">
      <c r="B9" s="480" t="s">
        <v>111</v>
      </c>
      <c r="C9" s="438">
        <f ca="1">VLOOKUP(B9,'Summary Data'!$K$15:$S$19,9,FALSE)</f>
        <v>-160597365.86269116</v>
      </c>
      <c r="D9" s="438" t="s">
        <v>207</v>
      </c>
    </row>
    <row r="10" spans="1:10" x14ac:dyDescent="0.2">
      <c r="B10" s="480" t="s">
        <v>179</v>
      </c>
      <c r="C10" s="438">
        <f ca="1">VLOOKUP(B10,'Summary Data'!$K$15:$S$19,9,FALSE)</f>
        <v>33968641.851757556</v>
      </c>
      <c r="D10" s="438" t="s">
        <v>207</v>
      </c>
    </row>
    <row r="11" spans="1:10" x14ac:dyDescent="0.2">
      <c r="B11" s="480" t="s">
        <v>191</v>
      </c>
      <c r="C11" s="438">
        <f ca="1">VLOOKUP(B11,'Summary Data'!$K$15:$S$19,9,FALSE)</f>
        <v>-14094544.557437707</v>
      </c>
      <c r="D11" s="438" t="s">
        <v>207</v>
      </c>
    </row>
    <row r="12" spans="1:10" x14ac:dyDescent="0.2">
      <c r="B12" s="480" t="s">
        <v>133</v>
      </c>
      <c r="C12" s="438">
        <f ca="1">VLOOKUP(B12,'Summary Data'!$K$15:$S$19,9,FALSE)</f>
        <v>-5684600.6940603741</v>
      </c>
      <c r="D12" s="438">
        <f ca="1">VLOOKUP(B12,'Summary Data'!$K$15:$AA$19,13,FALSE)-VLOOKUP(B12,'Summary Data'!$K$15:$AA$19,12,FALSE)</f>
        <v>-2270406.026608719</v>
      </c>
    </row>
    <row r="13" spans="1:10" x14ac:dyDescent="0.2">
      <c r="B13" s="480" t="s">
        <v>131</v>
      </c>
      <c r="C13" s="438">
        <f ca="1">VLOOKUP(B13,'Summary Data'!$K$15:$S$19,9,FALSE)</f>
        <v>-22644890.771447457</v>
      </c>
      <c r="D13" s="438">
        <f ca="1">VLOOKUP(B13,'Summary Data'!$K$15:$AA$19,13,FALSE)-VLOOKUP(B13,'Summary Data'!$K$15:$AA$19,12,FALSE)</f>
        <v>-2438099.4807870993</v>
      </c>
    </row>
    <row r="14" spans="1:10" x14ac:dyDescent="0.2">
      <c r="B14" s="481" t="s">
        <v>199</v>
      </c>
      <c r="C14" s="439">
        <f ca="1">'Summary Data'!N7</f>
        <v>189639848.37700003</v>
      </c>
      <c r="D14" s="439" t="s">
        <v>207</v>
      </c>
    </row>
    <row r="22" spans="1:10" s="501" customFormat="1" ht="16" x14ac:dyDescent="0.2">
      <c r="A22" s="436" t="s">
        <v>210</v>
      </c>
      <c r="B22" s="436"/>
      <c r="C22" s="436"/>
      <c r="D22" s="436"/>
      <c r="E22" s="436"/>
      <c r="F22" s="436"/>
      <c r="G22" s="436"/>
      <c r="H22" s="436"/>
      <c r="I22" s="436"/>
      <c r="J22" s="500" t="s">
        <v>226</v>
      </c>
    </row>
    <row r="24" spans="1:10" ht="16" thickBot="1" x14ac:dyDescent="0.25"/>
    <row r="25" spans="1:10" ht="16" thickBot="1" x14ac:dyDescent="0.25">
      <c r="C25" s="524">
        <v>2019</v>
      </c>
      <c r="D25" s="525"/>
      <c r="E25" s="526">
        <v>2020</v>
      </c>
      <c r="F25" s="527"/>
    </row>
    <row r="26" spans="1:10" x14ac:dyDescent="0.2">
      <c r="B26" s="440" t="s">
        <v>208</v>
      </c>
      <c r="C26" s="445" t="s">
        <v>209</v>
      </c>
      <c r="D26" s="445" t="s">
        <v>80</v>
      </c>
      <c r="E26" s="445" t="s">
        <v>209</v>
      </c>
      <c r="F26" s="445" t="s">
        <v>80</v>
      </c>
    </row>
    <row r="27" spans="1:10" x14ac:dyDescent="0.2">
      <c r="B27" s="480" t="s">
        <v>111</v>
      </c>
      <c r="C27" s="464">
        <f ca="1">VLOOKUP(B27,'Summary Data'!$K$15:$S$19,3,FALSE)</f>
        <v>310126931.32327873</v>
      </c>
      <c r="D27" s="446" t="e">
        <f ca="1">1-SUM(D28:D29)</f>
        <v>#N/A</v>
      </c>
      <c r="E27" s="464">
        <f ca="1">VLOOKUP(B27,'Summary Data'!$K$15:$S$19,4,FALSE)</f>
        <v>149529565.46058756</v>
      </c>
      <c r="F27" s="446" t="e">
        <f ca="1">1-SUM(F28:F29)</f>
        <v>#N/A</v>
      </c>
    </row>
    <row r="28" spans="1:10" x14ac:dyDescent="0.2">
      <c r="B28" s="480" t="s">
        <v>191</v>
      </c>
      <c r="C28" s="464">
        <f ca="1">VLOOKUP(B28,'Summary Data'!$K$15:$S$19,3,FALSE)</f>
        <v>28473077.195242882</v>
      </c>
      <c r="D28" s="446" t="e">
        <f ca="1">C28/SUM($C$27:$C$29)</f>
        <v>#N/A</v>
      </c>
      <c r="E28" s="464">
        <f ca="1">VLOOKUP(B28,'Summary Data'!$K$15:$S$19,4,FALSE)</f>
        <v>14378532.637805175</v>
      </c>
      <c r="F28" s="446" t="e">
        <f ca="1">E28/SUM($C$27:$C$29)</f>
        <v>#N/A</v>
      </c>
    </row>
    <row r="29" spans="1:10" x14ac:dyDescent="0.2">
      <c r="B29" s="481" t="s">
        <v>132</v>
      </c>
      <c r="C29" s="465" t="e">
        <f ca="1">VLOOKUP(B29,'Summary Data'!$K$15:$S$19,3,FALSE)</f>
        <v>#N/A</v>
      </c>
      <c r="D29" s="447" t="e">
        <f ca="1">C29/SUM($C$27:$C$29)</f>
        <v>#N/A</v>
      </c>
      <c r="E29" s="465" t="e">
        <f ca="1">VLOOKUP(B29,'Summary Data'!$K$15:$S$19,4,FALSE)</f>
        <v>#N/A</v>
      </c>
      <c r="F29" s="447" t="e">
        <f ca="1">E29/SUM($C$27:$C$29)</f>
        <v>#N/A</v>
      </c>
    </row>
    <row r="31" spans="1:10" x14ac:dyDescent="0.2">
      <c r="B31"/>
    </row>
    <row r="32" spans="1:10" x14ac:dyDescent="0.2">
      <c r="B32"/>
    </row>
    <row r="33" spans="1:10" x14ac:dyDescent="0.2">
      <c r="B33"/>
    </row>
    <row r="34" spans="1:10" x14ac:dyDescent="0.2">
      <c r="B34"/>
    </row>
    <row r="35" spans="1:10" x14ac:dyDescent="0.2">
      <c r="B35"/>
    </row>
    <row r="41" spans="1:10" s="503" customFormat="1" ht="16" x14ac:dyDescent="0.2">
      <c r="A41" s="436" t="s">
        <v>211</v>
      </c>
      <c r="B41" s="436"/>
      <c r="C41" s="436"/>
      <c r="D41" s="436"/>
      <c r="E41" s="436"/>
      <c r="F41" s="436"/>
      <c r="G41" s="436"/>
      <c r="H41" s="436"/>
      <c r="I41" s="436"/>
      <c r="J41" s="502"/>
    </row>
    <row r="43" spans="1:10" ht="16" thickBot="1" x14ac:dyDescent="0.25"/>
    <row r="44" spans="1:10" x14ac:dyDescent="0.2">
      <c r="C44" s="450">
        <v>2019</v>
      </c>
      <c r="D44" s="451"/>
      <c r="E44" s="452"/>
      <c r="F44" s="453">
        <v>2020</v>
      </c>
      <c r="G44" s="454"/>
      <c r="H44" s="455"/>
    </row>
    <row r="45" spans="1:10" x14ac:dyDescent="0.2">
      <c r="B45" s="440" t="s">
        <v>208</v>
      </c>
      <c r="C45" s="448" t="s">
        <v>86</v>
      </c>
      <c r="D45" s="448" t="s">
        <v>209</v>
      </c>
      <c r="E45" s="448" t="s">
        <v>196</v>
      </c>
      <c r="F45" s="449" t="s">
        <v>86</v>
      </c>
      <c r="G45" s="448" t="s">
        <v>209</v>
      </c>
      <c r="H45" s="448" t="s">
        <v>196</v>
      </c>
    </row>
    <row r="46" spans="1:10" x14ac:dyDescent="0.2">
      <c r="B46" s="480" t="s">
        <v>134</v>
      </c>
      <c r="C46" s="460" t="e">
        <f ca="1">IF(VLOOKUP(B46,'Summary Data'!$K$15:$AA$100,12,FALSE)=0,"-",VLOOKUP(B46,'Summary Data'!$K$15:$AA$100,12,FALSE))</f>
        <v>#N/A</v>
      </c>
      <c r="D46" s="459" t="e">
        <f ca="1">IF(VLOOKUP(B46,'Summary Data'!$K$15:$AA$100,3,FALSE)=0,"-",VLOOKUP(B46,'Summary Data'!$K$15:$AA$100,3,FALSE))</f>
        <v>#N/A</v>
      </c>
      <c r="E46" s="457" t="str">
        <f ca="1">IFERROR(D46/C46,"-")</f>
        <v>-</v>
      </c>
      <c r="F46" s="459" t="e">
        <f ca="1">IF(VLOOKUP(B46,'Summary Data'!$K$15:$AA$100,13,FALSE)=0,"-",VLOOKUP(B46,'Summary Data'!$K$15:$AA$100,13,FALSE))</f>
        <v>#N/A</v>
      </c>
      <c r="G46" s="459" t="e">
        <f ca="1">IF(VLOOKUP(B46,'Summary Data'!$K$15:$AA$100,4,FALSE)=0,"-",VLOOKUP(B46,'Summary Data'!$K$15:$AA$100,4,FALSE))</f>
        <v>#N/A</v>
      </c>
      <c r="H46" s="457" t="str">
        <f ca="1">IFERROR(G46/F46,"-")</f>
        <v>-</v>
      </c>
    </row>
    <row r="47" spans="1:10" x14ac:dyDescent="0.2">
      <c r="B47" s="480" t="s">
        <v>116</v>
      </c>
      <c r="C47" s="460" t="e">
        <f ca="1">IF(VLOOKUP(B47,'Summary Data'!$K$15:$AA$100,12,FALSE)=0,"-",VLOOKUP(B47,'Summary Data'!$K$15:$AA$100,12,FALSE))</f>
        <v>#N/A</v>
      </c>
      <c r="D47" s="461" t="e">
        <f ca="1">IF(VLOOKUP(B47,'Summary Data'!$K$15:$AA$100,3,FALSE)=0,"-",VLOOKUP(B47,'Summary Data'!$K$15:$AA$100,3,FALSE))</f>
        <v>#N/A</v>
      </c>
      <c r="E47" s="456" t="str">
        <f t="shared" ref="E47:E52" ca="1" si="0">IFERROR(D47/C47,"-")</f>
        <v>-</v>
      </c>
      <c r="F47" s="461" t="e">
        <f ca="1">IF(VLOOKUP(B47,'Summary Data'!$K$15:$AA$100,13,FALSE)=0,"-",VLOOKUP(B47,'Summary Data'!$K$15:$AA$100,13,FALSE))</f>
        <v>#N/A</v>
      </c>
      <c r="G47" s="461" t="e">
        <f ca="1">IF(VLOOKUP(B47,'Summary Data'!$K$15:$AA$100,4,FALSE)=0,"-",VLOOKUP(B47,'Summary Data'!$K$15:$AA$100,4,FALSE))</f>
        <v>#N/A</v>
      </c>
      <c r="H47" s="456" t="str">
        <f t="shared" ref="H47:H52" ca="1" si="1">IFERROR(G47/F47,"-")</f>
        <v>-</v>
      </c>
    </row>
    <row r="48" spans="1:10" x14ac:dyDescent="0.2">
      <c r="B48" s="480" t="s">
        <v>180</v>
      </c>
      <c r="C48" s="460" t="e">
        <f ca="1">IF(VLOOKUP(B48,'Summary Data'!$K$15:$AA$100,12,FALSE)=0,"-",VLOOKUP(B48,'Summary Data'!$K$15:$AA$100,12,FALSE))</f>
        <v>#N/A</v>
      </c>
      <c r="D48" s="461" t="e">
        <f ca="1">IF(VLOOKUP(B48,'Summary Data'!$K$15:$AA$100,3,FALSE)=0,"-",VLOOKUP(B48,'Summary Data'!$K$15:$AA$100,3,FALSE))</f>
        <v>#N/A</v>
      </c>
      <c r="E48" s="456" t="str">
        <f t="shared" ca="1" si="0"/>
        <v>-</v>
      </c>
      <c r="F48" s="461" t="e">
        <f ca="1">IF(VLOOKUP(B48,'Summary Data'!$K$15:$AA$100,13,FALSE)=0,"-",VLOOKUP(B48,'Summary Data'!$K$15:$AA$100,13,FALSE))</f>
        <v>#N/A</v>
      </c>
      <c r="G48" s="461" t="e">
        <f ca="1">IF(VLOOKUP(B48,'Summary Data'!$K$15:$AA$100,4,FALSE)=0,"-",VLOOKUP(B48,'Summary Data'!$K$15:$AA$100,4,FALSE))</f>
        <v>#N/A</v>
      </c>
      <c r="H48" s="456" t="str">
        <f t="shared" ca="1" si="1"/>
        <v>-</v>
      </c>
    </row>
    <row r="49" spans="1:10" x14ac:dyDescent="0.2">
      <c r="B49" s="480" t="s">
        <v>130</v>
      </c>
      <c r="C49" s="460" t="e">
        <f ca="1">IF(VLOOKUP(B49,'Summary Data'!$K$15:$AA$100,12,FALSE)=0,"-",VLOOKUP(B49,'Summary Data'!$K$15:$AA$100,12,FALSE))</f>
        <v>#N/A</v>
      </c>
      <c r="D49" s="461" t="e">
        <f ca="1">IF(VLOOKUP(B49,'Summary Data'!$K$15:$AA$100,3,FALSE)=0,"-",VLOOKUP(B49,'Summary Data'!$K$15:$AA$100,3,FALSE))</f>
        <v>#N/A</v>
      </c>
      <c r="E49" s="456" t="str">
        <f t="shared" ca="1" si="0"/>
        <v>-</v>
      </c>
      <c r="F49" s="461" t="e">
        <f ca="1">IF(VLOOKUP(B49,'Summary Data'!$K$15:$AA$100,13,FALSE)=0,"-",VLOOKUP(B49,'Summary Data'!$K$15:$AA$100,13,FALSE))</f>
        <v>#N/A</v>
      </c>
      <c r="G49" s="461" t="e">
        <f ca="1">IF(VLOOKUP(B49,'Summary Data'!$K$15:$AA$100,4,FALSE)=0,"-",VLOOKUP(B49,'Summary Data'!$K$15:$AA$100,4,FALSE))</f>
        <v>#N/A</v>
      </c>
      <c r="H49" s="456" t="str">
        <f t="shared" ca="1" si="1"/>
        <v>-</v>
      </c>
    </row>
    <row r="50" spans="1:10" x14ac:dyDescent="0.2">
      <c r="B50" s="480" t="s">
        <v>118</v>
      </c>
      <c r="C50" s="460" t="e">
        <f ca="1">IF(VLOOKUP(B50,'Summary Data'!$K$15:$AA$100,12,FALSE)=0,"-",VLOOKUP(B50,'Summary Data'!$K$15:$AA$100,12,FALSE))</f>
        <v>#N/A</v>
      </c>
      <c r="D50" s="461" t="e">
        <f ca="1">IF(VLOOKUP(B50,'Summary Data'!$K$15:$AA$100,3,FALSE)=0,"-",VLOOKUP(B50,'Summary Data'!$K$15:$AA$100,3,FALSE))</f>
        <v>#N/A</v>
      </c>
      <c r="E50" s="456" t="str">
        <f t="shared" ca="1" si="0"/>
        <v>-</v>
      </c>
      <c r="F50" s="461" t="e">
        <f ca="1">IF(VLOOKUP(B50,'Summary Data'!$K$15:$AA$100,13,FALSE)=0,"-",VLOOKUP(B50,'Summary Data'!$K$15:$AA$100,13,FALSE))</f>
        <v>#N/A</v>
      </c>
      <c r="G50" s="461" t="e">
        <f ca="1">IF(VLOOKUP(B50,'Summary Data'!$K$15:$AA$100,4,FALSE)=0,"-",VLOOKUP(B50,'Summary Data'!$K$15:$AA$100,4,FALSE))</f>
        <v>#N/A</v>
      </c>
      <c r="H50" s="456" t="str">
        <f t="shared" ca="1" si="1"/>
        <v>-</v>
      </c>
    </row>
    <row r="51" spans="1:10" x14ac:dyDescent="0.2">
      <c r="B51" s="480" t="s">
        <v>120</v>
      </c>
      <c r="C51" s="460" t="e">
        <f ca="1">IF(VLOOKUP(B51,'Summary Data'!$K$15:$AA$100,12,FALSE)=0,"-",VLOOKUP(B51,'Summary Data'!$K$15:$AA$100,12,FALSE))</f>
        <v>#N/A</v>
      </c>
      <c r="D51" s="461" t="e">
        <f ca="1">IF(VLOOKUP(B51,'Summary Data'!$K$15:$AA$100,3,FALSE)=0,"-",VLOOKUP(B51,'Summary Data'!$K$15:$AA$100,3,FALSE))</f>
        <v>#N/A</v>
      </c>
      <c r="E51" s="456" t="str">
        <f t="shared" ca="1" si="0"/>
        <v>-</v>
      </c>
      <c r="F51" s="461" t="e">
        <f ca="1">IF(VLOOKUP(B51,'Summary Data'!$K$15:$AA$100,13,FALSE)=0,"-",VLOOKUP(B51,'Summary Data'!$K$15:$AA$100,13,FALSE))</f>
        <v>#N/A</v>
      </c>
      <c r="G51" s="461" t="e">
        <f ca="1">IF(VLOOKUP(B51,'Summary Data'!$K$15:$AA$100,4,FALSE)=0,"-",VLOOKUP(B51,'Summary Data'!$K$15:$AA$100,4,FALSE))</f>
        <v>#N/A</v>
      </c>
      <c r="H51" s="456" t="str">
        <f t="shared" ca="1" si="1"/>
        <v>-</v>
      </c>
    </row>
    <row r="52" spans="1:10" x14ac:dyDescent="0.2">
      <c r="B52" s="481" t="s">
        <v>121</v>
      </c>
      <c r="C52" s="462" t="e">
        <f ca="1">IF(VLOOKUP(B52,'Summary Data'!$K$15:$AA$100,12,FALSE)=0,"-",VLOOKUP(B52,'Summary Data'!$K$15:$AA$100,12,FALSE))</f>
        <v>#N/A</v>
      </c>
      <c r="D52" s="463" t="e">
        <f ca="1">IF(VLOOKUP(B52,'Summary Data'!$K$15:$AA$100,3,FALSE)=0,"-",VLOOKUP(B52,'Summary Data'!$K$15:$AA$100,3,FALSE))</f>
        <v>#N/A</v>
      </c>
      <c r="E52" s="458" t="str">
        <f t="shared" ca="1" si="0"/>
        <v>-</v>
      </c>
      <c r="F52" s="463" t="e">
        <f ca="1">IF(VLOOKUP(B52,'Summary Data'!$K$15:$AA$100,13,FALSE)=0,"-",VLOOKUP(B52,'Summary Data'!$K$15:$AA$100,13,FALSE))</f>
        <v>#N/A</v>
      </c>
      <c r="G52" s="463" t="e">
        <f ca="1">IF(VLOOKUP(B52,'Summary Data'!$K$15:$AA$100,4,FALSE)=0,"-",VLOOKUP(B52,'Summary Data'!$K$15:$AA$100,4,FALSE))</f>
        <v>#N/A</v>
      </c>
      <c r="H52" s="458" t="str">
        <f t="shared" ca="1" si="1"/>
        <v>-</v>
      </c>
    </row>
    <row r="54" spans="1:10" s="503" customFormat="1" ht="16" x14ac:dyDescent="0.2">
      <c r="A54" s="436" t="s">
        <v>212</v>
      </c>
      <c r="B54" s="436"/>
      <c r="C54" s="436"/>
      <c r="D54" s="436"/>
      <c r="E54" s="436"/>
      <c r="F54" s="436"/>
      <c r="G54" s="436"/>
      <c r="H54" s="436"/>
      <c r="I54" s="436"/>
      <c r="J54" s="502"/>
    </row>
    <row r="56" spans="1:10" ht="16" thickBot="1" x14ac:dyDescent="0.25"/>
    <row r="57" spans="1:10" x14ac:dyDescent="0.2">
      <c r="C57" s="450">
        <v>2019</v>
      </c>
      <c r="D57" s="451"/>
      <c r="E57" s="452"/>
      <c r="F57" s="453">
        <v>2020</v>
      </c>
      <c r="G57" s="454"/>
      <c r="H57" s="455"/>
    </row>
    <row r="58" spans="1:10" ht="16" thickBot="1" x14ac:dyDescent="0.25">
      <c r="B58" s="466" t="s">
        <v>208</v>
      </c>
      <c r="C58" s="467" t="s">
        <v>86</v>
      </c>
      <c r="D58" s="467" t="s">
        <v>209</v>
      </c>
      <c r="E58" s="467" t="s">
        <v>196</v>
      </c>
      <c r="F58" s="468" t="s">
        <v>86</v>
      </c>
      <c r="G58" s="467" t="s">
        <v>209</v>
      </c>
      <c r="H58" s="467" t="s">
        <v>196</v>
      </c>
    </row>
    <row r="59" spans="1:10" x14ac:dyDescent="0.2">
      <c r="B59" s="482" t="s">
        <v>183</v>
      </c>
      <c r="C59" s="469" t="e">
        <f ca="1">IF(VLOOKUP(B59,'Summary Data'!$K$15:$AA$100,12,FALSE)=0,"-",VLOOKUP(B59,'Summary Data'!$K$15:$AA$100,12,FALSE))</f>
        <v>#N/A</v>
      </c>
      <c r="D59" s="470" t="e">
        <f ca="1">IF(VLOOKUP(B59,'Summary Data'!$K$15:$AA$100,3,FALSE)=0,"-",VLOOKUP(B59,'Summary Data'!$K$15:$AA$100,3,FALSE))</f>
        <v>#N/A</v>
      </c>
      <c r="E59" s="471" t="str">
        <f ca="1">IFERROR(D59/C59,"-")</f>
        <v>-</v>
      </c>
      <c r="F59" s="470" t="e">
        <f ca="1">IF(VLOOKUP(B59,'Summary Data'!$K$15:$AA$100,13,FALSE)=0,"-",VLOOKUP(B59,'Summary Data'!$K$15:$AA$100,13,FALSE))</f>
        <v>#N/A</v>
      </c>
      <c r="G59" s="470" t="e">
        <f ca="1">IF(VLOOKUP(B59,'Summary Data'!$K$15:$AA$100,4,FALSE)=0,"-",VLOOKUP(B59,'Summary Data'!$K$15:$AA$100,4,FALSE))</f>
        <v>#N/A</v>
      </c>
      <c r="H59" s="472" t="str">
        <f ca="1">IFERROR(G59/F59,"-")</f>
        <v>-</v>
      </c>
    </row>
    <row r="60" spans="1:10" ht="16" thickBot="1" x14ac:dyDescent="0.25">
      <c r="B60" s="483" t="s">
        <v>184</v>
      </c>
      <c r="C60" s="473" t="e">
        <f ca="1">IF(VLOOKUP(B60,'Summary Data'!$K$15:$AA$100,12,FALSE)=0,"-",VLOOKUP(B60,'Summary Data'!$K$15:$AA$100,12,FALSE))</f>
        <v>#N/A</v>
      </c>
      <c r="D60" s="474" t="e">
        <f ca="1">IF(VLOOKUP(B60,'Summary Data'!$K$15:$AA$100,3,FALSE)=0,"-",VLOOKUP(B60,'Summary Data'!$K$15:$AA$100,3,FALSE))</f>
        <v>#N/A</v>
      </c>
      <c r="E60" s="475" t="str">
        <f t="shared" ref="E60:E62" ca="1" si="2">IFERROR(D60/C60,"-")</f>
        <v>-</v>
      </c>
      <c r="F60" s="474" t="e">
        <f ca="1">IF(VLOOKUP(B60,'Summary Data'!$K$15:$AA$100,13,FALSE)=0,"-",VLOOKUP(B60,'Summary Data'!$K$15:$AA$100,13,FALSE))</f>
        <v>#N/A</v>
      </c>
      <c r="G60" s="474" t="e">
        <f ca="1">IF(VLOOKUP(B60,'Summary Data'!$K$15:$AA$100,4,FALSE)=0,"-",VLOOKUP(B60,'Summary Data'!$K$15:$AA$100,4,FALSE))</f>
        <v>#N/A</v>
      </c>
      <c r="H60" s="476" t="str">
        <f t="shared" ref="H60:H62" ca="1" si="3">IFERROR(G60/F60,"-")</f>
        <v>-</v>
      </c>
    </row>
    <row r="61" spans="1:10" x14ac:dyDescent="0.2">
      <c r="B61" s="482" t="s">
        <v>185</v>
      </c>
      <c r="C61" s="469" t="e">
        <f ca="1">IF(VLOOKUP(B61,'Summary Data'!$K$15:$AA$100,12,FALSE)=0,"-",VLOOKUP(B61,'Summary Data'!$K$15:$AA$100,12,FALSE))</f>
        <v>#N/A</v>
      </c>
      <c r="D61" s="470" t="e">
        <f ca="1">IF(VLOOKUP(B61,'Summary Data'!$K$15:$AA$100,3,FALSE)=0,"-",VLOOKUP(B61,'Summary Data'!$K$15:$AA$100,3,FALSE))</f>
        <v>#N/A</v>
      </c>
      <c r="E61" s="471" t="str">
        <f t="shared" ca="1" si="2"/>
        <v>-</v>
      </c>
      <c r="F61" s="470" t="e">
        <f ca="1">IF(VLOOKUP(B61,'Summary Data'!$K$15:$AA$100,13,FALSE)=0,"-",VLOOKUP(B61,'Summary Data'!$K$15:$AA$100,13,FALSE))</f>
        <v>#N/A</v>
      </c>
      <c r="G61" s="470" t="e">
        <f ca="1">IF(VLOOKUP(B61,'Summary Data'!$K$15:$AA$100,4,FALSE)=0,"-",VLOOKUP(B61,'Summary Data'!$K$15:$AA$100,4,FALSE))</f>
        <v>#N/A</v>
      </c>
      <c r="H61" s="472" t="str">
        <f t="shared" ca="1" si="3"/>
        <v>-</v>
      </c>
    </row>
    <row r="62" spans="1:10" ht="16" thickBot="1" x14ac:dyDescent="0.25">
      <c r="B62" s="483" t="s">
        <v>186</v>
      </c>
      <c r="C62" s="477" t="e">
        <f ca="1">IF(VLOOKUP(B62,'Summary Data'!$K$15:$AA$100,12,FALSE)=0,"-",VLOOKUP(B62,'Summary Data'!$K$15:$AA$100,12,FALSE))</f>
        <v>#N/A</v>
      </c>
      <c r="D62" s="474" t="e">
        <f ca="1">IF(VLOOKUP(B62,'Summary Data'!$K$15:$AA$100,3,FALSE)=0,"-",VLOOKUP(B62,'Summary Data'!$K$15:$AA$100,3,FALSE))</f>
        <v>#N/A</v>
      </c>
      <c r="E62" s="475" t="str">
        <f t="shared" ca="1" si="2"/>
        <v>-</v>
      </c>
      <c r="F62" s="474" t="e">
        <f ca="1">IF(VLOOKUP(B62,'Summary Data'!$K$15:$AA$100,13,FALSE)=0,"-",VLOOKUP(B62,'Summary Data'!$K$15:$AA$100,13,FALSE))</f>
        <v>#N/A</v>
      </c>
      <c r="G62" s="474" t="e">
        <f ca="1">IF(VLOOKUP(B62,'Summary Data'!$K$15:$AA$100,4,FALSE)=0,"-",VLOOKUP(B62,'Summary Data'!$K$15:$AA$100,4,FALSE))</f>
        <v>#N/A</v>
      </c>
      <c r="H62" s="476" t="str">
        <f t="shared" ca="1" si="3"/>
        <v>-</v>
      </c>
    </row>
    <row r="65" spans="1:10" s="503" customFormat="1" ht="16" x14ac:dyDescent="0.2">
      <c r="A65" s="436" t="s">
        <v>213</v>
      </c>
      <c r="B65" s="436"/>
      <c r="C65" s="436"/>
      <c r="D65" s="436"/>
      <c r="E65" s="436"/>
      <c r="F65" s="436"/>
      <c r="G65" s="436"/>
      <c r="H65" s="436"/>
      <c r="I65" s="436"/>
      <c r="J65" s="502"/>
    </row>
    <row r="67" spans="1:10" ht="16" thickBot="1" x14ac:dyDescent="0.25"/>
    <row r="68" spans="1:10" x14ac:dyDescent="0.2">
      <c r="C68" s="450">
        <v>2019</v>
      </c>
      <c r="D68" s="451"/>
      <c r="E68" s="452"/>
      <c r="F68" s="453">
        <v>2020</v>
      </c>
      <c r="G68" s="454"/>
      <c r="H68" s="455"/>
    </row>
    <row r="69" spans="1:10" x14ac:dyDescent="0.2">
      <c r="B69" s="466" t="s">
        <v>208</v>
      </c>
      <c r="C69" s="467" t="s">
        <v>86</v>
      </c>
      <c r="D69" s="467" t="s">
        <v>209</v>
      </c>
      <c r="E69" s="467" t="s">
        <v>196</v>
      </c>
      <c r="F69" s="468" t="s">
        <v>86</v>
      </c>
      <c r="G69" s="467" t="s">
        <v>209</v>
      </c>
      <c r="H69" s="467" t="s">
        <v>196</v>
      </c>
    </row>
    <row r="70" spans="1:10" x14ac:dyDescent="0.2">
      <c r="B70" s="484" t="s">
        <v>133</v>
      </c>
      <c r="C70" s="478">
        <f ca="1">IF(VLOOKUP(B70,'Summary Data'!$K$15:$AA$100,12,FALSE)=0,"-",VLOOKUP(B70,'Summary Data'!$K$15:$AA$100,12,FALSE))</f>
        <v>5493822.6360827191</v>
      </c>
      <c r="D70" s="459">
        <f ca="1">IF(VLOOKUP(B70,'Summary Data'!$K$15:$AA$100,3,FALSE)=0,"-",VLOOKUP(B70,'Summary Data'!$K$15:$AA$100,3,FALSE))</f>
        <v>14420107.441294238</v>
      </c>
      <c r="E70" s="457">
        <f ca="1">IFERROR(D70/C70,"-")</f>
        <v>2.6247857633016456</v>
      </c>
      <c r="F70" s="459">
        <f ca="1">IF(VLOOKUP(B70,'Summary Data'!$K$15:$AA$100,13,FALSE)=0,"-",VLOOKUP(B70,'Summary Data'!$K$15:$AA$100,13,FALSE))</f>
        <v>3223416.6094740001</v>
      </c>
      <c r="G70" s="459">
        <f ca="1">IF(VLOOKUP(B70,'Summary Data'!$K$15:$AA$100,4,FALSE)=0,"-",VLOOKUP(B70,'Summary Data'!$K$15:$AA$100,4,FALSE))</f>
        <v>8735506.7472338639</v>
      </c>
      <c r="H70" s="457">
        <f ca="1">IFERROR(G70/F70,"-")</f>
        <v>2.7100148089946496</v>
      </c>
    </row>
    <row r="71" spans="1:10" x14ac:dyDescent="0.2">
      <c r="B71" s="481" t="s">
        <v>131</v>
      </c>
      <c r="C71" s="479">
        <f ca="1">IF(VLOOKUP(B71,'Summary Data'!$K$15:$AA$100,12,FALSE)=0,"-",VLOOKUP(B71,'Summary Data'!$K$15:$AA$100,12,FALSE))</f>
        <v>9250736.3904990442</v>
      </c>
      <c r="D71" s="463">
        <f ca="1">IF(VLOOKUP(B71,'Summary Data'!$K$15:$AA$100,3,FALSE)=0,"-",VLOOKUP(B71,'Summary Data'!$K$15:$AA$100,3,FALSE))</f>
        <v>70564012.340335459</v>
      </c>
      <c r="E71" s="458">
        <f t="shared" ref="E71" ca="1" si="4">IFERROR(D71/C71,"-")</f>
        <v>7.6279346164061197</v>
      </c>
      <c r="F71" s="463">
        <f ca="1">IF(VLOOKUP(B71,'Summary Data'!$K$15:$AA$100,13,FALSE)=0,"-",VLOOKUP(B71,'Summary Data'!$K$15:$AA$100,13,FALSE))</f>
        <v>6812636.9097119449</v>
      </c>
      <c r="G71" s="463">
        <f ca="1">IF(VLOOKUP(B71,'Summary Data'!$K$15:$AA$100,4,FALSE)=0,"-",VLOOKUP(B71,'Summary Data'!$K$15:$AA$100,4,FALSE))</f>
        <v>47919121.568888001</v>
      </c>
      <c r="H71" s="458">
        <f t="shared" ref="H71" ca="1" si="5">IFERROR(G71/F71,"-")</f>
        <v>7.0338581380398475</v>
      </c>
    </row>
    <row r="73" spans="1:10" s="503" customFormat="1" ht="16" x14ac:dyDescent="0.2">
      <c r="A73" s="436" t="s">
        <v>215</v>
      </c>
      <c r="B73" s="436"/>
      <c r="C73" s="436"/>
      <c r="D73" s="436"/>
      <c r="E73" s="436"/>
      <c r="F73" s="436"/>
      <c r="G73" s="436"/>
      <c r="H73" s="436"/>
      <c r="I73" s="436"/>
      <c r="J73" s="502"/>
    </row>
    <row r="75" spans="1:10" ht="16" thickBot="1" x14ac:dyDescent="0.25"/>
    <row r="76" spans="1:10" x14ac:dyDescent="0.2">
      <c r="C76" s="450">
        <v>2019</v>
      </c>
      <c r="D76" s="451"/>
      <c r="E76" s="453">
        <v>2020</v>
      </c>
      <c r="F76" s="487"/>
    </row>
    <row r="77" spans="1:10" s="485" customFormat="1" ht="32" x14ac:dyDescent="0.2">
      <c r="B77" s="486" t="s">
        <v>208</v>
      </c>
      <c r="C77" s="488" t="s">
        <v>209</v>
      </c>
      <c r="D77" s="488" t="s">
        <v>214</v>
      </c>
      <c r="E77" s="488" t="s">
        <v>209</v>
      </c>
      <c r="F77" s="488" t="s">
        <v>214</v>
      </c>
      <c r="J77" s="504"/>
    </row>
    <row r="78" spans="1:10" x14ac:dyDescent="0.2">
      <c r="B78" s="484" t="s">
        <v>112</v>
      </c>
      <c r="C78" s="461" t="e">
        <f ca="1">IF(VLOOKUP(B78,'Summary Data'!$K$15:$AA$100,3,FALSE)=0,"-",VLOOKUP(B78,'Summary Data'!$K$15:$AA$100,3,FALSE))</f>
        <v>#N/A</v>
      </c>
      <c r="D78" s="489" t="e">
        <f ca="1">C78/SUM($C$78:$C$80)</f>
        <v>#N/A</v>
      </c>
      <c r="E78" s="461" t="e">
        <f ca="1">IF(VLOOKUP(B78,'Summary Data'!$K$15:$AA$100,4,FALSE)=0,"-",VLOOKUP(B78,'Summary Data'!$K$15:$AA$100,4,FALSE))</f>
        <v>#N/A</v>
      </c>
      <c r="F78" s="490" t="e">
        <f ca="1">E78/SUM($E$78:$E$80)</f>
        <v>#N/A</v>
      </c>
    </row>
    <row r="79" spans="1:10" x14ac:dyDescent="0.2">
      <c r="B79" s="480" t="s">
        <v>128</v>
      </c>
      <c r="C79" s="461" t="e">
        <f ca="1">IF(VLOOKUP(B79,'Summary Data'!$K$15:$AA$100,3,FALSE)=0,"-",VLOOKUP(B79,'Summary Data'!$K$15:$AA$100,3,FALSE))</f>
        <v>#N/A</v>
      </c>
      <c r="D79" s="490" t="e">
        <f t="shared" ref="D79:D80" ca="1" si="6">C79/SUM($C$78:$C$80)</f>
        <v>#N/A</v>
      </c>
      <c r="E79" s="461" t="e">
        <f ca="1">IF(VLOOKUP(B79,'Summary Data'!$K$15:$AA$100,4,FALSE)=0,"-",VLOOKUP(B79,'Summary Data'!$K$15:$AA$100,4,FALSE))</f>
        <v>#N/A</v>
      </c>
      <c r="F79" s="490" t="e">
        <f t="shared" ref="F79:F80" ca="1" si="7">E79/SUM($E$78:$E$80)</f>
        <v>#N/A</v>
      </c>
    </row>
    <row r="80" spans="1:10" x14ac:dyDescent="0.2">
      <c r="B80" s="481" t="s">
        <v>129</v>
      </c>
      <c r="C80" s="463" t="e">
        <f ca="1">IF(VLOOKUP(B80,'Summary Data'!$K$15:$AA$100,3,FALSE)=0,"-",VLOOKUP(B80,'Summary Data'!$K$15:$AA$100,3,FALSE))</f>
        <v>#N/A</v>
      </c>
      <c r="D80" s="491" t="e">
        <f t="shared" ca="1" si="6"/>
        <v>#N/A</v>
      </c>
      <c r="E80" s="463" t="e">
        <f ca="1">IF(VLOOKUP(B80,'Summary Data'!$K$15:$AA$100,4,FALSE)=0,"-",VLOOKUP(B80,'Summary Data'!$K$15:$AA$100,4,FALSE))</f>
        <v>#N/A</v>
      </c>
      <c r="F80" s="491" t="e">
        <f t="shared" ca="1" si="7"/>
        <v>#N/A</v>
      </c>
    </row>
    <row r="83" spans="1:10" s="503" customFormat="1" ht="16" x14ac:dyDescent="0.2">
      <c r="A83" s="436" t="s">
        <v>216</v>
      </c>
      <c r="B83" s="436"/>
      <c r="C83" s="436"/>
      <c r="D83" s="436"/>
      <c r="E83" s="436"/>
      <c r="F83" s="436"/>
      <c r="G83" s="436"/>
      <c r="H83" s="436"/>
      <c r="I83" s="436"/>
      <c r="J83" s="502"/>
    </row>
    <row r="84" spans="1:10" ht="16" x14ac:dyDescent="0.2">
      <c r="A84" s="496"/>
      <c r="B84" s="497"/>
      <c r="C84" s="436" t="s">
        <v>218</v>
      </c>
      <c r="D84" s="496"/>
      <c r="E84" s="496"/>
      <c r="F84" s="496"/>
      <c r="G84" s="496"/>
      <c r="H84" s="496"/>
      <c r="I84" s="496"/>
    </row>
    <row r="86" spans="1:10" ht="16" thickBot="1" x14ac:dyDescent="0.25"/>
    <row r="87" spans="1:10" ht="32" x14ac:dyDescent="0.2">
      <c r="C87" s="493" t="s">
        <v>217</v>
      </c>
      <c r="D87" s="494"/>
      <c r="E87" s="495"/>
    </row>
    <row r="88" spans="1:10" x14ac:dyDescent="0.2">
      <c r="B88" s="440" t="s">
        <v>208</v>
      </c>
      <c r="C88" s="448" t="s">
        <v>86</v>
      </c>
      <c r="D88" s="448" t="s">
        <v>209</v>
      </c>
      <c r="E88" s="448" t="s">
        <v>196</v>
      </c>
    </row>
    <row r="89" spans="1:10" x14ac:dyDescent="0.2">
      <c r="B89" s="480" t="s">
        <v>134</v>
      </c>
      <c r="C89" s="460" t="e">
        <f ca="1">IF(VLOOKUP(B89,'Summary Data'!$K$15:$AA$100,12,FALSE)=0,"-",VLOOKUP(B89,'Summary Data'!$K$15:$AA$100,12,FALSE))</f>
        <v>#N/A</v>
      </c>
      <c r="D89" s="459" t="e">
        <f ca="1">IF(VLOOKUP(B89,'Summary Data'!$K$15:$AA$100,3,FALSE)=0,"-",VLOOKUP(B89,'Summary Data'!$K$15:$AA$100,3,FALSE))</f>
        <v>#N/A</v>
      </c>
      <c r="E89" s="457" t="str">
        <f ca="1">IFERROR(D89/C89,"-")</f>
        <v>-</v>
      </c>
    </row>
    <row r="90" spans="1:10" x14ac:dyDescent="0.2">
      <c r="B90" s="480" t="s">
        <v>116</v>
      </c>
      <c r="C90" s="460" t="e">
        <f ca="1">IF(VLOOKUP(B90,'Summary Data'!$K$15:$AA$100,12,FALSE)=0,"-",VLOOKUP(B90,'Summary Data'!$K$15:$AA$100,12,FALSE))</f>
        <v>#N/A</v>
      </c>
      <c r="D90" s="461" t="e">
        <f ca="1">IF(VLOOKUP(B90,'Summary Data'!$K$15:$AA$100,3,FALSE)=0,"-",VLOOKUP(B90,'Summary Data'!$K$15:$AA$100,3,FALSE))</f>
        <v>#N/A</v>
      </c>
      <c r="E90" s="456" t="str">
        <f t="shared" ref="E90:E95" ca="1" si="8">IFERROR(D90/C90,"-")</f>
        <v>-</v>
      </c>
    </row>
    <row r="91" spans="1:10" x14ac:dyDescent="0.2">
      <c r="B91" s="480" t="s">
        <v>180</v>
      </c>
      <c r="C91" s="460" t="e">
        <f ca="1">IF(VLOOKUP(B91,'Summary Data'!$K$15:$AA$100,12,FALSE)=0,"-",VLOOKUP(B91,'Summary Data'!$K$15:$AA$100,12,FALSE))</f>
        <v>#N/A</v>
      </c>
      <c r="D91" s="461" t="e">
        <f ca="1">IF(VLOOKUP(B91,'Summary Data'!$K$15:$AA$100,3,FALSE)=0,"-",VLOOKUP(B91,'Summary Data'!$K$15:$AA$100,3,FALSE))</f>
        <v>#N/A</v>
      </c>
      <c r="E91" s="456" t="str">
        <f t="shared" ca="1" si="8"/>
        <v>-</v>
      </c>
    </row>
    <row r="92" spans="1:10" x14ac:dyDescent="0.2">
      <c r="B92" s="480" t="s">
        <v>130</v>
      </c>
      <c r="C92" s="460" t="e">
        <f ca="1">IF(VLOOKUP(B92,'Summary Data'!$K$15:$AA$100,12,FALSE)=0,"-",VLOOKUP(B92,'Summary Data'!$K$15:$AA$100,12,FALSE))</f>
        <v>#N/A</v>
      </c>
      <c r="D92" s="461" t="e">
        <f ca="1">IF(VLOOKUP(B92,'Summary Data'!$K$15:$AA$100,3,FALSE)=0,"-",VLOOKUP(B92,'Summary Data'!$K$15:$AA$100,3,FALSE))</f>
        <v>#N/A</v>
      </c>
      <c r="E92" s="456" t="str">
        <f t="shared" ca="1" si="8"/>
        <v>-</v>
      </c>
    </row>
    <row r="93" spans="1:10" x14ac:dyDescent="0.2">
      <c r="B93" s="480" t="s">
        <v>118</v>
      </c>
      <c r="C93" s="460" t="e">
        <f ca="1">IF(VLOOKUP(B93,'Summary Data'!$K$15:$AA$100,12,FALSE)=0,"-",VLOOKUP(B93,'Summary Data'!$K$15:$AA$100,12,FALSE))</f>
        <v>#N/A</v>
      </c>
      <c r="D93" s="461" t="e">
        <f ca="1">IF(VLOOKUP(B93,'Summary Data'!$K$15:$AA$100,3,FALSE)=0,"-",VLOOKUP(B93,'Summary Data'!$K$15:$AA$100,3,FALSE))</f>
        <v>#N/A</v>
      </c>
      <c r="E93" s="456" t="str">
        <f t="shared" ca="1" si="8"/>
        <v>-</v>
      </c>
    </row>
    <row r="94" spans="1:10" x14ac:dyDescent="0.2">
      <c r="B94" s="480" t="s">
        <v>120</v>
      </c>
      <c r="C94" s="460" t="e">
        <f ca="1">IF(VLOOKUP(B94,'Summary Data'!$K$15:$AA$100,12,FALSE)=0,"-",VLOOKUP(B94,'Summary Data'!$K$15:$AA$100,12,FALSE))</f>
        <v>#N/A</v>
      </c>
      <c r="D94" s="461" t="e">
        <f ca="1">IF(VLOOKUP(B94,'Summary Data'!$K$15:$AA$100,3,FALSE)=0,"-",VLOOKUP(B94,'Summary Data'!$K$15:$AA$100,3,FALSE))</f>
        <v>#N/A</v>
      </c>
      <c r="E94" s="456" t="str">
        <f t="shared" ca="1" si="8"/>
        <v>-</v>
      </c>
    </row>
    <row r="95" spans="1:10" x14ac:dyDescent="0.2">
      <c r="B95" s="481" t="s">
        <v>121</v>
      </c>
      <c r="C95" s="462" t="e">
        <f ca="1">IF(VLOOKUP(B95,'Summary Data'!$K$15:$AA$100,12,FALSE)=0,"-",VLOOKUP(B95,'Summary Data'!$K$15:$AA$100,12,FALSE))</f>
        <v>#N/A</v>
      </c>
      <c r="D95" s="463" t="e">
        <f ca="1">IF(VLOOKUP(B95,'Summary Data'!$K$15:$AA$100,3,FALSE)=0,"-",VLOOKUP(B95,'Summary Data'!$K$15:$AA$100,3,FALSE))</f>
        <v>#N/A</v>
      </c>
      <c r="E95" s="458" t="str">
        <f t="shared" ca="1" si="8"/>
        <v>-</v>
      </c>
    </row>
    <row r="98" spans="1:10" s="503" customFormat="1" ht="16" x14ac:dyDescent="0.2">
      <c r="A98" s="436" t="s">
        <v>221</v>
      </c>
      <c r="B98" s="436"/>
      <c r="C98" s="436"/>
      <c r="D98" s="436"/>
      <c r="E98" s="436"/>
      <c r="F98" s="436"/>
      <c r="G98" s="436"/>
      <c r="H98" s="436"/>
      <c r="I98" s="436"/>
      <c r="J98" s="502"/>
    </row>
    <row r="99" spans="1:10" ht="16" x14ac:dyDescent="0.2">
      <c r="A99" s="496"/>
      <c r="B99" s="497"/>
      <c r="C99" s="436" t="s">
        <v>222</v>
      </c>
      <c r="D99" s="496"/>
      <c r="E99" s="496"/>
      <c r="F99" s="496"/>
      <c r="G99" s="496"/>
      <c r="H99" s="496"/>
      <c r="I99" s="496"/>
    </row>
    <row r="100" spans="1:10" ht="16" x14ac:dyDescent="0.2">
      <c r="A100" s="496"/>
      <c r="B100" s="497"/>
      <c r="C100" s="436" t="s">
        <v>223</v>
      </c>
      <c r="D100" s="496"/>
      <c r="E100" s="496"/>
      <c r="F100" s="496"/>
      <c r="G100" s="496"/>
      <c r="H100" s="496"/>
      <c r="I100" s="496"/>
    </row>
    <row r="102" spans="1:10" ht="16" thickBot="1" x14ac:dyDescent="0.25"/>
    <row r="103" spans="1:10" ht="32" x14ac:dyDescent="0.2">
      <c r="C103" s="492" t="s">
        <v>224</v>
      </c>
      <c r="D103" s="451"/>
      <c r="E103" s="452"/>
      <c r="F103" s="498" t="s">
        <v>225</v>
      </c>
      <c r="G103" s="454"/>
      <c r="H103" s="455"/>
    </row>
    <row r="104" spans="1:10" x14ac:dyDescent="0.2">
      <c r="B104" s="440" t="s">
        <v>208</v>
      </c>
      <c r="C104" s="448" t="s">
        <v>86</v>
      </c>
      <c r="D104" s="448" t="s">
        <v>209</v>
      </c>
      <c r="E104" s="448" t="s">
        <v>196</v>
      </c>
      <c r="F104" s="449" t="s">
        <v>86</v>
      </c>
      <c r="G104" s="448" t="s">
        <v>209</v>
      </c>
      <c r="H104" s="448" t="s">
        <v>196</v>
      </c>
    </row>
    <row r="105" spans="1:10" x14ac:dyDescent="0.2">
      <c r="B105" s="480" t="s">
        <v>134</v>
      </c>
      <c r="C105" s="460" t="e">
        <f ca="1">IF(VLOOKUP(B105,'Summary Data'!$K$15:$AA$100,12,FALSE)=0,"-",VLOOKUP(B105,'Summary Data'!$K$15:$AA$100,12,FALSE))</f>
        <v>#N/A</v>
      </c>
      <c r="D105" s="459" t="e">
        <f ca="1">IF(VLOOKUP(B105,'Summary Data'!$K$15:$AA$100,3,FALSE)=0,"-",VLOOKUP(B105,'Summary Data'!$K$15:$AA$100,3,FALSE))</f>
        <v>#N/A</v>
      </c>
      <c r="E105" s="457" t="str">
        <f ca="1">IFERROR(D105/C105,"-")</f>
        <v>-</v>
      </c>
      <c r="F105" s="459" t="e">
        <f ca="1">IF(VLOOKUP(B105,'Summary Data'!$K$15:$AA$100,13,FALSE)=0,"-",VLOOKUP(B105,'Summary Data'!$K$15:$AA$100,13,FALSE))</f>
        <v>#N/A</v>
      </c>
      <c r="G105" s="459" t="e">
        <f ca="1">IF(VLOOKUP(B105,'Summary Data'!$K$15:$AA$100,4,FALSE)=0,"-",VLOOKUP(B105,'Summary Data'!$K$15:$AA$100,4,FALSE))</f>
        <v>#N/A</v>
      </c>
      <c r="H105" s="457" t="str">
        <f ca="1">IFERROR(G105/F105,"-")</f>
        <v>-</v>
      </c>
    </row>
    <row r="106" spans="1:10" x14ac:dyDescent="0.2">
      <c r="B106" s="480" t="s">
        <v>116</v>
      </c>
      <c r="C106" s="460" t="e">
        <f ca="1">IF(VLOOKUP(B106,'Summary Data'!$K$15:$AA$100,12,FALSE)=0,"-",VLOOKUP(B106,'Summary Data'!$K$15:$AA$100,12,FALSE))</f>
        <v>#N/A</v>
      </c>
      <c r="D106" s="461" t="e">
        <f ca="1">IF(VLOOKUP(B106,'Summary Data'!$K$15:$AA$100,3,FALSE)=0,"-",VLOOKUP(B106,'Summary Data'!$K$15:$AA$100,3,FALSE))</f>
        <v>#N/A</v>
      </c>
      <c r="E106" s="456" t="str">
        <f t="shared" ref="E106:E111" ca="1" si="9">IFERROR(D106/C106,"-")</f>
        <v>-</v>
      </c>
      <c r="F106" s="461" t="e">
        <f ca="1">IF(VLOOKUP(B106,'Summary Data'!$K$15:$AA$100,13,FALSE)=0,"-",VLOOKUP(B106,'Summary Data'!$K$15:$AA$100,13,FALSE))</f>
        <v>#N/A</v>
      </c>
      <c r="G106" s="461" t="e">
        <f ca="1">IF(VLOOKUP(B106,'Summary Data'!$K$15:$AA$100,4,FALSE)=0,"-",VLOOKUP(B106,'Summary Data'!$K$15:$AA$100,4,FALSE))</f>
        <v>#N/A</v>
      </c>
      <c r="H106" s="456" t="str">
        <f t="shared" ref="H106:H111" ca="1" si="10">IFERROR(G106/F106,"-")</f>
        <v>-</v>
      </c>
    </row>
    <row r="107" spans="1:10" x14ac:dyDescent="0.2">
      <c r="B107" s="480" t="s">
        <v>180</v>
      </c>
      <c r="C107" s="460" t="e">
        <f ca="1">IF(VLOOKUP(B107,'Summary Data'!$K$15:$AA$100,12,FALSE)=0,"-",VLOOKUP(B107,'Summary Data'!$K$15:$AA$100,12,FALSE))</f>
        <v>#N/A</v>
      </c>
      <c r="D107" s="461" t="e">
        <f ca="1">IF(VLOOKUP(B107,'Summary Data'!$K$15:$AA$100,3,FALSE)=0,"-",VLOOKUP(B107,'Summary Data'!$K$15:$AA$100,3,FALSE))</f>
        <v>#N/A</v>
      </c>
      <c r="E107" s="456" t="str">
        <f t="shared" ca="1" si="9"/>
        <v>-</v>
      </c>
      <c r="F107" s="461" t="e">
        <f ca="1">IF(VLOOKUP(B107,'Summary Data'!$K$15:$AA$100,13,FALSE)=0,"-",VLOOKUP(B107,'Summary Data'!$K$15:$AA$100,13,FALSE))</f>
        <v>#N/A</v>
      </c>
      <c r="G107" s="461" t="e">
        <f ca="1">IF(VLOOKUP(B107,'Summary Data'!$K$15:$AA$100,4,FALSE)=0,"-",VLOOKUP(B107,'Summary Data'!$K$15:$AA$100,4,FALSE))</f>
        <v>#N/A</v>
      </c>
      <c r="H107" s="456" t="str">
        <f ca="1">IFERROR(G107/F107,"-")</f>
        <v>-</v>
      </c>
    </row>
    <row r="108" spans="1:10" x14ac:dyDescent="0.2">
      <c r="B108" s="480" t="s">
        <v>130</v>
      </c>
      <c r="C108" s="460" t="e">
        <f ca="1">IF(VLOOKUP(B108,'Summary Data'!$K$15:$AA$100,12,FALSE)=0,"-",VLOOKUP(B108,'Summary Data'!$K$15:$AA$100,12,FALSE))</f>
        <v>#N/A</v>
      </c>
      <c r="D108" s="461" t="e">
        <f ca="1">IF(VLOOKUP(B108,'Summary Data'!$K$15:$AA$100,3,FALSE)=0,"-",VLOOKUP(B108,'Summary Data'!$K$15:$AA$100,3,FALSE))</f>
        <v>#N/A</v>
      </c>
      <c r="E108" s="456" t="str">
        <f t="shared" ca="1" si="9"/>
        <v>-</v>
      </c>
      <c r="F108" s="461" t="e">
        <f ca="1">IF(VLOOKUP(B108,'Summary Data'!$K$15:$AA$100,13,FALSE)=0,"-",VLOOKUP(B108,'Summary Data'!$K$15:$AA$100,13,FALSE))</f>
        <v>#N/A</v>
      </c>
      <c r="G108" s="461" t="e">
        <f ca="1">IF(VLOOKUP(B108,'Summary Data'!$K$15:$AA$100,4,FALSE)=0,"-",VLOOKUP(B108,'Summary Data'!$K$15:$AA$100,4,FALSE))</f>
        <v>#N/A</v>
      </c>
      <c r="H108" s="456" t="str">
        <f t="shared" ca="1" si="10"/>
        <v>-</v>
      </c>
    </row>
    <row r="109" spans="1:10" x14ac:dyDescent="0.2">
      <c r="B109" s="480" t="s">
        <v>118</v>
      </c>
      <c r="C109" s="460" t="e">
        <f ca="1">IF(VLOOKUP(B109,'Summary Data'!$K$15:$AA$100,12,FALSE)=0,"-",VLOOKUP(B109,'Summary Data'!$K$15:$AA$100,12,FALSE))</f>
        <v>#N/A</v>
      </c>
      <c r="D109" s="461" t="e">
        <f ca="1">IF(VLOOKUP(B109,'Summary Data'!$K$15:$AA$100,3,FALSE)=0,"-",VLOOKUP(B109,'Summary Data'!$K$15:$AA$100,3,FALSE))</f>
        <v>#N/A</v>
      </c>
      <c r="E109" s="456" t="str">
        <f t="shared" ca="1" si="9"/>
        <v>-</v>
      </c>
      <c r="F109" s="461" t="e">
        <f ca="1">IF(VLOOKUP(B109,'Summary Data'!$K$15:$AA$100,13,FALSE)=0,"-",VLOOKUP(B109,'Summary Data'!$K$15:$AA$100,13,FALSE))</f>
        <v>#N/A</v>
      </c>
      <c r="G109" s="461" t="e">
        <f ca="1">IF(VLOOKUP(B109,'Summary Data'!$K$15:$AA$100,4,FALSE)=0,"-",VLOOKUP(B109,'Summary Data'!$K$15:$AA$100,4,FALSE))</f>
        <v>#N/A</v>
      </c>
      <c r="H109" s="456" t="str">
        <f t="shared" ca="1" si="10"/>
        <v>-</v>
      </c>
    </row>
    <row r="110" spans="1:10" x14ac:dyDescent="0.2">
      <c r="B110" s="480" t="s">
        <v>120</v>
      </c>
      <c r="C110" s="460" t="e">
        <f ca="1">IF(VLOOKUP(B110,'Summary Data'!$K$15:$AA$100,12,FALSE)=0,"-",VLOOKUP(B110,'Summary Data'!$K$15:$AA$100,12,FALSE))</f>
        <v>#N/A</v>
      </c>
      <c r="D110" s="461" t="e">
        <f ca="1">IF(VLOOKUP(B110,'Summary Data'!$K$15:$AA$100,3,FALSE)=0,"-",VLOOKUP(B110,'Summary Data'!$K$15:$AA$100,3,FALSE))</f>
        <v>#N/A</v>
      </c>
      <c r="E110" s="456" t="str">
        <f t="shared" ca="1" si="9"/>
        <v>-</v>
      </c>
      <c r="F110" s="461" t="e">
        <f ca="1">IF(VLOOKUP(B110,'Summary Data'!$K$15:$AA$100,13,FALSE)=0,"-",VLOOKUP(B110,'Summary Data'!$K$15:$AA$100,13,FALSE))</f>
        <v>#N/A</v>
      </c>
      <c r="G110" s="461" t="e">
        <f ca="1">IF(VLOOKUP(B110,'Summary Data'!$K$15:$AA$100,4,FALSE)=0,"-",VLOOKUP(B110,'Summary Data'!$K$15:$AA$100,4,FALSE))</f>
        <v>#N/A</v>
      </c>
      <c r="H110" s="456" t="str">
        <f t="shared" ca="1" si="10"/>
        <v>-</v>
      </c>
    </row>
    <row r="111" spans="1:10" x14ac:dyDescent="0.2">
      <c r="B111" s="481" t="s">
        <v>121</v>
      </c>
      <c r="C111" s="462" t="e">
        <f ca="1">IF(VLOOKUP(B111,'Summary Data'!$K$15:$AA$100,12,FALSE)=0,"-",VLOOKUP(B111,'Summary Data'!$K$15:$AA$100,12,FALSE))</f>
        <v>#N/A</v>
      </c>
      <c r="D111" s="463" t="e">
        <f ca="1">IF(VLOOKUP(B111,'Summary Data'!$K$15:$AA$100,3,FALSE)=0,"-",VLOOKUP(B111,'Summary Data'!$K$15:$AA$100,3,FALSE))</f>
        <v>#N/A</v>
      </c>
      <c r="E111" s="458" t="str">
        <f t="shared" ca="1" si="9"/>
        <v>-</v>
      </c>
      <c r="F111" s="463" t="e">
        <f ca="1">IF(VLOOKUP(B111,'Summary Data'!$K$15:$AA$100,13,FALSE)=0,"-",VLOOKUP(B111,'Summary Data'!$K$15:$AA$100,13,FALSE))</f>
        <v>#N/A</v>
      </c>
      <c r="G111" s="463" t="e">
        <f ca="1">IF(VLOOKUP(B111,'Summary Data'!$K$15:$AA$100,4,FALSE)=0,"-",VLOOKUP(B111,'Summary Data'!$K$15:$AA$100,4,FALSE))</f>
        <v>#N/A</v>
      </c>
      <c r="H111" s="458" t="str">
        <f t="shared" ca="1" si="10"/>
        <v>-</v>
      </c>
    </row>
  </sheetData>
  <mergeCells count="2">
    <mergeCell ref="C25:D25"/>
    <mergeCell ref="E25:F2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9C75A6F45914997A12CCAE8161569" ma:contentTypeVersion="16" ma:contentTypeDescription="Create a new document." ma:contentTypeScope="" ma:versionID="9e608339ced6429f895ffc194056222b">
  <xsd:schema xmlns:xsd="http://www.w3.org/2001/XMLSchema" xmlns:xs="http://www.w3.org/2001/XMLSchema" xmlns:p="http://schemas.microsoft.com/office/2006/metadata/properties" xmlns:ns2="b213636c-5f17-4dae-b7a3-dbc6432569a9" xmlns:ns3="844d0d8c-e7d9-4723-b3b1-b322be3565be" targetNamespace="http://schemas.microsoft.com/office/2006/metadata/properties" ma:root="true" ma:fieldsID="d837244714a212fae4a3625890d50ebf" ns2:_="" ns3:_="">
    <xsd:import namespace="b213636c-5f17-4dae-b7a3-dbc6432569a9"/>
    <xsd:import namespace="844d0d8c-e7d9-4723-b3b1-b322be356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636c-5f17-4dae-b7a3-dbc643256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81fb634-bd26-4eb2-b51e-b7ce3dfc42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d0d8c-e7d9-4723-b3b1-b322be3565b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aaafc0-e17c-4b84-a606-3f33d3ec210a}" ma:internalName="TaxCatchAll" ma:showField="CatchAllData" ma:web="844d0d8c-e7d9-4723-b3b1-b322be356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13636c-5f17-4dae-b7a3-dbc6432569a9">
      <Terms xmlns="http://schemas.microsoft.com/office/infopath/2007/PartnerControls"/>
    </lcf76f155ced4ddcb4097134ff3c332f>
    <TaxCatchAll xmlns="844d0d8c-e7d9-4723-b3b1-b322be3565b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08B14-20C1-4CFF-A335-9A0AE50248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3636c-5f17-4dae-b7a3-dbc6432569a9"/>
    <ds:schemaRef ds:uri="844d0d8c-e7d9-4723-b3b1-b322be356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179E86-7099-4744-9DFD-B15AC50332E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901AE64-D554-419A-A978-2D781D8DB168}">
  <ds:schemaRefs>
    <ds:schemaRef ds:uri="http://purl.org/dc/terms/"/>
    <ds:schemaRef ds:uri="b213636c-5f17-4dae-b7a3-dbc6432569a9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844d0d8c-e7d9-4723-b3b1-b322be3565be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B2EF9D68-9929-4005-9FF3-C28D71062D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Setup</vt:lpstr>
      <vt:lpstr>Spend Data</vt:lpstr>
      <vt:lpstr>Dictionary</vt:lpstr>
      <vt:lpstr>InputSheet</vt:lpstr>
      <vt:lpstr>IS</vt:lpstr>
      <vt:lpstr>Model</vt:lpstr>
      <vt:lpstr>Actual vs Predicted</vt:lpstr>
      <vt:lpstr>Layer Chart</vt:lpstr>
      <vt:lpstr>Volume Data</vt:lpstr>
      <vt:lpstr>Summary Data</vt:lpstr>
      <vt:lpstr>Graphs and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Lukasz SOWINSKI</dc:creator>
  <cp:keywords/>
  <dc:description/>
  <cp:lastModifiedBy>Minh Phan (He/Him)</cp:lastModifiedBy>
  <cp:revision/>
  <dcterms:created xsi:type="dcterms:W3CDTF">2020-03-23T17:37:07Z</dcterms:created>
  <dcterms:modified xsi:type="dcterms:W3CDTF">2025-04-14T15:28:53Z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0x010100C109C75A6F45914997A12CCAE8161569</vt:lpwstr>
  </property>
  <property fmtid="{D5CDD505-2E9C-101B-9397-08002B2CF9AE}" pid="3" name="MediaServiceImageTags">
    <vt:lpwstr/>
  </property>
</Properties>
</file>