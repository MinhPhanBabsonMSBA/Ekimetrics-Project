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cguirk\Documents\Babson\MKT6300-01 Spring 2024\Ekimetrics Project\Data Treatment\"/>
    </mc:Choice>
  </mc:AlternateContent>
  <xr:revisionPtr revIDLastSave="0" documentId="13_ncr:1_{CE076B00-29F1-4729-BA80-7B972EB3963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Weekly Database" sheetId="1" r:id="rId1"/>
    <sheet name="Variables List" sheetId="3" r:id="rId2"/>
    <sheet name="Validation Tables" sheetId="2" r:id="rId3"/>
  </sheets>
  <definedNames>
    <definedName name="_xlnm._FilterDatabase" localSheetId="0" hidden="1">'Weekly Database'!$A$2:$E$106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3" i="2"/>
  <c r="V5" i="2"/>
  <c r="P5" i="2"/>
  <c r="I5" i="2"/>
  <c r="E3" i="2" a="1"/>
  <c r="E3" i="2" s="1"/>
  <c r="E2" i="2"/>
  <c r="T6" i="2"/>
  <c r="M6" i="2" a="1"/>
  <c r="M6" i="2" s="1"/>
  <c r="G6" i="2" a="1"/>
  <c r="G6" i="2" s="1"/>
  <c r="I6" i="2" l="1"/>
  <c r="P8" i="2"/>
  <c r="P13" i="2"/>
  <c r="P12" i="2"/>
  <c r="P11" i="2"/>
  <c r="P7" i="2"/>
  <c r="P10" i="2"/>
  <c r="P9" i="2"/>
  <c r="P6" i="2"/>
  <c r="I7" i="2"/>
  <c r="V6" i="2" l="1"/>
  <c r="I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<sst xmlns="http://schemas.openxmlformats.org/spreadsheetml/2006/main" count="378" uniqueCount="155">
  <si>
    <t>year</t>
  </si>
  <si>
    <t>quarter</t>
  </si>
  <si>
    <t>week_starting_date</t>
  </si>
  <si>
    <t>Q1</t>
  </si>
  <si>
    <t>Q2</t>
  </si>
  <si>
    <t>Q3</t>
  </si>
  <si>
    <t>Q4</t>
  </si>
  <si>
    <t>Year</t>
  </si>
  <si>
    <t>QUARTERLY TOTALS</t>
  </si>
  <si>
    <t>Quarter</t>
  </si>
  <si>
    <t>print_coop_spend</t>
  </si>
  <si>
    <t>tv_coop_spend</t>
  </si>
  <si>
    <t>tv_pure_spend</t>
  </si>
  <si>
    <t>tv_pure_imp</t>
  </si>
  <si>
    <t>print_pure_spend</t>
  </si>
  <si>
    <t>fbig_spend</t>
  </si>
  <si>
    <t>fbig_imp</t>
  </si>
  <si>
    <t>sales</t>
  </si>
  <si>
    <t>outdoor_impressions</t>
  </si>
  <si>
    <t>outdoor_spend</t>
  </si>
  <si>
    <t>YEARLY TOTALS</t>
  </si>
  <si>
    <t>YEAR OVER YEAR % Diff</t>
  </si>
  <si>
    <t>QUARTER OVER QUARTER % Diff</t>
  </si>
  <si>
    <t>bing_brand_search_clicks</t>
  </si>
  <si>
    <t>bing_brand_search_spend</t>
  </si>
  <si>
    <t>blackfriday_dummy</t>
  </si>
  <si>
    <t>covid_trend</t>
  </si>
  <si>
    <t>google_brand_search_clicks</t>
  </si>
  <si>
    <t>google_brand_search_imp</t>
  </si>
  <si>
    <t>google_brand_search_spend</t>
  </si>
  <si>
    <t>google_display_clicks</t>
  </si>
  <si>
    <t>google_display_imp</t>
  </si>
  <si>
    <t>google_display_spend</t>
  </si>
  <si>
    <t>google_nonbrand_search_clicks</t>
  </si>
  <si>
    <t>google_nonbrand_search_imp</t>
  </si>
  <si>
    <t>google_nonbrand_search_spend</t>
  </si>
  <si>
    <t>google_video_clicks</t>
  </si>
  <si>
    <t>google_video_imp</t>
  </si>
  <si>
    <t>google_video_spend</t>
  </si>
  <si>
    <t>gwp_units_distributed</t>
  </si>
  <si>
    <t>launch_fragrance_trend</t>
  </si>
  <si>
    <t>launch_makeup_trend</t>
  </si>
  <si>
    <t>launch_skincare_trend</t>
  </si>
  <si>
    <t>market_sales</t>
  </si>
  <si>
    <t>mothersday_dummy</t>
  </si>
  <si>
    <t>nongoogle_display_spend</t>
  </si>
  <si>
    <t>nongoogle_video_spend</t>
  </si>
  <si>
    <t>pinterest_awareness_imp</t>
  </si>
  <si>
    <t>pinterest_awareness_spend</t>
  </si>
  <si>
    <t>pinterest_conversion_imp</t>
  </si>
  <si>
    <t>pinterest_conversion_spend</t>
  </si>
  <si>
    <t>samples_quantity_distributed</t>
  </si>
  <si>
    <t>snap_awareness_imp</t>
  </si>
  <si>
    <t>snap_awareness_spend</t>
  </si>
  <si>
    <t>snap_conversion_imp</t>
  </si>
  <si>
    <t>snap_conversion_spend</t>
  </si>
  <si>
    <t>tiktok_awareness_imp</t>
  </si>
  <si>
    <t>tiktok_awareness_spend</t>
  </si>
  <si>
    <t>vday_dummy</t>
  </si>
  <si>
    <t>xmas_dummy</t>
  </si>
  <si>
    <t>youtube_video_spend</t>
  </si>
  <si>
    <t>Comparison Quarter:</t>
  </si>
  <si>
    <t>Variable:</t>
  </si>
  <si>
    <t>Variable</t>
  </si>
  <si>
    <t>Definition</t>
  </si>
  <si>
    <t>Total sales of Hope St. Cosmetics</t>
  </si>
  <si>
    <t>Bing search engine brand search clicks</t>
  </si>
  <si>
    <t>Bing search engine brand search spend</t>
  </si>
  <si>
    <t>Google search engine brand search clicks</t>
  </si>
  <si>
    <t>Google search engine brand search spend</t>
  </si>
  <si>
    <t>Dummy variable with 1 for the week of Black Friday</t>
  </si>
  <si>
    <t>Dummy variable with 1 for the week of Mother's Day</t>
  </si>
  <si>
    <t>Dummy variable with 1 for the week of Valentine's Day</t>
  </si>
  <si>
    <t>Dummy variable with 1 for the week of Christmas</t>
  </si>
  <si>
    <t>youtube_video_imp</t>
  </si>
  <si>
    <t>Total luxury beauty industry sales trend</t>
  </si>
  <si>
    <t>Covid-19 mobility - Change in retail &amp; recreation from baseline trend</t>
  </si>
  <si>
    <t>Google search engine brand search impressions</t>
  </si>
  <si>
    <t>Google search engine non-brand search clicks</t>
  </si>
  <si>
    <t>Google search engine non-brand search impressions</t>
  </si>
  <si>
    <t>Google search engine non-brand search spend</t>
  </si>
  <si>
    <t>Online display ads purchased through the Google advertiser network</t>
  </si>
  <si>
    <t>Online video ads purchased through the Google advertiser network that is NOT YouTube</t>
  </si>
  <si>
    <t>YouTube video ads</t>
  </si>
  <si>
    <t>Other display ads purchased outside the Google advertiser network</t>
  </si>
  <si>
    <t>Other video ads purchased outside the Google advertiser network</t>
  </si>
  <si>
    <t>Paid media run on Facebook and Instagram - includes stories, in-feed ads, messenger ads</t>
  </si>
  <si>
    <t>Paid media run on Pinterest with the focus of Brand Awareness</t>
  </si>
  <si>
    <t>Paid media run on Pinterest with the focus of Conversion</t>
  </si>
  <si>
    <t>Paid media run on Snapchat with the focus of Brand Awareness</t>
  </si>
  <si>
    <t>Paid media run on Snapchat with the focus of Conversion</t>
  </si>
  <si>
    <t>Paid media run on TikTok with the focus of Brand Awareness</t>
  </si>
  <si>
    <t>TV ad in collaboration with a Retailer - final clip contains "Now available at Macy's"</t>
  </si>
  <si>
    <t>Brand run TV ad impressions</t>
  </si>
  <si>
    <t>Brand run TV ad spend</t>
  </si>
  <si>
    <t>Magazine ad in collaboration with a Retailer - contains "Shop exclusively at Nordstroms"</t>
  </si>
  <si>
    <t>Brand run newspaper ad spend</t>
  </si>
  <si>
    <t>Outdoor campaign impressions</t>
  </si>
  <si>
    <t>Outdoor campaign spend</t>
  </si>
  <si>
    <t>Gift with purchase units distributed</t>
  </si>
  <si>
    <t>Fragrance product launch</t>
  </si>
  <si>
    <t>Makeup product launch</t>
  </si>
  <si>
    <t>Skincare product launch</t>
  </si>
  <si>
    <t>Sample units distributed</t>
  </si>
  <si>
    <t>2019 --&gt; 2020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</si>
  <si>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</si>
  <si>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</si>
  <si>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</si>
  <si>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</si>
  <si>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</si>
  <si>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</si>
  <si>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</si>
  <si>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</si>
  <si>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</si>
  <si>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</si>
  <si>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</si>
  <si>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</si>
  <si>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</si>
  <si>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</si>
  <si>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</si>
  <si>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</si>
  <si>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</si>
  <si>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</si>
  <si>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</si>
  <si>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</si>
  <si>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</si>
  <si>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</si>
  <si>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</si>
  <si>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</si>
  <si>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</si>
  <si>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</si>
  <si>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</si>
  <si>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</si>
  <si>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</si>
  <si>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</si>
  <si>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</si>
  <si>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</si>
  <si>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</si>
  <si>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</si>
  <si>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</si>
  <si>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</si>
  <si>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</si>
  <si>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</si>
  <si>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</si>
  <si>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</si>
  <si>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</si>
  <si>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</si>
  <si>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</si>
  <si>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</si>
  <si>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</si>
  <si>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</si>
  <si>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</si>
  <si>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</si>
  <si>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</si>
  <si>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Copy all of the rows and columns of the final database.csv, except the data in the first column (week_starting_date) and paste it into this spreadsheet in cell 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</si>
</sst>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6">
    <xf numFmtId="0" fontId="0" fillId="0" borderId="0" xfId="0"/>
    <xf numFmtId="164" fontId="0" fillId="0" borderId="0" xfId="1" applyNumberFormat="1" applyFont="1"/>
    <xf numFmtId="0" fontId="0" fillId="0" borderId="1" xfId="0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9" fontId="0" fillId="0" borderId="3" xfId="2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2" xfId="1" applyNumberFormat="1" applyFont="1" applyBorder="1"/>
    <xf numFmtId="164" fontId="0" fillId="0" borderId="3" xfId="1" applyNumberFormat="1" applyFont="1" applyBorder="1"/>
    <xf numFmtId="0" fontId="1" fillId="0" borderId="6" xfId="0" applyFont="1" applyBorder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0" fillId="0" borderId="0" xfId="0" applyNumberFormat="1"/>
    <xf numFmtId="14" fontId="1" fillId="0" borderId="5" xfId="0" applyNumberFormat="1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1" fontId="0" fillId="0" borderId="0" xfId="1" applyNumberFormat="1" applyFont="1"/>
    <xf numFmtId="0" fontId="0" fillId="2" borderId="0" xfId="0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3" fillId="2" borderId="7" xfId="0" applyFont="1" applyFill="1" applyBorder="1" applyAlignment="1">
      <alignment horizontal="center"/>
    </xf>
    <xf numFmtId="0" fontId="1" fillId="3" borderId="10" xfId="0" applyFont="1" applyFill="1" applyBorder="1"/>
    <xf numFmtId="9" fontId="0" fillId="0" borderId="1" xfId="2" applyFont="1" applyBorder="1"/>
  </cellXfs>
  <cellStyles count="3">
    <cellStyle name="Comma" xfId="1" builtinId="3"/>
    <cellStyle name="Normal" xfId="0" builtinId="0"/>
    <cellStyle name="Percent" xfId="2" builtinId="5"/>
  </cellStyles>
  <dxfs count="60">
    <dxf>
      <font>
        <b/>
        <i val="0"/>
        <color rgb="FF00B050"/>
      </font>
    </dxf>
    <dxf>
      <font>
        <b/>
        <i val="0"/>
        <color rgb="FFC00000"/>
      </font>
    </dxf>
    <dxf>
      <font>
        <b/>
        <i val="0"/>
        <color rgb="FF00B050"/>
      </font>
    </dxf>
    <dxf>
      <font>
        <b/>
        <i val="0"/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'Validation Tables'!$D$2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'Weekly Database'!$A$3:$A$106</c:f>
              <c:numCache>
                <c:formatCode>m/d/yyyy</c:formatCode>
                <c:ptCount val="104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'Validation Tables'!$D$3:$D$106</c:f>
              <c:numCache>
                <c:formatCode>_(* #,##0_);_(* \(#,##0\);_(* "-"??_);_(@_)</c:formatCode>
                <c:ptCount val="1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7-4117-BED5-6FCB9141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952544"/>
        <c:axId val="248954624"/>
      </c:lineChart>
      <c:lineChart>
        <c:grouping val="standard"/>
        <c:varyColors val="0"/>
        <c:ser>
          <c:idx val="1"/>
          <c:order val="1"/>
          <c:tx>
            <c:strRef>
              <c:f>'Validation Tables'!$E$2</c:f>
              <c:strCache>
                <c:ptCount val="1"/>
                <c:pt idx="0">
                  <c:v>xmas_dummy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'Validation Tables'!$A$3:$A$106</c:f>
              <c:numCache>
                <c:formatCode>m/d/yyyy</c:formatCode>
                <c:ptCount val="104"/>
                <c:pt idx="0">
                  <c:v>43472</c:v>
                </c:pt>
                <c:pt idx="1">
                  <c:v>43479</c:v>
                </c:pt>
                <c:pt idx="2">
                  <c:v>43486</c:v>
                </c:pt>
                <c:pt idx="3">
                  <c:v>43493</c:v>
                </c:pt>
                <c:pt idx="4">
                  <c:v>43500</c:v>
                </c:pt>
                <c:pt idx="5">
                  <c:v>43507</c:v>
                </c:pt>
                <c:pt idx="6">
                  <c:v>43514</c:v>
                </c:pt>
                <c:pt idx="7">
                  <c:v>43521</c:v>
                </c:pt>
                <c:pt idx="8">
                  <c:v>43528</c:v>
                </c:pt>
                <c:pt idx="9">
                  <c:v>43535</c:v>
                </c:pt>
                <c:pt idx="10">
                  <c:v>43542</c:v>
                </c:pt>
                <c:pt idx="11">
                  <c:v>43549</c:v>
                </c:pt>
                <c:pt idx="12">
                  <c:v>43556</c:v>
                </c:pt>
                <c:pt idx="13">
                  <c:v>43563</c:v>
                </c:pt>
                <c:pt idx="14">
                  <c:v>43570</c:v>
                </c:pt>
                <c:pt idx="15">
                  <c:v>43577</c:v>
                </c:pt>
                <c:pt idx="16">
                  <c:v>43584</c:v>
                </c:pt>
                <c:pt idx="17">
                  <c:v>43591</c:v>
                </c:pt>
                <c:pt idx="18">
                  <c:v>43598</c:v>
                </c:pt>
                <c:pt idx="19">
                  <c:v>43605</c:v>
                </c:pt>
                <c:pt idx="20">
                  <c:v>43612</c:v>
                </c:pt>
                <c:pt idx="21">
                  <c:v>43619</c:v>
                </c:pt>
                <c:pt idx="22">
                  <c:v>43626</c:v>
                </c:pt>
                <c:pt idx="23">
                  <c:v>43633</c:v>
                </c:pt>
                <c:pt idx="24">
                  <c:v>43640</c:v>
                </c:pt>
                <c:pt idx="25">
                  <c:v>43647</c:v>
                </c:pt>
                <c:pt idx="26">
                  <c:v>43654</c:v>
                </c:pt>
                <c:pt idx="27">
                  <c:v>43661</c:v>
                </c:pt>
                <c:pt idx="28">
                  <c:v>43668</c:v>
                </c:pt>
                <c:pt idx="29">
                  <c:v>43675</c:v>
                </c:pt>
                <c:pt idx="30">
                  <c:v>43682</c:v>
                </c:pt>
                <c:pt idx="31">
                  <c:v>43689</c:v>
                </c:pt>
                <c:pt idx="32">
                  <c:v>43696</c:v>
                </c:pt>
                <c:pt idx="33">
                  <c:v>43703</c:v>
                </c:pt>
                <c:pt idx="34">
                  <c:v>43710</c:v>
                </c:pt>
                <c:pt idx="35">
                  <c:v>43717</c:v>
                </c:pt>
                <c:pt idx="36">
                  <c:v>43724</c:v>
                </c:pt>
                <c:pt idx="37">
                  <c:v>43731</c:v>
                </c:pt>
                <c:pt idx="38">
                  <c:v>43738</c:v>
                </c:pt>
                <c:pt idx="39">
                  <c:v>43745</c:v>
                </c:pt>
                <c:pt idx="40">
                  <c:v>43752</c:v>
                </c:pt>
                <c:pt idx="41">
                  <c:v>43759</c:v>
                </c:pt>
                <c:pt idx="42">
                  <c:v>43766</c:v>
                </c:pt>
                <c:pt idx="43">
                  <c:v>43773</c:v>
                </c:pt>
                <c:pt idx="44">
                  <c:v>43780</c:v>
                </c:pt>
                <c:pt idx="45">
                  <c:v>43787</c:v>
                </c:pt>
                <c:pt idx="46">
                  <c:v>43794</c:v>
                </c:pt>
                <c:pt idx="47">
                  <c:v>43801</c:v>
                </c:pt>
                <c:pt idx="48">
                  <c:v>43808</c:v>
                </c:pt>
                <c:pt idx="49">
                  <c:v>43815</c:v>
                </c:pt>
                <c:pt idx="50">
                  <c:v>43822</c:v>
                </c:pt>
                <c:pt idx="51">
                  <c:v>43829</c:v>
                </c:pt>
                <c:pt idx="52">
                  <c:v>43836</c:v>
                </c:pt>
                <c:pt idx="53">
                  <c:v>43843</c:v>
                </c:pt>
                <c:pt idx="54">
                  <c:v>43850</c:v>
                </c:pt>
                <c:pt idx="55">
                  <c:v>43857</c:v>
                </c:pt>
                <c:pt idx="56">
                  <c:v>43864</c:v>
                </c:pt>
                <c:pt idx="57">
                  <c:v>43871</c:v>
                </c:pt>
                <c:pt idx="58">
                  <c:v>43878</c:v>
                </c:pt>
                <c:pt idx="59">
                  <c:v>43885</c:v>
                </c:pt>
                <c:pt idx="60">
                  <c:v>43892</c:v>
                </c:pt>
                <c:pt idx="61">
                  <c:v>43899</c:v>
                </c:pt>
                <c:pt idx="62">
                  <c:v>43906</c:v>
                </c:pt>
                <c:pt idx="63">
                  <c:v>43913</c:v>
                </c:pt>
                <c:pt idx="64">
                  <c:v>43920</c:v>
                </c:pt>
                <c:pt idx="65">
                  <c:v>43927</c:v>
                </c:pt>
                <c:pt idx="66">
                  <c:v>43934</c:v>
                </c:pt>
                <c:pt idx="67">
                  <c:v>43941</c:v>
                </c:pt>
                <c:pt idx="68">
                  <c:v>43948</c:v>
                </c:pt>
                <c:pt idx="69">
                  <c:v>43955</c:v>
                </c:pt>
                <c:pt idx="70">
                  <c:v>43962</c:v>
                </c:pt>
                <c:pt idx="71">
                  <c:v>43969</c:v>
                </c:pt>
                <c:pt idx="72">
                  <c:v>43976</c:v>
                </c:pt>
                <c:pt idx="73">
                  <c:v>43983</c:v>
                </c:pt>
                <c:pt idx="74">
                  <c:v>43990</c:v>
                </c:pt>
                <c:pt idx="75">
                  <c:v>43997</c:v>
                </c:pt>
                <c:pt idx="76">
                  <c:v>44004</c:v>
                </c:pt>
                <c:pt idx="77">
                  <c:v>44011</c:v>
                </c:pt>
                <c:pt idx="78">
                  <c:v>44018</c:v>
                </c:pt>
                <c:pt idx="79">
                  <c:v>44025</c:v>
                </c:pt>
                <c:pt idx="80">
                  <c:v>44032</c:v>
                </c:pt>
                <c:pt idx="81">
                  <c:v>44039</c:v>
                </c:pt>
                <c:pt idx="82">
                  <c:v>44046</c:v>
                </c:pt>
                <c:pt idx="83">
                  <c:v>44053</c:v>
                </c:pt>
                <c:pt idx="84">
                  <c:v>44060</c:v>
                </c:pt>
                <c:pt idx="85">
                  <c:v>44067</c:v>
                </c:pt>
                <c:pt idx="86">
                  <c:v>44074</c:v>
                </c:pt>
                <c:pt idx="87">
                  <c:v>44081</c:v>
                </c:pt>
                <c:pt idx="88">
                  <c:v>44088</c:v>
                </c:pt>
                <c:pt idx="89">
                  <c:v>44095</c:v>
                </c:pt>
                <c:pt idx="90">
                  <c:v>44102</c:v>
                </c:pt>
                <c:pt idx="91">
                  <c:v>44109</c:v>
                </c:pt>
                <c:pt idx="92">
                  <c:v>44116</c:v>
                </c:pt>
                <c:pt idx="93">
                  <c:v>44123</c:v>
                </c:pt>
                <c:pt idx="94">
                  <c:v>44130</c:v>
                </c:pt>
                <c:pt idx="95">
                  <c:v>44137</c:v>
                </c:pt>
                <c:pt idx="96">
                  <c:v>44144</c:v>
                </c:pt>
                <c:pt idx="97">
                  <c:v>44151</c:v>
                </c:pt>
                <c:pt idx="98">
                  <c:v>44158</c:v>
                </c:pt>
                <c:pt idx="99">
                  <c:v>44165</c:v>
                </c:pt>
                <c:pt idx="100">
                  <c:v>44172</c:v>
                </c:pt>
                <c:pt idx="101">
                  <c:v>44179</c:v>
                </c:pt>
                <c:pt idx="102">
                  <c:v>44186</c:v>
                </c:pt>
                <c:pt idx="103">
                  <c:v>44193</c:v>
                </c:pt>
              </c:numCache>
            </c:numRef>
          </c:cat>
          <c:val>
            <c:numRef>
              <c:f>'Validation Tables'!$E$3:$E$106</c:f>
              <c:numCache>
                <c:formatCode>0</c:formatCode>
                <c:ptCount val="104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A7-4117-BED5-6FCB9141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14480"/>
        <c:axId val="75914064"/>
      </c:lineChart>
      <c:dateAx>
        <c:axId val="24895254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54624"/>
        <c:crosses val="autoZero"/>
        <c:auto val="1"/>
        <c:lblOffset val="100"/>
        <c:baseTimeUnit val="days"/>
        <c:majorUnit val="3"/>
        <c:majorTimeUnit val="months"/>
      </c:dateAx>
      <c:valAx>
        <c:axId val="248954624"/>
        <c:scaling>
          <c:orientation val="minMax"/>
          <c:max val="4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52544"/>
        <c:crosses val="autoZero"/>
        <c:crossBetween val="between"/>
      </c:valAx>
      <c:valAx>
        <c:axId val="75914064"/>
        <c:scaling>
          <c:orientation val="minMax"/>
        </c:scaling>
        <c:delete val="0"/>
        <c:axPos val="r"/>
        <c:numFmt formatCode="_(* #,##0_);_(* \(#,##0\);_(* &quot;-&quot;??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4480"/>
        <c:crosses val="max"/>
        <c:crossBetween val="between"/>
      </c:valAx>
      <c:dateAx>
        <c:axId val="7591448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591406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137160</xdr:colOff>
      <xdr:row>15</xdr:row>
      <xdr:rowOff>60959</xdr:rowOff>
    </xdr:from>
    <xdr:to>
      <xdr:col>15</xdr:col>
      <xdr:colOff>1947144</xdr:colOff>
      <xdr:row>35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C40E4A-DC3A-FB3F-6EF9-8FF06E06B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553ABE-9657-4FEE-A576-50CCBC2A62FC}" name="Table1" displayName="Table1" ref="A2:AZ106" totalsRowShown="0" headerRowDxfId="59" dataDxfId="57" headerRowBorderDxfId="58" tableBorderDxfId="56" dataCellStyle="Comma">
  <autoFilter ref="A2:AZ106" xr:uid="{A2553ABE-9657-4FEE-A576-50CCBC2A62FC}"/>
  <tableColumns count="52">
    <tableColumn id="1" xr3:uid="{5AD3DBF5-3FBD-415C-AE7D-5F599F247D91}" name="week_starting_date" dataDxfId="55"/>
    <tableColumn id="2" xr3:uid="{E1F908F5-C21F-4CD7-B83D-FCC147F99F96}" name="year" dataDxfId="54"/>
    <tableColumn id="3" xr3:uid="{16655BDE-745D-4CCD-BD10-07F4F8AB3DC4}" name="quarter" dataDxfId="53"/>
    <tableColumn id="4" xr3:uid="{1C484875-394E-4853-952B-22FC40A7FAB7}" name="Column1" dataDxfId="52" dataCellStyle="Comma"/>
    <tableColumn id="5" xr3:uid="{90D4454B-10CD-4505-A019-00550CC76DF6}" name="Column2" dataDxfId="51" dataCellStyle="Comma"/>
    <tableColumn id="6" xr3:uid="{5F739AAC-BB7F-454A-B54D-6AE726731806}" name="Column3" dataDxfId="50" dataCellStyle="Comma"/>
    <tableColumn id="7" xr3:uid="{BBE3073E-F52B-4C3E-B71C-E020EC810B3B}" name="Column4" dataDxfId="49" dataCellStyle="Comma"/>
    <tableColumn id="8" xr3:uid="{6C21F63C-3995-447F-B042-CE07C858BDCB}" name="Column5" dataDxfId="48" dataCellStyle="Comma"/>
    <tableColumn id="9" xr3:uid="{2FC6D2EF-B326-41E3-855F-0BF52A21DEBB}" name="Column6" dataDxfId="47" dataCellStyle="Comma"/>
    <tableColumn id="10" xr3:uid="{4DD29479-31B4-4E95-97FD-FC1C9CA109FD}" name="Column7" dataDxfId="46" dataCellStyle="Comma"/>
    <tableColumn id="11" xr3:uid="{560EF089-131C-43F1-B225-860CA2359D88}" name="Column8" dataDxfId="45" dataCellStyle="Comma"/>
    <tableColumn id="12" xr3:uid="{3561125E-ED16-4C6F-89AA-4ABE0D38AF14}" name="Column9" dataDxfId="44" dataCellStyle="Comma"/>
    <tableColumn id="13" xr3:uid="{830F78D7-2B93-469A-9B65-255339172FF3}" name="Column10" dataDxfId="43" dataCellStyle="Comma"/>
    <tableColumn id="14" xr3:uid="{B6FB156C-9167-4732-8652-4525E7E503A2}" name="Column11" dataDxfId="42" dataCellStyle="Comma"/>
    <tableColumn id="15" xr3:uid="{14353A0E-6A9A-4AA0-8299-210AB1CF109F}" name="Column12" dataDxfId="41" dataCellStyle="Comma"/>
    <tableColumn id="16" xr3:uid="{6C656E40-3A09-4D2C-B784-7EFDF396037C}" name="Column13" dataDxfId="40" dataCellStyle="Comma"/>
    <tableColumn id="17" xr3:uid="{3717F608-DAD4-4667-886C-F45A9ECE97FE}" name="Column14" dataDxfId="39" dataCellStyle="Comma"/>
    <tableColumn id="18" xr3:uid="{26CE8013-7422-42B4-936F-94CBB974E3ED}" name="Column15" dataDxfId="38" dataCellStyle="Comma"/>
    <tableColumn id="19" xr3:uid="{ADE12B5D-29A8-4935-BDDD-08C3A39DD74F}" name="Column16" dataDxfId="37" dataCellStyle="Comma"/>
    <tableColumn id="20" xr3:uid="{2F1CC536-AA3A-4276-A929-913B268498C5}" name="Column17" dataDxfId="36" dataCellStyle="Comma"/>
    <tableColumn id="21" xr3:uid="{C0A57D30-4CCD-4852-BF53-C24D5579D685}" name="Column18" dataDxfId="35" dataCellStyle="Comma"/>
    <tableColumn id="22" xr3:uid="{3C6A1FF6-F424-4D78-A926-71D5968B8F6C}" name="Column19" dataDxfId="34" dataCellStyle="Comma"/>
    <tableColumn id="23" xr3:uid="{E2D27EF2-183C-455F-958A-C0E0417A3CE2}" name="Column20" dataDxfId="33" dataCellStyle="Comma"/>
    <tableColumn id="24" xr3:uid="{EB22F5CC-50A1-4EB6-93B3-2A4259015CD6}" name="Column21" dataDxfId="32" dataCellStyle="Comma"/>
    <tableColumn id="25" xr3:uid="{D7B141EF-76C1-476A-AC13-03D65B66A7D9}" name="Column22" dataDxfId="31" dataCellStyle="Comma"/>
    <tableColumn id="26" xr3:uid="{A020A89F-961B-41DC-8B3B-0C8CF0BF5A96}" name="Column23" dataDxfId="30" dataCellStyle="Comma"/>
    <tableColumn id="27" xr3:uid="{07F8628D-EFB0-4801-95B4-EA05F9D0F904}" name="Column24" dataDxfId="29" dataCellStyle="Comma"/>
    <tableColumn id="28" xr3:uid="{1D617299-0C5E-4981-93AC-2E7DA497522C}" name="Column25" dataDxfId="28" dataCellStyle="Comma"/>
    <tableColumn id="29" xr3:uid="{8B72C848-CF44-4809-9232-E47FAC16944F}" name="Column26" dataDxfId="27" dataCellStyle="Comma"/>
    <tableColumn id="30" xr3:uid="{BF68D8E5-5EA8-4441-B85E-612ABF1199E9}" name="Column27" dataDxfId="26" dataCellStyle="Comma"/>
    <tableColumn id="31" xr3:uid="{C2B58A3A-5326-44CA-ABC1-C36E8EA6D76F}" name="Column28" dataDxfId="25" dataCellStyle="Comma"/>
    <tableColumn id="32" xr3:uid="{F1B882F4-3AC1-404E-B320-199C0BB67590}" name="Column29" dataDxfId="24" dataCellStyle="Comma"/>
    <tableColumn id="33" xr3:uid="{39789D3C-03A1-43CA-AD66-266152ABADC8}" name="Column30" dataDxfId="23" dataCellStyle="Comma"/>
    <tableColumn id="34" xr3:uid="{E325E2BC-ABE4-4699-B047-D227A00546DA}" name="Column31" dataDxfId="22" dataCellStyle="Comma"/>
    <tableColumn id="35" xr3:uid="{551D9729-EE5E-40CC-BA5C-68A4861EBC35}" name="Column32" dataDxfId="21" dataCellStyle="Comma"/>
    <tableColumn id="36" xr3:uid="{66797FCC-33AE-40AE-8ECE-EA1280A4C666}" name="Column33" dataDxfId="20" dataCellStyle="Comma"/>
    <tableColumn id="37" xr3:uid="{17BB803E-36AA-4DA9-9A15-F3F755738D2F}" name="Column34" dataDxfId="19" dataCellStyle="Comma"/>
    <tableColumn id="38" xr3:uid="{805324EE-676A-4BD9-971C-232BF3D75F79}" name="Column35" dataDxfId="18" dataCellStyle="Comma"/>
    <tableColumn id="39" xr3:uid="{89DBE62E-65D1-40AC-A3C0-7FE7BE45CC52}" name="Column36" dataDxfId="17" dataCellStyle="Comma"/>
    <tableColumn id="40" xr3:uid="{CDA1174D-F935-4D71-AE44-883D90F5B2A6}" name="Column37" dataDxfId="16" dataCellStyle="Comma"/>
    <tableColumn id="41" xr3:uid="{DC2C48B4-475B-484A-9432-4C01694522EA}" name="Column38" dataDxfId="15" dataCellStyle="Comma"/>
    <tableColumn id="42" xr3:uid="{C8873157-1126-43F4-A7C5-F241CEF72AA6}" name="Column39" dataDxfId="14" dataCellStyle="Comma"/>
    <tableColumn id="43" xr3:uid="{D3DA6ECB-309E-4BAE-82F3-1DF6002D78B2}" name="Column40" dataDxfId="13" dataCellStyle="Comma"/>
    <tableColumn id="44" xr3:uid="{87BC9BAC-E992-42E0-876A-FCE858735AFD}" name="Column41" dataDxfId="12" dataCellStyle="Comma"/>
    <tableColumn id="45" xr3:uid="{30D8FBD1-BD7E-4026-B7F6-BA64EC08C0D8}" name="Column42" dataDxfId="11" dataCellStyle="Comma"/>
    <tableColumn id="46" xr3:uid="{AB9ECE33-64AE-4509-B839-9EAEDFDCFF73}" name="Column43" dataDxfId="10" dataCellStyle="Comma"/>
    <tableColumn id="47" xr3:uid="{78E7BCE7-0459-4E73-85DA-0B326D0D438D}" name="Column44" dataDxfId="9" dataCellStyle="Comma"/>
    <tableColumn id="48" xr3:uid="{06976E61-3667-45D9-9779-1CD5A962A97A}" name="Column45" dataDxfId="8" dataCellStyle="Comma"/>
    <tableColumn id="49" xr3:uid="{F10440B3-214B-4476-87FF-D02849F16B42}" name="Column46" dataDxfId="7" dataCellStyle="Comma"/>
    <tableColumn id="50" xr3:uid="{263B1C66-0E8D-489E-9DC9-BA5A34C2D0A9}" name="Column47" dataDxfId="6" dataCellStyle="Comma"/>
    <tableColumn id="51" xr3:uid="{CB96C6B6-D11D-47C4-885C-978FBEE435C3}" name="Column48" dataDxfId="5" dataCellStyle="Comma"/>
    <tableColumn id="52" xr3:uid="{8631EFE8-F494-451E-909E-10F1084CD21B}" name="Column49" dataDxfId="4" dataCellStyle="Comm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6"/>
  <sheetViews>
    <sheetView tabSelected="1" workbookViewId="0">
      <selection activeCell="D1" sqref="D1"/>
    </sheetView>
  </sheetViews>
  <sheetFormatPr defaultRowHeight="14.4" x14ac:dyDescent="0.3"/>
  <cols>
    <col min="1" max="1" width="19.6640625" customWidth="1"/>
    <col min="2" max="2" width="9.33203125"/>
    <col min="3" max="3" width="9.33203125" customWidth="1"/>
    <col min="4" max="4" width="11" bestFit="1" customWidth="1"/>
    <col min="5" max="5" width="9.88671875" bestFit="1" customWidth="1"/>
    <col min="6" max="6" width="28.33203125" customWidth="1"/>
    <col min="7" max="7" width="29" customWidth="1"/>
    <col min="8" max="8" width="31.5546875" customWidth="1"/>
    <col min="9" max="9" width="30.33203125" customWidth="1"/>
    <col min="10" max="10" width="32.33203125" customWidth="1"/>
    <col min="11" max="11" width="26.33203125" customWidth="1"/>
    <col min="12" max="12" width="27.109375" customWidth="1"/>
    <col min="13" max="14" width="18.33203125" customWidth="1"/>
    <col min="15" max="16" width="20.109375" customWidth="1"/>
    <col min="17" max="17" width="22" customWidth="1"/>
    <col min="18" max="18" width="14.5546875" customWidth="1"/>
    <col min="19" max="20" width="16.44140625" customWidth="1"/>
    <col min="21" max="21" width="18.33203125" customWidth="1"/>
    <col min="22" max="22" width="19.33203125" customWidth="1"/>
    <col min="23" max="23" width="18.109375" customWidth="1"/>
    <col min="24" max="24" width="20" customWidth="1"/>
    <col min="25" max="25" width="20.6640625" customWidth="1"/>
    <col min="26" max="26" width="21.5546875" customWidth="1"/>
    <col min="27" max="27" width="16.6640625" customWidth="1"/>
    <col min="28" max="28" width="21.88671875" customWidth="1"/>
    <col min="29" max="29" width="20.109375" customWidth="1"/>
    <col min="30" max="30" width="20.5546875" customWidth="1"/>
    <col min="31" max="31" width="19.33203125" customWidth="1"/>
    <col min="32" max="32" width="19.6640625" customWidth="1"/>
    <col min="33" max="33" width="15.5546875" bestFit="1" customWidth="1"/>
    <col min="34" max="34" width="10.6640625" customWidth="1"/>
    <col min="35" max="35" width="16.33203125" customWidth="1"/>
    <col min="36" max="36" width="10.33203125" customWidth="1"/>
    <col min="37" max="37" width="15.44140625" customWidth="1"/>
    <col min="38" max="38" width="10.6640625" customWidth="1"/>
    <col min="39" max="39" width="11.109375" customWidth="1"/>
    <col min="40" max="40" width="12.33203125" customWidth="1"/>
    <col min="41" max="41" width="15.6640625" customWidth="1"/>
    <col min="42" max="42" width="15.5546875" customWidth="1"/>
    <col min="43" max="43" width="13.6640625" customWidth="1"/>
    <col min="44" max="44" width="18" customWidth="1"/>
    <col min="45" max="45" width="15.5546875" customWidth="1"/>
    <col min="46" max="46" width="18.33203125" customWidth="1"/>
    <col min="47" max="47" width="23.33203125" customWidth="1"/>
    <col min="48" max="48" width="24.5546875" customWidth="1"/>
    <col min="49" max="49" width="30.6640625" customWidth="1"/>
    <col min="50" max="50" width="27.109375" customWidth="1"/>
    <col min="51" max="51" width="12.109375" customWidth="1"/>
    <col min="52" max="52" width="11" bestFit="1" customWidth="1"/>
  </cols>
  <sheetData>
    <row r="1" spans="1:52" x14ac:dyDescent="0.3">
      <c r="D1" s="20" t="s">
        <v>154</v>
      </c>
    </row>
    <row r="2" spans="1:52" x14ac:dyDescent="0.3">
      <c r="A2" s="17" t="s">
        <v>2</v>
      </c>
      <c r="B2" s="18" t="s">
        <v>0</v>
      </c>
      <c r="C2" s="18" t="s">
        <v>1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114</v>
      </c>
      <c r="N2" t="s">
        <v>115</v>
      </c>
      <c r="O2" t="s">
        <v>116</v>
      </c>
      <c r="P2" t="s">
        <v>117</v>
      </c>
      <c r="Q2" t="s">
        <v>118</v>
      </c>
      <c r="R2" t="s">
        <v>119</v>
      </c>
      <c r="S2" t="s">
        <v>120</v>
      </c>
      <c r="T2" t="s">
        <v>121</v>
      </c>
      <c r="U2" t="s">
        <v>122</v>
      </c>
      <c r="V2" t="s">
        <v>123</v>
      </c>
      <c r="W2" t="s">
        <v>124</v>
      </c>
      <c r="X2" t="s">
        <v>125</v>
      </c>
      <c r="Y2" t="s">
        <v>126</v>
      </c>
      <c r="Z2" t="s">
        <v>127</v>
      </c>
      <c r="AA2" t="s">
        <v>128</v>
      </c>
      <c r="AB2" t="s">
        <v>129</v>
      </c>
      <c r="AC2" t="s">
        <v>130</v>
      </c>
      <c r="AD2" t="s">
        <v>131</v>
      </c>
      <c r="AE2" t="s">
        <v>132</v>
      </c>
      <c r="AF2" t="s">
        <v>133</v>
      </c>
      <c r="AG2" t="s">
        <v>134</v>
      </c>
      <c r="AH2" t="s">
        <v>135</v>
      </c>
      <c r="AI2" t="s">
        <v>136</v>
      </c>
      <c r="AJ2" t="s">
        <v>137</v>
      </c>
      <c r="AK2" t="s">
        <v>138</v>
      </c>
      <c r="AL2" t="s">
        <v>139</v>
      </c>
      <c r="AM2" t="s">
        <v>140</v>
      </c>
      <c r="AN2" t="s">
        <v>141</v>
      </c>
      <c r="AO2" t="s">
        <v>142</v>
      </c>
      <c r="AP2" t="s">
        <v>143</v>
      </c>
      <c r="AQ2" t="s">
        <v>144</v>
      </c>
      <c r="AR2" t="s">
        <v>145</v>
      </c>
      <c r="AS2" t="s">
        <v>146</v>
      </c>
      <c r="AT2" t="s">
        <v>147</v>
      </c>
      <c r="AU2" t="s">
        <v>148</v>
      </c>
      <c r="AV2" t="s">
        <v>149</v>
      </c>
      <c r="AW2" t="s">
        <v>150</v>
      </c>
      <c r="AX2" t="s">
        <v>151</v>
      </c>
      <c r="AY2" t="s">
        <v>152</v>
      </c>
      <c r="AZ2" t="s">
        <v>153</v>
      </c>
    </row>
    <row r="3" spans="1:52" x14ac:dyDescent="0.3">
      <c r="A3" s="16">
        <v>43472</v>
      </c>
      <c r="B3">
        <v>2019</v>
      </c>
      <c r="C3" t="s">
        <v>3</v>
      </c>
    </row>
    <row r="4" spans="1:52" x14ac:dyDescent="0.3">
      <c r="A4" s="16">
        <v>43479</v>
      </c>
      <c r="B4">
        <v>2019</v>
      </c>
      <c r="C4" t="s">
        <v>3</v>
      </c>
    </row>
    <row r="5" spans="1:52" x14ac:dyDescent="0.3">
      <c r="A5" s="16">
        <v>43486</v>
      </c>
      <c r="B5">
        <v>2019</v>
      </c>
      <c r="C5" t="s">
        <v>3</v>
      </c>
    </row>
    <row r="6" spans="1:52" x14ac:dyDescent="0.3">
      <c r="A6" s="16">
        <v>43493</v>
      </c>
      <c r="B6">
        <v>2019</v>
      </c>
      <c r="C6" t="s">
        <v>3</v>
      </c>
    </row>
    <row r="7" spans="1:52" x14ac:dyDescent="0.3">
      <c r="A7" s="16">
        <v>43500</v>
      </c>
      <c r="B7">
        <v>2019</v>
      </c>
      <c r="C7" t="s">
        <v>3</v>
      </c>
    </row>
    <row r="8" spans="1:52" x14ac:dyDescent="0.3">
      <c r="A8" s="16">
        <v>43507</v>
      </c>
      <c r="B8">
        <v>2019</v>
      </c>
      <c r="C8" t="s">
        <v>3</v>
      </c>
    </row>
    <row r="9" spans="1:52" x14ac:dyDescent="0.3">
      <c r="A9" s="16">
        <v>43514</v>
      </c>
      <c r="B9">
        <v>2019</v>
      </c>
      <c r="C9" t="s">
        <v>3</v>
      </c>
    </row>
    <row r="10" spans="1:52" x14ac:dyDescent="0.3">
      <c r="A10" s="16">
        <v>43521</v>
      </c>
      <c r="B10">
        <v>2019</v>
      </c>
      <c r="C10" t="s">
        <v>3</v>
      </c>
    </row>
    <row r="11" spans="1:52" x14ac:dyDescent="0.3">
      <c r="A11" s="16">
        <v>43528</v>
      </c>
      <c r="B11">
        <v>2019</v>
      </c>
      <c r="C11" t="s">
        <v>3</v>
      </c>
    </row>
    <row r="12" spans="1:52" x14ac:dyDescent="0.3">
      <c r="A12" s="16">
        <v>43535</v>
      </c>
      <c r="B12">
        <v>2019</v>
      </c>
      <c r="C12" t="s">
        <v>3</v>
      </c>
    </row>
    <row r="13" spans="1:52" x14ac:dyDescent="0.3">
      <c r="A13" s="16">
        <v>43542</v>
      </c>
      <c r="B13">
        <v>2019</v>
      </c>
      <c r="C13" t="s">
        <v>3</v>
      </c>
    </row>
    <row r="14" spans="1:52" x14ac:dyDescent="0.3">
      <c r="A14" s="16">
        <v>43549</v>
      </c>
      <c r="B14">
        <v>2019</v>
      </c>
      <c r="C14" t="s">
        <v>3</v>
      </c>
    </row>
    <row r="15" spans="1:52" x14ac:dyDescent="0.3">
      <c r="A15" s="16">
        <v>43556</v>
      </c>
      <c r="B15">
        <v>2019</v>
      </c>
      <c r="C15" t="s">
        <v>4</v>
      </c>
    </row>
    <row r="16" spans="1:52" x14ac:dyDescent="0.3">
      <c r="A16" s="16">
        <v>43563</v>
      </c>
      <c r="B16">
        <v>2019</v>
      </c>
      <c r="C16" t="s">
        <v>4</v>
      </c>
    </row>
    <row r="17" spans="1:3" x14ac:dyDescent="0.3">
      <c r="A17" s="16">
        <v>43570</v>
      </c>
      <c r="B17">
        <v>2019</v>
      </c>
      <c r="C17" t="s">
        <v>4</v>
      </c>
    </row>
    <row r="18" spans="1:3" x14ac:dyDescent="0.3">
      <c r="A18" s="16">
        <v>43577</v>
      </c>
      <c r="B18">
        <v>2019</v>
      </c>
      <c r="C18" t="s">
        <v>4</v>
      </c>
    </row>
    <row r="19" spans="1:3" x14ac:dyDescent="0.3">
      <c r="A19" s="16">
        <v>43584</v>
      </c>
      <c r="B19">
        <v>2019</v>
      </c>
      <c r="C19" t="s">
        <v>4</v>
      </c>
    </row>
    <row r="20" spans="1:3" x14ac:dyDescent="0.3">
      <c r="A20" s="16">
        <v>43591</v>
      </c>
      <c r="B20">
        <v>2019</v>
      </c>
      <c r="C20" t="s">
        <v>4</v>
      </c>
    </row>
    <row r="21" spans="1:3" x14ac:dyDescent="0.3">
      <c r="A21" s="16">
        <v>43598</v>
      </c>
      <c r="B21">
        <v>2019</v>
      </c>
      <c r="C21" t="s">
        <v>4</v>
      </c>
    </row>
    <row r="22" spans="1:3" x14ac:dyDescent="0.3">
      <c r="A22" s="16">
        <v>43605</v>
      </c>
      <c r="B22">
        <v>2019</v>
      </c>
      <c r="C22" t="s">
        <v>4</v>
      </c>
    </row>
    <row r="23" spans="1:3" x14ac:dyDescent="0.3">
      <c r="A23" s="16">
        <v>43612</v>
      </c>
      <c r="B23">
        <v>2019</v>
      </c>
      <c r="C23" t="s">
        <v>4</v>
      </c>
    </row>
    <row r="24" spans="1:3" x14ac:dyDescent="0.3">
      <c r="A24" s="16">
        <v>43619</v>
      </c>
      <c r="B24">
        <v>2019</v>
      </c>
      <c r="C24" t="s">
        <v>4</v>
      </c>
    </row>
    <row r="25" spans="1:3" x14ac:dyDescent="0.3">
      <c r="A25" s="16">
        <v>43626</v>
      </c>
      <c r="B25">
        <v>2019</v>
      </c>
      <c r="C25" t="s">
        <v>4</v>
      </c>
    </row>
    <row r="26" spans="1:3" x14ac:dyDescent="0.3">
      <c r="A26" s="16">
        <v>43633</v>
      </c>
      <c r="B26">
        <v>2019</v>
      </c>
      <c r="C26" t="s">
        <v>4</v>
      </c>
    </row>
    <row r="27" spans="1:3" x14ac:dyDescent="0.3">
      <c r="A27" s="16">
        <v>43640</v>
      </c>
      <c r="B27">
        <v>2019</v>
      </c>
      <c r="C27" t="s">
        <v>4</v>
      </c>
    </row>
    <row r="28" spans="1:3" x14ac:dyDescent="0.3">
      <c r="A28" s="16">
        <v>43647</v>
      </c>
      <c r="B28">
        <v>2019</v>
      </c>
      <c r="C28" t="s">
        <v>5</v>
      </c>
    </row>
    <row r="29" spans="1:3" x14ac:dyDescent="0.3">
      <c r="A29" s="16">
        <v>43654</v>
      </c>
      <c r="B29">
        <v>2019</v>
      </c>
      <c r="C29" t="s">
        <v>5</v>
      </c>
    </row>
    <row r="30" spans="1:3" x14ac:dyDescent="0.3">
      <c r="A30" s="16">
        <v>43661</v>
      </c>
      <c r="B30">
        <v>2019</v>
      </c>
      <c r="C30" t="s">
        <v>5</v>
      </c>
    </row>
    <row r="31" spans="1:3" x14ac:dyDescent="0.3">
      <c r="A31" s="16">
        <v>43668</v>
      </c>
      <c r="B31">
        <v>2019</v>
      </c>
      <c r="C31" t="s">
        <v>5</v>
      </c>
    </row>
    <row r="32" spans="1:3" x14ac:dyDescent="0.3">
      <c r="A32" s="16">
        <v>43675</v>
      </c>
      <c r="B32">
        <v>2019</v>
      </c>
      <c r="C32" t="s">
        <v>5</v>
      </c>
    </row>
    <row r="33" spans="1:3" x14ac:dyDescent="0.3">
      <c r="A33" s="16">
        <v>43682</v>
      </c>
      <c r="B33">
        <v>2019</v>
      </c>
      <c r="C33" t="s">
        <v>5</v>
      </c>
    </row>
    <row r="34" spans="1:3" x14ac:dyDescent="0.3">
      <c r="A34" s="16">
        <v>43689</v>
      </c>
      <c r="B34">
        <v>2019</v>
      </c>
      <c r="C34" t="s">
        <v>5</v>
      </c>
    </row>
    <row r="35" spans="1:3" x14ac:dyDescent="0.3">
      <c r="A35" s="16">
        <v>43696</v>
      </c>
      <c r="B35">
        <v>2019</v>
      </c>
      <c r="C35" t="s">
        <v>5</v>
      </c>
    </row>
    <row r="36" spans="1:3" x14ac:dyDescent="0.3">
      <c r="A36" s="16">
        <v>43703</v>
      </c>
      <c r="B36">
        <v>2019</v>
      </c>
      <c r="C36" t="s">
        <v>5</v>
      </c>
    </row>
    <row r="37" spans="1:3" x14ac:dyDescent="0.3">
      <c r="A37" s="16">
        <v>43710</v>
      </c>
      <c r="B37">
        <v>2019</v>
      </c>
      <c r="C37" t="s">
        <v>5</v>
      </c>
    </row>
    <row r="38" spans="1:3" x14ac:dyDescent="0.3">
      <c r="A38" s="16">
        <v>43717</v>
      </c>
      <c r="B38">
        <v>2019</v>
      </c>
      <c r="C38" t="s">
        <v>5</v>
      </c>
    </row>
    <row r="39" spans="1:3" x14ac:dyDescent="0.3">
      <c r="A39" s="16">
        <v>43724</v>
      </c>
      <c r="B39">
        <v>2019</v>
      </c>
      <c r="C39" t="s">
        <v>5</v>
      </c>
    </row>
    <row r="40" spans="1:3" x14ac:dyDescent="0.3">
      <c r="A40" s="16">
        <v>43731</v>
      </c>
      <c r="B40">
        <v>2019</v>
      </c>
      <c r="C40" t="s">
        <v>5</v>
      </c>
    </row>
    <row r="41" spans="1:3" x14ac:dyDescent="0.3">
      <c r="A41" s="16">
        <v>43738</v>
      </c>
      <c r="B41">
        <v>2019</v>
      </c>
      <c r="C41" t="s">
        <v>5</v>
      </c>
    </row>
    <row r="42" spans="1:3" x14ac:dyDescent="0.3">
      <c r="A42" s="16">
        <v>43745</v>
      </c>
      <c r="B42">
        <v>2019</v>
      </c>
      <c r="C42" t="s">
        <v>6</v>
      </c>
    </row>
    <row r="43" spans="1:3" x14ac:dyDescent="0.3">
      <c r="A43" s="16">
        <v>43752</v>
      </c>
      <c r="B43">
        <v>2019</v>
      </c>
      <c r="C43" t="s">
        <v>6</v>
      </c>
    </row>
    <row r="44" spans="1:3" x14ac:dyDescent="0.3">
      <c r="A44" s="16">
        <v>43759</v>
      </c>
      <c r="B44">
        <v>2019</v>
      </c>
      <c r="C44" t="s">
        <v>6</v>
      </c>
    </row>
    <row r="45" spans="1:3" x14ac:dyDescent="0.3">
      <c r="A45" s="16">
        <v>43766</v>
      </c>
      <c r="B45">
        <v>2019</v>
      </c>
      <c r="C45" t="s">
        <v>6</v>
      </c>
    </row>
    <row r="46" spans="1:3" x14ac:dyDescent="0.3">
      <c r="A46" s="16">
        <v>43773</v>
      </c>
      <c r="B46">
        <v>2019</v>
      </c>
      <c r="C46" t="s">
        <v>6</v>
      </c>
    </row>
    <row r="47" spans="1:3" x14ac:dyDescent="0.3">
      <c r="A47" s="16">
        <v>43780</v>
      </c>
      <c r="B47">
        <v>2019</v>
      </c>
      <c r="C47" t="s">
        <v>6</v>
      </c>
    </row>
    <row r="48" spans="1:3" x14ac:dyDescent="0.3">
      <c r="A48" s="16">
        <v>43787</v>
      </c>
      <c r="B48">
        <v>2019</v>
      </c>
      <c r="C48" t="s">
        <v>6</v>
      </c>
    </row>
    <row r="49" spans="1:3" x14ac:dyDescent="0.3">
      <c r="A49" s="16">
        <v>43794</v>
      </c>
      <c r="B49">
        <v>2019</v>
      </c>
      <c r="C49" t="s">
        <v>6</v>
      </c>
    </row>
    <row r="50" spans="1:3" x14ac:dyDescent="0.3">
      <c r="A50" s="16">
        <v>43801</v>
      </c>
      <c r="B50">
        <v>2019</v>
      </c>
      <c r="C50" t="s">
        <v>6</v>
      </c>
    </row>
    <row r="51" spans="1:3" x14ac:dyDescent="0.3">
      <c r="A51" s="16">
        <v>43808</v>
      </c>
      <c r="B51">
        <v>2019</v>
      </c>
      <c r="C51" t="s">
        <v>6</v>
      </c>
    </row>
    <row r="52" spans="1:3" x14ac:dyDescent="0.3">
      <c r="A52" s="16">
        <v>43815</v>
      </c>
      <c r="B52">
        <v>2019</v>
      </c>
      <c r="C52" t="s">
        <v>6</v>
      </c>
    </row>
    <row r="53" spans="1:3" x14ac:dyDescent="0.3">
      <c r="A53" s="16">
        <v>43822</v>
      </c>
      <c r="B53">
        <v>2019</v>
      </c>
      <c r="C53" t="s">
        <v>6</v>
      </c>
    </row>
    <row r="54" spans="1:3" x14ac:dyDescent="0.3">
      <c r="A54" s="16">
        <v>43829</v>
      </c>
      <c r="B54">
        <v>2019</v>
      </c>
      <c r="C54" t="s">
        <v>6</v>
      </c>
    </row>
    <row r="55" spans="1:3" x14ac:dyDescent="0.3">
      <c r="A55" s="16">
        <v>43836</v>
      </c>
      <c r="B55">
        <v>2020</v>
      </c>
      <c r="C55" t="s">
        <v>3</v>
      </c>
    </row>
    <row r="56" spans="1:3" x14ac:dyDescent="0.3">
      <c r="A56" s="16">
        <v>43843</v>
      </c>
      <c r="B56">
        <v>2020</v>
      </c>
      <c r="C56" t="s">
        <v>3</v>
      </c>
    </row>
    <row r="57" spans="1:3" x14ac:dyDescent="0.3">
      <c r="A57" s="16">
        <v>43850</v>
      </c>
      <c r="B57">
        <v>2020</v>
      </c>
      <c r="C57" t="s">
        <v>3</v>
      </c>
    </row>
    <row r="58" spans="1:3" x14ac:dyDescent="0.3">
      <c r="A58" s="16">
        <v>43857</v>
      </c>
      <c r="B58">
        <v>2020</v>
      </c>
      <c r="C58" t="s">
        <v>3</v>
      </c>
    </row>
    <row r="59" spans="1:3" x14ac:dyDescent="0.3">
      <c r="A59" s="16">
        <v>43864</v>
      </c>
      <c r="B59">
        <v>2020</v>
      </c>
      <c r="C59" t="s">
        <v>3</v>
      </c>
    </row>
    <row r="60" spans="1:3" x14ac:dyDescent="0.3">
      <c r="A60" s="16">
        <v>43871</v>
      </c>
      <c r="B60">
        <v>2020</v>
      </c>
      <c r="C60" t="s">
        <v>3</v>
      </c>
    </row>
    <row r="61" spans="1:3" x14ac:dyDescent="0.3">
      <c r="A61" s="16">
        <v>43878</v>
      </c>
      <c r="B61">
        <v>2020</v>
      </c>
      <c r="C61" t="s">
        <v>3</v>
      </c>
    </row>
    <row r="62" spans="1:3" x14ac:dyDescent="0.3">
      <c r="A62" s="16">
        <v>43885</v>
      </c>
      <c r="B62">
        <v>2020</v>
      </c>
      <c r="C62" t="s">
        <v>3</v>
      </c>
    </row>
    <row r="63" spans="1:3" x14ac:dyDescent="0.3">
      <c r="A63" s="16">
        <v>43892</v>
      </c>
      <c r="B63">
        <v>2020</v>
      </c>
      <c r="C63" t="s">
        <v>3</v>
      </c>
    </row>
    <row r="64" spans="1:3" x14ac:dyDescent="0.3">
      <c r="A64" s="16">
        <v>43899</v>
      </c>
      <c r="B64">
        <v>2020</v>
      </c>
      <c r="C64" t="s">
        <v>3</v>
      </c>
    </row>
    <row r="65" spans="1:3" x14ac:dyDescent="0.3">
      <c r="A65" s="16">
        <v>43906</v>
      </c>
      <c r="B65">
        <v>2020</v>
      </c>
      <c r="C65" t="s">
        <v>3</v>
      </c>
    </row>
    <row r="66" spans="1:3" x14ac:dyDescent="0.3">
      <c r="A66" s="16">
        <v>43913</v>
      </c>
      <c r="B66">
        <v>2020</v>
      </c>
      <c r="C66" t="s">
        <v>3</v>
      </c>
    </row>
    <row r="67" spans="1:3" x14ac:dyDescent="0.3">
      <c r="A67" s="16">
        <v>43920</v>
      </c>
      <c r="B67">
        <v>2020</v>
      </c>
      <c r="C67" t="s">
        <v>3</v>
      </c>
    </row>
    <row r="68" spans="1:3" x14ac:dyDescent="0.3">
      <c r="A68" s="16">
        <v>43927</v>
      </c>
      <c r="B68">
        <v>2020</v>
      </c>
      <c r="C68" t="s">
        <v>4</v>
      </c>
    </row>
    <row r="69" spans="1:3" x14ac:dyDescent="0.3">
      <c r="A69" s="16">
        <v>43934</v>
      </c>
      <c r="B69">
        <v>2020</v>
      </c>
      <c r="C69" t="s">
        <v>4</v>
      </c>
    </row>
    <row r="70" spans="1:3" x14ac:dyDescent="0.3">
      <c r="A70" s="16">
        <v>43941</v>
      </c>
      <c r="B70">
        <v>2020</v>
      </c>
      <c r="C70" t="s">
        <v>4</v>
      </c>
    </row>
    <row r="71" spans="1:3" x14ac:dyDescent="0.3">
      <c r="A71" s="16">
        <v>43948</v>
      </c>
      <c r="B71">
        <v>2020</v>
      </c>
      <c r="C71" t="s">
        <v>4</v>
      </c>
    </row>
    <row r="72" spans="1:3" x14ac:dyDescent="0.3">
      <c r="A72" s="16">
        <v>43955</v>
      </c>
      <c r="B72">
        <v>2020</v>
      </c>
      <c r="C72" t="s">
        <v>4</v>
      </c>
    </row>
    <row r="73" spans="1:3" x14ac:dyDescent="0.3">
      <c r="A73" s="16">
        <v>43962</v>
      </c>
      <c r="B73">
        <v>2020</v>
      </c>
      <c r="C73" t="s">
        <v>4</v>
      </c>
    </row>
    <row r="74" spans="1:3" x14ac:dyDescent="0.3">
      <c r="A74" s="16">
        <v>43969</v>
      </c>
      <c r="B74">
        <v>2020</v>
      </c>
      <c r="C74" t="s">
        <v>4</v>
      </c>
    </row>
    <row r="75" spans="1:3" x14ac:dyDescent="0.3">
      <c r="A75" s="16">
        <v>43976</v>
      </c>
      <c r="B75">
        <v>2020</v>
      </c>
      <c r="C75" t="s">
        <v>4</v>
      </c>
    </row>
    <row r="76" spans="1:3" x14ac:dyDescent="0.3">
      <c r="A76" s="16">
        <v>43983</v>
      </c>
      <c r="B76">
        <v>2020</v>
      </c>
      <c r="C76" t="s">
        <v>4</v>
      </c>
    </row>
    <row r="77" spans="1:3" x14ac:dyDescent="0.3">
      <c r="A77" s="16">
        <v>43990</v>
      </c>
      <c r="B77">
        <v>2020</v>
      </c>
      <c r="C77" t="s">
        <v>4</v>
      </c>
    </row>
    <row r="78" spans="1:3" x14ac:dyDescent="0.3">
      <c r="A78" s="16">
        <v>43997</v>
      </c>
      <c r="B78">
        <v>2020</v>
      </c>
      <c r="C78" t="s">
        <v>4</v>
      </c>
    </row>
    <row r="79" spans="1:3" x14ac:dyDescent="0.3">
      <c r="A79" s="16">
        <v>44004</v>
      </c>
      <c r="B79">
        <v>2020</v>
      </c>
      <c r="C79" t="s">
        <v>4</v>
      </c>
    </row>
    <row r="80" spans="1:3" x14ac:dyDescent="0.3">
      <c r="A80" s="16">
        <v>44011</v>
      </c>
      <c r="B80">
        <v>2020</v>
      </c>
      <c r="C80" t="s">
        <v>4</v>
      </c>
    </row>
    <row r="81" spans="1:3" x14ac:dyDescent="0.3">
      <c r="A81" s="16">
        <v>44018</v>
      </c>
      <c r="B81">
        <v>2020</v>
      </c>
      <c r="C81" t="s">
        <v>5</v>
      </c>
    </row>
    <row r="82" spans="1:3" x14ac:dyDescent="0.3">
      <c r="A82" s="16">
        <v>44025</v>
      </c>
      <c r="B82">
        <v>2020</v>
      </c>
      <c r="C82" t="s">
        <v>5</v>
      </c>
    </row>
    <row r="83" spans="1:3" x14ac:dyDescent="0.3">
      <c r="A83" s="16">
        <v>44032</v>
      </c>
      <c r="B83">
        <v>2020</v>
      </c>
      <c r="C83" t="s">
        <v>5</v>
      </c>
    </row>
    <row r="84" spans="1:3" x14ac:dyDescent="0.3">
      <c r="A84" s="16">
        <v>44039</v>
      </c>
      <c r="B84">
        <v>2020</v>
      </c>
      <c r="C84" t="s">
        <v>5</v>
      </c>
    </row>
    <row r="85" spans="1:3" x14ac:dyDescent="0.3">
      <c r="A85" s="16">
        <v>44046</v>
      </c>
      <c r="B85">
        <v>2020</v>
      </c>
      <c r="C85" t="s">
        <v>5</v>
      </c>
    </row>
    <row r="86" spans="1:3" x14ac:dyDescent="0.3">
      <c r="A86" s="16">
        <v>44053</v>
      </c>
      <c r="B86">
        <v>2020</v>
      </c>
      <c r="C86" t="s">
        <v>5</v>
      </c>
    </row>
    <row r="87" spans="1:3" x14ac:dyDescent="0.3">
      <c r="A87" s="16">
        <v>44060</v>
      </c>
      <c r="B87">
        <v>2020</v>
      </c>
      <c r="C87" t="s">
        <v>5</v>
      </c>
    </row>
    <row r="88" spans="1:3" x14ac:dyDescent="0.3">
      <c r="A88" s="16">
        <v>44067</v>
      </c>
      <c r="B88">
        <v>2020</v>
      </c>
      <c r="C88" t="s">
        <v>5</v>
      </c>
    </row>
    <row r="89" spans="1:3" x14ac:dyDescent="0.3">
      <c r="A89" s="16">
        <v>44074</v>
      </c>
      <c r="B89">
        <v>2020</v>
      </c>
      <c r="C89" t="s">
        <v>5</v>
      </c>
    </row>
    <row r="90" spans="1:3" x14ac:dyDescent="0.3">
      <c r="A90" s="16">
        <v>44081</v>
      </c>
      <c r="B90">
        <v>2020</v>
      </c>
      <c r="C90" t="s">
        <v>5</v>
      </c>
    </row>
    <row r="91" spans="1:3" x14ac:dyDescent="0.3">
      <c r="A91" s="16">
        <v>44088</v>
      </c>
      <c r="B91">
        <v>2020</v>
      </c>
      <c r="C91" t="s">
        <v>5</v>
      </c>
    </row>
    <row r="92" spans="1:3" x14ac:dyDescent="0.3">
      <c r="A92" s="16">
        <v>44095</v>
      </c>
      <c r="B92">
        <v>2020</v>
      </c>
      <c r="C92" t="s">
        <v>5</v>
      </c>
    </row>
    <row r="93" spans="1:3" x14ac:dyDescent="0.3">
      <c r="A93" s="16">
        <v>44102</v>
      </c>
      <c r="B93">
        <v>2020</v>
      </c>
      <c r="C93" t="s">
        <v>5</v>
      </c>
    </row>
    <row r="94" spans="1:3" x14ac:dyDescent="0.3">
      <c r="A94" s="16">
        <v>44109</v>
      </c>
      <c r="B94">
        <v>2020</v>
      </c>
      <c r="C94" t="s">
        <v>6</v>
      </c>
    </row>
    <row r="95" spans="1:3" x14ac:dyDescent="0.3">
      <c r="A95" s="16">
        <v>44116</v>
      </c>
      <c r="B95">
        <v>2020</v>
      </c>
      <c r="C95" t="s">
        <v>6</v>
      </c>
    </row>
    <row r="96" spans="1:3" x14ac:dyDescent="0.3">
      <c r="A96" s="16">
        <v>44123</v>
      </c>
      <c r="B96">
        <v>2020</v>
      </c>
      <c r="C96" t="s">
        <v>6</v>
      </c>
    </row>
    <row r="97" spans="1:3" x14ac:dyDescent="0.3">
      <c r="A97" s="16">
        <v>44130</v>
      </c>
      <c r="B97">
        <v>2020</v>
      </c>
      <c r="C97" t="s">
        <v>6</v>
      </c>
    </row>
    <row r="98" spans="1:3" x14ac:dyDescent="0.3">
      <c r="A98" s="16">
        <v>44137</v>
      </c>
      <c r="B98">
        <v>2020</v>
      </c>
      <c r="C98" t="s">
        <v>6</v>
      </c>
    </row>
    <row r="99" spans="1:3" x14ac:dyDescent="0.3">
      <c r="A99" s="16">
        <v>44144</v>
      </c>
      <c r="B99">
        <v>2020</v>
      </c>
      <c r="C99" t="s">
        <v>6</v>
      </c>
    </row>
    <row r="100" spans="1:3" x14ac:dyDescent="0.3">
      <c r="A100" s="16">
        <v>44151</v>
      </c>
      <c r="B100">
        <v>2020</v>
      </c>
      <c r="C100" t="s">
        <v>6</v>
      </c>
    </row>
    <row r="101" spans="1:3" x14ac:dyDescent="0.3">
      <c r="A101" s="16">
        <v>44158</v>
      </c>
      <c r="B101">
        <v>2020</v>
      </c>
      <c r="C101" t="s">
        <v>6</v>
      </c>
    </row>
    <row r="102" spans="1:3" x14ac:dyDescent="0.3">
      <c r="A102" s="16">
        <v>44165</v>
      </c>
      <c r="B102">
        <v>2020</v>
      </c>
      <c r="C102" t="s">
        <v>6</v>
      </c>
    </row>
    <row r="103" spans="1:3" x14ac:dyDescent="0.3">
      <c r="A103" s="16">
        <v>44172</v>
      </c>
      <c r="B103">
        <v>2020</v>
      </c>
      <c r="C103" t="s">
        <v>6</v>
      </c>
    </row>
    <row r="104" spans="1:3" x14ac:dyDescent="0.3">
      <c r="A104" s="16">
        <v>44179</v>
      </c>
      <c r="B104">
        <v>2020</v>
      </c>
      <c r="C104" t="s">
        <v>6</v>
      </c>
    </row>
    <row r="105" spans="1:3" x14ac:dyDescent="0.3">
      <c r="A105" s="16">
        <v>44186</v>
      </c>
      <c r="B105">
        <v>2020</v>
      </c>
      <c r="C105" t="s">
        <v>6</v>
      </c>
    </row>
    <row r="106" spans="1:3" x14ac:dyDescent="0.3">
      <c r="A106" s="16">
        <v>44193</v>
      </c>
      <c r="B106">
        <v>2020</v>
      </c>
      <c r="C106" t="s">
        <v>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CCA0-8CEA-4B21-A294-FACAF48D4088}">
  <dimension ref="A1:B50"/>
  <sheetViews>
    <sheetView showGridLines="0" workbookViewId="0">
      <selection activeCell="A11" sqref="A11"/>
    </sheetView>
  </sheetViews>
  <sheetFormatPr defaultRowHeight="14.4" x14ac:dyDescent="0.3"/>
  <cols>
    <col min="1" max="1" width="28.44140625" bestFit="1" customWidth="1"/>
    <col min="2" max="2" width="76.109375" bestFit="1" customWidth="1"/>
  </cols>
  <sheetData>
    <row r="1" spans="1:2" x14ac:dyDescent="0.3">
      <c r="A1" s="24" t="s">
        <v>63</v>
      </c>
      <c r="B1" s="24" t="s">
        <v>64</v>
      </c>
    </row>
    <row r="2" spans="1:2" x14ac:dyDescent="0.3">
      <c r="A2" t="s">
        <v>17</v>
      </c>
      <c r="B2" t="s">
        <v>65</v>
      </c>
    </row>
    <row r="3" spans="1:2" x14ac:dyDescent="0.3">
      <c r="A3" t="s">
        <v>43</v>
      </c>
      <c r="B3" t="s">
        <v>75</v>
      </c>
    </row>
    <row r="4" spans="1:2" x14ac:dyDescent="0.3">
      <c r="A4" t="s">
        <v>26</v>
      </c>
      <c r="B4" t="s">
        <v>76</v>
      </c>
    </row>
    <row r="5" spans="1:2" x14ac:dyDescent="0.3">
      <c r="A5" t="s">
        <v>44</v>
      </c>
      <c r="B5" t="s">
        <v>71</v>
      </c>
    </row>
    <row r="6" spans="1:2" x14ac:dyDescent="0.3">
      <c r="A6" t="s">
        <v>25</v>
      </c>
      <c r="B6" t="s">
        <v>70</v>
      </c>
    </row>
    <row r="7" spans="1:2" x14ac:dyDescent="0.3">
      <c r="A7" t="s">
        <v>58</v>
      </c>
      <c r="B7" t="s">
        <v>72</v>
      </c>
    </row>
    <row r="8" spans="1:2" x14ac:dyDescent="0.3">
      <c r="A8" t="s">
        <v>59</v>
      </c>
      <c r="B8" t="s">
        <v>73</v>
      </c>
    </row>
    <row r="9" spans="1:2" x14ac:dyDescent="0.3">
      <c r="A9" t="s">
        <v>23</v>
      </c>
      <c r="B9" t="s">
        <v>66</v>
      </c>
    </row>
    <row r="10" spans="1:2" x14ac:dyDescent="0.3">
      <c r="A10" t="s">
        <v>24</v>
      </c>
      <c r="B10" t="s">
        <v>67</v>
      </c>
    </row>
    <row r="11" spans="1:2" x14ac:dyDescent="0.3">
      <c r="A11" t="s">
        <v>27</v>
      </c>
      <c r="B11" t="s">
        <v>68</v>
      </c>
    </row>
    <row r="12" spans="1:2" x14ac:dyDescent="0.3">
      <c r="A12" t="s">
        <v>28</v>
      </c>
      <c r="B12" t="s">
        <v>77</v>
      </c>
    </row>
    <row r="13" spans="1:2" x14ac:dyDescent="0.3">
      <c r="A13" t="s">
        <v>29</v>
      </c>
      <c r="B13" t="s">
        <v>69</v>
      </c>
    </row>
    <row r="14" spans="1:2" x14ac:dyDescent="0.3">
      <c r="A14" t="s">
        <v>30</v>
      </c>
      <c r="B14" t="s">
        <v>81</v>
      </c>
    </row>
    <row r="15" spans="1:2" x14ac:dyDescent="0.3">
      <c r="A15" t="s">
        <v>31</v>
      </c>
      <c r="B15" t="s">
        <v>81</v>
      </c>
    </row>
    <row r="16" spans="1:2" x14ac:dyDescent="0.3">
      <c r="A16" t="s">
        <v>32</v>
      </c>
      <c r="B16" t="s">
        <v>81</v>
      </c>
    </row>
    <row r="17" spans="1:2" x14ac:dyDescent="0.3">
      <c r="A17" t="s">
        <v>33</v>
      </c>
      <c r="B17" t="s">
        <v>78</v>
      </c>
    </row>
    <row r="18" spans="1:2" x14ac:dyDescent="0.3">
      <c r="A18" t="s">
        <v>34</v>
      </c>
      <c r="B18" t="s">
        <v>79</v>
      </c>
    </row>
    <row r="19" spans="1:2" x14ac:dyDescent="0.3">
      <c r="A19" t="s">
        <v>35</v>
      </c>
      <c r="B19" t="s">
        <v>80</v>
      </c>
    </row>
    <row r="20" spans="1:2" x14ac:dyDescent="0.3">
      <c r="A20" t="s">
        <v>36</v>
      </c>
      <c r="B20" t="s">
        <v>82</v>
      </c>
    </row>
    <row r="21" spans="1:2" x14ac:dyDescent="0.3">
      <c r="A21" t="s">
        <v>37</v>
      </c>
      <c r="B21" t="s">
        <v>82</v>
      </c>
    </row>
    <row r="22" spans="1:2" x14ac:dyDescent="0.3">
      <c r="A22" t="s">
        <v>38</v>
      </c>
      <c r="B22" t="s">
        <v>82</v>
      </c>
    </row>
    <row r="23" spans="1:2" x14ac:dyDescent="0.3">
      <c r="A23" t="s">
        <v>74</v>
      </c>
      <c r="B23" t="s">
        <v>83</v>
      </c>
    </row>
    <row r="24" spans="1:2" x14ac:dyDescent="0.3">
      <c r="A24" t="s">
        <v>60</v>
      </c>
      <c r="B24" t="s">
        <v>83</v>
      </c>
    </row>
    <row r="25" spans="1:2" x14ac:dyDescent="0.3">
      <c r="A25" t="s">
        <v>45</v>
      </c>
      <c r="B25" t="s">
        <v>84</v>
      </c>
    </row>
    <row r="26" spans="1:2" x14ac:dyDescent="0.3">
      <c r="A26" t="s">
        <v>46</v>
      </c>
      <c r="B26" t="s">
        <v>85</v>
      </c>
    </row>
    <row r="27" spans="1:2" x14ac:dyDescent="0.3">
      <c r="A27" t="s">
        <v>15</v>
      </c>
      <c r="B27" t="s">
        <v>86</v>
      </c>
    </row>
    <row r="28" spans="1:2" x14ac:dyDescent="0.3">
      <c r="A28" t="s">
        <v>16</v>
      </c>
      <c r="B28" t="s">
        <v>86</v>
      </c>
    </row>
    <row r="29" spans="1:2" x14ac:dyDescent="0.3">
      <c r="A29" t="s">
        <v>47</v>
      </c>
      <c r="B29" t="s">
        <v>87</v>
      </c>
    </row>
    <row r="30" spans="1:2" x14ac:dyDescent="0.3">
      <c r="A30" t="s">
        <v>48</v>
      </c>
      <c r="B30" t="s">
        <v>87</v>
      </c>
    </row>
    <row r="31" spans="1:2" x14ac:dyDescent="0.3">
      <c r="A31" t="s">
        <v>49</v>
      </c>
      <c r="B31" t="s">
        <v>88</v>
      </c>
    </row>
    <row r="32" spans="1:2" x14ac:dyDescent="0.3">
      <c r="A32" t="s">
        <v>50</v>
      </c>
      <c r="B32" t="s">
        <v>88</v>
      </c>
    </row>
    <row r="33" spans="1:2" x14ac:dyDescent="0.3">
      <c r="A33" t="s">
        <v>52</v>
      </c>
      <c r="B33" t="s">
        <v>89</v>
      </c>
    </row>
    <row r="34" spans="1:2" x14ac:dyDescent="0.3">
      <c r="A34" t="s">
        <v>53</v>
      </c>
      <c r="B34" t="s">
        <v>89</v>
      </c>
    </row>
    <row r="35" spans="1:2" x14ac:dyDescent="0.3">
      <c r="A35" t="s">
        <v>54</v>
      </c>
      <c r="B35" t="s">
        <v>90</v>
      </c>
    </row>
    <row r="36" spans="1:2" x14ac:dyDescent="0.3">
      <c r="A36" t="s">
        <v>55</v>
      </c>
      <c r="B36" t="s">
        <v>90</v>
      </c>
    </row>
    <row r="37" spans="1:2" x14ac:dyDescent="0.3">
      <c r="A37" t="s">
        <v>56</v>
      </c>
      <c r="B37" t="s">
        <v>91</v>
      </c>
    </row>
    <row r="38" spans="1:2" x14ac:dyDescent="0.3">
      <c r="A38" t="s">
        <v>57</v>
      </c>
      <c r="B38" t="s">
        <v>91</v>
      </c>
    </row>
    <row r="39" spans="1:2" x14ac:dyDescent="0.3">
      <c r="A39" t="s">
        <v>11</v>
      </c>
      <c r="B39" t="s">
        <v>92</v>
      </c>
    </row>
    <row r="40" spans="1:2" x14ac:dyDescent="0.3">
      <c r="A40" t="s">
        <v>13</v>
      </c>
      <c r="B40" t="s">
        <v>93</v>
      </c>
    </row>
    <row r="41" spans="1:2" x14ac:dyDescent="0.3">
      <c r="A41" t="s">
        <v>12</v>
      </c>
      <c r="B41" t="s">
        <v>94</v>
      </c>
    </row>
    <row r="42" spans="1:2" x14ac:dyDescent="0.3">
      <c r="A42" t="s">
        <v>10</v>
      </c>
      <c r="B42" t="s">
        <v>95</v>
      </c>
    </row>
    <row r="43" spans="1:2" x14ac:dyDescent="0.3">
      <c r="A43" t="s">
        <v>14</v>
      </c>
      <c r="B43" t="s">
        <v>96</v>
      </c>
    </row>
    <row r="44" spans="1:2" x14ac:dyDescent="0.3">
      <c r="A44" t="s">
        <v>18</v>
      </c>
      <c r="B44" t="s">
        <v>97</v>
      </c>
    </row>
    <row r="45" spans="1:2" x14ac:dyDescent="0.3">
      <c r="A45" t="s">
        <v>19</v>
      </c>
      <c r="B45" t="s">
        <v>98</v>
      </c>
    </row>
    <row r="46" spans="1:2" x14ac:dyDescent="0.3">
      <c r="A46" t="s">
        <v>39</v>
      </c>
      <c r="B46" t="s">
        <v>99</v>
      </c>
    </row>
    <row r="47" spans="1:2" x14ac:dyDescent="0.3">
      <c r="A47" t="s">
        <v>40</v>
      </c>
      <c r="B47" t="s">
        <v>100</v>
      </c>
    </row>
    <row r="48" spans="1:2" x14ac:dyDescent="0.3">
      <c r="A48" t="s">
        <v>41</v>
      </c>
      <c r="B48" t="s">
        <v>101</v>
      </c>
    </row>
    <row r="49" spans="1:2" x14ac:dyDescent="0.3">
      <c r="A49" t="s">
        <v>42</v>
      </c>
      <c r="B49" t="s">
        <v>102</v>
      </c>
    </row>
    <row r="50" spans="1:2" x14ac:dyDescent="0.3">
      <c r="A50" t="s">
        <v>51</v>
      </c>
      <c r="B50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C811-B28E-47FD-831E-A34031321D47}">
  <dimension ref="A1:V106"/>
  <sheetViews>
    <sheetView showGridLines="0" topLeftCell="A10" zoomScale="73" zoomScaleNormal="73" workbookViewId="0">
      <selection activeCell="S22" sqref="S22"/>
    </sheetView>
  </sheetViews>
  <sheetFormatPr defaultRowHeight="14.4" x14ac:dyDescent="0.3"/>
  <cols>
    <col min="1" max="5" width="0.109375" customWidth="1"/>
    <col min="6" max="6" width="15" customWidth="1"/>
    <col min="7" max="7" width="31.6640625" bestFit="1" customWidth="1"/>
    <col min="8" max="8" width="0.33203125" customWidth="1"/>
    <col min="9" max="9" width="27.33203125" bestFit="1" customWidth="1"/>
    <col min="13" max="13" width="13.6640625" bestFit="1" customWidth="1"/>
    <col min="15" max="15" width="0.33203125" customWidth="1"/>
    <col min="16" max="16" width="31.6640625" bestFit="1" customWidth="1"/>
    <col min="19" max="19" width="25.44140625" customWidth="1"/>
    <col min="21" max="21" width="1" customWidth="1"/>
    <col min="22" max="22" width="27.33203125" bestFit="1" customWidth="1"/>
  </cols>
  <sheetData>
    <row r="1" spans="1:22" ht="3" customHeight="1" thickBot="1" x14ac:dyDescent="0.35"/>
    <row r="2" spans="1:22" ht="15" thickBot="1" x14ac:dyDescent="0.35">
      <c r="A2" t="s">
        <v>2</v>
      </c>
      <c r="B2" t="s">
        <v>0</v>
      </c>
      <c r="C2" t="s">
        <v>1</v>
      </c>
      <c r="D2" t="s">
        <v>17</v>
      </c>
      <c r="E2" t="str">
        <f>G2</f>
        <v>xmas_dummy</v>
      </c>
      <c r="F2" s="10" t="s">
        <v>62</v>
      </c>
      <c r="G2" s="23" t="s">
        <v>59</v>
      </c>
      <c r="S2" s="10" t="s">
        <v>61</v>
      </c>
      <c r="T2" s="23">
        <v>2</v>
      </c>
    </row>
    <row r="3" spans="1:22" x14ac:dyDescent="0.3">
      <c r="A3" s="15">
        <v>43472</v>
      </c>
      <c r="B3">
        <v>2019</v>
      </c>
      <c r="C3" t="s">
        <v>3</v>
      </c>
      <c r="D3" s="1">
        <f>Table1[[#This Row],[Column1]]</f>
        <v>0</v>
      </c>
      <c r="E3" s="19" t="e" cm="1">
        <f t="array" aca="1" ref="E3" ca="1">OFFSET(Table1[week_starting_date],,MATCH($G$2,Table1[[#Headers],[year]:[Column49]], 0))</f>
        <v>#N/A</v>
      </c>
    </row>
    <row r="4" spans="1:22" x14ac:dyDescent="0.3">
      <c r="A4" s="15">
        <v>43479</v>
      </c>
      <c r="B4">
        <v>2019</v>
      </c>
      <c r="C4" t="s">
        <v>3</v>
      </c>
      <c r="D4" s="1">
        <f>Table1[[#This Row],[Column1]]</f>
        <v>0</v>
      </c>
      <c r="E4" s="19"/>
      <c r="G4" s="22" t="s">
        <v>20</v>
      </c>
      <c r="M4" s="22" t="s">
        <v>8</v>
      </c>
      <c r="R4" s="21"/>
      <c r="S4" s="11" t="s">
        <v>22</v>
      </c>
    </row>
    <row r="5" spans="1:22" x14ac:dyDescent="0.3">
      <c r="A5" s="15">
        <v>43486</v>
      </c>
      <c r="B5">
        <v>2019</v>
      </c>
      <c r="C5" t="s">
        <v>3</v>
      </c>
      <c r="D5" s="1">
        <f>Table1[[#This Row],[Column1]]</f>
        <v>0</v>
      </c>
      <c r="E5" s="19"/>
      <c r="G5" s="12" t="s">
        <v>7</v>
      </c>
      <c r="H5" s="11"/>
      <c r="I5" s="12" t="str">
        <f>G2</f>
        <v>xmas_dummy</v>
      </c>
      <c r="M5" s="13" t="s">
        <v>7</v>
      </c>
      <c r="N5" s="14" t="s">
        <v>9</v>
      </c>
      <c r="O5" s="11"/>
      <c r="P5" s="12" t="str">
        <f>G2</f>
        <v>xmas_dummy</v>
      </c>
      <c r="S5" s="13" t="s">
        <v>7</v>
      </c>
      <c r="T5" s="14" t="s">
        <v>9</v>
      </c>
      <c r="U5" s="11"/>
      <c r="V5" s="12" t="str">
        <f>G2</f>
        <v>xmas_dummy</v>
      </c>
    </row>
    <row r="6" spans="1:22" x14ac:dyDescent="0.3">
      <c r="A6" s="15">
        <v>43493</v>
      </c>
      <c r="B6">
        <v>2019</v>
      </c>
      <c r="C6" t="s">
        <v>3</v>
      </c>
      <c r="D6" s="1">
        <f>Table1[[#This Row],[Column1]]</f>
        <v>0</v>
      </c>
      <c r="E6" s="19"/>
      <c r="G6" s="2" cm="1">
        <f t="array" ref="G6:G7">_xlfn.UNIQUE('Weekly Database'!B3:B106)</f>
        <v>2019</v>
      </c>
      <c r="I6" s="3" t="e">
        <f ca="1">SUMIFS('Validation Tables'!E:E, 'Validation Tables'!B:B, 'Validation Tables'!G6)</f>
        <v>#N/A</v>
      </c>
      <c r="M6" s="6" cm="1">
        <f t="array" ref="M6:N13">_xlfn.UNIQUE('Weekly Database'!B3:$C$106)</f>
        <v>2019</v>
      </c>
      <c r="N6" s="7" t="str">
        <v>Q1</v>
      </c>
      <c r="P6" s="8" t="e">
        <f ca="1">SUMIFS('Validation Tables'!E:E, 'Validation Tables'!B:B, 'Validation Tables'!M6, 'Validation Tables'!C:C, 'Validation Tables'!N6)</f>
        <v>#N/A</v>
      </c>
      <c r="S6" s="6">
        <v>2020</v>
      </c>
      <c r="T6" s="7" t="str">
        <f>"Q"&amp;$T$2</f>
        <v>Q2</v>
      </c>
      <c r="V6" s="25" t="str">
        <f>IFERROR(SUMIFS($P$6:$P$13, $M$6:$M$13, $S6, $N$6:$N$13, $T6)/SUMIFS($P$6:$P$13, $M$6:$M$13, $S6-1, $N$6:$N$13, $T6)-1, "")</f>
        <v/>
      </c>
    </row>
    <row r="7" spans="1:22" x14ac:dyDescent="0.3">
      <c r="A7" s="15">
        <v>43500</v>
      </c>
      <c r="B7">
        <v>2019</v>
      </c>
      <c r="C7" t="s">
        <v>3</v>
      </c>
      <c r="D7" s="1">
        <f>Table1[[#This Row],[Column1]]</f>
        <v>0</v>
      </c>
      <c r="E7" s="19"/>
      <c r="G7" s="2">
        <v>2020</v>
      </c>
      <c r="I7" s="4">
        <f>SUMIFS('Validation Tables'!E:E, 'Validation Tables'!B:B, 'Validation Tables'!G7)</f>
        <v>0</v>
      </c>
      <c r="M7" s="6">
        <v>2019</v>
      </c>
      <c r="N7" s="7" t="str">
        <v>Q2</v>
      </c>
      <c r="P7" s="9">
        <f>SUMIFS('Validation Tables'!E:E, 'Validation Tables'!B:B, 'Validation Tables'!M7, 'Validation Tables'!C:C, 'Validation Tables'!N7)</f>
        <v>0</v>
      </c>
    </row>
    <row r="8" spans="1:22" x14ac:dyDescent="0.3">
      <c r="A8" s="15">
        <v>43507</v>
      </c>
      <c r="B8">
        <v>2019</v>
      </c>
      <c r="C8" t="s">
        <v>3</v>
      </c>
      <c r="D8" s="1">
        <f>Table1[[#This Row],[Column1]]</f>
        <v>0</v>
      </c>
      <c r="E8" s="19"/>
      <c r="M8" s="6">
        <v>2019</v>
      </c>
      <c r="N8" s="7" t="str">
        <v>Q3</v>
      </c>
      <c r="P8" s="9">
        <f>SUMIFS('Validation Tables'!E:E, 'Validation Tables'!B:B, 'Validation Tables'!M8, 'Validation Tables'!C:C, 'Validation Tables'!N8)</f>
        <v>0</v>
      </c>
    </row>
    <row r="9" spans="1:22" x14ac:dyDescent="0.3">
      <c r="A9" s="15">
        <v>43514</v>
      </c>
      <c r="B9">
        <v>2019</v>
      </c>
      <c r="C9" t="s">
        <v>3</v>
      </c>
      <c r="D9" s="1">
        <f>Table1[[#This Row],[Column1]]</f>
        <v>0</v>
      </c>
      <c r="E9" s="19"/>
      <c r="M9" s="6">
        <v>2019</v>
      </c>
      <c r="N9" s="7" t="str">
        <v>Q4</v>
      </c>
      <c r="P9" s="9">
        <f>SUMIFS('Validation Tables'!E:E, 'Validation Tables'!B:B, 'Validation Tables'!M9, 'Validation Tables'!C:C, 'Validation Tables'!N9)</f>
        <v>0</v>
      </c>
    </row>
    <row r="10" spans="1:22" x14ac:dyDescent="0.3">
      <c r="A10" s="15">
        <v>43521</v>
      </c>
      <c r="B10">
        <v>2019</v>
      </c>
      <c r="C10" t="s">
        <v>3</v>
      </c>
      <c r="D10" s="1">
        <f>Table1[[#This Row],[Column1]]</f>
        <v>0</v>
      </c>
      <c r="E10" s="19"/>
      <c r="G10" s="22" t="s">
        <v>21</v>
      </c>
      <c r="M10" s="6">
        <v>2020</v>
      </c>
      <c r="N10" s="7" t="str">
        <v>Q1</v>
      </c>
      <c r="P10" s="9">
        <f>SUMIFS('Validation Tables'!E:E, 'Validation Tables'!B:B, 'Validation Tables'!M10, 'Validation Tables'!C:C, 'Validation Tables'!N10)</f>
        <v>0</v>
      </c>
    </row>
    <row r="11" spans="1:22" x14ac:dyDescent="0.3">
      <c r="A11" s="15">
        <v>43528</v>
      </c>
      <c r="B11">
        <v>2019</v>
      </c>
      <c r="C11" t="s">
        <v>3</v>
      </c>
      <c r="D11" s="1">
        <f>Table1[[#This Row],[Column1]]</f>
        <v>0</v>
      </c>
      <c r="E11" s="19"/>
      <c r="F11" s="11"/>
      <c r="G11" s="2" t="s">
        <v>104</v>
      </c>
      <c r="I11" s="5" t="e">
        <f ca="1">I7/I6-1</f>
        <v>#N/A</v>
      </c>
      <c r="M11" s="6">
        <v>2020</v>
      </c>
      <c r="N11" s="7" t="str">
        <v>Q2</v>
      </c>
      <c r="P11" s="9">
        <f>SUMIFS('Validation Tables'!E:E, 'Validation Tables'!B:B, 'Validation Tables'!M11, 'Validation Tables'!C:C, 'Validation Tables'!N11)</f>
        <v>0</v>
      </c>
    </row>
    <row r="12" spans="1:22" x14ac:dyDescent="0.3">
      <c r="A12" s="15">
        <v>43535</v>
      </c>
      <c r="B12">
        <v>2019</v>
      </c>
      <c r="C12" t="s">
        <v>3</v>
      </c>
      <c r="D12" s="1">
        <f>Table1[[#This Row],[Column1]]</f>
        <v>0</v>
      </c>
      <c r="E12" s="19"/>
      <c r="M12" s="6">
        <v>2020</v>
      </c>
      <c r="N12" s="7" t="str">
        <v>Q3</v>
      </c>
      <c r="P12" s="9">
        <f>SUMIFS('Validation Tables'!E:E, 'Validation Tables'!B:B, 'Validation Tables'!M12, 'Validation Tables'!C:C, 'Validation Tables'!N12)</f>
        <v>0</v>
      </c>
    </row>
    <row r="13" spans="1:22" x14ac:dyDescent="0.3">
      <c r="A13" s="15">
        <v>43542</v>
      </c>
      <c r="B13">
        <v>2019</v>
      </c>
      <c r="C13" t="s">
        <v>3</v>
      </c>
      <c r="D13" s="1">
        <f>Table1[[#This Row],[Column1]]</f>
        <v>0</v>
      </c>
      <c r="E13" s="19"/>
      <c r="M13" s="6">
        <v>2020</v>
      </c>
      <c r="N13" s="7" t="str">
        <v>Q4</v>
      </c>
      <c r="P13" s="9">
        <f>SUMIFS('Validation Tables'!E:E, 'Validation Tables'!B:B, 'Validation Tables'!M13, 'Validation Tables'!C:C, 'Validation Tables'!N13)</f>
        <v>0</v>
      </c>
    </row>
    <row r="14" spans="1:22" x14ac:dyDescent="0.3">
      <c r="A14" s="15">
        <v>43549</v>
      </c>
      <c r="B14">
        <v>2019</v>
      </c>
      <c r="C14" t="s">
        <v>3</v>
      </c>
      <c r="D14" s="1">
        <f>Table1[[#This Row],[Column1]]</f>
        <v>0</v>
      </c>
      <c r="E14" s="19"/>
    </row>
    <row r="15" spans="1:22" x14ac:dyDescent="0.3">
      <c r="A15" s="15">
        <v>43556</v>
      </c>
      <c r="B15">
        <v>2019</v>
      </c>
      <c r="C15" t="s">
        <v>4</v>
      </c>
      <c r="D15" s="1">
        <f>Table1[[#This Row],[Column1]]</f>
        <v>0</v>
      </c>
      <c r="E15" s="19"/>
    </row>
    <row r="16" spans="1:22" x14ac:dyDescent="0.3">
      <c r="A16" s="15">
        <v>43563</v>
      </c>
      <c r="B16">
        <v>2019</v>
      </c>
      <c r="C16" t="s">
        <v>4</v>
      </c>
      <c r="D16" s="1">
        <f>Table1[[#This Row],[Column1]]</f>
        <v>0</v>
      </c>
      <c r="E16" s="19"/>
    </row>
    <row r="17" spans="1:5" x14ac:dyDescent="0.3">
      <c r="A17" s="15">
        <v>43570</v>
      </c>
      <c r="B17">
        <v>2019</v>
      </c>
      <c r="C17" t="s">
        <v>4</v>
      </c>
      <c r="D17" s="1">
        <f>Table1[[#This Row],[Column1]]</f>
        <v>0</v>
      </c>
      <c r="E17" s="19"/>
    </row>
    <row r="18" spans="1:5" x14ac:dyDescent="0.3">
      <c r="A18" s="15">
        <v>43577</v>
      </c>
      <c r="B18">
        <v>2019</v>
      </c>
      <c r="C18" t="s">
        <v>4</v>
      </c>
      <c r="D18" s="1">
        <f>Table1[[#This Row],[Column1]]</f>
        <v>0</v>
      </c>
      <c r="E18" s="19"/>
    </row>
    <row r="19" spans="1:5" x14ac:dyDescent="0.3">
      <c r="A19" s="15">
        <v>43584</v>
      </c>
      <c r="B19">
        <v>2019</v>
      </c>
      <c r="C19" t="s">
        <v>4</v>
      </c>
      <c r="D19" s="1">
        <f>Table1[[#This Row],[Column1]]</f>
        <v>0</v>
      </c>
      <c r="E19" s="19"/>
    </row>
    <row r="20" spans="1:5" x14ac:dyDescent="0.3">
      <c r="A20" s="15">
        <v>43591</v>
      </c>
      <c r="B20">
        <v>2019</v>
      </c>
      <c r="C20" t="s">
        <v>4</v>
      </c>
      <c r="D20" s="1">
        <f>Table1[[#This Row],[Column1]]</f>
        <v>0</v>
      </c>
      <c r="E20" s="19"/>
    </row>
    <row r="21" spans="1:5" x14ac:dyDescent="0.3">
      <c r="A21" s="15">
        <v>43598</v>
      </c>
      <c r="B21">
        <v>2019</v>
      </c>
      <c r="C21" t="s">
        <v>4</v>
      </c>
      <c r="D21" s="1">
        <f>Table1[[#This Row],[Column1]]</f>
        <v>0</v>
      </c>
      <c r="E21" s="19"/>
    </row>
    <row r="22" spans="1:5" x14ac:dyDescent="0.3">
      <c r="A22" s="15">
        <v>43605</v>
      </c>
      <c r="B22">
        <v>2019</v>
      </c>
      <c r="C22" t="s">
        <v>4</v>
      </c>
      <c r="D22" s="1">
        <f>Table1[[#This Row],[Column1]]</f>
        <v>0</v>
      </c>
      <c r="E22" s="19"/>
    </row>
    <row r="23" spans="1:5" x14ac:dyDescent="0.3">
      <c r="A23" s="15">
        <v>43612</v>
      </c>
      <c r="B23">
        <v>2019</v>
      </c>
      <c r="C23" t="s">
        <v>4</v>
      </c>
      <c r="D23" s="1">
        <f>Table1[[#This Row],[Column1]]</f>
        <v>0</v>
      </c>
      <c r="E23" s="19"/>
    </row>
    <row r="24" spans="1:5" x14ac:dyDescent="0.3">
      <c r="A24" s="15">
        <v>43619</v>
      </c>
      <c r="B24">
        <v>2019</v>
      </c>
      <c r="C24" t="s">
        <v>4</v>
      </c>
      <c r="D24" s="1">
        <f>Table1[[#This Row],[Column1]]</f>
        <v>0</v>
      </c>
      <c r="E24" s="19"/>
    </row>
    <row r="25" spans="1:5" x14ac:dyDescent="0.3">
      <c r="A25" s="15">
        <v>43626</v>
      </c>
      <c r="B25">
        <v>2019</v>
      </c>
      <c r="C25" t="s">
        <v>4</v>
      </c>
      <c r="D25" s="1">
        <f>Table1[[#This Row],[Column1]]</f>
        <v>0</v>
      </c>
      <c r="E25" s="19"/>
    </row>
    <row r="26" spans="1:5" x14ac:dyDescent="0.3">
      <c r="A26" s="15">
        <v>43633</v>
      </c>
      <c r="B26">
        <v>2019</v>
      </c>
      <c r="C26" t="s">
        <v>4</v>
      </c>
      <c r="D26" s="1">
        <f>Table1[[#This Row],[Column1]]</f>
        <v>0</v>
      </c>
      <c r="E26" s="19"/>
    </row>
    <row r="27" spans="1:5" x14ac:dyDescent="0.3">
      <c r="A27" s="15">
        <v>43640</v>
      </c>
      <c r="B27">
        <v>2019</v>
      </c>
      <c r="C27" t="s">
        <v>4</v>
      </c>
      <c r="D27" s="1">
        <f>Table1[[#This Row],[Column1]]</f>
        <v>0</v>
      </c>
      <c r="E27" s="19"/>
    </row>
    <row r="28" spans="1:5" x14ac:dyDescent="0.3">
      <c r="A28" s="15">
        <v>43647</v>
      </c>
      <c r="B28">
        <v>2019</v>
      </c>
      <c r="C28" t="s">
        <v>5</v>
      </c>
      <c r="D28" s="1">
        <f>Table1[[#This Row],[Column1]]</f>
        <v>0</v>
      </c>
      <c r="E28" s="19"/>
    </row>
    <row r="29" spans="1:5" x14ac:dyDescent="0.3">
      <c r="A29" s="15">
        <v>43654</v>
      </c>
      <c r="B29">
        <v>2019</v>
      </c>
      <c r="C29" t="s">
        <v>5</v>
      </c>
      <c r="D29" s="1">
        <f>Table1[[#This Row],[Column1]]</f>
        <v>0</v>
      </c>
      <c r="E29" s="19"/>
    </row>
    <row r="30" spans="1:5" x14ac:dyDescent="0.3">
      <c r="A30" s="15">
        <v>43661</v>
      </c>
      <c r="B30">
        <v>2019</v>
      </c>
      <c r="C30" t="s">
        <v>5</v>
      </c>
      <c r="D30" s="1">
        <f>Table1[[#This Row],[Column1]]</f>
        <v>0</v>
      </c>
      <c r="E30" s="19"/>
    </row>
    <row r="31" spans="1:5" x14ac:dyDescent="0.3">
      <c r="A31" s="15">
        <v>43668</v>
      </c>
      <c r="B31">
        <v>2019</v>
      </c>
      <c r="C31" t="s">
        <v>5</v>
      </c>
      <c r="D31" s="1">
        <f>Table1[[#This Row],[Column1]]</f>
        <v>0</v>
      </c>
      <c r="E31" s="19"/>
    </row>
    <row r="32" spans="1:5" x14ac:dyDescent="0.3">
      <c r="A32" s="15">
        <v>43675</v>
      </c>
      <c r="B32">
        <v>2019</v>
      </c>
      <c r="C32" t="s">
        <v>5</v>
      </c>
      <c r="D32" s="1">
        <f>Table1[[#This Row],[Column1]]</f>
        <v>0</v>
      </c>
      <c r="E32" s="19"/>
    </row>
    <row r="33" spans="1:5" x14ac:dyDescent="0.3">
      <c r="A33" s="15">
        <v>43682</v>
      </c>
      <c r="B33">
        <v>2019</v>
      </c>
      <c r="C33" t="s">
        <v>5</v>
      </c>
      <c r="D33" s="1">
        <f>Table1[[#This Row],[Column1]]</f>
        <v>0</v>
      </c>
      <c r="E33" s="19"/>
    </row>
    <row r="34" spans="1:5" x14ac:dyDescent="0.3">
      <c r="A34" s="15">
        <v>43689</v>
      </c>
      <c r="B34">
        <v>2019</v>
      </c>
      <c r="C34" t="s">
        <v>5</v>
      </c>
      <c r="D34" s="1">
        <f>Table1[[#This Row],[Column1]]</f>
        <v>0</v>
      </c>
      <c r="E34" s="19"/>
    </row>
    <row r="35" spans="1:5" x14ac:dyDescent="0.3">
      <c r="A35" s="15">
        <v>43696</v>
      </c>
      <c r="B35">
        <v>2019</v>
      </c>
      <c r="C35" t="s">
        <v>5</v>
      </c>
      <c r="D35" s="1">
        <f>Table1[[#This Row],[Column1]]</f>
        <v>0</v>
      </c>
      <c r="E35" s="19"/>
    </row>
    <row r="36" spans="1:5" x14ac:dyDescent="0.3">
      <c r="A36" s="15">
        <v>43703</v>
      </c>
      <c r="B36">
        <v>2019</v>
      </c>
      <c r="C36" t="s">
        <v>5</v>
      </c>
      <c r="D36" s="1">
        <f>Table1[[#This Row],[Column1]]</f>
        <v>0</v>
      </c>
      <c r="E36" s="19"/>
    </row>
    <row r="37" spans="1:5" x14ac:dyDescent="0.3">
      <c r="A37" s="15">
        <v>43710</v>
      </c>
      <c r="B37">
        <v>2019</v>
      </c>
      <c r="C37" t="s">
        <v>5</v>
      </c>
      <c r="D37" s="1">
        <f>Table1[[#This Row],[Column1]]</f>
        <v>0</v>
      </c>
      <c r="E37" s="19"/>
    </row>
    <row r="38" spans="1:5" x14ac:dyDescent="0.3">
      <c r="A38" s="15">
        <v>43717</v>
      </c>
      <c r="B38">
        <v>2019</v>
      </c>
      <c r="C38" t="s">
        <v>5</v>
      </c>
      <c r="D38" s="1">
        <f>Table1[[#This Row],[Column1]]</f>
        <v>0</v>
      </c>
      <c r="E38" s="19"/>
    </row>
    <row r="39" spans="1:5" x14ac:dyDescent="0.3">
      <c r="A39" s="15">
        <v>43724</v>
      </c>
      <c r="B39">
        <v>2019</v>
      </c>
      <c r="C39" t="s">
        <v>5</v>
      </c>
      <c r="D39" s="1">
        <f>Table1[[#This Row],[Column1]]</f>
        <v>0</v>
      </c>
      <c r="E39" s="19"/>
    </row>
    <row r="40" spans="1:5" x14ac:dyDescent="0.3">
      <c r="A40" s="15">
        <v>43731</v>
      </c>
      <c r="B40">
        <v>2019</v>
      </c>
      <c r="C40" t="s">
        <v>5</v>
      </c>
      <c r="D40" s="1">
        <f>Table1[[#This Row],[Column1]]</f>
        <v>0</v>
      </c>
      <c r="E40" s="19"/>
    </row>
    <row r="41" spans="1:5" x14ac:dyDescent="0.3">
      <c r="A41" s="15">
        <v>43738</v>
      </c>
      <c r="B41">
        <v>2019</v>
      </c>
      <c r="C41" t="s">
        <v>5</v>
      </c>
      <c r="D41" s="1">
        <f>Table1[[#This Row],[Column1]]</f>
        <v>0</v>
      </c>
      <c r="E41" s="19"/>
    </row>
    <row r="42" spans="1:5" x14ac:dyDescent="0.3">
      <c r="A42" s="15">
        <v>43745</v>
      </c>
      <c r="B42">
        <v>2019</v>
      </c>
      <c r="C42" t="s">
        <v>6</v>
      </c>
      <c r="D42" s="1">
        <f>Table1[[#This Row],[Column1]]</f>
        <v>0</v>
      </c>
      <c r="E42" s="19"/>
    </row>
    <row r="43" spans="1:5" x14ac:dyDescent="0.3">
      <c r="A43" s="15">
        <v>43752</v>
      </c>
      <c r="B43">
        <v>2019</v>
      </c>
      <c r="C43" t="s">
        <v>6</v>
      </c>
      <c r="D43" s="1">
        <f>Table1[[#This Row],[Column1]]</f>
        <v>0</v>
      </c>
      <c r="E43" s="19"/>
    </row>
    <row r="44" spans="1:5" x14ac:dyDescent="0.3">
      <c r="A44" s="15">
        <v>43759</v>
      </c>
      <c r="B44">
        <v>2019</v>
      </c>
      <c r="C44" t="s">
        <v>6</v>
      </c>
      <c r="D44" s="1">
        <f>Table1[[#This Row],[Column1]]</f>
        <v>0</v>
      </c>
      <c r="E44" s="19"/>
    </row>
    <row r="45" spans="1:5" x14ac:dyDescent="0.3">
      <c r="A45" s="15">
        <v>43766</v>
      </c>
      <c r="B45">
        <v>2019</v>
      </c>
      <c r="C45" t="s">
        <v>6</v>
      </c>
      <c r="D45" s="1">
        <f>Table1[[#This Row],[Column1]]</f>
        <v>0</v>
      </c>
      <c r="E45" s="19"/>
    </row>
    <row r="46" spans="1:5" x14ac:dyDescent="0.3">
      <c r="A46" s="15">
        <v>43773</v>
      </c>
      <c r="B46">
        <v>2019</v>
      </c>
      <c r="C46" t="s">
        <v>6</v>
      </c>
      <c r="D46" s="1">
        <f>Table1[[#This Row],[Column1]]</f>
        <v>0</v>
      </c>
      <c r="E46" s="19"/>
    </row>
    <row r="47" spans="1:5" x14ac:dyDescent="0.3">
      <c r="A47" s="15">
        <v>43780</v>
      </c>
      <c r="B47">
        <v>2019</v>
      </c>
      <c r="C47" t="s">
        <v>6</v>
      </c>
      <c r="D47" s="1">
        <f>Table1[[#This Row],[Column1]]</f>
        <v>0</v>
      </c>
      <c r="E47" s="19"/>
    </row>
    <row r="48" spans="1:5" x14ac:dyDescent="0.3">
      <c r="A48" s="15">
        <v>43787</v>
      </c>
      <c r="B48">
        <v>2019</v>
      </c>
      <c r="C48" t="s">
        <v>6</v>
      </c>
      <c r="D48" s="1">
        <f>Table1[[#This Row],[Column1]]</f>
        <v>0</v>
      </c>
      <c r="E48" s="19"/>
    </row>
    <row r="49" spans="1:5" x14ac:dyDescent="0.3">
      <c r="A49" s="15">
        <v>43794</v>
      </c>
      <c r="B49">
        <v>2019</v>
      </c>
      <c r="C49" t="s">
        <v>6</v>
      </c>
      <c r="D49" s="1">
        <f>Table1[[#This Row],[Column1]]</f>
        <v>0</v>
      </c>
      <c r="E49" s="19"/>
    </row>
    <row r="50" spans="1:5" x14ac:dyDescent="0.3">
      <c r="A50" s="15">
        <v>43801</v>
      </c>
      <c r="B50">
        <v>2019</v>
      </c>
      <c r="C50" t="s">
        <v>6</v>
      </c>
      <c r="D50" s="1">
        <f>Table1[[#This Row],[Column1]]</f>
        <v>0</v>
      </c>
      <c r="E50" s="19"/>
    </row>
    <row r="51" spans="1:5" x14ac:dyDescent="0.3">
      <c r="A51" s="15">
        <v>43808</v>
      </c>
      <c r="B51">
        <v>2019</v>
      </c>
      <c r="C51" t="s">
        <v>6</v>
      </c>
      <c r="D51" s="1">
        <f>Table1[[#This Row],[Column1]]</f>
        <v>0</v>
      </c>
      <c r="E51" s="19"/>
    </row>
    <row r="52" spans="1:5" x14ac:dyDescent="0.3">
      <c r="A52" s="15">
        <v>43815</v>
      </c>
      <c r="B52">
        <v>2019</v>
      </c>
      <c r="C52" t="s">
        <v>6</v>
      </c>
      <c r="D52" s="1">
        <f>Table1[[#This Row],[Column1]]</f>
        <v>0</v>
      </c>
      <c r="E52" s="19"/>
    </row>
    <row r="53" spans="1:5" x14ac:dyDescent="0.3">
      <c r="A53" s="15">
        <v>43822</v>
      </c>
      <c r="B53">
        <v>2019</v>
      </c>
      <c r="C53" t="s">
        <v>6</v>
      </c>
      <c r="D53" s="1">
        <f>Table1[[#This Row],[Column1]]</f>
        <v>0</v>
      </c>
      <c r="E53" s="19"/>
    </row>
    <row r="54" spans="1:5" x14ac:dyDescent="0.3">
      <c r="A54" s="15">
        <v>43829</v>
      </c>
      <c r="B54">
        <v>2019</v>
      </c>
      <c r="C54" t="s">
        <v>6</v>
      </c>
      <c r="D54" s="1">
        <f>Table1[[#This Row],[Column1]]</f>
        <v>0</v>
      </c>
      <c r="E54" s="19"/>
    </row>
    <row r="55" spans="1:5" x14ac:dyDescent="0.3">
      <c r="A55" s="15">
        <v>43836</v>
      </c>
      <c r="B55">
        <v>2020</v>
      </c>
      <c r="C55" t="s">
        <v>3</v>
      </c>
      <c r="D55" s="1">
        <f>Table1[[#This Row],[Column1]]</f>
        <v>0</v>
      </c>
      <c r="E55" s="19"/>
    </row>
    <row r="56" spans="1:5" x14ac:dyDescent="0.3">
      <c r="A56" s="15">
        <v>43843</v>
      </c>
      <c r="B56">
        <v>2020</v>
      </c>
      <c r="C56" t="s">
        <v>3</v>
      </c>
      <c r="D56" s="1">
        <f>Table1[[#This Row],[Column1]]</f>
        <v>0</v>
      </c>
      <c r="E56" s="19"/>
    </row>
    <row r="57" spans="1:5" x14ac:dyDescent="0.3">
      <c r="A57" s="15">
        <v>43850</v>
      </c>
      <c r="B57">
        <v>2020</v>
      </c>
      <c r="C57" t="s">
        <v>3</v>
      </c>
      <c r="D57" s="1">
        <f>Table1[[#This Row],[Column1]]</f>
        <v>0</v>
      </c>
      <c r="E57" s="19"/>
    </row>
    <row r="58" spans="1:5" x14ac:dyDescent="0.3">
      <c r="A58" s="15">
        <v>43857</v>
      </c>
      <c r="B58">
        <v>2020</v>
      </c>
      <c r="C58" t="s">
        <v>3</v>
      </c>
      <c r="D58" s="1">
        <f>Table1[[#This Row],[Column1]]</f>
        <v>0</v>
      </c>
      <c r="E58" s="19"/>
    </row>
    <row r="59" spans="1:5" x14ac:dyDescent="0.3">
      <c r="A59" s="15">
        <v>43864</v>
      </c>
      <c r="B59">
        <v>2020</v>
      </c>
      <c r="C59" t="s">
        <v>3</v>
      </c>
      <c r="D59" s="1">
        <f>Table1[[#This Row],[Column1]]</f>
        <v>0</v>
      </c>
      <c r="E59" s="19"/>
    </row>
    <row r="60" spans="1:5" x14ac:dyDescent="0.3">
      <c r="A60" s="15">
        <v>43871</v>
      </c>
      <c r="B60">
        <v>2020</v>
      </c>
      <c r="C60" t="s">
        <v>3</v>
      </c>
      <c r="D60" s="1">
        <f>Table1[[#This Row],[Column1]]</f>
        <v>0</v>
      </c>
      <c r="E60" s="19"/>
    </row>
    <row r="61" spans="1:5" x14ac:dyDescent="0.3">
      <c r="A61" s="15">
        <v>43878</v>
      </c>
      <c r="B61">
        <v>2020</v>
      </c>
      <c r="C61" t="s">
        <v>3</v>
      </c>
      <c r="D61" s="1">
        <f>Table1[[#This Row],[Column1]]</f>
        <v>0</v>
      </c>
      <c r="E61" s="19"/>
    </row>
    <row r="62" spans="1:5" x14ac:dyDescent="0.3">
      <c r="A62" s="15">
        <v>43885</v>
      </c>
      <c r="B62">
        <v>2020</v>
      </c>
      <c r="C62" t="s">
        <v>3</v>
      </c>
      <c r="D62" s="1">
        <f>Table1[[#This Row],[Column1]]</f>
        <v>0</v>
      </c>
      <c r="E62" s="19"/>
    </row>
    <row r="63" spans="1:5" x14ac:dyDescent="0.3">
      <c r="A63" s="15">
        <v>43892</v>
      </c>
      <c r="B63">
        <v>2020</v>
      </c>
      <c r="C63" t="s">
        <v>3</v>
      </c>
      <c r="D63" s="1">
        <f>Table1[[#This Row],[Column1]]</f>
        <v>0</v>
      </c>
      <c r="E63" s="19"/>
    </row>
    <row r="64" spans="1:5" x14ac:dyDescent="0.3">
      <c r="A64" s="15">
        <v>43899</v>
      </c>
      <c r="B64">
        <v>2020</v>
      </c>
      <c r="C64" t="s">
        <v>3</v>
      </c>
      <c r="D64" s="1">
        <f>Table1[[#This Row],[Column1]]</f>
        <v>0</v>
      </c>
      <c r="E64" s="19"/>
    </row>
    <row r="65" spans="1:5" x14ac:dyDescent="0.3">
      <c r="A65" s="15">
        <v>43906</v>
      </c>
      <c r="B65">
        <v>2020</v>
      </c>
      <c r="C65" t="s">
        <v>3</v>
      </c>
      <c r="D65" s="1">
        <f>Table1[[#This Row],[Column1]]</f>
        <v>0</v>
      </c>
      <c r="E65" s="19"/>
    </row>
    <row r="66" spans="1:5" x14ac:dyDescent="0.3">
      <c r="A66" s="15">
        <v>43913</v>
      </c>
      <c r="B66">
        <v>2020</v>
      </c>
      <c r="C66" t="s">
        <v>3</v>
      </c>
      <c r="D66" s="1">
        <f>Table1[[#This Row],[Column1]]</f>
        <v>0</v>
      </c>
      <c r="E66" s="19"/>
    </row>
    <row r="67" spans="1:5" x14ac:dyDescent="0.3">
      <c r="A67" s="15">
        <v>43920</v>
      </c>
      <c r="B67">
        <v>2020</v>
      </c>
      <c r="C67" t="s">
        <v>3</v>
      </c>
      <c r="D67" s="1">
        <f>Table1[[#This Row],[Column1]]</f>
        <v>0</v>
      </c>
      <c r="E67" s="19"/>
    </row>
    <row r="68" spans="1:5" x14ac:dyDescent="0.3">
      <c r="A68" s="15">
        <v>43927</v>
      </c>
      <c r="B68">
        <v>2020</v>
      </c>
      <c r="C68" t="s">
        <v>4</v>
      </c>
      <c r="D68" s="1">
        <f>Table1[[#This Row],[Column1]]</f>
        <v>0</v>
      </c>
      <c r="E68" s="19"/>
    </row>
    <row r="69" spans="1:5" x14ac:dyDescent="0.3">
      <c r="A69" s="15">
        <v>43934</v>
      </c>
      <c r="B69">
        <v>2020</v>
      </c>
      <c r="C69" t="s">
        <v>4</v>
      </c>
      <c r="D69" s="1">
        <f>Table1[[#This Row],[Column1]]</f>
        <v>0</v>
      </c>
      <c r="E69" s="19"/>
    </row>
    <row r="70" spans="1:5" x14ac:dyDescent="0.3">
      <c r="A70" s="15">
        <v>43941</v>
      </c>
      <c r="B70">
        <v>2020</v>
      </c>
      <c r="C70" t="s">
        <v>4</v>
      </c>
      <c r="D70" s="1">
        <f>Table1[[#This Row],[Column1]]</f>
        <v>0</v>
      </c>
      <c r="E70" s="19"/>
    </row>
    <row r="71" spans="1:5" x14ac:dyDescent="0.3">
      <c r="A71" s="15">
        <v>43948</v>
      </c>
      <c r="B71">
        <v>2020</v>
      </c>
      <c r="C71" t="s">
        <v>4</v>
      </c>
      <c r="D71" s="1">
        <f>Table1[[#This Row],[Column1]]</f>
        <v>0</v>
      </c>
      <c r="E71" s="19"/>
    </row>
    <row r="72" spans="1:5" x14ac:dyDescent="0.3">
      <c r="A72" s="15">
        <v>43955</v>
      </c>
      <c r="B72">
        <v>2020</v>
      </c>
      <c r="C72" t="s">
        <v>4</v>
      </c>
      <c r="D72" s="1">
        <f>Table1[[#This Row],[Column1]]</f>
        <v>0</v>
      </c>
      <c r="E72" s="19"/>
    </row>
    <row r="73" spans="1:5" x14ac:dyDescent="0.3">
      <c r="A73" s="15">
        <v>43962</v>
      </c>
      <c r="B73">
        <v>2020</v>
      </c>
      <c r="C73" t="s">
        <v>4</v>
      </c>
      <c r="D73" s="1">
        <f>Table1[[#This Row],[Column1]]</f>
        <v>0</v>
      </c>
      <c r="E73" s="19"/>
    </row>
    <row r="74" spans="1:5" x14ac:dyDescent="0.3">
      <c r="A74" s="15">
        <v>43969</v>
      </c>
      <c r="B74">
        <v>2020</v>
      </c>
      <c r="C74" t="s">
        <v>4</v>
      </c>
      <c r="D74" s="1">
        <f>Table1[[#This Row],[Column1]]</f>
        <v>0</v>
      </c>
      <c r="E74" s="19"/>
    </row>
    <row r="75" spans="1:5" x14ac:dyDescent="0.3">
      <c r="A75" s="15">
        <v>43976</v>
      </c>
      <c r="B75">
        <v>2020</v>
      </c>
      <c r="C75" t="s">
        <v>4</v>
      </c>
      <c r="D75" s="1">
        <f>Table1[[#This Row],[Column1]]</f>
        <v>0</v>
      </c>
      <c r="E75" s="19"/>
    </row>
    <row r="76" spans="1:5" x14ac:dyDescent="0.3">
      <c r="A76" s="15">
        <v>43983</v>
      </c>
      <c r="B76">
        <v>2020</v>
      </c>
      <c r="C76" t="s">
        <v>4</v>
      </c>
      <c r="D76" s="1">
        <f>Table1[[#This Row],[Column1]]</f>
        <v>0</v>
      </c>
      <c r="E76" s="19"/>
    </row>
    <row r="77" spans="1:5" x14ac:dyDescent="0.3">
      <c r="A77" s="15">
        <v>43990</v>
      </c>
      <c r="B77">
        <v>2020</v>
      </c>
      <c r="C77" t="s">
        <v>4</v>
      </c>
      <c r="D77" s="1">
        <f>Table1[[#This Row],[Column1]]</f>
        <v>0</v>
      </c>
      <c r="E77" s="19"/>
    </row>
    <row r="78" spans="1:5" x14ac:dyDescent="0.3">
      <c r="A78" s="15">
        <v>43997</v>
      </c>
      <c r="B78">
        <v>2020</v>
      </c>
      <c r="C78" t="s">
        <v>4</v>
      </c>
      <c r="D78" s="1">
        <f>Table1[[#This Row],[Column1]]</f>
        <v>0</v>
      </c>
      <c r="E78" s="19"/>
    </row>
    <row r="79" spans="1:5" x14ac:dyDescent="0.3">
      <c r="A79" s="15">
        <v>44004</v>
      </c>
      <c r="B79">
        <v>2020</v>
      </c>
      <c r="C79" t="s">
        <v>4</v>
      </c>
      <c r="D79" s="1">
        <f>Table1[[#This Row],[Column1]]</f>
        <v>0</v>
      </c>
      <c r="E79" s="19"/>
    </row>
    <row r="80" spans="1:5" x14ac:dyDescent="0.3">
      <c r="A80" s="15">
        <v>44011</v>
      </c>
      <c r="B80">
        <v>2020</v>
      </c>
      <c r="C80" t="s">
        <v>4</v>
      </c>
      <c r="D80" s="1">
        <f>Table1[[#This Row],[Column1]]</f>
        <v>0</v>
      </c>
      <c r="E80" s="19"/>
    </row>
    <row r="81" spans="1:5" x14ac:dyDescent="0.3">
      <c r="A81" s="15">
        <v>44018</v>
      </c>
      <c r="B81">
        <v>2020</v>
      </c>
      <c r="C81" t="s">
        <v>5</v>
      </c>
      <c r="D81" s="1">
        <f>Table1[[#This Row],[Column1]]</f>
        <v>0</v>
      </c>
      <c r="E81" s="19"/>
    </row>
    <row r="82" spans="1:5" x14ac:dyDescent="0.3">
      <c r="A82" s="15">
        <v>44025</v>
      </c>
      <c r="B82">
        <v>2020</v>
      </c>
      <c r="C82" t="s">
        <v>5</v>
      </c>
      <c r="D82" s="1">
        <f>Table1[[#This Row],[Column1]]</f>
        <v>0</v>
      </c>
      <c r="E82" s="19"/>
    </row>
    <row r="83" spans="1:5" x14ac:dyDescent="0.3">
      <c r="A83" s="15">
        <v>44032</v>
      </c>
      <c r="B83">
        <v>2020</v>
      </c>
      <c r="C83" t="s">
        <v>5</v>
      </c>
      <c r="D83" s="1">
        <f>Table1[[#This Row],[Column1]]</f>
        <v>0</v>
      </c>
      <c r="E83" s="19"/>
    </row>
    <row r="84" spans="1:5" x14ac:dyDescent="0.3">
      <c r="A84" s="15">
        <v>44039</v>
      </c>
      <c r="B84">
        <v>2020</v>
      </c>
      <c r="C84" t="s">
        <v>5</v>
      </c>
      <c r="D84" s="1">
        <f>Table1[[#This Row],[Column1]]</f>
        <v>0</v>
      </c>
      <c r="E84" s="19"/>
    </row>
    <row r="85" spans="1:5" x14ac:dyDescent="0.3">
      <c r="A85" s="15">
        <v>44046</v>
      </c>
      <c r="B85">
        <v>2020</v>
      </c>
      <c r="C85" t="s">
        <v>5</v>
      </c>
      <c r="D85" s="1">
        <f>Table1[[#This Row],[Column1]]</f>
        <v>0</v>
      </c>
      <c r="E85" s="19"/>
    </row>
    <row r="86" spans="1:5" x14ac:dyDescent="0.3">
      <c r="A86" s="15">
        <v>44053</v>
      </c>
      <c r="B86">
        <v>2020</v>
      </c>
      <c r="C86" t="s">
        <v>5</v>
      </c>
      <c r="D86" s="1">
        <f>Table1[[#This Row],[Column1]]</f>
        <v>0</v>
      </c>
      <c r="E86" s="19"/>
    </row>
    <row r="87" spans="1:5" x14ac:dyDescent="0.3">
      <c r="A87" s="15">
        <v>44060</v>
      </c>
      <c r="B87">
        <v>2020</v>
      </c>
      <c r="C87" t="s">
        <v>5</v>
      </c>
      <c r="D87" s="1">
        <f>Table1[[#This Row],[Column1]]</f>
        <v>0</v>
      </c>
      <c r="E87" s="19"/>
    </row>
    <row r="88" spans="1:5" x14ac:dyDescent="0.3">
      <c r="A88" s="15">
        <v>44067</v>
      </c>
      <c r="B88">
        <v>2020</v>
      </c>
      <c r="C88" t="s">
        <v>5</v>
      </c>
      <c r="D88" s="1">
        <f>Table1[[#This Row],[Column1]]</f>
        <v>0</v>
      </c>
      <c r="E88" s="19"/>
    </row>
    <row r="89" spans="1:5" x14ac:dyDescent="0.3">
      <c r="A89" s="15">
        <v>44074</v>
      </c>
      <c r="B89">
        <v>2020</v>
      </c>
      <c r="C89" t="s">
        <v>5</v>
      </c>
      <c r="D89" s="1">
        <f>Table1[[#This Row],[Column1]]</f>
        <v>0</v>
      </c>
      <c r="E89" s="19"/>
    </row>
    <row r="90" spans="1:5" x14ac:dyDescent="0.3">
      <c r="A90" s="15">
        <v>44081</v>
      </c>
      <c r="B90">
        <v>2020</v>
      </c>
      <c r="C90" t="s">
        <v>5</v>
      </c>
      <c r="D90" s="1">
        <f>Table1[[#This Row],[Column1]]</f>
        <v>0</v>
      </c>
      <c r="E90" s="19"/>
    </row>
    <row r="91" spans="1:5" x14ac:dyDescent="0.3">
      <c r="A91" s="15">
        <v>44088</v>
      </c>
      <c r="B91">
        <v>2020</v>
      </c>
      <c r="C91" t="s">
        <v>5</v>
      </c>
      <c r="D91" s="1">
        <f>Table1[[#This Row],[Column1]]</f>
        <v>0</v>
      </c>
      <c r="E91" s="19"/>
    </row>
    <row r="92" spans="1:5" x14ac:dyDescent="0.3">
      <c r="A92" s="15">
        <v>44095</v>
      </c>
      <c r="B92">
        <v>2020</v>
      </c>
      <c r="C92" t="s">
        <v>5</v>
      </c>
      <c r="D92" s="1">
        <f>Table1[[#This Row],[Column1]]</f>
        <v>0</v>
      </c>
      <c r="E92" s="19"/>
    </row>
    <row r="93" spans="1:5" x14ac:dyDescent="0.3">
      <c r="A93" s="15">
        <v>44102</v>
      </c>
      <c r="B93">
        <v>2020</v>
      </c>
      <c r="C93" t="s">
        <v>5</v>
      </c>
      <c r="D93" s="1">
        <f>Table1[[#This Row],[Column1]]</f>
        <v>0</v>
      </c>
      <c r="E93" s="19"/>
    </row>
    <row r="94" spans="1:5" x14ac:dyDescent="0.3">
      <c r="A94" s="15">
        <v>44109</v>
      </c>
      <c r="B94">
        <v>2020</v>
      </c>
      <c r="C94" t="s">
        <v>6</v>
      </c>
      <c r="D94" s="1">
        <f>Table1[[#This Row],[Column1]]</f>
        <v>0</v>
      </c>
      <c r="E94" s="19"/>
    </row>
    <row r="95" spans="1:5" x14ac:dyDescent="0.3">
      <c r="A95" s="15">
        <v>44116</v>
      </c>
      <c r="B95">
        <v>2020</v>
      </c>
      <c r="C95" t="s">
        <v>6</v>
      </c>
      <c r="D95" s="1">
        <f>Table1[[#This Row],[Column1]]</f>
        <v>0</v>
      </c>
      <c r="E95" s="19"/>
    </row>
    <row r="96" spans="1:5" x14ac:dyDescent="0.3">
      <c r="A96" s="15">
        <v>44123</v>
      </c>
      <c r="B96">
        <v>2020</v>
      </c>
      <c r="C96" t="s">
        <v>6</v>
      </c>
      <c r="D96" s="1">
        <f>Table1[[#This Row],[Column1]]</f>
        <v>0</v>
      </c>
      <c r="E96" s="19"/>
    </row>
    <row r="97" spans="1:5" x14ac:dyDescent="0.3">
      <c r="A97" s="15">
        <v>44130</v>
      </c>
      <c r="B97">
        <v>2020</v>
      </c>
      <c r="C97" t="s">
        <v>6</v>
      </c>
      <c r="D97" s="1">
        <f>Table1[[#This Row],[Column1]]</f>
        <v>0</v>
      </c>
      <c r="E97" s="19"/>
    </row>
    <row r="98" spans="1:5" x14ac:dyDescent="0.3">
      <c r="A98" s="15">
        <v>44137</v>
      </c>
      <c r="B98">
        <v>2020</v>
      </c>
      <c r="C98" t="s">
        <v>6</v>
      </c>
      <c r="D98" s="1">
        <f>Table1[[#This Row],[Column1]]</f>
        <v>0</v>
      </c>
      <c r="E98" s="19"/>
    </row>
    <row r="99" spans="1:5" x14ac:dyDescent="0.3">
      <c r="A99" s="15">
        <v>44144</v>
      </c>
      <c r="B99">
        <v>2020</v>
      </c>
      <c r="C99" t="s">
        <v>6</v>
      </c>
      <c r="D99" s="1">
        <f>Table1[[#This Row],[Column1]]</f>
        <v>0</v>
      </c>
      <c r="E99" s="19"/>
    </row>
    <row r="100" spans="1:5" x14ac:dyDescent="0.3">
      <c r="A100" s="15">
        <v>44151</v>
      </c>
      <c r="B100">
        <v>2020</v>
      </c>
      <c r="C100" t="s">
        <v>6</v>
      </c>
      <c r="D100" s="1">
        <f>Table1[[#This Row],[Column1]]</f>
        <v>0</v>
      </c>
      <c r="E100" s="19"/>
    </row>
    <row r="101" spans="1:5" x14ac:dyDescent="0.3">
      <c r="A101" s="15">
        <v>44158</v>
      </c>
      <c r="B101">
        <v>2020</v>
      </c>
      <c r="C101" t="s">
        <v>6</v>
      </c>
      <c r="D101" s="1">
        <f>Table1[[#This Row],[Column1]]</f>
        <v>0</v>
      </c>
      <c r="E101" s="19"/>
    </row>
    <row r="102" spans="1:5" x14ac:dyDescent="0.3">
      <c r="A102" s="15">
        <v>44165</v>
      </c>
      <c r="B102">
        <v>2020</v>
      </c>
      <c r="C102" t="s">
        <v>6</v>
      </c>
      <c r="D102" s="1">
        <f>Table1[[#This Row],[Column1]]</f>
        <v>0</v>
      </c>
      <c r="E102" s="19"/>
    </row>
    <row r="103" spans="1:5" x14ac:dyDescent="0.3">
      <c r="A103" s="15">
        <v>44172</v>
      </c>
      <c r="B103">
        <v>2020</v>
      </c>
      <c r="C103" t="s">
        <v>6</v>
      </c>
      <c r="D103" s="1">
        <f>Table1[[#This Row],[Column1]]</f>
        <v>0</v>
      </c>
      <c r="E103" s="19"/>
    </row>
    <row r="104" spans="1:5" x14ac:dyDescent="0.3">
      <c r="A104" s="15">
        <v>44179</v>
      </c>
      <c r="B104">
        <v>2020</v>
      </c>
      <c r="C104" t="s">
        <v>6</v>
      </c>
      <c r="D104" s="1">
        <f>Table1[[#This Row],[Column1]]</f>
        <v>0</v>
      </c>
      <c r="E104" s="19"/>
    </row>
    <row r="105" spans="1:5" x14ac:dyDescent="0.3">
      <c r="A105" s="15">
        <v>44186</v>
      </c>
      <c r="B105">
        <v>2020</v>
      </c>
      <c r="C105" t="s">
        <v>6</v>
      </c>
      <c r="D105" s="1">
        <f>Table1[[#This Row],[Column1]]</f>
        <v>0</v>
      </c>
      <c r="E105" s="19"/>
    </row>
    <row r="106" spans="1:5" x14ac:dyDescent="0.3">
      <c r="A106" s="15">
        <v>44193</v>
      </c>
      <c r="B106">
        <v>2020</v>
      </c>
      <c r="C106" t="s">
        <v>6</v>
      </c>
      <c r="D106" s="1">
        <f>Table1[[#This Row],[Column1]]</f>
        <v>0</v>
      </c>
      <c r="E106" s="19"/>
    </row>
  </sheetData>
  <conditionalFormatting sqref="I6:I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{A8E4382B-A7FF-4846-BEAB-A8105870CE77}</x14:id>
        </ext>
      </extLst>
    </cfRule>
  </conditionalFormatting>
  <conditionalFormatting sqref="I11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P6:P13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{D3CBAB8E-23A0-4178-AEF7-82317A2DDBE5}</x14:id>
        </ext>
      </extLst>
    </cfRule>
  </conditionalFormatting>
  <conditionalFormatting sqref="V6">
    <cfRule type="cellIs" dxfId="1" priority="1" operator="lessThan">
      <formula>0</formula>
    </cfRule>
    <cfRule type="cellIs" dxfId="0" priority="2" operator="greaterThan">
      <formula>0</formula>
    </cfRule>
  </conditionalFormatting>
  <dataValidations count="1">
    <dataValidation type="list" allowBlank="1" showInputMessage="1" showErrorMessage="1" sqref="T2" xr:uid="{8056A7A7-DCB9-4CDC-B60F-04FA6DD9F9FC}">
      <formula1>"1,2,3,4"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E4382B-A7FF-4846-BEAB-A8105870CE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I6:I7</xm:sqref>
        </x14:conditionalFormatting>
        <x14:conditionalFormatting xmlns:xm="http://schemas.microsoft.com/office/excel/2006/main">
          <x14:cfRule type="dataBar" id="{D3CBAB8E-23A0-4178-AEF7-82317A2DDB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P6:P13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66A32F-85FF-4328-A4CE-C3200950B8E5}">
          <x14:formula1>
            <xm:f>'Weekly Database'!$E$2:$AZ$2</xm:f>
          </x14:formula1>
          <xm:sqref>G2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13636c-5f17-4dae-b7a3-dbc6432569a9">
      <Terms xmlns="http://schemas.microsoft.com/office/infopath/2007/PartnerControls"/>
    </lcf76f155ced4ddcb4097134ff3c332f>
    <TaxCatchAll xmlns="844d0d8c-e7d9-4723-b3b1-b322be3565be" xsi:nil="true"/>
    <SharedWithUsers xmlns="844d0d8c-e7d9-4723-b3b1-b322be3565be">
      <UserInfo>
        <DisplayName>Stefan LANGENBORG</DisplayName>
        <AccountId>25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9C75A6F45914997A12CCAE8161569" ma:contentTypeVersion="16" ma:contentTypeDescription="Create a new document." ma:contentTypeScope="" ma:versionID="9e608339ced6429f895ffc194056222b">
  <xsd:schema xmlns:xsd="http://www.w3.org/2001/XMLSchema" xmlns:xs="http://www.w3.org/2001/XMLSchema" xmlns:p="http://schemas.microsoft.com/office/2006/metadata/properties" xmlns:ns2="b213636c-5f17-4dae-b7a3-dbc6432569a9" xmlns:ns3="844d0d8c-e7d9-4723-b3b1-b322be3565be" targetNamespace="http://schemas.microsoft.com/office/2006/metadata/properties" ma:root="true" ma:fieldsID="d837244714a212fae4a3625890d50ebf" ns2:_="" ns3:_="">
    <xsd:import namespace="b213636c-5f17-4dae-b7a3-dbc6432569a9"/>
    <xsd:import namespace="844d0d8c-e7d9-4723-b3b1-b322be356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3636c-5f17-4dae-b7a3-dbc6432569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81fb634-bd26-4eb2-b51e-b7ce3dfc42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d0d8c-e7d9-4723-b3b1-b322be3565b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0aaafc0-e17c-4b84-a606-3f33d3ec210a}" ma:internalName="TaxCatchAll" ma:showField="CatchAllData" ma:web="844d0d8c-e7d9-4723-b3b1-b322be356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B21C46-279D-4512-BE62-22F9F2B4945A}">
  <ds:schemaRefs>
    <ds:schemaRef ds:uri="http://schemas.microsoft.com/office/2006/metadata/properties"/>
    <ds:schemaRef ds:uri="http://schemas.microsoft.com/office/infopath/2007/PartnerControls"/>
    <ds:schemaRef ds:uri="b213636c-5f17-4dae-b7a3-dbc6432569a9"/>
    <ds:schemaRef ds:uri="844d0d8c-e7d9-4723-b3b1-b322be3565be"/>
  </ds:schemaRefs>
</ds:datastoreItem>
</file>

<file path=customXml/itemProps2.xml><?xml version="1.0" encoding="utf-8"?>
<ds:datastoreItem xmlns:ds="http://schemas.openxmlformats.org/officeDocument/2006/customXml" ds:itemID="{87B5931C-142D-4A42-B62D-A310FE5C4C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13636c-5f17-4dae-b7a3-dbc6432569a9"/>
    <ds:schemaRef ds:uri="844d0d8c-e7d9-4723-b3b1-b322be3565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C8DA0D-62C1-451C-A2E8-29AC4AB887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Database</vt:lpstr>
      <vt:lpstr>Variables List</vt:lpstr>
      <vt:lpstr>Validation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McGuirk</cp:lastModifiedBy>
  <dcterms:created xsi:type="dcterms:W3CDTF">2022-08-04T17:30:51Z</dcterms:created>
  <dcterms:modified xsi:type="dcterms:W3CDTF">2024-03-25T17:42:16Z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0x010100C109C75A6F45914997A12CCAE8161569</vt:lpwstr>
  </property>
  <property fmtid="{D5CDD505-2E9C-101B-9397-08002B2CF9AE}" pid="3" name="MediaServiceImageTags">
    <vt:lpwstr/>
  </property>
</Properties>
</file>